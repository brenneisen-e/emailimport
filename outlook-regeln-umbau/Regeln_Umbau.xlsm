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drawings/drawing1.xml" ContentType="application/vnd.openxmlformats-officedocument.drawing+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40" yWindow="15" windowWidth="16095" windowHeight="9660"/>
  </bookViews>
  <sheets>
    <sheet name="Auf einen Blick" sheetId="1" r:id="rId1"/>
    <sheet name="Umsetzung" sheetId="2" r:id="rId2"/>
    <sheet name="Vergleich" sheetId="3" r:id="rId3"/>
    <sheet name="Anlegen" sheetId="4" r:id="rId4"/>
    <sheet name="Übersicht" sheetId="5" r:id="rId5"/>
    <sheet name="Regel-Logik" sheetId="6" r:id="rId6"/>
    <sheet name="Elemente" sheetId="7" r:id="rId7"/>
    <sheet name="Zielordner" sheetId="8" r:id="rId8"/>
    <sheet name="Prüfhinweise" sheetId="9" r:id="rId9"/>
    <sheet name="Diagnose" sheetId="10" r:id="rId10"/>
    <sheet name="Live" sheetId="11" r:id="rId11"/>
    <sheet name="Sicherung" sheetId="12" r:id="rId12"/>
    <sheet name="Protokoll" sheetId="13" r:id="rId13"/>
  </sheets>
  <definedNames>
    <definedName name="_xlnm._FilterDatabase" localSheetId="9" hidden="1">Diagnose!$A$4:$M$47</definedName>
    <definedName name="_xlnm._FilterDatabase" localSheetId="6" hidden="1">Elemente!$A$1:$G$187</definedName>
    <definedName name="_xlnm._FilterDatabase" localSheetId="10" hidden="1">Live!$A$4:$N$2004</definedName>
    <definedName name="_xlnm._FilterDatabase" localSheetId="12" hidden="1">Protokoll!$A$4:$G$2004</definedName>
    <definedName name="_xlnm._FilterDatabase" localSheetId="8" hidden="1">Prüfhinweise!$A$4:$D$42</definedName>
    <definedName name="_xlnm._FilterDatabase" localSheetId="11" hidden="1">Sicherung!$A$4:$L$2004</definedName>
    <definedName name="_xlnm._FilterDatabase" localSheetId="7" hidden="1">Zielordner!$A$4:$E$41</definedName>
    <definedName name="_xlnm._FilterDatabase" localSheetId="4" hidden="1">Übersicht!$A$7:$N$50</definedName>
    <definedName name="_xlnm.Print_Area" localSheetId="0">'Auf einen Blick'!$A$1:$M$56</definedName>
    <definedName name="_xlnm.Print_Area" localSheetId="1">Umsetzung!$A$1:$M$54</definedName>
    <definedName name="_xlnm.Print_Titles" localSheetId="3">Anlegen!$10:$10</definedName>
    <definedName name="_xlnm.Print_Titles" localSheetId="9">Diagnose!$4:$4</definedName>
    <definedName name="_xlnm.Print_Titles" localSheetId="6">Elemente!$1:$1</definedName>
    <definedName name="_xlnm.Print_Titles" localSheetId="10">Live!$4:$4</definedName>
    <definedName name="_xlnm.Print_Titles" localSheetId="12">Protokoll!$4:$4</definedName>
    <definedName name="_xlnm.Print_Titles" localSheetId="8">Prüfhinweise!$4:$4</definedName>
    <definedName name="_xlnm.Print_Titles" localSheetId="5">'Regel-Logik'!$4:$4</definedName>
    <definedName name="_xlnm.Print_Titles" localSheetId="11">Sicherung!$4:$4</definedName>
    <definedName name="_xlnm.Print_Titles" localSheetId="1">Umsetzung!$17:$17</definedName>
    <definedName name="_xlnm.Print_Titles" localSheetId="2">Vergleich!$6:$6</definedName>
    <definedName name="_xlnm.Print_Titles" localSheetId="7">Zielordner!$4:$4</definedName>
    <definedName name="_xlnm.Print_Titles" localSheetId="4">Übersicht!$7:$7</definedName>
    <definedName name="UM_AUSF_ZEIT">'Umsetzung'!$H$14</definedName>
    <definedName name="UM_LIVE_ZEIT">'Live'!$A$2</definedName>
    <definedName name="UM_PLAN">'Umsetzung'!$B$18:$M$37</definedName>
    <definedName name="UM_PLANKOPF">'Umsetzung'!$B$17:$M$17</definedName>
    <definedName name="UM_PRUEFWERT">'Umsetzung'!$F$14</definedName>
    <definedName name="UM_QUELLE">'Umsetzung'!$E$11</definedName>
    <definedName name="UM_STATUS">'Umsetzung'!$E$13</definedName>
    <definedName name="UM_TROTZ">'Umsetzung'!$E$12</definedName>
    <definedName name="UM_VORSCHAU_ZEIT">'Umsetzung'!$E$14</definedName>
    <definedName name="UM_ZIEL">'Umsetzung'!$E$10</definedName>
  </definedNames>
  <calcPr calcId="124519" fullCalcOnLoad="1"/>
</workbook>
</file>

<file path=xl/sharedStrings.xml><?xml version="1.0" encoding="utf-8"?>
<sst xmlns="http://schemas.openxmlformats.org/spreadsheetml/2006/main" count="3772" uniqueCount="673">
  <si>
    <t>Outlook-Regeln – auf einen Blick</t>
  </si>
  <si>
    <t>REGELN GESAMT</t>
  </si>
  <si>
    <t>AKTIV</t>
  </si>
  <si>
    <t>DEAKTIVIERT</t>
  </si>
  <si>
    <t>greifen derzeit nicht</t>
  </si>
  <si>
    <t>NUR LOKAL</t>
  </si>
  <si>
    <t>nur bei geöffnetem Outlook</t>
  </si>
  <si>
    <t>ZIELORDNER</t>
  </si>
  <si>
    <t>per Verschieben oder Kopieren</t>
  </si>
  <si>
    <t>PRÜFHINWEISE</t>
  </si>
  <si>
    <t>Bestandsuebertragungen im Vergleich zu Maklerauftraege</t>
  </si>
  <si>
    <t>Vergleich</t>
  </si>
  <si>
    <t>Regeln</t>
  </si>
  <si>
    <t>Bedeutung</t>
  </si>
  <si>
    <t>Logik anders</t>
  </si>
  <si>
    <t>In beiden Postfächern, aber Bedingung, Aktion oder Aktiv-Status unterscheiden sich.</t>
  </si>
  <si>
    <t>Nur Ordner anders</t>
  </si>
  <si>
    <t>Gleiche Logik, nur die Zielordner heißen anders.</t>
  </si>
  <si>
    <t>Nur Bestand</t>
  </si>
  <si>
    <t>Regel gibt es nur in Bestandsuebertragungen.</t>
  </si>
  <si>
    <t>Nur Makler</t>
  </si>
  <si>
    <t>Regel gibt es nur in Maklerauftraege.</t>
  </si>
  <si>
    <t>Gleich</t>
  </si>
  <si>
    <t>Im Export identisch (Ordner ohne Postfachnamen verglichen).</t>
  </si>
  <si>
    <t>Hinweis: Der Export enthält die Bedingungen aller Regeln. Bei 5 von 43 Regeln zeigt Outlook keine Bedingung (Spalte „Bedingung lesbar“ = „keine sichtbar“), z. B. „E - KWAD – Gruppenpostfach“; „TEST | Komplett an Celonis 09.10.2026“ und 3 weitere: Sammelregel für alle übrigen Mails oder in Outlook im Web angelegt. Das Makro speichert ein Postfach mit solchen Regeln nur nach ausdrücklicher Bestätigung (Blatt Umsetzung).</t>
  </si>
  <si>
    <t>Umsetzung in Bestand</t>
  </si>
  <si>
    <t>Aufgaben</t>
  </si>
  <si>
    <t>Was heißt das?</t>
  </si>
  <si>
    <t>Aus Makler kopieren</t>
  </si>
  <si>
    <t>Fehlt in Bestand – bei Makler markieren, „Kopieren…“ nach Bestand, dann Zielordner, Name und Position anpassen.</t>
  </si>
  <si>
    <t>Anpassen</t>
  </si>
  <si>
    <t>Regel gibt es in Bestand schon – Ziel, Aktion oder Position ändern.</t>
  </si>
  <si>
    <t>Prüfen</t>
  </si>
  <si>
    <t>Erst vergleichen oder klären, ob solche Mails in Bestand eingehen – dann kopieren oder löschen.</t>
  </si>
  <si>
    <t>Klären</t>
  </si>
  <si>
    <t>Unterschiedliche Behandlung – fachlich entscheiden, bevor etwas angelegt wird.</t>
  </si>
  <si>
    <t>Info</t>
  </si>
  <si>
    <t>Unterschied ist gewollt – kein Handlungsbedarf, nur zur Einordnung.</t>
  </si>
  <si>
    <t>Zum Vergleich</t>
  </si>
  <si>
    <t>Zur Liste „Anlegen“</t>
  </si>
  <si>
    <t>Automatisch umsetzen (Makro)</t>
  </si>
  <si>
    <t>Je Postfach</t>
  </si>
  <si>
    <t>Postfach</t>
  </si>
  <si>
    <t>aktiv</t>
  </si>
  <si>
    <t>deaktiviert</t>
  </si>
  <si>
    <t>Prüfhinweise</t>
  </si>
  <si>
    <t>Bestandsuebertragungen@ergo.de</t>
  </si>
  <si>
    <t>Maklerauftraege@ergo.de</t>
  </si>
  <si>
    <t>Gesamt</t>
  </si>
  <si>
    <t>Prüfhinweise nach Kategorie</t>
  </si>
  <si>
    <t>Kategorie</t>
  </si>
  <si>
    <t>Anzahl</t>
  </si>
  <si>
    <t>Was bedeutet das?</t>
  </si>
  <si>
    <t>Datenabfluss prüfen</t>
  </si>
  <si>
    <t>Regel leitet Mails weiter oder um – Empfänger und Ziel-Domäne prüfen.</t>
  </si>
  <si>
    <t>Nur-lokale Regel</t>
  </si>
  <si>
    <t>Läuft nur, wenn genau dieses Outlook geöffnet ist – für ein Gruppenpostfach serverseitige Regel bevorzugen.</t>
  </si>
  <si>
    <t>Keine Bedingung sichtbar</t>
  </si>
  <si>
    <t>Outlook zeigt keine Bedingung – Sammelregel für alle Mails oder in Outlook im Web angelegt.</t>
  </si>
  <si>
    <t>Mehrfachziel</t>
  </si>
  <si>
    <t>Regel schreibt in mehrere Ordner, z. B. Arbeitsordner und Archiv.</t>
  </si>
  <si>
    <t>Inaktiv</t>
  </si>
  <si>
    <t>Regel ist deaktiviert und greift derzeit nicht.</t>
  </si>
  <si>
    <t>Was steht wo?</t>
  </si>
  <si>
    <t>Blatt</t>
  </si>
  <si>
    <t>Inhalt</t>
  </si>
  <si>
    <t>Bestandsuebertragungen und Maklerauftraege nebeneinander – je Regel, was gleich und was anders ist.</t>
  </si>
  <si>
    <t>Anlegen</t>
  </si>
  <si>
    <t>Was in Bestandsuebertragungen neu anzulegen oder anzupassen ist, mit Soll-Reihenfolge und Abhakspalte.</t>
  </si>
  <si>
    <t>Umsetzung</t>
  </si>
  <si>
    <t>Makro: Plan der Änderungen in Outlook – Vorschau (ändert nichts), Ausführen mit Sicherung, Sperre und Prüfung.</t>
  </si>
  <si>
    <t>Übersicht</t>
  </si>
  <si>
    <t>Alle Regeln je Postfach in Ausführungsreihenfolge – eine Zeile je Regel mit Kurzlogik und Zielordner. Grau = deaktiviert.</t>
  </si>
  <si>
    <t>Regel-Logik</t>
  </si>
  <si>
    <t>Jede Regel aufgeklappt in WENN, DANN und AUSSER WENN. Über die Gliederung links (1 | 2 | 3) lassen sich Details einklappen.</t>
  </si>
  <si>
    <t>Elemente</t>
  </si>
  <si>
    <t>Jede Bedingung, Ausnahme und Aktion als eigene Zeile – zum Filtern und Suchen.</t>
  </si>
  <si>
    <t>Zielordner</t>
  </si>
  <si>
    <t>In welche Ordner die Regeln Mails verschieben oder kopieren, mit Anzahl der Regeln je Ordner.</t>
  </si>
  <si>
    <t>Automatisch erkannte Auffälligkeiten – Grundlage für die fachliche Prüfung, Regel für Regel.</t>
  </si>
  <si>
    <t>Diagnose</t>
  </si>
  <si>
    <t>Je Regel, welche Bedingungen und Ausnahmen Outlook liefert (aktive und inaktive Typen) und ob sie lesbar sind.</t>
  </si>
  <si>
    <t>Live</t>
  </si>
  <si>
    <t>Stand der Regeln direkt aus Outlook (Knopf „Regeln aus Outlook lesen“) – mit Diagnose, ob Bedingungen lesbar sind.</t>
  </si>
  <si>
    <t>Sicherung</t>
  </si>
  <si>
    <t>Alle Regeln des Zielpostfachs vor jeder Ausführung, mit Zeitpunkt – wird nur ergänzt.</t>
  </si>
  <si>
    <t>Protokoll</t>
  </si>
  <si>
    <t>Jeder Lauf und jede Änderung in Outlook mit Zeitpunkt.</t>
  </si>
  <si>
    <t>Farben und Markierungen</t>
  </si>
  <si>
    <t>WENN  ·  Bedingung</t>
  </si>
  <si>
    <t>DANN  ·  Aktion</t>
  </si>
  <si>
    <t>AUSSER WENN  ·  Ausnahme</t>
  </si>
  <si>
    <t>Ja  ·  aktiv</t>
  </si>
  <si>
    <t>Nein  ·  deaktiviert</t>
  </si>
  <si>
    <t>Nur auf diesem Client</t>
  </si>
  <si>
    <t>Regeln mit gleichem Namen stehen sich gegenüber („Kopie von“ wird dabei ignoriert). Ordnerpfade werden ohne Postfachnamen verglichen.</t>
  </si>
  <si>
    <t>Bedingungen laut Export lesbar. „keine sichtbar“: Outlook zeigt für die Regel keine Bedingung (5 Regeln) – Sammelregel oder in Outlook im Web angelegt. „nicht im Export“ nur, wenn die Bedingung laut Spalte „Bedingung lesbar“ nicht gelesen werden konnte.</t>
  </si>
  <si>
    <t>Spalten Aktiv bis Ordner:  grau = gleich,  rot = anders,  gelb = nicht im Export.  Grau und kursiv: Regel ist deaktiviert.</t>
  </si>
  <si>
    <t>Status</t>
  </si>
  <si>
    <t>Regel</t>
  </si>
  <si>
    <t>Bestand #</t>
  </si>
  <si>
    <t>Makler #</t>
  </si>
  <si>
    <t>Aktiv</t>
  </si>
  <si>
    <t>Bedingung</t>
  </si>
  <si>
    <t>Aktion</t>
  </si>
  <si>
    <t>Ordner</t>
  </si>
  <si>
    <t>Was ist anders?</t>
  </si>
  <si>
    <t>Logik Bestandsuebertragungen</t>
  </si>
  <si>
    <t>Logik Maklerauftraege</t>
  </si>
  <si>
    <t>Logik anders  ·  6 Regeln  –  In beiden Postfächern, aber Bedingung, Aktion oder Aktiv-Status unterscheiden sich.</t>
  </si>
  <si>
    <t>Umleitung - Technische Fehler</t>
  </si>
  <si>
    <t>anders</t>
  </si>
  <si>
    <t>gleich</t>
  </si>
  <si>
    <t>Aktiv: Bestand Ja · Makler Nein
Gültigkeit: Bestand Server (immer) · Makler Nur auf diesem Client
Ordner: Bestand „Umleitung - Technischer Fehler“ · Makler (kein Ordner angegeben)</t>
  </si>
  <si>
    <t>WENN Mailtext enthält "The attached message was sent by a member of this shared mailbox. Usually, it would appear in Sent Items, but your service is currently being upgraded. Things will be back to normal after the upgrade."  DANN In Ordner verschieben \\Bestandsuebertragungen@ergo.de\Umleitung - Technischer Fehler + Keine weiteren Regeln anwenden</t>
  </si>
  <si>
    <t>WENN Mailtext enthält "The attached message was sent by a member of this shared mailbox. Usually, it would appear in Sent Items, but your service is currently being upgraded. Things will be back to normal after the upgrade."  DANN In Ordner verschieben + Keine weiteren Regeln anwenden</t>
  </si>
  <si>
    <t>Mails von BÜ-Bot, Robert (ODPB2D-EXTERN)</t>
  </si>
  <si>
    <t>Bedingung: Bestand Absender ist BÜ-Bot, Robert (ODPB2D-EXTERN); PVBHH, Bot2 (PVA15B-EXTERN); robotics - Gruppenpostfach · Makler Absender ist BÜ-Bot, Robert (ODPB2D-EXTERN); Betreff enthält "Bestandsübertragung"
Ordner: Bestand „BÜ-Bot-Mails“ · Makler „Rückläufer FL Verträge (ODPB3D)\BÜ-Bot Mails“</t>
  </si>
  <si>
    <t>WENN Absender ist BÜ-Bot, Robert (ODPB2D-EXTERN); PVBHH, Bot2 (PVA15B-EXTERN); robotics - Gruppenpostfach  DANN In Ordner verschieben \\Bestandsuebertragungen@ergo.de\BÜ-Bot-Mails + Keine weiteren Regeln anwenden</t>
  </si>
  <si>
    <t>WENN Absender ist BÜ-Bot, Robert (ODPB2D-EXTERN) UND Betreff enthält "Bestandsübertragung"  DANN In Ordner verschieben \\Maklerauftraege@ergo.de\Rückläufer FL Verträge (ODPB3D)\BÜ-Bot Mails + Keine weiteren Regeln anwenden</t>
  </si>
  <si>
    <t>Beschwerden/Prio in den Prio-Ordner</t>
  </si>
  <si>
    <t>Bedingung: Bestand Betreff enthält "Vorstandsbeschwerde", "Beschwerde", "Prio" · Makler Betreff enthält "Vorstandsbeschwerde", "Beschwerde", "Prio", "Eskalation"
Ordner: Bestand „Prio“, „Archiv\Archiv: Dopplung der Neuzugänge“ · Makler „Posteingang\Prio“, „Archiv\Archiv zu den Neuzugängen im Postfach\Beschwerden %2F Prio (Archiv)“</t>
  </si>
  <si>
    <t>WENN Betreff enthält "Vorstandsbeschwerde", "Beschwerde", "Prio"  DANN In Ordner verschieben \\Bestandsuebertragungen@ergo.de\Prio + In Ordner kopieren \\Bestandsuebertragungen@ergo.de\Archiv\Archiv: Dopplung der Neuzugänge + Keine weiteren Regeln anwenden</t>
  </si>
  <si>
    <t>WENN Betreff enthält "Vorstandsbeschwerde", "Beschwerde", "Prio", "Eskalation"  DANN In Ordner verschieben \\Maklerauftraege@ergo.de\Posteingang\Prio + In Ordner kopieren \\Maklerauftraege@ergo.de\Archiv\Archiv zu den Neuzugängen im Postfach\Beschwerden %2F Prio (Archiv) + Keine weiteren Regeln anwenden</t>
  </si>
  <si>
    <t>KV Solo</t>
  </si>
  <si>
    <t>Bedingung: Bestand Betreff enthält "KV", "DKV" · Makler Betreff enthält "DKV", "KV"
Ausnahme: Bestand keine · Makler Absender ist VL KBIDMA - Alle Mitarbeiter; VL KBIAB - Alle Mitarbeiter; VL KBIBHH - Alle Mitarbeiter; VL KBICD - Alle Mitarbeiter; VL KBIEM - Alle Mitarbeiter; VL KBIFM - Alle Mitarbeiter; VL BKHH - Alle Mitarbeiter; VL EPLD - Alle Mitarbeiter; VL FMDD - Alle Mitarbeiter; VL FMEB - Alle Mitarbeiter;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Gruppenpostfach; KBI VH Muenchen - Gruppenpostfach; Microsoft Outlook; Betreff enthält "Unzustellbar"
Aktionen: Bestand In Ordner verschieben + Weiterleiten an + Keine weiteren Regeln anwenden · Makler In Ordner verschieben + Umleiten an + Keine weiteren Regeln anwenden
Ordner: Bestand „Archiv\Archiv: Weiterleitung an KWAD“ · Makler „Archiv\Archiv zu den weitergeleiteten Mails an KWAD“</t>
  </si>
  <si>
    <t>WENN Betreff enthält "KV", "DKV"  DANN In Ordner verschieben \\Bestandsuebertragungen@ergo.de\Archiv\Archiv: Weiterleitung an KWAD + Weiterleiten an KWAD - Gruppenpostfach + Keine weiteren Regeln anwenden</t>
  </si>
  <si>
    <t>WENN Betreff enthält "DKV", "KV"  DANN In Ordner verschieben \\Maklerauftraege@ergo.de\Archiv\Archiv zu den weitergeleiteten Mails an KWAD + Umleiten an KWAD - Gruppenpostfach + Keine weiteren Regeln anwenden  AUSSER WENN Absender ist VL KBIDMA - Alle Mitarbeiter; VL KBIAB - Alle Mitarbeiter; VL KBIBHH - Alle Mitarbeiter; VL KBICD - Alle Mitarbeiter; VL KBIEM - Alle Mitarbeiter; VL KBIFM - Alle Mitarbeiter; VL BKHH - Alle Mitarbeiter; VL EPLD - Alle Mitarbeiter; VL FMDD - Alle Mitarbeiter; VL FMEB - Alle Mitarbeiter;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t>
  </si>
  <si>
    <t>E - KWAD – Gruppenpostfach</t>
  </si>
  <si>
    <t>Ausnahme: Bestand keine · Makler Absender ist Microsoft Outlook; Betreff enthält "Unzustellbar", "Nachrichtenrückruf erfolgreich:", "Nachrichtenrückruf fehlgeschlagen:", "Papierakte"
Ordner: Bestand „Archiv\Archiv: Weiterleitung an KWAD“ · Makler „Archiv\Archiv zu den weitergeleiteten Mails an KWAD“</t>
  </si>
  <si>
    <t>WENN keine Bedingung sichtbar (gilt für alle Mails oder in Outlook im Web angelegt – dort prüfen)  DANN In Ordner verschieben \\Bestandsuebertragungen@ergo.de\Archiv\Archiv: Weiterleitung an KWAD + Umleiten an KWAD - Gruppenpostfach + Keine weiteren Regeln anwenden</t>
  </si>
  <si>
    <t>WENN keine Bedingung sichtbar (gilt für alle Mails oder in Outlook im Web angelegt – dort prüfen)  DANN In Ordner verschieben \\Maklerauftraege@ergo.de\Archiv\Archiv zu den weitergeleiteten Mails an KWAD + Umleiten an KWAD - Gruppenpostfach + Keine weiteren Regeln anwenden  AUSSER WENN Absender ist Microsoft Outlook ODER Betreff enthält "Unzustellbar", "Nachrichtenrückruf erfolgreich:", "Nachrichtenrückruf fehlgeschlagen:", "Papierakte"</t>
  </si>
  <si>
    <t>TEST | Komplett an Celonis 09.10.2026</t>
  </si>
  <si>
    <t>Empfänger: Bestand Celonis_Bue_Makler - Gruppenpostfach · Makler Celonis_Bue_Makler - Gruppenpostfach; Celonis_Bue_Makler - Gruppenpostfach
Ordner: Bestand „BÜ-Archiv: Weitergeleiteten Mails an Celonis“ · Makler „Archiv\Archiv zu den weitergeleiteten Mails an Celonis“</t>
  </si>
  <si>
    <t>WENN keine Bedingung sichtbar (gilt für alle Mails oder in Outlook im Web angelegt – dort prüfen)  DANN In Ordner verschieben \\Bestandsuebertragungen@ergo.de\BÜ-Archiv: Weitergeleiteten Mails an Celonis + Umleiten an Celonis_Bue_Makler - Gruppenpostfach + Keine weiteren Regeln anwenden  AUSSER WENN Absender ist Microsoft Outlook ODER Betreff enthält "Unzustellbar", "Nachrichtenrückruf erfolgreich:", "Nachrichtenrückruf fehlgeschlagen:", "Papierakte"</t>
  </si>
  <si>
    <t>WENN keine Bedingung sichtbar (gilt für alle Mails oder in Outlook im Web angelegt – dort prüfen)  DANN In Ordner verschieben \\Maklerauftraege@ergo.de\Archiv\Archiv zu den weitergeleiteten Mails an Celonis + Umleiten an Celonis_Bue_Makler - Gruppenpostfach; Celonis_Bue_Makler - Gruppenpostfach + Keine weiteren Regeln anwenden  AUSSER WENN Absender ist Microsoft Outlook ODER Betreff enthält "Unzustellbar", "Nachrichtenrückruf erfolgreich:", "Nachrichtenrückruf fehlgeschlagen:", "Papierakte"</t>
  </si>
  <si>
    <t>Nur Ordner anders  ·  8 Regeln  –  Gleiche Logik, nur die Zielordner heißen anders.</t>
  </si>
  <si>
    <t>Automatische Antworten aussortieren</t>
  </si>
  <si>
    <t>Name: Bestand „Kopie von Automatische Antworten aussortieren“ · Makler „Automatische Antworten aussortieren“
Achtung: Zielordner von Bestand liegt im Postfach Maklerauftraege@ergo.de</t>
  </si>
  <si>
    <t>WENN Formular / Nachrichtenklasse "IPM.Note.Rules.OofTemplate.Microsoft"  DANN In Ordner verschieben \\Maklerauftraege@ergo.de\Archiv\Auotmatische Antworten + Keine weiteren Regeln anwenden</t>
  </si>
  <si>
    <t>eBIS-Kennzeichnung konnte nicht umgesetzt werden</t>
  </si>
  <si>
    <t>Ordner: Bestand „Archiv\Archiv: BeMaS-Kennzeichen konnte nicht gesetzt werden“ · Makler „Archiv\EBIS %2F BeMAs“</t>
  </si>
  <si>
    <t>WENN Betreff enthält "BeMaS-Kennzeichnung konnte nicht umgesetzt werden", "BeMaS-Kennzeichnung"  DANN In Ordner verschieben \\Bestandsuebertragungen@ergo.de\Archiv\Archiv: BeMaS-Kennzeichen konnte nicht gesetzt werden + Keine weiteren Regeln anwenden</t>
  </si>
  <si>
    <t>WENN Betreff enthält "BeMaS-Kennzeichnung konnte nicht umgesetzt werden", "BeMaS-Kennzeichnung"  DANN In Ordner verschieben \\Maklerauftraege@ergo.de\Archiv\EBIS %2F BeMAs + Keine weiteren Regeln anwenden</t>
  </si>
  <si>
    <t>eBIS-Kennzeichnung - Verteilung erfrderlich / neu an KWAD</t>
  </si>
  <si>
    <t>Ordner: Bestand „Archiv\Archiv: BeMaS an KWAD“ · Makler „Archiv\BeMaS an KWAD“</t>
  </si>
  <si>
    <t>WENN Gesendet an MaKoop Bestandsuebertragungen - Gruppenpostfach; ERGO Maklervertrieb - Gruppenpostfach UND Betreff enthält "BeMaS-Kennzeichnung", "BeMaS-Kennzeichnung konnte nicht umgesetzt werden"  DANN In Ordner verschieben \\Bestandsuebertragungen@ergo.de\Archiv\Archiv: BeMaS an KWAD + Umleiten an KWAD - Gruppenpostfach + Keine weiteren Regeln anwenden  AUSSER WENN Gesendet an VL KBIGD - Alle Mitarbeiter; VL ODPB3D - Alle Mitarbeiter; VL PVAK - Alle Mitarbeiter; VL PVAK-Externe - Alle Mitarbeiter; VL PVBHH - Alle Mitarbeiter; VL PVBHH-Externe - Alle Mitarbeiter; VL ODSUD - Alle Mitarbeiter</t>
  </si>
  <si>
    <t>WENN Gesendet an MaKoop Bestandsuebertragungen - Gruppenpostfach; ERGO Maklervertrieb - Gruppenpostfach UND Betreff enthält "BeMaS-Kennzeichnung", "BeMaS-Kennzeichnung konnte nicht umgesetzt werden"  DANN In Ordner verschieben \\Maklerauftraege@ergo.de\Archiv\BeMaS an KWAD + Umleiten an KWAD - Gruppenpostfach + Keine weiteren Regeln anwenden  AUSSER WENN Gesendet an VL KBIGD - Alle Mitarbeiter; VL ODPB3D - Alle Mitarbeiter; VL PVAK - Alle Mitarbeiter; VL PVAK-Externe - Alle Mitarbeiter; VL PVBHH - Alle Mitarbeiter; VL PVBHH-Externe - Alle Mitarbeiter; VL ODSUD - Alle Mitarbeiter</t>
  </si>
  <si>
    <t>Umleitung FL Verträge an VSLV3D</t>
  </si>
  <si>
    <t>Ordner: Bestand „Archiv\Archiv: Weitergeleiteten Mails zu FL an VSLV3“ · Makler „Rückläufer FL Verträge (ODPB3D)“</t>
  </si>
  <si>
    <t>WENN Absender ist VL EPLK - Alle Mitarbeiter; E - KWAD – Gruppenpostfach; KSC - Gruppenpostfach; VL FMEB - Alle Mitarbeiter; VL VSLB4D - Alle Mitarbeiter; VL LKEM4HH - Alle Mitarbeiter; VL LKEM5HH - Alle Mitarbeiter; Leben-Klassik - Gruppenpostfach UND Betreff oder Mailtext enthält "FL0", "FL1", "FL2", "FL3", "FL4", "FL5", "FL6", "FL7", "FL8", "FL9", "FL"  DANN In Ordner verschieben \\Bestandsuebertragungen@ergo.de\Archiv\Archiv: Weitergeleiteten Mails zu FL an VSLV3 + Weiterleiten an VSLV3 D - Gruppenpostfach + Keine weiteren Regeln anwenden</t>
  </si>
  <si>
    <t>WENN Absender ist VL EPLK - Alle Mitarbeiter; E - KWAD – Gruppenpostfach; KSC - Gruppenpostfach; VL FMEB - Alle Mitarbeiter; VL VSLB4D - Alle Mitarbeiter; VL LKEM4HH - Alle Mitarbeiter; VL LKEM5HH - Alle Mitarbeiter; Leben-Klassik - Gruppenpostfach UND Betreff oder Mailtext enthält "FL0", "FL1", "FL2", "FL3", "FL4", "FL5", "FL6", "FL7", "FL8", "FL9", "FL"  DANN In Ordner verschieben \\Maklerauftraege@ergo.de\Rückläufer FL Verträge (ODPB3D) + Weiterleiten an VSLV3 D - Gruppenpostfach + Keine weiteren Regeln anwenden</t>
  </si>
  <si>
    <t>KWAD-Rückläufer: EPL / KWAD / KVC /  LKEM</t>
  </si>
  <si>
    <t>Ordner: Bestand „KWAD-Rückläufer“, „Archiv\Archiv: Dopplung der Neuzugänge“ · Makler „KWAD-Rückläufer“, „Archiv\Archiv zu den Neuzugängen im Postfach\EPL (Archiv)“</t>
  </si>
  <si>
    <t>WENN Absender ist VL EPLK - Alle Mitarbeiter; E - KWAD – Gruppenpostfach; KSC - Gruppenpostfach; VL FMEB - Alle Mitarbeiter; VL VSLB4D - Alle Mitarbeiter; VL LKEM4HH - Alle Mitarbeiter; VL LKEM5HH - Alle Mitarbeiter; Leben-Klassik - Gruppenpostfach  DANN In Ordner verschieben \\Bestandsuebertragungen@ergo.de\KWAD-Rückläufer + In Ordner kopieren \\Bestandsuebertragungen@ergo.de\Archiv\Archiv: Dopplung der Neuzugänge + Keine weiteren Regeln anwenden</t>
  </si>
  <si>
    <t>WENN Absender ist VL EPLK - Alle Mitarbeiter; E - KWAD – Gruppenpostfach; KSC - Gruppenpostfach; VL FMEB - Alle Mitarbeiter; VL VSLB4D - Alle Mitarbeiter; VL LKEM4HH - Alle Mitarbeiter; VL LKEM5HH - Alle Mitarbeiter; Leben-Klassik - Gruppenpostfach  DANN In Ordner verschieben \\Maklerauftraege@ergo.de\KWAD-Rückläufer + In Ordner kopieren \\Maklerauftraege@ergo.de\Archiv\Archiv zu den Neuzugängen im Postfach\EPL (Archiv) + Keine weiteren Regeln anwenden</t>
  </si>
  <si>
    <t>Rückfelder FL Verträge (von VSLV3 D - Gruppenpostfach)</t>
  </si>
  <si>
    <t>Ordner: Bestand „Rückläufer EPL und FL Verträge“, „Archiv\Archiv: Dopplung der Neuzugänge“ · Makler „Rückläufer FL Verträge (ODPB3D)“, „Archiv\Archiv zu den Neuzugängen im Postfach\FL Rückläufer (Archiv - neu)“</t>
  </si>
  <si>
    <t>WENN Absender ist VSLV3 D - Gruppenpostfach; info@ergo-vorsorge.de; AktivRente - Gruppenpostfach; VSLVD - Gruppenpostfach; info@vorsorge-leben.de; VL VSLV3D - Alle Mitarbeiter; info@ergo-life.com; zz service(Vorsorge-Internet)  DANN In Ordner verschieben \\Bestandsuebertragungen@ergo.de\Rückläufer EPL und FL Verträge + In Ordner kopieren \\Bestandsuebertragungen@ergo.de\Archiv\Archiv: Dopplung der Neuzugänge + Keine weiteren Regeln anwenden</t>
  </si>
  <si>
    <t>WENN Absender ist VSLV3 D - Gruppenpostfach; info@ergo-vorsorge.de; AktivRente - Gruppenpostfach; VSLVD - Gruppenpostfach; info@vorsorge-leben.de; VL VSLV3D - Alle Mitarbeiter; info@ergo-life.com; zz service(Vorsorge-Internet)  DANN In Ordner verschieben \\Maklerauftraege@ergo.de\Rückläufer FL Verträge (ODPB3D) + In Ordner kopieren \\Maklerauftraege@ergo.de\Archiv\Archiv zu den Neuzugängen im Postfach\FL Rückläufer (Archiv - neu) + Keine weiteren Regeln anwenden</t>
  </si>
  <si>
    <t>Papierakten (keine eAkte)</t>
  </si>
  <si>
    <t>Ordner: Bestand „Papierakten“, „Archiv\Archiv: Dopplung der Neuzugänge“ · Makler „Papierakten (KBIG)“, „Archiv\Archiv zu den Neuzugängen im Postfach\KBI (Archiv)“</t>
  </si>
  <si>
    <t>WENN Betreff enthält "Achtung Papierakte – KEIN EDM-Vorgang – bitte nicht an KWAD senden", "Achtung Papierakte"  DANN In Ordner verschieben \\Bestandsuebertragungen@ergo.de\Papierakten + In Ordner kopieren \\Bestandsuebertragungen@ergo.de\Archiv\Archiv: Dopplung der Neuzugänge + Keine weiteren Regeln anwenden</t>
  </si>
  <si>
    <t>WENN Betreff enthält "Achtung Papierakte – KEIN EDM-Vorgang – bitte nicht an KWAD senden", "Achtung Papierakte"  DANN In Ordner verschieben \\Maklerauftraege@ergo.de\Papierakten (KBIG) + In Ordner kopieren \\Maklerauftraege@ergo.de\Archiv\Archiv zu den Neuzugängen im Postfach\KBI (Archiv) + Keine weiteren Regeln anwenden</t>
  </si>
  <si>
    <t>Papierakten - Rückläufer aus KBI 'klassik" (keine eAkte)</t>
  </si>
  <si>
    <t>WENN Absender ist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t>
  </si>
  <si>
    <t>Nur Bestand  ·  4 Regeln  –  Regel gibt es nur in Bestandsuebertragungen.</t>
  </si>
  <si>
    <t>Service Team Vermittlerverwaltung - Makler u Koop - Gruppenpostfach</t>
  </si>
  <si>
    <t>–</t>
  </si>
  <si>
    <t>Gibt es nur in Bestandsuebertragungen.</t>
  </si>
  <si>
    <t>WENN Absender ist Service Team Vermittlerverwaltung - Makler u Koop - Gruppenpostfach UND Betreff enthält "offener Provisionsvertrag"  DANN In Ordner verschieben \\Bestandsuebertragungen@ergo.de\Ablösebuchungen offen (PV nicht aktiviert) + Keine weiteren Regeln anwenden</t>
  </si>
  <si>
    <t>PVB, Bot 1 (PVBHH-EXTERN)</t>
  </si>
  <si>
    <t>WENN Absender ist PVB, Bot 1 (PVBHH-EXTERN) UND Betreff enthält "Vorabinfo"  DANN In Ordner verschieben \\Bestandsuebertragungen@ergo.de\Archiv\Archiv: Vorabinfo + Keine weiteren Regeln anwenden</t>
  </si>
  <si>
    <t>Automatische Antworten aussortieren (2)</t>
  </si>
  <si>
    <t>Gibt es nur in Bestandsuebertragungen.
Verwandt: Makler #1 „Automatische Antworten aussortieren“ (ähnlicher Name)
Verwandt: Makler #2 „Automatische Antworten 1zu1 aussortieren“ (ähnlicher Name)</t>
  </si>
  <si>
    <t>WENN Betreff enthält "[EXTERN] Vielen Dank für Ihre Mail:", "[EXTERN] Wir haben Ihre Nachricht erhalten:"  DANN In Ordner verschieben \\Bestandsuebertragungen@ergo.de\Archiv\No Reply Mails etc. + Keine weiteren Regeln anwenden  AUSSER WENN Betreff enthält "AW:", "RE:", "WG:"</t>
  </si>
  <si>
    <t>CCPI mit Anlagen "hell"</t>
  </si>
  <si>
    <t>Gibt es nur in Bestandsuebertragungen.
Verwandt: Makler #15 „Umleitung CCPI an Vermittlerwaltung - Anfragen zur Klärung von BVP-Ansprüchen nach BÜ“ (gleiche Bedingung: Absender ist VL CCPID - Alle Mitarbeiter)</t>
  </si>
  <si>
    <t>WENN Absender ist VL CCPID - Alle Mitarbeiter UND Hat Anhang  DANN In Ordner verschieben \\Bestandsuebertragungen@ergo.de\CCPI + In Ordner kopieren \\Bestandsuebertragungen@ergo.de\Archiv\Archiv: Dopplung der Neuzugänge + Keine weiteren Regeln anwenden</t>
  </si>
  <si>
    <t>Nur Makler  ·  11 Regeln  –  Regel gibt es nur in Maklerauftraege.</t>
  </si>
  <si>
    <t>Automatische Antworten 1zu1 aussortieren</t>
  </si>
  <si>
    <t>Gibt es nur in Maklerauftraege.
Verwandt: Bestand #1 „Kopie von Automatische Antworten aussortieren“ (ähnlicher Name)
Verwandt: Bestand #4 „Automatische Antworten aussortieren (2)“ (ähnlicher Name)</t>
  </si>
  <si>
    <t>WENN Absender ist noreply@1zu1.ag UND Mailtext enthält "Diese E-Mail wurde automatisch generiert."  DANN In Ordner verschieben \\Maklerauftraege@ergo.de\Archiv\Auotmatische Antworten + Keine weiteren Regeln anwenden</t>
  </si>
  <si>
    <t>TEST | Fonds Finanz an Celonis | 10.09.2026</t>
  </si>
  <si>
    <t>Gibt es nur in Maklerauftraege.</t>
  </si>
  <si>
    <t>WENN Absenderadresse enthält "@fondsfinanz.de"  DANN In Ordner verschieben \\Maklerauftraege@ergo.de\Archiv\Archiv zu den weitergeleiteten Mails an Celonis + Umleiten an Celonis_Bue_Makler - Gruppenpostfach + Keine weiteren Regeln anwenden</t>
  </si>
  <si>
    <t>Eskalations-GPF in den Prio-Ordner</t>
  </si>
  <si>
    <t>WENN Absender ist Eskalation Strategische Partner Bestandsuebertragu - Gruppenpostfach  DANN In Ordner verschieben \\Maklerauftraege@ergo.de\Posteingang\Prio + In Ordner kopieren \\Maklerauftraege@ergo.de\Archiv\Archiv zu den Neuzugängen im Postfach\Beschwerden %2F Prio (Archiv) + Keine weiteren Regeln anwenden</t>
  </si>
  <si>
    <t>Erinnerungen JungDMS in einen Unterordner</t>
  </si>
  <si>
    <t>WENN Absenderadresse enthält "jungdms" UND Betreff enthält "Erinnerung"  DANN In Ordner verschieben \\Maklerauftraege@ergo.de\Archiv\Erinnerung JungDMS + Keine weiteren Regeln anwenden</t>
  </si>
  <si>
    <t>Erinnerungen Qualitypool in einen Unterordner</t>
  </si>
  <si>
    <t>WENN Absenderadresse enthält "qualitypool" UND Betreff enthält "Erinnerung"  DANN In Ordner verschieben \\Maklerauftraege@ergo.de\Archiv\Erinnerungen Qualitypool + Keine weiteren Regeln anwenden</t>
  </si>
  <si>
    <t>KV@Qualitypool in einen Unterordner</t>
  </si>
  <si>
    <t>WENN Absenderadresse enthält "kv@qualitypool.de"  DANN In Ordner verschieben \\Maklerauftraege@ergo.de\Archiv\KV Qualitypool + Keine weiteren Regeln anwenden</t>
  </si>
  <si>
    <t>Erinnerungen FondsFinanz in einen Unterordner</t>
  </si>
  <si>
    <t>WENN Absenderadresse enthält "fondsfinanz" UND Betreff enthält "Erinnerung"  DANN In Ordner verschieben \\Maklerauftraege@ergo.de\Archiv\Erinnerungen Fonds Finanz + Keine weiteren Regeln anwenden</t>
  </si>
  <si>
    <t>Umleitung CCPI an Vermittlerwaltung - Anfragen zur Klärung von BVP-Ansprüchen nach BÜ</t>
  </si>
  <si>
    <t>Gibt es nur in Maklerauftraege.
Verwandt: Bestand #11 „CCPI mit Anlagen "hell"“ (gleiche Bedingung: Absender ist VL CCPID - Alle Mitarbeiter)</t>
  </si>
  <si>
    <t>WENN Absender ist VL CCPID - Alle Mitarbeiter  DANN In Ordner verschieben \\Maklerauftraege@ergo.de\Archiv\Archiv zu den Neuzugängen im Postfach\CCPI (Archiv - weiter an Verwaltung) + Umleiten an Service Team Vermittlerverwaltung - Makler u Koop - Gruppenpostfach + Keine weiteren Regeln anwenden</t>
  </si>
  <si>
    <t>KWAD-Rückläufer: EPL / KWAD / KVC /  LKEM (an Verwaltung)</t>
  </si>
  <si>
    <t>Gibt es nur in Maklerauftraege.
Verwandt: Bestand #10 „Umleitung FL Verträge an VSLV3D“ (gleiche Bedingung: Absender ist VL EPLK - Alle Mitarbeiter; E - KWAD – Gruppenpostfach; KSC - Gruppenpostfach; VL FMEB - Alle Mitarbeiter; VL VSLB4D - Alle Mitarbeiter; VL LKEM4HH - Alle Mitarbeiter; VL LKEM5HH - Alle Mitarbeiter; Leben-Klassik - Gruppenpostfach)
Verwandt: Bestand #12 „KWAD-Rückläufer: EPL / KWAD / KVC /  LKEM“ (gleiche Bedingung: Absender ist VL EPLK - Alle Mitarbeiter; E - KWAD – Gruppenpostfach; KSC - Gruppenpostfach; VL FMEB - Alle Mitarbeiter; VL VSLB4D - Alle Mitarbeiter; VL LKEM4HH - Alle Mitarbeiter; VL LKEM5HH - Alle Mitarbeiter; Leben-Klassik - Gruppenpostfach)</t>
  </si>
  <si>
    <t>WENN Absender ist VL EPLK - Alle Mitarbeiter; E - KWAD – Gruppenpostfach; KSC - Gruppenpostfach; VL FMEB - Alle Mitarbeiter; VL VSLB4D - Alle Mitarbeiter; VL LKEM4HH - Alle Mitarbeiter; VL LKEM5HH - Alle Mitarbeiter; Leben-Klassik - Gruppenpostfach UND Betreff enthält "Anschrift", "Adresse", "Bankverbindung", "Adressänderung", "Makleranbindung", "Rufnummer", "Verschmelzung"  DANN In Ordner verschieben \\Maklerauftraege@ergo.de\Archiv\Archiv zu den Neuzugängen im Postfach\EPL (Archiv) + Umleiten an Service Team Vermittlerverwaltung - Makler u Koop - Gruppenpostfach + Keine weiteren Regeln anwenden</t>
  </si>
  <si>
    <t>Teil/Gesamt-BÜ an Vermittlerverwaltung</t>
  </si>
  <si>
    <t>WENN Betreff enthält "Teilbestand", "Sammel-Bestandsübertragung in den VEMA-Pool", "Gesamt-BÜ", "Teil-BÜ", "Gesamt-Bestandsübertragung", "Teil-Bestandsübertragung"  DANN In Ordner verschieben \\Maklerauftraege@ergo.de\Archiv\Teil%2FGesamt-BÜ nicht an KWAD sondern an Verwaltung + Umleiten an Service Team Vermittlerverwaltung - Makler u Koop - Gruppenpostfach + Keine weiteren Regeln anwenden</t>
  </si>
  <si>
    <t>KI BOT | Weiterleiten an E - KWAD – Gruppenpostfach</t>
  </si>
  <si>
    <t>WENN keine Bedingung sichtbar (gilt für alle Mails oder in Outlook im Web angelegt – dort prüfen)  DANN In Ordner verschieben \\Maklerauftraege@ergo.de\Archiv\Archiv zu den weitergeleiteten Mails an KWAD + Weiterleiten an KWAD - Gruppenpostfach + Keine weiteren Regeln anwenden  AUSSER WENN Absender ist Microsoft Outlook ODER Betreff enthält "Unzustellbar", "Nachrichtenrückruf erfolgreich:", "Nachrichtenrückruf fehlgeschlagen:", "Papierakte"</t>
  </si>
  <si>
    <t>Was ist in Bestandsuebertragungen anzulegen?</t>
  </si>
  <si>
    <t>Vorschläge aus dem Vergleich mit Maklerauftraege (Export vom 08.10.2026 20:28). Pfade sind schon auf Bestandsuebertragungen@ergo.de umgestellt.</t>
  </si>
  <si>
    <t>Bedingungen nicht abtippen: Regeln bei Maklerauftraege mit „Kopieren…“ nach Bestandsuebertragungen kopieren – Bedingungen und Ausnahmen kommen vollständig mit (auch die, die der Export nicht zeigt). Danach nur Zielordner, Name und Position anpassen.</t>
  </si>
  <si>
    <t>So geht’s (Outlook: Datei › Regeln und Benachrichtigungen verwalten)</t>
  </si>
  <si>
    <t>1.  Oben „Änderungen in diesem Ordner anwenden: Posteingang [maklerauftraege@ergo.de]“ wählen, die Vorbild-Regel markieren, „Kopieren…“ klicken und als Ziel „Posteingang [bestandsuebertragungen@ergo.de]“ wählen.</t>
  </si>
  <si>
    <t>2.  Oben auf „Posteingang [bestandsuebertragungen@ergo.de]“ wechseln, die Kopie markieren, „Regel ändern“: Zielordner wie in Spalte DANN setzen (Ordner aus „Ordner vorher anlegen“ zuerst anlegen), „Kopie von“ aus dem Namen streichen.</t>
  </si>
  <si>
    <t>3.  Mit den Pfeilen auf die Soll-Position schieben – die Reihenfolge zählt, weil alle Regeln „Keine weiteren Regeln anwenden“ setzen (Soll-Reihenfolge unten).</t>
  </si>
  <si>
    <t>4.  In Spalte „Erledigt“ den Stand eintragen.</t>
  </si>
  <si>
    <t>Automatisch umsetzen: Blatt „Umsetzung“ (Makro) – die Vorschau zeigt jeden Schritt, bevor etwas geändert wird.</t>
  </si>
  <si>
    <t>Nr</t>
  </si>
  <si>
    <t>Was</t>
  </si>
  <si>
    <t>Regel in Bestandsuebertragungen</t>
  </si>
  <si>
    <t>Soll-Pos.</t>
  </si>
  <si>
    <t>Vorbild in Maklerauftraege</t>
  </si>
  <si>
    <t>WENN (Bedingung)</t>
  </si>
  <si>
    <t>AUSSER WENN</t>
  </si>
  <si>
    <t>DANN (Aktionen)</t>
  </si>
  <si>
    <t>Ordner vorher anlegen</t>
  </si>
  <si>
    <t>Warum</t>
  </si>
  <si>
    <t>Erledigt</t>
  </si>
  <si>
    <t>Automatische Antworten aussortieren
(bisher #1 „Kopie von Automatische Antworten aussortieren“)</t>
  </si>
  <si>
    <t>Makler #1 „Automatische Antworten aussortieren“</t>
  </si>
  <si>
    <t>bleibt – schon identisch mit Makler #1:
Formular / Nachrichtenklasse "IPM.Note.Rules.OofTemplate.Microsoft"</t>
  </si>
  <si>
    <t>In Ordner verschieben \\Bestandsuebertragungen@ergo.de\Archiv\Automatische Antworten
+ Keine weiteren Regeln anwenden</t>
  </si>
  <si>
    <t>\\Bestandsuebertragungen@ergo.de\Archiv\Automatische Antworten</t>
  </si>
  <si>
    <t>Das Ziel zeigt noch ins Postfach Maklerauftraege (\\Maklerauftraege@ergo.de\Archiv\Auotmatische Antworten) – beim Kopieren nicht umgestellt. Neues Ziel ist der Bestand-Ordner Archiv\Automatische Antworten (wird angelegt, bewusst richtig geschrieben; der Makler-Ordner heißt „Auotmatische Antworten“). „Kopie von“ aus dem Namen streichen.</t>
  </si>
  <si>
    <t>offen</t>
  </si>
  <si>
    <t>Makler #2 „Automatische Antworten 1zu1 aussortieren“</t>
  </si>
  <si>
    <t>Absender ist noreply@1zu1.ag
Mailtext enthält "Diese E-Mail wurde automatisch generiert."
(kommt beim Kopieren mit)</t>
  </si>
  <si>
    <t>– (wie oben)</t>
  </si>
  <si>
    <t>Fehlt in Bestand. Bei Makler steht sie direkt hinter „Automatische Antworten aussortieren“; gleicher Zielordner wie dort.</t>
  </si>
  <si>
    <t>Automatische Antworten aussortieren (2)
(bisher #4)</t>
  </si>
  <si>
    <t>– (gibt es nur in Bestand)</t>
  </si>
  <si>
    <t>unverändert:
Betreff enthält "[EXTERN] Vielen Dank für Ihre Mail:", "[EXTERN] Wir haben Ihre Nachricht erhalten:"</t>
  </si>
  <si>
    <t>Betreff enthält "AW:", "RE:", "WG:"</t>
  </si>
  <si>
    <t>In Ordner verschieben \\Bestandsuebertragungen@ergo.de\Archiv\No Reply Mails etc.
+ Keine weiteren Regeln anwenden</t>
  </si>
  <si>
    <t>Regel bleibt (eigene Bedingung, Ziel unverändert) – nur direkt hinter „Automatische Antworten 1zu1 aussortieren“ schieben. Bisher laufen #2 „Service Team Vermittlerverwaltung - Makler u Koop - Gruppenpostfach“ und #3 „PVB, Bot 1 (PVBHH-EXTERN)“ vorher, beide mit „Keine weiteren Regeln anwenden“.</t>
  </si>
  <si>
    <t>Makler #8 „Eskalations-GPF in den Prio-Ordner“</t>
  </si>
  <si>
    <t>Absender ist Eskalation Strategische Partner Bestandsuebertragu - Gruppenpostfach
(kommt beim Kopieren mit)</t>
  </si>
  <si>
    <t>In Ordner verschieben \\Bestandsuebertragungen@ergo.de\Prio
+ In Ordner kopieren \\Bestandsuebertragungen@ergo.de\Archiv\Archiv: Dopplung der Neuzugänge
+ Keine weiteren Regeln anwenden</t>
  </si>
  <si>
    <t>– (Ordner bestehen, Regel #9 „Beschwerden/Prio in den Prio-Ordner“ nutzt sie)</t>
  </si>
  <si>
    <t>Eskalationen aus diesem Gruppenpostfach landen bei Makler direkt im Prio-Ordner; bei Bestand fehlt die Regel. Zielordner wie bei Bestand #9. Position direkt vor „Beschwerden/Prio in den Prio-Ordner“, wie bei Makler.</t>
  </si>
  <si>
    <t>Beschwerden/Prio in den Prio-Ordner
(bisher #9)</t>
  </si>
  <si>
    <t>Makler #9 „Beschwerden/Prio in den Prio-Ordner“</t>
  </si>
  <si>
    <t>Betreff enthält "Vorstandsbeschwerde", "Beschwerde", "Prio"
+ "Eskalation"</t>
  </si>
  <si>
    <t>Makler #9 prüft im Betreff zusätzlich „Eskalation“. Fehlende Wörter anhängen, vorhandene bleiben unverändert.</t>
  </si>
  <si>
    <t>KV Solo
(bisher #16)</t>
  </si>
  <si>
    <t>Makler #21 „KV Solo“</t>
  </si>
  <si>
    <t>unverändert:
Betreff enthält "KV", "DKV"</t>
  </si>
  <si>
    <t>neu wie Makler #21:
Absender ist VL KBIDMA - Alle Mitarbeiter; VL KBIAB - Alle Mitarbeiter; VL KBIBHH - Alle Mitarbeiter … (36 Einträge)
Betreff enthält "Unzustellbar"</t>
  </si>
  <si>
    <t>In Ordner verschieben \\Bestandsuebertragungen@ergo.de\Archiv\Archiv: Weiterleitung an KWAD
+ Umleiten an KWAD - Gruppenpostfach
+ Keine weiteren Regeln anwenden</t>
  </si>
  <si>
    <t>Bestand leitet weiter, Makler leitet um – wie Bestand #17 „E - KWAD – Gruppenpostfach“. Umleiten behält den ursprünglichen Absender. Dazu die Ausnahmen von Makler #21 übernehmen; Bestand hat bisher keine.</t>
  </si>
  <si>
    <t>E - KWAD – Gruppenpostfach
(bisher #17)</t>
  </si>
  <si>
    <t>Makler #23 „E - KWAD – Gruppenpostfach“</t>
  </si>
  <si>
    <t>keine Bedingung – Sammelregel für alle übrigen Mails</t>
  </si>
  <si>
    <t>neu wie Makler #23:
Absender ist Microsoft Outlook
Betreff enthält "Unzustellbar", "Nachrichtenrückruf erfolgreich:", "Nachrichtenrückruf fehlgeschlagen:", "Papierakte"</t>
  </si>
  <si>
    <t>Makler #23 nimmt Unzustellbar-Meldungen, Nachrichtenrückrufe und Papierakten aus; Bestand leitet bisher alle übrigen Mails an KWAD um. Ausnahmen übernehmen, vorhandene bleiben.</t>
  </si>
  <si>
    <t>Makler #11 „Erinnerungen JungDMS in einen Unterordner“</t>
  </si>
  <si>
    <t>Absenderadresse enthält "jungdms"
Betreff enthält "Erinnerung"
(kommt beim Kopieren mit)</t>
  </si>
  <si>
    <t>In Ordner verschieben \\Bestandsuebertragungen@ergo.de\Archiv\Erinnerung JungDMS
+ Keine weiteren Regeln anwenden</t>
  </si>
  <si>
    <t>\\Bestandsuebertragungen@ergo.de\Archiv\Erinnerung JungDMS</t>
  </si>
  <si>
    <t>Nur kopieren, wenn diese Erinnerungen auch im Postfach Bestandsuebertragungen eingehen (im Plan auf Ausführen = Nein).</t>
  </si>
  <si>
    <t>Makler #12 „Erinnerungen Qualitypool in einen Unterordner“</t>
  </si>
  <si>
    <t>Absenderadresse enthält "qualitypool"
Betreff enthält "Erinnerung"
(kommt beim Kopieren mit)</t>
  </si>
  <si>
    <t>In Ordner verschieben \\Bestandsuebertragungen@ergo.de\Archiv\Erinnerungen Qualitypool
+ Keine weiteren Regeln anwenden</t>
  </si>
  <si>
    <t>\\Bestandsuebertragungen@ergo.de\Archiv\Erinnerungen Qualitypool</t>
  </si>
  <si>
    <t>Makler #14 „Erinnerungen FondsFinanz in einen Unterordner“</t>
  </si>
  <si>
    <t>Absenderadresse enthält "fondsfinanz"
Betreff enthält "Erinnerung"
(kommt beim Kopieren mit)</t>
  </si>
  <si>
    <t>In Ordner verschieben \\Bestandsuebertragungen@ergo.de\Archiv\Erinnerungen Fonds Finanz
+ Keine weiteren Regeln anwenden</t>
  </si>
  <si>
    <t>\\Bestandsuebertragungen@ergo.de\Archiv\Erinnerungen Fonds Finanz</t>
  </si>
  <si>
    <t>Makler #13 „KV@Qualitypool in einen Unterordner“</t>
  </si>
  <si>
    <t>Absenderadresse enthält "kv@qualitypool.de"</t>
  </si>
  <si>
    <t>In Ordner verschieben \\Maklerauftraege@ergo.de\Archiv\KV Qualitypool
+ Keine weiteren Regeln anwenden</t>
  </si>
  <si>
    <t>Schiebt ALLE Mails dieses Absenders ins Archiv, nicht nur Erinnerungen. Nur übernehmen, wenn das für Bestand gewollt ist – deshalb nicht im Plan.</t>
  </si>
  <si>
    <t>CCPI mit Anlagen "hell"
(bisher #11)</t>
  </si>
  <si>
    <t>Makler #15 „Umleitung CCPI an Vermittlerwaltung - Anfragen zur Klärung von BVP-Ansprüchen nach BÜ“</t>
  </si>
  <si>
    <t>Bestand: Absender ist VL CCPID - Alle Mitarbeiter; Hat Anhang
Makler: Absender ist VL CCPID - Alle Mitarbeiter</t>
  </si>
  <si>
    <t>Bestand: In Ordner verschieben \\Bestandsuebertragungen@ergo.de\CCPI + In Ordner kopieren \\Bestandsuebertragungen@ergo.de\Archiv\Archiv: Dopplung der Neuzugänge + Keine weiteren Regeln anwenden
Makler: In Ordner verschieben \\Maklerauftraege@ergo.de\Archiv\Archiv zu den Neuzugängen im Postfach\CCPI (Archiv - weiter an Verwaltung) + Umleiten an Service Team Vermittlerverwaltung - Makler u Koop - Gruppenpostfach + Keine weiteren Regeln anwenden</t>
  </si>
  <si>
    <t>Gleicher Absender, andere Behandlung: Bestand legt Mails mit Anhang im Ordner CCPI ab, Makler leitet alle Mails an die Vermittlerverwaltung um. Fachlich entscheiden, was für Bestand gelten soll.</t>
  </si>
  <si>
    <t>Makler #16 „KWAD-Rückläufer: EPL / KWAD / KVC /  LKEM (an Verwaltung)“</t>
  </si>
  <si>
    <t>Absender ist VL EPLK - Alle Mitarbeiter; E - KWAD – Gruppenpostfach; KSC - Gruppenpostfach … (8 Einträge)
Betreff enthält "Anschrift", "Adresse", "Bankverbindung", "Adressänderung", "Makleranbindung", "Rufnummer", "Verschmelzung"</t>
  </si>
  <si>
    <t>In Ordner verschieben \\Maklerauftraege@ergo.de\Archiv\Archiv zu den Neuzugängen im Postfach\EPL (Archiv)
+ Umleiten an Service Team Vermittlerverwaltung - Makler u Koop - Gruppenpostfach
+ Keine weiteren Regeln anwenden</t>
  </si>
  <si>
    <t>Makler leitet diese Mails an die Vermittlerverwaltung um; bei Bestand gibt es kein Gegenstück. Fachlich klären, ob Bestand das braucht.</t>
  </si>
  <si>
    <t>Makler #22 „Teil/Gesamt-BÜ an Vermittlerverwaltung“</t>
  </si>
  <si>
    <t>Betreff enthält "Teilbestand", "Sammel-Bestandsübertragung in den VEMA-Pool", "Gesamt-BÜ", "Teil-BÜ", "Gesamt-Bestandsübertragung", "Teil-Bestandsübertragung"</t>
  </si>
  <si>
    <t>In Ordner verschieben \\Maklerauftraege@ergo.de\Archiv\Teil%2FGesamt-BÜ nicht an KWAD sondern an Verwaltung
+ Umleiten an Service Team Vermittlerverwaltung - Makler u Koop - Gruppenpostfach
+ Keine weiteren Regeln anwenden</t>
  </si>
  <si>
    <t>Mails von BÜ-Bot, Robert (ODPB2D-EXTERN)
(bisher #6)</t>
  </si>
  <si>
    <t>Makler #5 „Mails von BÜ-Bot, Robert (ODPB2D-EXTERN)“</t>
  </si>
  <si>
    <t>Bestand: Absender ist BÜ-Bot, Robert (ODPB2D-EXTERN); PVBHH, Bot2 (PVA15B-EXTERN); robotics - Gruppenpostfach
Makler: Absender ist BÜ-Bot, Robert (ODPB2D-EXTERN); Betreff enthält "Bestandsübertragung"</t>
  </si>
  <si>
    <t>In Ordner verschieben \\Bestandsuebertragungen@ergo.de\BÜ-Bot-Mails
+ Keine weiteren Regeln anwenden</t>
  </si>
  <si>
    <t>Bestand ist bewusst breiter: 3 Absender, ohne Betreff-Filter. Kein Handlungsbedarf.</t>
  </si>
  <si>
    <t>Soll-Reihenfolge in Bestandsuebertragungen nach der Umsetzung</t>
  </si>
  <si>
    <t>Pos.</t>
  </si>
  <si>
    <t>Änderung</t>
  </si>
  <si>
    <t>bisher #</t>
  </si>
  <si>
    <t>angepasst</t>
  </si>
  <si>
    <t>aus Makler kopieren</t>
  </si>
  <si>
    <t>verschoben</t>
  </si>
  <si>
    <t>unverändert</t>
  </si>
  <si>
    <t>kopieren, falls benötigt</t>
  </si>
  <si>
    <t>deaktiviert, unverändert</t>
  </si>
  <si>
    <t>Werden die Erinnerungsregeln nicht gebraucht, rücken die folgenden Regeln entsprechend nach oben.</t>
  </si>
  <si>
    <t>Hinweise für Maklerauftraege (nicht Teil des Plans)</t>
  </si>
  <si>
    <t>Makler #3 „Umleitung - Technische Fehler“ ist deaktiviert, läuft nur auf einem Client und hat keinen Zielordner (Outlook zeigt „(Fehler)“).</t>
  </si>
  <si>
    <t>Makler fehlt die Bestand-Regel „Automatische Antworten aussortieren (2)“ (Betreff enthält "[EXTERN] Vielen Dank für Ihre Mail:", "[EXTERN] Wir haben Ihre Nachricht erhalten:", außer Betreff enthält "AW:", "RE:", "WG:").</t>
  </si>
  <si>
    <t>Outlook-Regeln – Übersicht</t>
  </si>
  <si>
    <t>Erstellt am:</t>
  </si>
  <si>
    <t>08.10.2026 20:28</t>
  </si>
  <si>
    <t>Postfächer:</t>
  </si>
  <si>
    <t>Maklerauftraege@ergo.de (25 Regeln)  |  Bestandsuebertragungen@ergo.de (18 Regeln)</t>
  </si>
  <si>
    <t>Regeln ausgegeben:</t>
  </si>
  <si>
    <t>Optionen:</t>
  </si>
  <si>
    <t>inkl. deaktivierte, inkl. Nur-lokale, nur Empfangen-Regeln</t>
  </si>
  <si>
    <t>Reihenfolge</t>
  </si>
  <si>
    <t>Regelname</t>
  </si>
  <si>
    <t>Regeltyp</t>
  </si>
  <si>
    <t>Gültigkeit</t>
  </si>
  <si>
    <t>Bedingungen</t>
  </si>
  <si>
    <t>Bedingung lesbar</t>
  </si>
  <si>
    <t>Ausnahmen</t>
  </si>
  <si>
    <t>Aktionen</t>
  </si>
  <si>
    <t>Stopp danach</t>
  </si>
  <si>
    <t>Logik (WENN / DANN / AUSSER WENN)</t>
  </si>
  <si>
    <t>Kopie von Automatische Antworten aussortieren</t>
  </si>
  <si>
    <t>Ja</t>
  </si>
  <si>
    <t>Empfangen</t>
  </si>
  <si>
    <t>Server (immer)</t>
  </si>
  <si>
    <t>\\Maklerauftraege@ergo.de\Archiv\Auotmatische Antworten</t>
  </si>
  <si>
    <t>\\Bestandsuebertragungen@ergo.de\Ablösebuchungen offen (PV nicht aktiviert)</t>
  </si>
  <si>
    <t>\\Bestandsuebertragungen@ergo.de\Archiv\Archiv: Vorabinfo</t>
  </si>
  <si>
    <t>\\Bestandsuebertragungen@ergo.de\Archiv\No Reply Mails etc.</t>
  </si>
  <si>
    <t>\\Bestandsuebertragungen@ergo.de\Umleitung - Technischer Fehler</t>
  </si>
  <si>
    <t>\\Bestandsuebertragungen@ergo.de\BÜ-Bot-Mails</t>
  </si>
  <si>
    <t>\\Bestandsuebertragungen@ergo.de\Archiv\Archiv: BeMaS-Kennzeichen konnte nicht gesetzt werden</t>
  </si>
  <si>
    <t>\\Bestandsuebertragungen@ergo.de\Archiv\Archiv: BeMaS an KWAD</t>
  </si>
  <si>
    <t>\\Bestandsuebertragungen@ergo.de\Prio | \\Bestandsuebertragungen@ergo.de\Archiv\Archiv: Dopplung der Neuzugänge</t>
  </si>
  <si>
    <t>\\Bestandsuebertragungen@ergo.de\Archiv\Archiv: Weitergeleiteten Mails zu FL an VSLV3</t>
  </si>
  <si>
    <t>\\Bestandsuebertragungen@ergo.de\CCPI | \\Bestandsuebertragungen@ergo.de\Archiv\Archiv: Dopplung der Neuzugänge</t>
  </si>
  <si>
    <t>\\Bestandsuebertragungen@ergo.de\KWAD-Rückläufer | \\Bestandsuebertragungen@ergo.de\Archiv\Archiv: Dopplung der Neuzugänge</t>
  </si>
  <si>
    <t>\\Bestandsuebertragungen@ergo.de\Rückläufer EPL und FL Verträge | \\Bestandsuebertragungen@ergo.de\Archiv\Archiv: Dopplung der Neuzugänge</t>
  </si>
  <si>
    <t>\\Bestandsuebertragungen@ergo.de\Papierakten | \\Bestandsuebertragungen@ergo.de\Archiv\Archiv: Dopplung der Neuzugänge</t>
  </si>
  <si>
    <t>\\Bestandsuebertragungen@ergo.de\Archiv\Archiv: Weiterleitung an KWAD</t>
  </si>
  <si>
    <t>keine sichtbar</t>
  </si>
  <si>
    <t>Nein</t>
  </si>
  <si>
    <t>\\Bestandsuebertragungen@ergo.de\BÜ-Archiv: Weitergeleiteten Mails an Celonis</t>
  </si>
  <si>
    <t>\\Maklerauftraege@ergo.de\Archiv\Archiv zu den weitergeleiteten Mails an Celonis</t>
  </si>
  <si>
    <t>\\Maklerauftraege@ergo.de\Rückläufer FL Verträge (ODPB3D)\BÜ-Bot Mails</t>
  </si>
  <si>
    <t>\\Maklerauftraege@ergo.de\Archiv\EBIS %2F BeMAs</t>
  </si>
  <si>
    <t>\\Maklerauftraege@ergo.de\Archiv\BeMaS an KWAD</t>
  </si>
  <si>
    <t>\\Maklerauftraege@ergo.de\Posteingang\Prio | \\Maklerauftraege@ergo.de\Archiv\Archiv zu den Neuzugängen im Postfach\Beschwerden %2F Prio (Archiv)</t>
  </si>
  <si>
    <t>\\Maklerauftraege@ergo.de\Rückläufer FL Verträge (ODPB3D)</t>
  </si>
  <si>
    <t>\\Maklerauftraege@ergo.de\Archiv\Erinnerung JungDMS</t>
  </si>
  <si>
    <t>\\Maklerauftraege@ergo.de\Archiv\Erinnerungen Qualitypool</t>
  </si>
  <si>
    <t>\\Maklerauftraege@ergo.de\Archiv\KV Qualitypool</t>
  </si>
  <si>
    <t>\\Maklerauftraege@ergo.de\Archiv\Erinnerungen Fonds Finanz</t>
  </si>
  <si>
    <t>\\Maklerauftraege@ergo.de\Archiv\Archiv zu den Neuzugängen im Postfach\CCPI (Archiv - weiter an Verwaltung)</t>
  </si>
  <si>
    <t>\\Maklerauftraege@ergo.de\Archiv\Archiv zu den Neuzugängen im Postfach\EPL (Archiv)</t>
  </si>
  <si>
    <t>\\Maklerauftraege@ergo.de\KWAD-Rückläufer | \\Maklerauftraege@ergo.de\Archiv\Archiv zu den Neuzugängen im Postfach\EPL (Archiv)</t>
  </si>
  <si>
    <t>\\Maklerauftraege@ergo.de\Rückläufer FL Verträge (ODPB3D) | \\Maklerauftraege@ergo.de\Archiv\Archiv zu den Neuzugängen im Postfach\FL Rückläufer (Archiv - neu)</t>
  </si>
  <si>
    <t>\\Maklerauftraege@ergo.de\Papierakten (KBIG) | \\Maklerauftraege@ergo.de\Archiv\Archiv zu den Neuzugängen im Postfach\KBI (Archiv)</t>
  </si>
  <si>
    <t>\\Maklerauftraege@ergo.de\Archiv\Archiv zu den weitergeleiteten Mails an KWAD</t>
  </si>
  <si>
    <t>\\Maklerauftraege@ergo.de\Archiv\Teil%2FGesamt-BÜ nicht an KWAD sondern an Verwaltung</t>
  </si>
  <si>
    <t>Regel-Logik im Detail</t>
  </si>
  <si>
    <t>Legende:</t>
  </si>
  <si>
    <t>Bedingungen sind UND-verknüpft (alle müssen zutreffen). Jede einzelne Ausnahme verhindert die Regel. Aktionen laufen von oben nach unten; "Keine weiteren Regeln anwenden" beendet die Kette. "Keine Bedingung sichtbar" / "Bedingung nicht lesbar" / "weitere Bedingung nicht lesbar": Outlook liefert die Bedingung nicht oder nicht vollständig (oft in Outlook im Web angelegt) – dort prüfen, Details im Blatt "Diagnose". Gelbe Bezeichnung in WENN-/UND-/DANN-Zeilen = nicht (vollständig) lesbar.</t>
  </si>
  <si>
    <t>Grau = deaktivierte Regel ([INAKTIV]).  Über die Gliederung links (1 | 2 | 3) lassen sich Postfächer und Regel-Details ein- und ausklappen.</t>
  </si>
  <si>
    <t>Block</t>
  </si>
  <si>
    <t>Bezeichnung</t>
  </si>
  <si>
    <t>Details</t>
  </si>
  <si>
    <t>POSTFACH: Bestandsuebertragungen@ergo.de</t>
  </si>
  <si>
    <t>REGEL</t>
  </si>
  <si>
    <t>Regel #1: Kopie von Automatische Antworten aussortieren</t>
  </si>
  <si>
    <t>WENN</t>
  </si>
  <si>
    <t>Formular / Nachrichtenklasse</t>
  </si>
  <si>
    <t>"IPM.Note.Rules.OofTemplate.Microsoft"</t>
  </si>
  <si>
    <t>DANN</t>
  </si>
  <si>
    <t>In Ordner verschieben</t>
  </si>
  <si>
    <t>UND DANN</t>
  </si>
  <si>
    <t>Keine weiteren Regeln anwenden</t>
  </si>
  <si>
    <t>Regel #2: Service Team Vermittlerverwaltung - Makler u Koop - Gruppenpostfach</t>
  </si>
  <si>
    <t>Absender ist</t>
  </si>
  <si>
    <t>UND</t>
  </si>
  <si>
    <t>Betreff enthält</t>
  </si>
  <si>
    <t>"offener Provisionsvertrag"</t>
  </si>
  <si>
    <t>Regel #3: PVB, Bot 1 (PVBHH-EXTERN)</t>
  </si>
  <si>
    <t>"Vorabinfo"</t>
  </si>
  <si>
    <t>Regel #4: Automatische Antworten aussortieren (2)</t>
  </si>
  <si>
    <t>"[EXTERN] Vielen Dank für Ihre Mail:", "[EXTERN] Wir haben Ihre Nachricht erhalten:"</t>
  </si>
  <si>
    <t>"AW:", "RE:", "WG:"</t>
  </si>
  <si>
    <t>Regel #5: Umleitung - Technische Fehler</t>
  </si>
  <si>
    <t>Mailtext enthält</t>
  </si>
  <si>
    <t>"The attached message was sent by a member of this shared mailbox. Usually, it would appear in Sent Items, but your service is currently being upgraded. Things will be back to normal after the upgrade."</t>
  </si>
  <si>
    <t>Regel #6: Mails von BÜ-Bot, Robert (ODPB2D-EXTERN)</t>
  </si>
  <si>
    <t>BÜ-Bot, Robert (ODPB2D-EXTERN); PVBHH, Bot2 (PVA15B-EXTERN); robotics - Gruppenpostfach</t>
  </si>
  <si>
    <t>Regel #7: eBIS-Kennzeichnung konnte nicht umgesetzt werden</t>
  </si>
  <si>
    <t>"BeMaS-Kennzeichnung konnte nicht umgesetzt werden", "BeMaS-Kennzeichnung"</t>
  </si>
  <si>
    <t>Regel #8: eBIS-Kennzeichnung - Verteilung erfrderlich / neu an KWAD</t>
  </si>
  <si>
    <t>Gesendet an</t>
  </si>
  <si>
    <t>MaKoop Bestandsuebertragungen - Gruppenpostfach; ERGO Maklervertrieb - Gruppenpostfach</t>
  </si>
  <si>
    <t>"BeMaS-Kennzeichnung", "BeMaS-Kennzeichnung konnte nicht umgesetzt werden"</t>
  </si>
  <si>
    <t>VL KBIGD - Alle Mitarbeiter; VL ODPB3D - Alle Mitarbeiter; VL PVAK - Alle Mitarbeiter; VL PVAK-Externe - Alle Mitarbeiter; VL PVBHH - Alle Mitarbeiter; VL PVBHH-Externe - Alle Mitarbeiter; VL ODSUD - Alle Mitarbeiter</t>
  </si>
  <si>
    <t>Umleiten an</t>
  </si>
  <si>
    <t>KWAD - Gruppenpostfach</t>
  </si>
  <si>
    <t>Regel #9: Beschwerden/Prio in den Prio-Ordner</t>
  </si>
  <si>
    <t>"Vorstandsbeschwerde", "Beschwerde", "Prio"</t>
  </si>
  <si>
    <t>\\Bestandsuebertragungen@ergo.de\Prio</t>
  </si>
  <si>
    <t>In Ordner kopieren</t>
  </si>
  <si>
    <t>\\Bestandsuebertragungen@ergo.de\Archiv\Archiv: Dopplung der Neuzugänge</t>
  </si>
  <si>
    <t>Regel #10: Umleitung FL Verträge an VSLV3D</t>
  </si>
  <si>
    <t>VL EPLK - Alle Mitarbeiter; E - KWAD – Gruppenpostfach; KSC - Gruppenpostfach; VL FMEB - Alle Mitarbeiter; VL VSLB4D - Alle Mitarbeiter; VL LKEM4HH - Alle Mitarbeiter; VL LKEM5HH - Alle Mitarbeiter; Leben-Klassik - Gruppenpostfach</t>
  </si>
  <si>
    <t>Betreff oder Mailtext enthält</t>
  </si>
  <si>
    <t>"FL0", "FL1", "FL2", "FL3", "FL4", "FL5", "FL6", "FL7", "FL8", "FL9", "FL"</t>
  </si>
  <si>
    <t>Weiterleiten an</t>
  </si>
  <si>
    <t>VSLV3 D - Gruppenpostfach</t>
  </si>
  <si>
    <t>Regel #11: CCPI mit Anlagen "hell"</t>
  </si>
  <si>
    <t>VL CCPID - Alle Mitarbeiter</t>
  </si>
  <si>
    <t>Hat Anhang</t>
  </si>
  <si>
    <t>\\Bestandsuebertragungen@ergo.de\CCPI</t>
  </si>
  <si>
    <t>Regel #12: KWAD-Rückläufer: EPL / KWAD / KVC /  LKEM</t>
  </si>
  <si>
    <t>\\Bestandsuebertragungen@ergo.de\KWAD-Rückläufer</t>
  </si>
  <si>
    <t>Regel #13: Rückfelder FL Verträge (von VSLV3 D - Gruppenpostfach)</t>
  </si>
  <si>
    <t>VSLV3 D - Gruppenpostfach; info@ergo-vorsorge.de; AktivRente - Gruppenpostfach; VSLVD - Gruppenpostfach; info@vorsorge-leben.de; VL VSLV3D - Alle Mitarbeiter; info@ergo-life.com; zz service(Vorsorge-Internet)</t>
  </si>
  <si>
    <t>\\Bestandsuebertragungen@ergo.de\Rückläufer EPL und FL Verträge</t>
  </si>
  <si>
    <t>Regel #14: Papierakten (keine eAkte)</t>
  </si>
  <si>
    <t>"Achtung Papierakte – KEIN EDM-Vorgang – bitte nicht an KWAD senden", "Achtung Papierakte"</t>
  </si>
  <si>
    <t>\\Bestandsuebertragungen@ergo.de\Papierakten</t>
  </si>
  <si>
    <t>Regel #15: Papierakten - Rückläufer aus KBI 'klassik" (keine eAkte)</t>
  </si>
  <si>
    <t>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Gruppenpostfach; KBI VH Muenchen - Gruppenpostfach; KBI VH Berlin - Gruppenpostfach; EHID - Gruppenpostfach; VL G2 - Alle Mitarbeiter</t>
  </si>
  <si>
    <t>"EDM mit Sonderakte", "Papierakte", "Akte", "Bitte nicht zum Vorgang eröffnen", "EDM", "KWAD", "ACHTUNG"</t>
  </si>
  <si>
    <t>VL KBIGD - Alle Mitarbeiter; VL KBIFM - Alle Mitarbeiter</t>
  </si>
  <si>
    <t>Regel #16: KV Solo</t>
  </si>
  <si>
    <t>"KV", "DKV"</t>
  </si>
  <si>
    <t>Regel #17: E - KWAD – Gruppenpostfach</t>
  </si>
  <si>
    <t>keine Bedingung sichtbar</t>
  </si>
  <si>
    <t>Outlook zeigt keine Bedingung – entweder greift die Regel bei ALLEN Mails, oder die Bedingung wurde in Outlook im Web angelegt und ist für Outlook nicht lesbar (dort prüfen)</t>
  </si>
  <si>
    <t>Regel #18: TEST | Komplett an Celonis 09.10.2026   [INAKTIV]</t>
  </si>
  <si>
    <t>Microsoft Outlook</t>
  </si>
  <si>
    <t>ODER</t>
  </si>
  <si>
    <t>"Unzustellbar", "Nachrichtenrückruf erfolgreich:", "Nachrichtenrückruf fehlgeschlagen:", "Papierakte"</t>
  </si>
  <si>
    <t>Celonis_Bue_Makler - Gruppenpostfach</t>
  </si>
  <si>
    <t>POSTFACH: Maklerauftraege@ergo.de</t>
  </si>
  <si>
    <t>Regel #1: Automatische Antworten aussortieren</t>
  </si>
  <si>
    <t>Regel #2: Automatische Antworten 1zu1 aussortieren</t>
  </si>
  <si>
    <t>noreply@1zu1.ag</t>
  </si>
  <si>
    <t>"Diese E-Mail wurde automatisch generiert."</t>
  </si>
  <si>
    <t>Regel #3: Umleitung - Technische Fehler   [INAKTIV]   [nur auf diesem Client]</t>
  </si>
  <si>
    <t>Regel #4: TEST | Fonds Finanz an Celonis | 10.09.2026   [INAKTIV]</t>
  </si>
  <si>
    <t>Absenderadresse enthält</t>
  </si>
  <si>
    <t>"@fondsfinanz.de"</t>
  </si>
  <si>
    <t>Regel #5: Mails von BÜ-Bot, Robert (ODPB2D-EXTERN)</t>
  </si>
  <si>
    <t>BÜ-Bot, Robert (ODPB2D-EXTERN)</t>
  </si>
  <si>
    <t>"Bestandsübertragung"</t>
  </si>
  <si>
    <t>Regel #6: eBIS-Kennzeichnung konnte nicht umgesetzt werden</t>
  </si>
  <si>
    <t>Regel #7: eBIS-Kennzeichnung - Verteilung erfrderlich / neu an KWAD</t>
  </si>
  <si>
    <t>Regel #8: Eskalations-GPF in den Prio-Ordner</t>
  </si>
  <si>
    <t>Eskalation Strategische Partner Bestandsuebertragu - Gruppenpostfach</t>
  </si>
  <si>
    <t>\\Maklerauftraege@ergo.de\Posteingang\Prio</t>
  </si>
  <si>
    <t>\\Maklerauftraege@ergo.de\Archiv\Archiv zu den Neuzugängen im Postfach\Beschwerden %2F Prio (Archiv)</t>
  </si>
  <si>
    <t>"Vorstandsbeschwerde", "Beschwerde", "Prio", "Eskalation"</t>
  </si>
  <si>
    <t>Regel #11: Erinnerungen JungDMS in einen Unterordner</t>
  </si>
  <si>
    <t>"jungdms"</t>
  </si>
  <si>
    <t>"Erinnerung"</t>
  </si>
  <si>
    <t>Regel #12: Erinnerungen Qualitypool in einen Unterordner</t>
  </si>
  <si>
    <t>"qualitypool"</t>
  </si>
  <si>
    <t>Regel #13: KV@Qualitypool in einen Unterordner</t>
  </si>
  <si>
    <t>"kv@qualitypool.de"</t>
  </si>
  <si>
    <t>Regel #14: Erinnerungen FondsFinanz in einen Unterordner</t>
  </si>
  <si>
    <t>"fondsfinanz"</t>
  </si>
  <si>
    <t>Regel #15: Umleitung CCPI an Vermittlerwaltung - Anfragen zur Klärung von BVP-Ansprüchen nach BÜ</t>
  </si>
  <si>
    <t>Regel #16: KWAD-Rückläufer: EPL / KWAD / KVC /  LKEM (an Verwaltung)</t>
  </si>
  <si>
    <t>"Anschrift", "Adresse", "Bankverbindung", "Adressänderung", "Makleranbindung", "Rufnummer", "Verschmelzung"</t>
  </si>
  <si>
    <t>Regel #17: KWAD-Rückläufer: EPL / KWAD / KVC /  LKEM</t>
  </si>
  <si>
    <t>\\Maklerauftraege@ergo.de\KWAD-Rückläufer</t>
  </si>
  <si>
    <t>Regel #18: Rückfelder FL Verträge (von VSLV3 D - Gruppenpostfach)</t>
  </si>
  <si>
    <t>\\Maklerauftraege@ergo.de\Archiv\Archiv zu den Neuzugängen im Postfach\FL Rückläufer (Archiv - neu)</t>
  </si>
  <si>
    <t>Regel #19: Papierakten (keine eAkte)</t>
  </si>
  <si>
    <t>\\Maklerauftraege@ergo.de\Papierakten (KBIG)</t>
  </si>
  <si>
    <t>\\Maklerauftraege@ergo.de\Archiv\Archiv zu den Neuzugängen im Postfach\KBI (Archiv)</t>
  </si>
  <si>
    <t>Regel #20: Papierakten - Rückläufer aus KBI 'klassik" (keine eAkte)</t>
  </si>
  <si>
    <t>Regel #21: KV Solo</t>
  </si>
  <si>
    <t>"DKV", "KV"</t>
  </si>
  <si>
    <t>VL KBIDMA - Alle Mitarbeiter; VL KBIAB - Alle Mitarbeiter; VL KBIBHH - Alle Mitarbeiter; VL KBICD - Alle Mitarbeiter; VL KBIEM - Alle Mitarbeiter; VL KBIFM - Alle Mitarbeiter; VL BKHH - Alle Mitarbeiter; VL EPLD - Alle Mitarbeiter; VL FMDD - Alle Mitarbeiter; VL FMEB - Alle Mitarbeiter; KBI Haftpflicht Berlin - Gruppenpostfach; KBI Haftpflicht Duesseldorf - Gruppenpostfach; KBI Haftpflicht Hamburg - Gruppenpostfach; KBI Haftpflicht Mannheim - Gruppenpostfach; KBI Haftpflicht Muenchen - Gruppenpostfach; KBI Sach Berlin - Gruppenpostfach; KBI Sach Duesseldorf - Gruppenpostfach; KBI Sach Hamburg - Gruppenpostfach; KBI Sach Mannheim - Gruppenpostfach; KBI Sach Muenchen - Gruppenpostfach; KBI TR Berlin - Gruppenpostfach; KBI TR Duesseldorf - Gruppenpostfach; KBI TR Hamburg - Gruppenpostfach; KBI TR Mannheim - Gruppenpostfach; KBI TR Muenchen - Gruppenpostfach; KBI TV Berlin - Gruppenpostfach; KBI TV Duesseldorf - Gruppenpostfach; KBI TV Hamburg - Gruppenpostfach; KBI TV Mannheim - Gruppenpostfach; KBI TV Muenchen - Gruppenpostfach; KBI VH Berlin - Gruppenpostfach; KBI VH Duesseldorf - Gruppenpostfach; KBI VH Hamburg - Gruppenpostfach; KBI VH Mannheim - Gruppenpostfach; KBI VH Muenchen - Gruppenpostfach; Microsoft Outlook</t>
  </si>
  <si>
    <t>"Unzustellbar"</t>
  </si>
  <si>
    <t>Regel #22: Teil/Gesamt-BÜ an Vermittlerverwaltung</t>
  </si>
  <si>
    <t>"Teilbestand", "Sammel-Bestandsübertragung in den VEMA-Pool", "Gesamt-BÜ", "Teil-BÜ", "Gesamt-Bestandsübertragung", "Teil-Bestandsübertragung"</t>
  </si>
  <si>
    <t>Regel #23: E - KWAD – Gruppenpostfach</t>
  </si>
  <si>
    <t>Regel #24: TEST | Komplett an Celonis 09.10.2026   [INAKTIV]</t>
  </si>
  <si>
    <t>Celonis_Bue_Makler - Gruppenpostfach; Celonis_Bue_Makler - Gruppenpostfach</t>
  </si>
  <si>
    <t>Regel #25: KI BOT | Weiterleiten an E - KWAD – Gruppenpostfach   [INAKTIV]</t>
  </si>
  <si>
    <t>Art</t>
  </si>
  <si>
    <t>Ausnahme</t>
  </si>
  <si>
    <t>Outlook liefert keine aktive Bedingung – in Outlook im Web unter Einstellungen › E-Mail › Regeln nachsehen</t>
  </si>
  <si>
    <t>Wohin schreiben die Regeln?</t>
  </si>
  <si>
    <t>Grundlage: Aktionen "In Ordner verschieben" und "In Ordner kopieren".</t>
  </si>
  <si>
    <t>Balken = Anzahl Regeln je Ordner.  Gelb in „davon aktiv“: nicht alle Regeln dieses Ordners sind aktiv.</t>
  </si>
  <si>
    <t>Anzahl Regeln</t>
  </si>
  <si>
    <t>davon aktiv</t>
  </si>
  <si>
    <t>Beschwerden/Prio in den Prio-Ordner, CCPI mit Anlagen "hell", KWAD-Rückläufer: EPL / KWAD / KVC /  LKEM, Rückfelder FL Verträge (von VSLV3 D - Gruppenpostfach), Papierakten (keine eAkte), Papierakten - Rückläufer aus KBI 'klassik" (keine eAkte)</t>
  </si>
  <si>
    <t>KV Solo, E - KWAD – Gruppenpostfach</t>
  </si>
  <si>
    <t>Papierakten (keine eAkte), Papierakten - Rückläufer aus KBI 'klassik" (keine eAkte)</t>
  </si>
  <si>
    <t>TEST | Komplett an Celonis 09.10.2026 [inaktiv]</t>
  </si>
  <si>
    <t>KV Solo, E - KWAD – Gruppenpostfach, KI BOT | Weiterleiten an E - KWAD – Gruppenpostfach [inaktiv]</t>
  </si>
  <si>
    <t>Eskalations-GPF in den Prio-Ordner, Beschwerden/Prio in den Prio-Ordner</t>
  </si>
  <si>
    <t>KWAD-Rückläufer: EPL / KWAD / KVC /  LKEM (an Verwaltung), KWAD-Rückläufer: EPL / KWAD / KVC /  LKEM</t>
  </si>
  <si>
    <t>TEST | Fonds Finanz an Celonis | 10.09.2026 [inaktiv], TEST | Komplett an Celonis 09.10.2026 [inaktiv]</t>
  </si>
  <si>
    <t>Automatische Antworten aussortieren, Automatische Antworten 1zu1 aussortieren</t>
  </si>
  <si>
    <t>Umleitung FL Verträge an VSLV3D, Rückfelder FL Verträge (von VSLV3 D - Gruppenpostfach)</t>
  </si>
  <si>
    <t>Summe</t>
  </si>
  <si>
    <t>Prüfhinweise zur Regel-Logik</t>
  </si>
  <si>
    <t>Automatisch erkannte Auffälligkeiten. Kein Ersatz für die fachliche Prüfung – bitte einzeln bewerten.</t>
  </si>
  <si>
    <t>Hinweis</t>
  </si>
  <si>
    <t>Client-Regel: läuft nur, wenn genau dieses Outlook geöffnet ist. Für ein Gruppenpostfach mit mehreren Bearbeitern meist unerwünscht – serverseitige Regel bevorzugen.</t>
  </si>
  <si>
    <t>Regel leitet Mails weiter oder um: Umleiten an Celonis_Bue_Makler - Gruppenpostfach. Empfänger und Ziel-Domäne prüfen.</t>
  </si>
  <si>
    <t>Regel leitet Mails weiter oder um: Umleiten an KWAD - Gruppenpostfach. Empfänger und Ziel-Domäne prüfen.</t>
  </si>
  <si>
    <t>Regel schreibt in mehrere Ordner: \\Maklerauftraege@ergo.de\Posteingang\Prio | \\Maklerauftraege@ergo.de\Archiv\Archiv zu den Neuzugängen im Postfach\Beschwerden %2F Prio (Archiv).</t>
  </si>
  <si>
    <t>Regel leitet Mails weiter oder um: Weiterleiten an VSLV3 D - Gruppenpostfach. Empfänger und Ziel-Domäne prüfen.</t>
  </si>
  <si>
    <t>Regel leitet Mails weiter oder um: Umleiten an Service Team Vermittlerverwaltung - Makler u Koop - Gruppenpostfach. Empfänger und Ziel-Domäne prüfen.</t>
  </si>
  <si>
    <t>Regel schreibt in mehrere Ordner: \\Maklerauftraege@ergo.de\KWAD-Rückläufer | \\Maklerauftraege@ergo.de\Archiv\Archiv zu den Neuzugängen im Postfach\EPL (Archiv).</t>
  </si>
  <si>
    <t>Regel schreibt in mehrere Ordner: \\Maklerauftraege@ergo.de\Rückläufer FL Verträge (ODPB3D) | \\Maklerauftraege@ergo.de\Archiv\Archiv zu den Neuzugängen im Postfach\FL Rückläufer (Archiv - neu).</t>
  </si>
  <si>
    <t>Regel schreibt in mehrere Ordner: \\Maklerauftraege@ergo.de\Papierakten (KBIG) | \\Maklerauftraege@ergo.de\Archiv\Archiv zu den Neuzugängen im Postfach\KBI (Archiv).</t>
  </si>
  <si>
    <t>Outlook zeigt keine Bedingung. Entweder greift die Regel bei allen Mails, oder die Bedingung wurde in Outlook im Web angelegt (z. B. Nachrichtentyp automatische Antwort) und ist für Outlook nicht lesbar – in Outlook im Web unter Einstellungen › E-Mail › Regeln nachsehen.</t>
  </si>
  <si>
    <t>Regel leitet Mails weiter oder um: Umleiten an Celonis_Bue_Makler - Gruppenpostfach; Celonis_Bue_Makler - Gruppenpostfach. Empfänger und Ziel-Domäne prüfen.</t>
  </si>
  <si>
    <t>Regel leitet Mails weiter oder um: Weiterleiten an KWAD - Gruppenpostfach. Empfänger und Ziel-Domäne prüfen.</t>
  </si>
  <si>
    <t>Regel schreibt in mehrere Ordner: \\Bestandsuebertragungen@ergo.de\Prio | \\Bestandsuebertragungen@ergo.de\Archiv\Archiv: Dopplung der Neuzugänge.</t>
  </si>
  <si>
    <t>Regel schreibt in mehrere Ordner: \\Bestandsuebertragungen@ergo.de\CCPI | \\Bestandsuebertragungen@ergo.de\Archiv\Archiv: Dopplung der Neuzugänge.</t>
  </si>
  <si>
    <t>Regel schreibt in mehrere Ordner: \\Bestandsuebertragungen@ergo.de\KWAD-Rückläufer | \\Bestandsuebertragungen@ergo.de\Archiv\Archiv: Dopplung der Neuzugänge.</t>
  </si>
  <si>
    <t>Regel schreibt in mehrere Ordner: \\Bestandsuebertragungen@ergo.de\Rückläufer EPL und FL Verträge | \\Bestandsuebertragungen@ergo.de\Archiv\Archiv: Dopplung der Neuzugänge.</t>
  </si>
  <si>
    <t>Regel schreibt in mehrere Ordner: \\Bestandsuebertragungen@ergo.de\Papierakten | \\Bestandsuebertragungen@ergo.de\Archiv\Archiv: Dopplung der Neuzugänge.</t>
  </si>
  <si>
    <t>Diagnose: Bedingungen und Ausnahmen laut Outlook</t>
  </si>
  <si>
    <t>Zustand a = Bedingung(en) gelesen ("teilweise": ein weiterer Eintrag nicht lesbar oder Bedingung unbekannten Typs), b = keine Bedingung sichtbar (Outlook liefert keine aktive Bedingung, kein Fehler), c = Bedingung nicht lesbar (Fehler beim Zugriff). Bei b, c und teilweise: in Outlook im Web unter Einstellungen › E-Mail › Regeln nachsehen. Typ-Kennung C&lt;Zahl&gt; = OlRuleConditionType. Der Fehlertext nennt auch Lesefehler bei Ausnahmen und Aktionen.</t>
  </si>
  <si>
    <t>Nur lokal</t>
  </si>
  <si>
    <t>Zustand</t>
  </si>
  <si>
    <t>Bedingungen: Anzahl laut Outlook</t>
  </si>
  <si>
    <t>Bedingungen: aktive Typen</t>
  </si>
  <si>
    <t>Bedingungen: inaktive Typen</t>
  </si>
  <si>
    <t>Ausnahmen: Anzahl laut Outlook</t>
  </si>
  <si>
    <t>Ausnahmen: aktive Typen</t>
  </si>
  <si>
    <t>Ausnahmen: inaktive Typen</t>
  </si>
  <si>
    <t>Fehlertext</t>
  </si>
  <si>
    <t>a – Bedingung(en) gelesen</t>
  </si>
  <si>
    <t>C23 Formular / Nachrichtenklasse</t>
  </si>
  <si>
    <t>C4, C26, C9, C20, C11, C5, C10, C6, C3, C18, C13, C14, C15, C16, C17, C2, C1, C12, C25, C27, C7, C8, C19, C21, C22, C24, C28, C29, C31, C30</t>
  </si>
  <si>
    <t>C4, C26, C9, C20, C11, C5, C10, C6, C3, C18, C13, C14, C15, C16, C17, C2, C23, C1, C12, C25, C27, C7, C8, C19, C21, C22, C24, C28, C29, C31, C30</t>
  </si>
  <si>
    <t>C2 Betreff enthält | C1 Absender ist</t>
  </si>
  <si>
    <t>C4, C26, C9, C20, C11, C5, C10, C6, C3, C18, C13, C14, C15, C16, C17, C23, C12, C25, C27, C7, C8, C19, C21, C22, C24, C28, C29, C31, C30</t>
  </si>
  <si>
    <t>C2 Betreff enthält</t>
  </si>
  <si>
    <t>C4, C26, C9, C20, C11, C5, C10, C6, C3, C18, C13, C14, C15, C16, C17, C23, C1, C12, C25, C27, C7, C8, C19, C21, C22, C24, C28, C29, C31, C30</t>
  </si>
  <si>
    <t>C13 Mailtext enthält</t>
  </si>
  <si>
    <t>C4, C26, C9, C20, C11, C5, C10, C6, C3, C18, C14, C15, C16, C17, C2, C23, C1, C12, C25, C27, C7, C8, C19, C21, C22, C24, C28, C29, C31, C30</t>
  </si>
  <si>
    <t>C1 Absender ist</t>
  </si>
  <si>
    <t>C4, C26, C9, C20, C11, C5, C10, C6, C3, C18, C13, C14, C15, C16, C17, C2, C23, C12, C25, C27, C7, C8, C19, C21, C22, C24, C28, C29, C31, C30</t>
  </si>
  <si>
    <t>C2 Betreff enthält | C12 Gesendet an</t>
  </si>
  <si>
    <t>C4, C26, C9, C20, C11, C5, C10, C6, C3, C18, C13, C14, C15, C16, C17, C23, C1, C25, C27, C7, C8, C19, C21, C22, C24, C28, C29, C31, C30</t>
  </si>
  <si>
    <t>C12 Gesendet an</t>
  </si>
  <si>
    <t>C4, C26, C9, C20, C11, C5, C10, C6, C3, C18, C13, C14, C15, C16, C17, C2, C23, C1, C25, C27, C7, C8, C19, C21, C22, C24, C28, C29, C31, C30</t>
  </si>
  <si>
    <t>C14 Betreff oder Mailtext enthält | C1 Absender ist</t>
  </si>
  <si>
    <t>C4, C26, C9, C20, C11, C5, C10, C6, C3, C18, C13, C15, C16, C17, C2, C23, C12, C25, C27, C7, C8, C19, C21, C22, C24, C28, C29, C31, C30</t>
  </si>
  <si>
    <t>C20 Hat Anhang | C1 Absender ist</t>
  </si>
  <si>
    <t>C4, C26, C9, C11, C5, C10, C6, C3, C18, C13, C14, C15, C16, C17, C2, C23, C12, C25, C27, C7, C8, C19, C21, C22, C24, C28, C29, C31, C30</t>
  </si>
  <si>
    <t>b – keine Bedingung sichtbar</t>
  </si>
  <si>
    <t>C13 Mailtext enthält | C1 Absender ist</t>
  </si>
  <si>
    <t>C4, C26, C9, C20, C11, C5, C10, C6, C3, C18, C14, C15, C16, C17, C2, C23, C12, C25, C27, C7, C8, C19, C21, C22, C24, C28, C29, C31, C30</t>
  </si>
  <si>
    <t>C17 Absenderadresse enthält</t>
  </si>
  <si>
    <t>C4, C26, C9, C20, C11, C5, C10, C6, C3, C18, C13, C14, C15, C16, C2, C23, C1, C12, C25, C27, C7, C8, C19, C21, C22, C24, C28, C29, C31, C30</t>
  </si>
  <si>
    <t>C17 Absenderadresse enthält | C2 Betreff enthält</t>
  </si>
  <si>
    <t>C4, C26, C9, C20, C11, C5, C10, C6, C3, C18, C13, C14, C15, C16, C23, C1, C12, C25, C27, C7, C8, C19, C21, C22, C24, C28, C29, C31, C30</t>
  </si>
  <si>
    <t>Regeln in Outlook umsetzen</t>
  </si>
  <si>
    <t>Das Makro passt die Regeln des Zielpostfachs nach dem Plan unten an – nach Vorbild des Quellpostfachs. Es löscht keine Regeln und speichert das Quellpostfach nie.</t>
  </si>
  <si>
    <t>1</t>
  </si>
  <si>
    <r>
      <rPr>
        <b/>
        <sz val="10"/>
        <color rgb="FF1F2933"/>
        <rFont val="Aptos"/>
        <family val="2"/>
      </rPr>
      <t xml:space="preserve">Sicherung exportieren – </t>
    </r>
    <r>
      <rPr>
        <sz val="9.5"/>
        <color rgb="FF1F2933"/>
        <rFont val="Aptos"/>
        <family val="2"/>
      </rPr>
      <t>In Outlook: Datei › Regeln und Benachrichtigungen verwalten › Optionen › Regeln exportieren – oben zuerst das Zielpostfach wählen; danach den Dialog schließen. Die .rwz-Datei ist der einzige vollständige Stand zum Zurückspielen. Der Knopf zeigt den aktuellen Stand im Blatt Live (nur lesen).</t>
    </r>
  </si>
  <si>
    <t>2</t>
  </si>
  <si>
    <r>
      <rPr>
        <b/>
        <sz val="10"/>
        <color rgb="FF1F2933"/>
        <rFont val="Aptos"/>
        <family val="2"/>
      </rPr>
      <t xml:space="preserve">Vorschau – </t>
    </r>
    <r>
      <rPr>
        <sz val="9.5"/>
        <color rgb="FF1F2933"/>
        <rFont val="Aptos"/>
        <family val="2"/>
      </rPr>
      <t>Liest beide Postfächer und spielt den Plan Zeile für Zeile durch: bereit, schon erledigt oder blockiert mit Grund. Schreibt nichts nach Outlook – auch keine Ordner.</t>
    </r>
  </si>
  <si>
    <t>3</t>
  </si>
  <si>
    <r>
      <rPr>
        <b/>
        <sz val="10"/>
        <color rgb="FF1F2933"/>
        <rFont val="Aptos"/>
        <family val="2"/>
      </rPr>
      <t xml:space="preserve">Ausführen – </t>
    </r>
    <r>
      <rPr>
        <sz val="9.5"/>
        <color rgb="FF1F2933"/>
        <rFont val="Aptos"/>
        <family val="2"/>
      </rPr>
      <t>Nur nach einer Vorschau ohne Blocker und mit unverändertem Plan. Fragt nach der Sicherung, schreibt alle Regeln ins Blatt Sicherung, ändert erst im Speicher, legt fehlende Ordner an, speichert und prüft danach jede Regel.</t>
    </r>
  </si>
  <si>
    <t>Einstellungen</t>
  </si>
  <si>
    <t>Zielpostfach (wird geändert)</t>
  </si>
  <si>
    <t>Postfach, dessen Regeln das Makro ändert. Muss im Outlook-Profil eingebunden sein (im Regel-Dialog „Posteingang [bestandsuebertragungen@ergo.de]“).</t>
  </si>
  <si>
    <t>Quellpostfach (nur gelesen)</t>
  </si>
  <si>
    <t>Vorbild für KOPIEREN und AUSNAHMEN_UEBERNEHMEN. Wird nur gelesen und nie gespeichert.</t>
  </si>
  <si>
    <t>Trotz nicht lesbarer Bedingungen speichern (Sicherung als .rwz vorhanden)</t>
  </si>
  <si>
    <t>Standard Nein. Nur nötig, wenn Regeln im Zielpostfach nicht lesbar sind – Begründung unter dem Plan.</t>
  </si>
  <si>
    <t>Stand Zielpostfach</t>
  </si>
  <si>
    <t>noch nicht gelesen – Knopf „Vorschau“ oder „Regeln aus Outlook lesen“</t>
  </si>
  <si>
    <t>Letzte Vorschau · Prüfwert des Plans</t>
  </si>
  <si>
    <t/>
  </si>
  <si>
    <t>Letzte Ausführung</t>
  </si>
  <si>
    <t>Plan</t>
  </si>
  <si>
    <t>Von oben nach unten. Ausführen = Ja/Nein je Zeile; eigene Schritte in die leeren Zeilen. Ändert sich der Plan nach der Vorschau, ist vor „Ausführen“ eine neue Vorschau nötig.</t>
  </si>
  <si>
    <t>Ausführen</t>
  </si>
  <si>
    <t>Regel (im Zielpostfach)</t>
  </si>
  <si>
    <t>Neuer Name / Position / Wert</t>
  </si>
  <si>
    <t>Vorschau</t>
  </si>
  <si>
    <t>Ergebnis</t>
  </si>
  <si>
    <t>Ordner: Verschieben-Ziel</t>
  </si>
  <si>
    <t>Ordner: Kopieren-Ziel</t>
  </si>
  <si>
    <t>Quelle (Regel im Quellpostfach)</t>
  </si>
  <si>
    <t>Überspringen: nicht auflösbare Absender</t>
  </si>
  <si>
    <t>Ziel liegt im Postfach Maklerauftraege (Archiv\Auotmatische Antworten) – beim Kopieren nicht umgestellt. Neuer Ordner Archiv\Automatische Antworten wird angelegt (richtig geschrieben; bei Makler heißt er „Auotmatische Antworten“).</t>
  </si>
  <si>
    <t>UMBENENNEN</t>
  </si>
  <si>
    <t>„Kopie von“ streichen – heißt dann wie Makler #1. Bedingung ist schon identisch (Formular / Nachrichtenklasse "IPM.Note.Rules.OofTemplate.Microsoft").</t>
  </si>
  <si>
    <t>KOPIEREN</t>
  </si>
  <si>
    <t>Fehlt in Bestand. Makler #2: Absender ist noreply@1zu1.ag; Mailtext enthält "Diese E-Mail wurde automatisch generiert.". Zeigt Outlook die Bedingung nicht, meldet die Vorschau, wie die Regel einmal in Outlook zu kopieren ist.</t>
  </si>
  <si>
    <t>POSITION</t>
  </si>
  <si>
    <t>nach: Automatische Antworten aussortieren</t>
  </si>
  <si>
    <t>Wie bei Makler: #2 direkt hinter #1.</t>
  </si>
  <si>
    <t>nach: Automatische Antworten 1zu1 aussortieren || Automatische Antworten aussortieren</t>
  </si>
  <si>
    <t>Regel bleibt (eigene Bedingung, Ziel unverändert) – nur direkt dahinter. Ausweich-Bezug: fehlt „Automatische Antworten 1zu1 aussortieren“ (Zeilen 3/4 auf Nein), direkt hinter „Automatische Antworten aussortieren“.</t>
  </si>
  <si>
    <t>Makler-Regel #8 (Absender ist Eskalation Strategische Partner Bestandsuebertragu - Gruppenpostfach). Ziele wie Bestand #9 „Beschwerden/Prio in den Prio-Ordner“.</t>
  </si>
  <si>
    <t>vor: Beschwerden/Prio in den Prio-Ordner</t>
  </si>
  <si>
    <t>Wie bei Makler: direkt vor „Beschwerden/Prio in den Prio-Ordner“.</t>
  </si>
  <si>
    <t>BEDINGUNG_WORT_ERGAENZEN</t>
  </si>
  <si>
    <t>Betreff enthält: "Eskalation"</t>
  </si>
  <si>
    <t>Makler #9 prüft im Betreff zusätzlich „Eskalation“. Vorhandene Wörter ("Vorstandsbeschwerde", "Beschwerde", "Prio") bleiben.</t>
  </si>
  <si>
    <t>UMLEITEN_STATT_WEITERLEITEN</t>
  </si>
  <si>
    <t>Bestand leitet an KWAD - Gruppenpostfach weiter, Makler leitet um – wie Bestand #17 „E - KWAD – Gruppenpostfach“. Umleiten behält den ursprünglichen Absender.</t>
  </si>
  <si>
    <t>AUSNAHMEN_UEBERNEHMEN</t>
  </si>
  <si>
    <t>Makler #21 schließt aus: Absender ist VL KBIDMA - Alle Mitarbeiter; VL KBIAB - Alle Mitarbeiter; VL KBIBHH - Alle Mitarbeiter … (36 Einträge); Betreff enthält "Unzustellbar". Bestand bisher: keine. Nur fehlende Einträge werden ergänzt.</t>
  </si>
  <si>
    <t>Makler #23 schließt aus: Absender ist Microsoft Outlook; Betreff enthält "Unzustellbar", "Nachrichtenrückruf erfolgreich:", "Nachrichtenrückruf fehlgeschlagen:", "Papierakte". Bestand bisher: keine (Regel ohne Bedingung – leitet alle übrigen Mails an KWAD um).</t>
  </si>
  <si>
    <t>nach: Umleitung FL Verträge an VSLV3D</t>
  </si>
  <si>
    <t>Nur nötig, wenn diese Erinnerungen auch in Bestand eingehen. Ordner wird bei Bedarf angelegt; Position wie bei Makler (#11).</t>
  </si>
  <si>
    <t>nach: Erinnerungen JungDMS in einen Unterordner || Umleitung FL Verträge an VSLV3D</t>
  </si>
  <si>
    <t>Nur nötig, wenn diese Erinnerungen auch in Bestand eingehen. Ordner wird bei Bedarf angelegt; Position wie bei Makler (#12).</t>
  </si>
  <si>
    <t>nach: Erinnerungen Qualitypool in einen Unterordner || Erinnerungen JungDMS in einen Unterordner || Umleitung FL Verträge an VSLV3D</t>
  </si>
  <si>
    <t>Nur nötig, wenn diese Erinnerungen auch in Bestand eingehen. Ordner wird bei Bedarf angelegt; Position wie bei Makler (#14).</t>
  </si>
  <si>
    <t>Spalten</t>
  </si>
  <si>
    <t>Was das Makro tut</t>
  </si>
  <si>
    <t>ORDNER_ANLEGEN</t>
  </si>
  <si>
    <t>I</t>
  </si>
  <si>
    <t>Legt den Ordner aus Spalte I (samt fehlender Elternordner) im Zielpostfach an – erst unmittelbar vor dem Speichern.</t>
  </si>
  <si>
    <t>E, I und/oder J</t>
  </si>
  <si>
    <t>Setzt das Ziel von „In Ordner verschieben“ (I) bzw. „In Ordner kopieren“ (J). Die Aktion muss in der Regel schon aktiv sein; fehlende Ordner werden angelegt.</t>
  </si>
  <si>
    <t>E (alt), F (neu)</t>
  </si>
  <si>
    <t>Benennt die Regel um. Heißt sie schon so: schon erledigt. Spätere Zeilen finden die Regel unter beiden Namen.</t>
  </si>
  <si>
    <t>E</t>
  </si>
  <si>
    <t>Schaltet „Weiterleiten an“ aus und „Umleiten an“ mit genau denselben Empfängern ein. Enthält „Umleiten an“ schon andere Empfänger (auch ausgeschaltet), ist die Zeile blockiert.</t>
  </si>
  <si>
    <t>E, F</t>
  </si>
  <si>
    <t>„nach: Regel“, „vor: Regel“ oder „Platz n“. Ausweich-Bezüge mit „||“: „nach: A || B“ – A, sonst B. Ein einzelnes „|“ gehört zum Regelnamen.</t>
  </si>
  <si>
    <t>E (neuer Name), F (Position), I, J, K</t>
  </si>
  <si>
    <t>Übernimmt eine Regel aus dem Quellpostfach (K): gibt es sie schon – angleichen; gibt es „Kopie von …“ aus Outlook – umbenennen; sonst neu anlegen, wenn alle Bedingungen lesbar und anlegbar sind, sonst Anleitung zum Kopieren in Outlook. Nie ohne Bedingung; die neue Regel wird vor dem Speichern gegen die Quelle geprüft.</t>
  </si>
  <si>
    <t>Ergänzt Wörter in einer aktiven Bedingung, z. B. F = Betreff enthält: "Eskalation". Vorhandene Wörter bleiben unverändert; schon vorhandene zählen als erledigt. Neue Wörter werden ohne Leerzeichen am Rand geschrieben.</t>
  </si>
  <si>
    <t>E, K, L</t>
  </si>
  <si>
    <t>Übernimmt die Ausnahmen der Quellregel (K): fehlende Einträge werden ergänzt, vorhandene Ausnahmen bleiben. Absender werden über SMTP-Adresse, Exchange-Adresse oder Namen aufgelöst; nicht auflösbar = blockiert (die Vorschau nennt Typ und Adresse). Nur wer in L namentlich steht, wird dann übersprungen – für ihn bleibt der alte Stand; Rückfrage vor dem Ausführen.</t>
  </si>
  <si>
    <t>DEAKTIVIEREN</t>
  </si>
  <si>
    <t>Schaltet die Regel aus. Regeln löscht das Makro nie.</t>
  </si>
  <si>
    <t>Warum gesperrt?</t>
  </si>
  <si>
    <t>Outlook speichert beim Sichern immer alle Regeln eines Postfachs neu – auch die, die der Plan nicht berührt. Kann das Makro eine Bedingung, Ausnahme oder Aktion nicht lesen (Zugriffsfehler, unbekannter Typ, Werte nicht lesbar), könnte sie dabei verloren gehen; die Regel griffe dann womöglich bei jeder Mail. Dann speichert das Makro nur, wenn in den Einstellungen „Ja“ steht (erst nach dem Export als .rwz). Dasselbe gilt für eine Regel ohne sichtbare Bedingung vor aktiven Regeln (unten). Laut Export: alle Bedingungen in Bestandsuebertragungen@ergo.de lesbar.</t>
  </si>
  <si>
    <t>Regeln ohne Bedingung</t>
  </si>
  <si>
    <t>Eine Regel, für die Outlook gar keine Bedingung liefert, ist lesbar und greift bei allen Mails, die bis zu ihr kommen (Sammelregel), oder ihre Bedingung wurde in Outlook im Web angelegt. Ist sie ausgeschaltet oder die letzte aktive Regel, sperrt sie nicht: Die Vorschau listet sie (Zeilen, die sie ändern, mit „Regel ohne sichtbare Bedingung“), vor dem Ausführen fragt das Makro ausdrücklich nach. Verschiebt oder stoppt sie aber und steht vor anderen aktiven Regeln – geprüft wird der Stand nach dem Plan, auch eine neue Regel dahinter zählt –, würde sie alles Folgende abfangen. Das ist unplausibel; das Makro sperrt dann das Speichern (Freigabe wie oben nur mit „Ja“; besser per Plan ans Ende setzen oder deaktivieren). Laut Export in Bestandsuebertragungen@ergo.de: „E - KWAD – Gruppenpostfach“; „TEST | Komplett an Celonis 09.10.2026“ (aus).</t>
  </si>
  <si>
    <t>Ablauf</t>
  </si>
  <si>
    <t>Blockiert eine ausgewählte Zeile, führt das Makro gar nichts aus. Fehler beim Ausführen: nichts wird gespeichert (Ordner legt das Makro erst unmittelbar vor dem Speichern an). Ändert sich die Lage in Outlook zwischen Vorschau und Speichern (Regel nicht mehr lesbar, Regel ohne Bedingung vor aktiven Regeln), speichert es nicht und setzt den Stand neu – mit „Ja“ fragt es eigens nach. Nach dem Speichern liest das Makro alle Regeln neu und vergleicht jede mit dem erwarteten Stand (Name, Reihenfolge, Bedingungen, Ausnahmen, Aktionen); weicht eine neu angelegte Regel ab (auch nur bei den Ausnahmen), bietet es an, sie sofort zu deaktivieren.</t>
  </si>
  <si>
    <t>Regeln live aus Outlook</t>
  </si>
  <si>
    <t>Noch nicht gelesen – Knopf „Regeln aus Outlook lesen“ im Blatt Umsetzung.</t>
  </si>
  <si>
    <t>Platz</t>
  </si>
  <si>
    <t>Bedingungen (sichtbar)</t>
  </si>
  <si>
    <t>Ausnahmen (sichtbar)</t>
  </si>
  <si>
    <t>Verschieben nach</t>
  </si>
  <si>
    <t>Kopieren nach</t>
  </si>
  <si>
    <t>Bedingungs-einträge</t>
  </si>
  <si>
    <t>Condition-Types (aktiv)</t>
  </si>
  <si>
    <t>Lesbar</t>
  </si>
  <si>
    <t>Sicherung vor dem Ausführen</t>
  </si>
  <si>
    <t>Wird vor jeder Ausführung ergänzt, nie überschrieben. Vollständig zurückspielen lässt sich der alte Stand nur mit dem Outlook-Export (.rwz).</t>
  </si>
  <si>
    <t>Zeitpunkt</t>
  </si>
  <si>
    <t>Jeder Lauf (Lesen, Vorschau, Ausführen) und jede Änderung in Outlook mit Zeitpunkt.</t>
  </si>
  <si>
    <t>Lauf</t>
  </si>
  <si>
    <t>Zeile</t>
  </si>
  <si>
    <t>Meldung</t>
  </si>
</sst>
</file>

<file path=xl/styles.xml><?xml version="1.0" encoding="utf-8"?>
<styleSheet xmlns="http://schemas.openxmlformats.org/spreadsheetml/2006/main">
  <numFmts count="2">
    <numFmt numFmtId="164" formatCode="#,##0"/>
    <numFmt numFmtId="165" formatCode="@"/>
  </numFmts>
  <fonts count="69">
    <font>
      <sz val="10"/>
      <color theme="1"/>
      <name val="Aptos"/>
      <family val="2"/>
    </font>
    <font>
      <b/>
      <sz val="22"/>
      <color rgb="FF1F2933"/>
      <name val="Aptos Display"/>
      <family val="2"/>
    </font>
    <font>
      <sz val="10"/>
      <color rgb="FF5F6B7A"/>
      <name val="Aptos"/>
      <family val="2"/>
    </font>
    <font>
      <b/>
      <sz val="8.5"/>
      <color rgb="FF5F6B7A"/>
      <name val="Aptos"/>
      <family val="2"/>
    </font>
    <font>
      <b/>
      <sz val="26"/>
      <color rgb="FF1F2933"/>
      <name val="Aptos Display"/>
      <family val="2"/>
    </font>
    <font>
      <b/>
      <sz val="26"/>
      <color rgb="FF1E7F4F"/>
      <name val="Aptos Display"/>
      <family val="2"/>
    </font>
    <font>
      <b/>
      <sz val="26"/>
      <color rgb="FF4A5360"/>
      <name val="Aptos Display"/>
      <family val="2"/>
    </font>
    <font>
      <b/>
      <sz val="26"/>
      <color rgb="FF8A5A00"/>
      <name val="Aptos Display"/>
      <family val="2"/>
    </font>
    <font>
      <b/>
      <sz val="26"/>
      <color rgb="FF0B6F7D"/>
      <name val="Aptos Display"/>
      <family val="2"/>
    </font>
    <font>
      <b/>
      <sz val="26"/>
      <color rgb="FFBF1528"/>
      <name val="Aptos Display"/>
      <family val="2"/>
    </font>
    <font>
      <sz val="9"/>
      <color rgb="FF5F6B7A"/>
      <name val="Aptos"/>
      <family val="2"/>
    </font>
    <font>
      <b/>
      <sz val="13"/>
      <color rgb="FF1F2933"/>
      <name val="Aptos Display"/>
      <family val="2"/>
    </font>
    <font>
      <b/>
      <sz val="10"/>
      <color rgb="FFFFFFFF"/>
      <name val="Aptos"/>
      <family val="2"/>
    </font>
    <font>
      <b/>
      <sz val="10"/>
      <color rgb="FF8E0F1E"/>
      <name val="Aptos"/>
      <family val="2"/>
    </font>
    <font>
      <sz val="10"/>
      <color rgb="FF1F2933"/>
      <name val="Aptos"/>
      <family val="2"/>
    </font>
    <font>
      <b/>
      <sz val="10"/>
      <color rgb="FF3B4F8A"/>
      <name val="Aptos"/>
      <family val="2"/>
    </font>
    <font>
      <b/>
      <sz val="10"/>
      <color rgb="FF0B6F7D"/>
      <name val="Aptos"/>
      <family val="2"/>
    </font>
    <font>
      <b/>
      <sz val="10"/>
      <color rgb="FF5B3E96"/>
      <name val="Aptos"/>
      <family val="2"/>
    </font>
    <font>
      <b/>
      <sz val="10"/>
      <color rgb="FF1E7F4F"/>
      <name val="Aptos"/>
      <family val="2"/>
    </font>
    <font>
      <sz val="9.5"/>
      <color rgb="FF8A5A00"/>
      <name val="Aptos"/>
      <family val="2"/>
    </font>
    <font>
      <b/>
      <sz val="10"/>
      <color rgb="FF8A5A00"/>
      <name val="Aptos"/>
      <family val="2"/>
    </font>
    <font>
      <b/>
      <sz val="10"/>
      <color rgb="FF9A4A00"/>
      <name val="Aptos"/>
      <family val="2"/>
    </font>
    <font>
      <b/>
      <sz val="10"/>
      <color rgb="FF4A5360"/>
      <name val="Aptos"/>
      <family val="2"/>
    </font>
    <font>
      <b/>
      <u/>
      <sz val="10"/>
      <color rgb="FFBF1528"/>
      <name val="Aptos"/>
      <family val="2"/>
    </font>
    <font>
      <b/>
      <sz val="10"/>
      <color rgb="FF1F2933"/>
      <name val="Aptos"/>
      <family val="2"/>
    </font>
    <font>
      <b/>
      <sz val="9"/>
      <color rgb="FF3B4F8A"/>
      <name val="Aptos"/>
      <family val="2"/>
    </font>
    <font>
      <b/>
      <sz val="9"/>
      <color rgb="FF0B6F7D"/>
      <name val="Aptos"/>
      <family val="2"/>
    </font>
    <font>
      <b/>
      <sz val="9"/>
      <color rgb="FF8A5A00"/>
      <name val="Aptos"/>
      <family val="2"/>
    </font>
    <font>
      <b/>
      <sz val="9"/>
      <color rgb="FF1E7F4F"/>
      <name val="Aptos"/>
      <family val="2"/>
    </font>
    <font>
      <b/>
      <sz val="9"/>
      <color rgb="FF4A5360"/>
      <name val="Aptos"/>
      <family val="2"/>
    </font>
    <font>
      <b/>
      <sz val="20"/>
      <color rgb="FF1F2933"/>
      <name val="Aptos Display"/>
      <family val="2"/>
    </font>
    <font>
      <b/>
      <sz val="16"/>
      <color rgb="FFBF1528"/>
      <name val="Aptos Display"/>
      <family val="2"/>
    </font>
    <font>
      <sz val="9.5"/>
      <color rgb="FF1F2933"/>
      <name val="Aptos"/>
      <family val="2"/>
    </font>
    <font>
      <b/>
      <sz val="12"/>
      <color rgb="FF1F2933"/>
      <name val="Aptos Display"/>
      <family val="2"/>
    </font>
    <font>
      <b/>
      <sz val="9.5"/>
      <color rgb="FF1F2933"/>
      <name val="Aptos"/>
      <family val="2"/>
    </font>
    <font>
      <sz val="9.5"/>
      <color rgb="FF5F6B7A"/>
      <name val="Aptos"/>
      <family val="2"/>
    </font>
    <font>
      <b/>
      <sz val="8.5"/>
      <color rgb="FF1F2933"/>
      <name val="Aptos"/>
      <family val="2"/>
    </font>
    <font>
      <sz val="9.5"/>
      <color rgb="FF1F2933"/>
      <name val="Aptos"/>
      <family val="2"/>
    </font>
    <font>
      <sz val="9"/>
      <color rgb="FF1F2933"/>
      <name val="Aptos"/>
      <family val="2"/>
    </font>
    <font>
      <b/>
      <sz val="9.5"/>
      <color rgb="FF8A5A00"/>
      <name val="Aptos"/>
      <family val="2"/>
    </font>
    <font>
      <b/>
      <sz val="9.5"/>
      <color rgb="FF9A4A00"/>
      <name val="Aptos"/>
      <family val="2"/>
    </font>
    <font>
      <sz val="9.5"/>
      <color rgb="FF9A4A00"/>
      <name val="Aptos"/>
      <family val="2"/>
    </font>
    <font>
      <b/>
      <sz val="10.5"/>
      <color rgb="FFFFFFFF"/>
      <name val="Aptos"/>
      <family val="2"/>
    </font>
    <font>
      <b/>
      <sz val="9"/>
      <color rgb="FF8E0F1E"/>
      <name val="Aptos"/>
      <family val="2"/>
    </font>
    <font>
      <i/>
      <sz val="10"/>
      <color rgb="FF9AA3AD"/>
      <name val="Aptos"/>
      <family val="2"/>
    </font>
    <font>
      <sz val="10"/>
      <color rgb="FF9AA3AD"/>
      <name val="Aptos"/>
      <family val="2"/>
    </font>
    <font>
      <sz val="9"/>
      <color rgb="FF5F6B7A"/>
      <name val="Aptos"/>
      <family val="2"/>
    </font>
    <font>
      <i/>
      <sz val="9"/>
      <color rgb="FF9AA3AD"/>
      <name val="Aptos"/>
      <family val="2"/>
    </font>
    <font>
      <sz val="10"/>
      <color rgb="FFC5CDD6"/>
      <name val="Aptos"/>
      <family val="2"/>
    </font>
    <font>
      <b/>
      <sz val="9"/>
      <color rgb="FF5B3E96"/>
      <name val="Aptos"/>
      <family val="2"/>
    </font>
    <font>
      <b/>
      <sz val="9.5"/>
      <color rgb="FF1E7F4F"/>
      <name val="Aptos"/>
      <family val="2"/>
    </font>
    <font>
      <b/>
      <sz val="10.5"/>
      <color rgb="FF1F2933"/>
      <name val="Aptos"/>
      <family val="2"/>
    </font>
    <font>
      <b/>
      <u/>
      <sz val="9.5"/>
      <color rgb="FFBF1528"/>
      <name val="Aptos"/>
      <family val="2"/>
    </font>
    <font>
      <i/>
      <sz val="10"/>
      <color rgb="FF1E7F4F"/>
      <name val="Aptos"/>
      <family val="2"/>
    </font>
    <font>
      <b/>
      <sz val="9"/>
      <color rgb="FF9A4A00"/>
      <name val="Aptos"/>
      <family val="2"/>
    </font>
    <font>
      <b/>
      <sz val="8.5"/>
      <color rgb="FF3B4F8A"/>
      <name val="Aptos"/>
      <family val="2"/>
    </font>
    <font>
      <b/>
      <sz val="8.5"/>
      <color rgb="FF1E7F4F"/>
      <name val="Aptos"/>
      <family val="2"/>
    </font>
    <font>
      <sz val="9"/>
      <color rgb="FF9AA3AD"/>
      <name val="Aptos"/>
      <family val="2"/>
    </font>
    <font>
      <sz val="10"/>
      <color rgb="FF1F2933"/>
      <name val="Aptos"/>
      <family val="2"/>
    </font>
    <font>
      <b/>
      <sz val="8.5"/>
      <color rgb="FF8A5A00"/>
      <name val="Aptos"/>
      <family val="2"/>
    </font>
    <font>
      <b/>
      <sz val="8.5"/>
      <color rgb="FF4A5360"/>
      <name val="Aptos"/>
      <family val="2"/>
    </font>
    <font>
      <sz val="10"/>
      <color rgb="FF9AA3AD"/>
      <name val="Aptos"/>
      <family val="2"/>
    </font>
    <font>
      <i/>
      <sz val="9.5"/>
      <color rgb="FF5F6B7A"/>
      <name val="Aptos"/>
      <family val="2"/>
    </font>
    <font>
      <b/>
      <sz val="9.5"/>
      <color rgb="FF5F6B7A"/>
      <name val="Aptos"/>
      <family val="2"/>
    </font>
    <font>
      <b/>
      <sz val="11"/>
      <color rgb="FFFFFFFF"/>
      <name val="Aptos"/>
      <family val="2"/>
    </font>
    <font>
      <b/>
      <sz val="8.5"/>
      <color rgb="FFFFFFFF"/>
      <name val="Aptos"/>
      <family val="2"/>
    </font>
    <font>
      <b/>
      <sz val="8.5"/>
      <color rgb="FF0B6F7D"/>
      <name val="Aptos"/>
      <family val="2"/>
    </font>
    <font>
      <b/>
      <sz val="10"/>
      <color rgb="FF9AA3AD"/>
      <name val="Aptos"/>
      <family val="2"/>
    </font>
    <font>
      <b/>
      <sz val="8.5"/>
      <color rgb="FF9AA3AD"/>
      <name val="Aptos"/>
      <family val="2"/>
    </font>
  </fonts>
  <fills count="16">
    <fill>
      <patternFill patternType="none"/>
    </fill>
    <fill>
      <patternFill patternType="gray125"/>
    </fill>
    <fill>
      <patternFill patternType="solid">
        <fgColor rgb="FFF3F5F8"/>
        <bgColor indexed="64"/>
      </patternFill>
    </fill>
    <fill>
      <patternFill patternType="solid">
        <fgColor rgb="FF1F2933"/>
        <bgColor indexed="64"/>
      </patternFill>
    </fill>
    <fill>
      <patternFill patternType="solid">
        <fgColor rgb="FFFBE9EB"/>
        <bgColor indexed="64"/>
      </patternFill>
    </fill>
    <fill>
      <patternFill patternType="solid">
        <fgColor rgb="FFE3E7F3"/>
        <bgColor indexed="64"/>
      </patternFill>
    </fill>
    <fill>
      <patternFill patternType="solid">
        <fgColor rgb="FFCCEBED"/>
        <bgColor indexed="64"/>
      </patternFill>
    </fill>
    <fill>
      <patternFill patternType="solid">
        <fgColor rgb="FFECE6F5"/>
        <bgColor indexed="64"/>
      </patternFill>
    </fill>
    <fill>
      <patternFill patternType="solid">
        <fgColor rgb="FFDDF3E4"/>
        <bgColor indexed="64"/>
      </patternFill>
    </fill>
    <fill>
      <patternFill patternType="solid">
        <fgColor rgb="FFFBEFC7"/>
        <bgColor indexed="64"/>
      </patternFill>
    </fill>
    <fill>
      <patternFill patternType="solid">
        <fgColor rgb="FFFDE8D4"/>
        <bgColor indexed="64"/>
      </patternFill>
    </fill>
    <fill>
      <patternFill patternType="solid">
        <fgColor rgb="FFE9ECF0"/>
        <bgColor indexed="64"/>
      </patternFill>
    </fill>
    <fill>
      <patternFill patternType="solid">
        <fgColor rgb="FFFFF8E1"/>
        <bgColor indexed="64"/>
      </patternFill>
    </fill>
    <fill>
      <patternFill patternType="solid">
        <fgColor rgb="FFEEF1F5"/>
        <bgColor indexed="64"/>
      </patternFill>
    </fill>
    <fill>
      <patternFill patternType="solid">
        <fgColor rgb="FFFFFFFF"/>
        <bgColor indexed="64"/>
      </patternFill>
    </fill>
    <fill>
      <patternFill patternType="solid">
        <fgColor rgb="FFE6F4F5"/>
        <bgColor indexed="64"/>
      </patternFill>
    </fill>
  </fills>
  <borders count="11">
    <border>
      <left/>
      <right/>
      <top/>
      <bottom/>
      <diagonal/>
    </border>
    <border>
      <left style="thin">
        <color rgb="FF1F2933"/>
      </left>
      <right style="thin">
        <color rgb="FF1F2933"/>
      </right>
      <top style="thin">
        <color rgb="FF1F2933"/>
      </top>
      <bottom style="thin">
        <color rgb="FF1F2933"/>
      </bottom>
      <diagonal/>
    </border>
    <border>
      <left style="medium">
        <color rgb="FFFFFFFF"/>
      </left>
      <right style="medium">
        <color rgb="FFFFFFFF"/>
      </right>
      <top style="medium">
        <color rgb="FFFFFFFF"/>
      </top>
      <bottom style="medium">
        <color rgb="FFFFFFFF"/>
      </bottom>
      <diagonal/>
    </border>
    <border>
      <left/>
      <right/>
      <top/>
      <bottom style="thin">
        <color rgb="FFE3E7EC"/>
      </bottom>
      <diagonal/>
    </border>
    <border>
      <left/>
      <right/>
      <top style="thin">
        <color rgb="FF1F2933"/>
      </top>
      <bottom/>
      <diagonal/>
    </border>
    <border>
      <left style="thin">
        <color rgb="FFE8D9A8"/>
      </left>
      <right style="thin">
        <color rgb="FFE8D9A8"/>
      </right>
      <top style="thin">
        <color rgb="FFE8D9A8"/>
      </top>
      <bottom style="thin">
        <color rgb="FFE8D9A8"/>
      </bottom>
      <diagonal/>
    </border>
    <border>
      <left/>
      <right/>
      <top style="medium">
        <color rgb="FFC5CDD6"/>
      </top>
      <bottom style="thin">
        <color rgb="FFE3E7EC"/>
      </bottom>
      <diagonal/>
    </border>
    <border>
      <left/>
      <right/>
      <top style="thin">
        <color rgb="FFC5CDD6"/>
      </top>
      <bottom/>
      <diagonal/>
    </border>
    <border>
      <left style="medium">
        <color rgb="FFEEF1F5"/>
      </left>
      <right style="medium">
        <color rgb="FFEEF1F5"/>
      </right>
      <top style="medium">
        <color rgb="FFEEF1F5"/>
      </top>
      <bottom style="medium">
        <color rgb="FFEEF1F5"/>
      </bottom>
      <diagonal/>
    </border>
    <border>
      <left/>
      <right/>
      <top style="thin">
        <color rgb="FFC5CDD6"/>
      </top>
      <bottom style="thin">
        <color rgb="FFE3E7EC"/>
      </bottom>
      <diagonal/>
    </border>
    <border>
      <left/>
      <right/>
      <top style="medium">
        <color rgb="FF1F2933"/>
      </top>
      <bottom/>
      <diagonal/>
    </border>
  </borders>
  <cellStyleXfs count="1">
    <xf numFmtId="0" fontId="0" fillId="0" borderId="0"/>
  </cellStyleXfs>
  <cellXfs count="154">
    <xf numFmtId="0" fontId="0" fillId="0" borderId="0" xfId="0"/>
    <xf numFmtId="0" fontId="1" fillId="0" borderId="0" xfId="0" applyFont="1" applyAlignment="1"/>
    <xf numFmtId="0" fontId="2" fillId="0" borderId="0" xfId="0" applyFont="1" applyAlignment="1">
      <alignment vertical="center"/>
    </xf>
    <xf numFmtId="0" fontId="3" fillId="2" borderId="0" xfId="0" applyFont="1" applyFill="1" applyAlignment="1">
      <alignment indent="1"/>
    </xf>
    <xf numFmtId="164" fontId="4" fillId="2" borderId="0" xfId="0" applyNumberFormat="1" applyFont="1" applyFill="1" applyAlignment="1">
      <alignment horizontal="left" vertical="center" indent="1"/>
    </xf>
    <xf numFmtId="164" fontId="5" fillId="2" borderId="0" xfId="0" applyNumberFormat="1" applyFont="1" applyFill="1" applyAlignment="1">
      <alignment horizontal="left" vertical="center" indent="1"/>
    </xf>
    <xf numFmtId="164" fontId="6" fillId="2" borderId="0" xfId="0" applyNumberFormat="1" applyFont="1" applyFill="1" applyAlignment="1">
      <alignment horizontal="left" vertical="center" indent="1"/>
    </xf>
    <xf numFmtId="164" fontId="7" fillId="2" borderId="0" xfId="0" applyNumberFormat="1" applyFont="1" applyFill="1" applyAlignment="1">
      <alignment horizontal="left" vertical="center" indent="1"/>
    </xf>
    <xf numFmtId="164" fontId="8" fillId="2" borderId="0" xfId="0" applyNumberFormat="1" applyFont="1" applyFill="1" applyAlignment="1">
      <alignment horizontal="left" vertical="center" indent="1"/>
    </xf>
    <xf numFmtId="164" fontId="9" fillId="2" borderId="0" xfId="0" applyNumberFormat="1" applyFont="1" applyFill="1" applyAlignment="1">
      <alignment horizontal="left" vertical="center" indent="1"/>
    </xf>
    <xf numFmtId="0" fontId="10" fillId="2" borderId="0" xfId="0" applyFont="1" applyFill="1" applyAlignment="1">
      <alignment vertical="top" indent="1"/>
    </xf>
    <xf numFmtId="0" fontId="11" fillId="0" borderId="0" xfId="0" applyFont="1" applyAlignment="1"/>
    <xf numFmtId="0" fontId="12" fillId="3" borderId="1" xfId="0" applyFont="1" applyFill="1" applyBorder="1" applyAlignment="1">
      <alignment horizontal="left" vertical="center" indent="1" wrapText="1"/>
    </xf>
    <xf numFmtId="0" fontId="12" fillId="3" borderId="1" xfId="0" applyFont="1" applyFill="1" applyBorder="1" applyAlignment="1">
      <alignment horizontal="center" vertical="center" wrapText="1"/>
    </xf>
    <xf numFmtId="0" fontId="13" fillId="4" borderId="2" xfId="0" applyFont="1" applyFill="1" applyBorder="1" applyAlignment="1">
      <alignment horizontal="left" vertical="center" indent="1"/>
    </xf>
    <xf numFmtId="164" fontId="14" fillId="0" borderId="3" xfId="0" applyNumberFormat="1" applyFont="1" applyBorder="1" applyAlignment="1">
      <alignment horizontal="center" vertical="center"/>
    </xf>
    <xf numFmtId="0" fontId="2" fillId="0" borderId="3" xfId="0" applyFont="1" applyBorder="1" applyAlignment="1">
      <alignment horizontal="left" vertical="center" indent="1"/>
    </xf>
    <xf numFmtId="0" fontId="15" fillId="5" borderId="2" xfId="0" applyFont="1" applyFill="1" applyBorder="1" applyAlignment="1">
      <alignment horizontal="left" vertical="center" indent="1"/>
    </xf>
    <xf numFmtId="0" fontId="16" fillId="6" borderId="2" xfId="0" applyFont="1" applyFill="1" applyBorder="1" applyAlignment="1">
      <alignment horizontal="left" vertical="center" indent="1"/>
    </xf>
    <xf numFmtId="0" fontId="17" fillId="7" borderId="2" xfId="0" applyFont="1" applyFill="1" applyBorder="1" applyAlignment="1">
      <alignment horizontal="left" vertical="center" indent="1"/>
    </xf>
    <xf numFmtId="0" fontId="18" fillId="8" borderId="2" xfId="0" applyFont="1" applyFill="1" applyBorder="1" applyAlignment="1">
      <alignment horizontal="left" vertical="center" indent="1"/>
    </xf>
    <xf numFmtId="0" fontId="19" fillId="9" borderId="0" xfId="0" applyFont="1" applyFill="1" applyAlignment="1">
      <alignment horizontal="left" vertical="center" indent="1" wrapText="1"/>
    </xf>
    <xf numFmtId="0" fontId="20" fillId="9" borderId="2" xfId="0" applyFont="1" applyFill="1" applyBorder="1" applyAlignment="1">
      <alignment horizontal="left" vertical="center" indent="1"/>
    </xf>
    <xf numFmtId="0" fontId="21" fillId="10" borderId="2" xfId="0" applyFont="1" applyFill="1" applyBorder="1" applyAlignment="1">
      <alignment horizontal="left" vertical="center" indent="1"/>
    </xf>
    <xf numFmtId="0" fontId="22" fillId="11" borderId="2" xfId="0" applyFont="1" applyFill="1" applyBorder="1" applyAlignment="1">
      <alignment horizontal="left" vertical="center" indent="1"/>
    </xf>
    <xf numFmtId="0" fontId="23" fillId="0" borderId="0" xfId="0" applyFont="1" applyAlignment="1">
      <alignment horizontal="left" vertical="center" indent="1"/>
    </xf>
    <xf numFmtId="0" fontId="24" fillId="0" borderId="3" xfId="0" applyFont="1" applyBorder="1" applyAlignment="1">
      <alignment horizontal="left" vertical="center" indent="1"/>
    </xf>
    <xf numFmtId="0" fontId="24" fillId="0" borderId="4" xfId="0" applyFont="1" applyBorder="1" applyAlignment="1">
      <alignment horizontal="left" vertical="center" indent="1"/>
    </xf>
    <xf numFmtId="164" fontId="24" fillId="0" borderId="4" xfId="0" applyNumberFormat="1" applyFont="1" applyBorder="1" applyAlignment="1">
      <alignment horizontal="center" vertical="center"/>
    </xf>
    <xf numFmtId="0" fontId="23" fillId="0" borderId="3" xfId="0" applyFont="1" applyBorder="1" applyAlignment="1">
      <alignment horizontal="left" vertical="center" indent="1"/>
    </xf>
    <xf numFmtId="0" fontId="14" fillId="0" borderId="3" xfId="0" applyFont="1" applyBorder="1" applyAlignment="1">
      <alignment horizontal="left" vertical="center" indent="1"/>
    </xf>
    <xf numFmtId="0" fontId="25" fillId="5" borderId="2" xfId="0" applyFont="1" applyFill="1" applyBorder="1" applyAlignment="1">
      <alignment horizontal="center" vertical="center"/>
    </xf>
    <xf numFmtId="0" fontId="26" fillId="6" borderId="2" xfId="0" applyFont="1" applyFill="1" applyBorder="1" applyAlignment="1">
      <alignment horizontal="center" vertical="center"/>
    </xf>
    <xf numFmtId="0" fontId="27" fillId="9" borderId="2" xfId="0" applyFont="1" applyFill="1" applyBorder="1" applyAlignment="1">
      <alignment horizontal="center" vertical="center"/>
    </xf>
    <xf numFmtId="0" fontId="28" fillId="8" borderId="2" xfId="0" applyFont="1" applyFill="1" applyBorder="1" applyAlignment="1">
      <alignment horizontal="center" vertical="center"/>
    </xf>
    <xf numFmtId="0" fontId="29" fillId="11" borderId="2" xfId="0" applyFont="1" applyFill="1" applyBorder="1" applyAlignment="1">
      <alignment horizontal="center" vertical="center"/>
    </xf>
    <xf numFmtId="0" fontId="30" fillId="0" borderId="0" xfId="0" applyFont="1" applyAlignment="1"/>
    <xf numFmtId="0" fontId="31" fillId="2" borderId="0" xfId="0" applyFont="1" applyFill="1" applyAlignment="1">
      <alignment horizontal="center" vertical="center"/>
    </xf>
    <xf numFmtId="0" fontId="14" fillId="2" borderId="0" xfId="0" applyFont="1" applyFill="1" applyAlignment="1">
      <alignment vertical="center"/>
    </xf>
    <xf numFmtId="0" fontId="32" fillId="2" borderId="0" xfId="0" applyFont="1" applyFill="1" applyAlignment="1">
      <alignment horizontal="left" vertical="center" indent="1" wrapText="1"/>
    </xf>
    <xf numFmtId="0" fontId="33" fillId="0" borderId="0" xfId="0" applyFont="1" applyAlignment="1"/>
    <xf numFmtId="0" fontId="34" fillId="0" borderId="3" xfId="0" applyFont="1" applyBorder="1" applyAlignment="1">
      <alignment horizontal="left" vertical="center" indent="1" wrapText="1"/>
    </xf>
    <xf numFmtId="165" fontId="24" fillId="12" borderId="5" xfId="0" applyNumberFormat="1" applyFont="1" applyFill="1" applyBorder="1" applyAlignment="1">
      <alignment horizontal="left" vertical="center" indent="1"/>
    </xf>
    <xf numFmtId="0" fontId="10" fillId="0" borderId="3" xfId="0" applyFont="1" applyBorder="1" applyAlignment="1">
      <alignment horizontal="left" vertical="center" indent="1" wrapText="1"/>
    </xf>
    <xf numFmtId="165" fontId="22" fillId="11" borderId="0" xfId="0" applyNumberFormat="1" applyFont="1" applyFill="1" applyAlignment="1">
      <alignment vertical="top" indent="1" wrapText="1"/>
    </xf>
    <xf numFmtId="165" fontId="14" fillId="0" borderId="3" xfId="0" applyNumberFormat="1" applyFont="1" applyBorder="1" applyAlignment="1">
      <alignment horizontal="left" vertical="center" indent="1"/>
    </xf>
    <xf numFmtId="165" fontId="2" fillId="0" borderId="3" xfId="0" applyNumberFormat="1" applyFont="1" applyBorder="1" applyAlignment="1">
      <alignment horizontal="left" vertical="center" indent="1"/>
    </xf>
    <xf numFmtId="0" fontId="34" fillId="0" borderId="3" xfId="0" applyFont="1" applyBorder="1" applyAlignment="1">
      <alignment horizontal="right" vertical="center" indent="1"/>
    </xf>
    <xf numFmtId="0" fontId="35" fillId="0" borderId="0" xfId="0" applyFont="1" applyAlignment="1"/>
    <xf numFmtId="0" fontId="2" fillId="0" borderId="3" xfId="0" applyFont="1" applyBorder="1" applyAlignment="1">
      <alignment horizontal="center" vertical="top"/>
    </xf>
    <xf numFmtId="165" fontId="24" fillId="0" borderId="3" xfId="0" applyNumberFormat="1" applyFont="1" applyBorder="1" applyAlignment="1">
      <alignment horizontal="center" vertical="top"/>
    </xf>
    <xf numFmtId="165" fontId="36" fillId="0" borderId="3" xfId="0" applyNumberFormat="1" applyFont="1" applyBorder="1" applyAlignment="1">
      <alignment horizontal="left" vertical="top" indent="1" wrapText="1"/>
    </xf>
    <xf numFmtId="165" fontId="34" fillId="0" borderId="3" xfId="0" applyNumberFormat="1" applyFont="1" applyBorder="1" applyAlignment="1">
      <alignment horizontal="left" vertical="top" indent="1" wrapText="1"/>
    </xf>
    <xf numFmtId="165" fontId="37" fillId="0" borderId="3" xfId="0" applyNumberFormat="1" applyFont="1" applyBorder="1" applyAlignment="1">
      <alignment horizontal="left" vertical="top" indent="1" wrapText="1"/>
    </xf>
    <xf numFmtId="165" fontId="38" fillId="0" borderId="3" xfId="0" applyNumberFormat="1" applyFont="1" applyBorder="1" applyAlignment="1">
      <alignment horizontal="left" vertical="top" indent="1" wrapText="1"/>
    </xf>
    <xf numFmtId="0" fontId="10" fillId="0" borderId="3" xfId="0" applyFont="1" applyBorder="1" applyAlignment="1">
      <alignment horizontal="left" vertical="top" indent="1" wrapText="1"/>
    </xf>
    <xf numFmtId="0" fontId="36" fillId="0" borderId="3" xfId="0" applyFont="1" applyBorder="1" applyAlignment="1">
      <alignment horizontal="left" vertical="center" indent="1" wrapText="1"/>
    </xf>
    <xf numFmtId="0" fontId="10" fillId="0" borderId="3" xfId="0" applyFont="1" applyBorder="1" applyAlignment="1">
      <alignment horizontal="left" vertical="center" indent="1" wrapText="1"/>
    </xf>
    <xf numFmtId="0" fontId="38" fillId="0" borderId="3" xfId="0" applyFont="1" applyBorder="1" applyAlignment="1">
      <alignment horizontal="left" vertical="center" indent="1" wrapText="1"/>
    </xf>
    <xf numFmtId="0" fontId="39" fillId="9" borderId="0" xfId="0" applyFont="1" applyFill="1" applyAlignment="1">
      <alignment vertical="top" indent="1"/>
    </xf>
    <xf numFmtId="0" fontId="19" fillId="9" borderId="0" xfId="0" applyFont="1" applyFill="1" applyAlignment="1">
      <alignment vertical="top" indent="1" wrapText="1"/>
    </xf>
    <xf numFmtId="0" fontId="40" fillId="10" borderId="0" xfId="0" applyFont="1" applyFill="1" applyAlignment="1">
      <alignment vertical="top" indent="1"/>
    </xf>
    <xf numFmtId="0" fontId="41" fillId="10" borderId="0" xfId="0" applyFont="1" applyFill="1" applyAlignment="1">
      <alignment vertical="top" indent="1" wrapText="1"/>
    </xf>
    <xf numFmtId="0" fontId="34" fillId="2" borderId="0" xfId="0" applyFont="1" applyFill="1" applyAlignment="1">
      <alignment vertical="top" indent="1"/>
    </xf>
    <xf numFmtId="0" fontId="32" fillId="2" borderId="0" xfId="0" applyFont="1" applyFill="1" applyAlignment="1">
      <alignment vertical="top" indent="1" wrapText="1"/>
    </xf>
    <xf numFmtId="0" fontId="35" fillId="0" borderId="0" xfId="0" applyFont="1" applyAlignment="1">
      <alignment vertical="center"/>
    </xf>
    <xf numFmtId="0" fontId="42" fillId="3" borderId="0" xfId="0" applyFont="1" applyFill="1" applyAlignment="1">
      <alignment horizontal="left" vertical="center" indent="1"/>
    </xf>
    <xf numFmtId="0" fontId="43" fillId="4" borderId="2" xfId="0" applyFont="1" applyFill="1" applyBorder="1" applyAlignment="1">
      <alignment horizontal="left" vertical="center" indent="1"/>
    </xf>
    <xf numFmtId="0" fontId="24" fillId="0" borderId="3" xfId="0" applyFont="1" applyBorder="1" applyAlignment="1">
      <alignment horizontal="left" vertical="center" indent="1" wrapText="1"/>
    </xf>
    <xf numFmtId="0" fontId="24" fillId="0" borderId="3" xfId="0" applyFont="1" applyBorder="1" applyAlignment="1">
      <alignment horizontal="center" vertical="center"/>
    </xf>
    <xf numFmtId="0" fontId="44" fillId="0" borderId="3" xfId="0" applyFont="1" applyBorder="1" applyAlignment="1">
      <alignment horizontal="center" vertical="center"/>
    </xf>
    <xf numFmtId="0" fontId="13" fillId="4" borderId="2" xfId="0" applyFont="1" applyFill="1" applyBorder="1" applyAlignment="1">
      <alignment horizontal="center" vertical="center"/>
    </xf>
    <xf numFmtId="0" fontId="45" fillId="0" borderId="3" xfId="0" applyFont="1" applyBorder="1" applyAlignment="1">
      <alignment horizontal="center" vertical="center"/>
    </xf>
    <xf numFmtId="0" fontId="14" fillId="0" borderId="3" xfId="0" applyFont="1" applyBorder="1" applyAlignment="1">
      <alignment horizontal="left" vertical="center" indent="1" wrapText="1"/>
    </xf>
    <xf numFmtId="0" fontId="46" fillId="0" borderId="3" xfId="0" applyFont="1" applyBorder="1" applyAlignment="1">
      <alignment horizontal="left" vertical="center" indent="1" wrapText="1"/>
    </xf>
    <xf numFmtId="0" fontId="47" fillId="0" borderId="3" xfId="0" applyFont="1" applyBorder="1" applyAlignment="1">
      <alignment horizontal="left" vertical="center" indent="1" wrapText="1"/>
    </xf>
    <xf numFmtId="0" fontId="25" fillId="5" borderId="2" xfId="0" applyFont="1" applyFill="1" applyBorder="1" applyAlignment="1">
      <alignment horizontal="left" vertical="center" indent="1"/>
    </xf>
    <xf numFmtId="0" fontId="26" fillId="6" borderId="2" xfId="0" applyFont="1" applyFill="1" applyBorder="1" applyAlignment="1">
      <alignment horizontal="left" vertical="center" indent="1"/>
    </xf>
    <xf numFmtId="0" fontId="48" fillId="0" borderId="3" xfId="0" applyFont="1" applyBorder="1" applyAlignment="1">
      <alignment horizontal="center" vertical="center"/>
    </xf>
    <xf numFmtId="0" fontId="48" fillId="0" borderId="3" xfId="0" applyFont="1" applyBorder="1" applyAlignment="1">
      <alignment horizontal="center" vertical="center"/>
    </xf>
    <xf numFmtId="0" fontId="48" fillId="0" borderId="3" xfId="0" applyFont="1" applyBorder="1" applyAlignment="1">
      <alignment horizontal="left" vertical="center" indent="1"/>
    </xf>
    <xf numFmtId="0" fontId="49" fillId="7" borderId="2" xfId="0" applyFont="1" applyFill="1" applyBorder="1" applyAlignment="1">
      <alignment horizontal="left" vertical="center" indent="1"/>
    </xf>
    <xf numFmtId="0" fontId="50" fillId="8" borderId="0" xfId="0" applyFont="1" applyFill="1" applyAlignment="1">
      <alignment horizontal="left" vertical="center" indent="1" wrapText="1"/>
    </xf>
    <xf numFmtId="0" fontId="51" fillId="0" borderId="0" xfId="0" applyFont="1" applyAlignment="1"/>
    <xf numFmtId="0" fontId="32" fillId="0" borderId="0" xfId="0" applyFont="1" applyAlignment="1">
      <alignment vertical="center"/>
    </xf>
    <xf numFmtId="0" fontId="52" fillId="0" borderId="0" xfId="0" applyFont="1" applyAlignment="1">
      <alignment vertical="center"/>
    </xf>
    <xf numFmtId="0" fontId="25" fillId="5" borderId="2" xfId="0" applyFont="1" applyFill="1" applyBorder="1" applyAlignment="1">
      <alignment vertical="top" indent="1"/>
    </xf>
    <xf numFmtId="0" fontId="24" fillId="0" borderId="3" xfId="0" applyFont="1" applyBorder="1" applyAlignment="1">
      <alignment horizontal="left" vertical="top" indent="1" wrapText="1"/>
    </xf>
    <xf numFmtId="0" fontId="24" fillId="0" borderId="3" xfId="0" applyFont="1" applyBorder="1" applyAlignment="1">
      <alignment horizontal="center" vertical="top"/>
    </xf>
    <xf numFmtId="0" fontId="14" fillId="0" borderId="3" xfId="0" applyFont="1" applyBorder="1" applyAlignment="1">
      <alignment horizontal="left" vertical="top" indent="1" wrapText="1"/>
    </xf>
    <xf numFmtId="0" fontId="53" fillId="0" borderId="3" xfId="0" applyFont="1" applyBorder="1" applyAlignment="1">
      <alignment horizontal="left" vertical="top" indent="1" wrapText="1"/>
    </xf>
    <xf numFmtId="0" fontId="2" fillId="0" borderId="3" xfId="0" applyFont="1" applyBorder="1" applyAlignment="1">
      <alignment horizontal="left" vertical="top" indent="1" wrapText="1"/>
    </xf>
    <xf numFmtId="0" fontId="28" fillId="8" borderId="2" xfId="0" applyFont="1" applyFill="1" applyBorder="1" applyAlignment="1">
      <alignment vertical="top" indent="1"/>
    </xf>
    <xf numFmtId="0" fontId="27" fillId="9" borderId="2" xfId="0" applyFont="1" applyFill="1" applyBorder="1" applyAlignment="1">
      <alignment vertical="top" indent="1"/>
    </xf>
    <xf numFmtId="0" fontId="54" fillId="10" borderId="2" xfId="0" applyFont="1" applyFill="1" applyBorder="1" applyAlignment="1">
      <alignment vertical="top" indent="1"/>
    </xf>
    <xf numFmtId="0" fontId="29" fillId="11" borderId="2" xfId="0" applyFont="1" applyFill="1" applyBorder="1" applyAlignment="1">
      <alignment vertical="top" indent="1"/>
    </xf>
    <xf numFmtId="0" fontId="55" fillId="5" borderId="2" xfId="0" applyFont="1" applyFill="1" applyBorder="1" applyAlignment="1">
      <alignment horizontal="left" vertical="center" indent="1" wrapText="1"/>
    </xf>
    <xf numFmtId="0" fontId="56" fillId="8" borderId="2" xfId="0" applyFont="1" applyFill="1" applyBorder="1" applyAlignment="1">
      <alignment horizontal="left" vertical="center" indent="1" wrapText="1"/>
    </xf>
    <xf numFmtId="0" fontId="57" fillId="0" borderId="3" xfId="0" applyFont="1" applyBorder="1" applyAlignment="1">
      <alignment horizontal="left" vertical="center" indent="1"/>
    </xf>
    <xf numFmtId="0" fontId="58" fillId="0" borderId="3" xfId="0" applyFont="1" applyBorder="1" applyAlignment="1">
      <alignment horizontal="left" vertical="center" indent="1"/>
    </xf>
    <xf numFmtId="0" fontId="59" fillId="9" borderId="2" xfId="0" applyFont="1" applyFill="1" applyBorder="1" applyAlignment="1">
      <alignment horizontal="left" vertical="center" indent="1" wrapText="1"/>
    </xf>
    <xf numFmtId="0" fontId="60" fillId="11" borderId="2" xfId="0" applyFont="1" applyFill="1" applyBorder="1" applyAlignment="1">
      <alignment horizontal="left" vertical="center" indent="1" wrapText="1"/>
    </xf>
    <xf numFmtId="0" fontId="61" fillId="0" borderId="3" xfId="0" applyFont="1" applyBorder="1" applyAlignment="1">
      <alignment horizontal="left" vertical="center" indent="1"/>
    </xf>
    <xf numFmtId="0" fontId="62" fillId="0" borderId="0" xfId="0" applyFont="1" applyAlignment="1">
      <alignment vertical="center"/>
    </xf>
    <xf numFmtId="0" fontId="2" fillId="0" borderId="3" xfId="0" applyFont="1" applyBorder="1" applyAlignment="1">
      <alignment horizontal="center" vertical="center"/>
    </xf>
    <xf numFmtId="0" fontId="58" fillId="0" borderId="0" xfId="0" applyFont="1" applyAlignment="1">
      <alignment horizontal="left" vertical="center"/>
    </xf>
    <xf numFmtId="0" fontId="24" fillId="0" borderId="0" xfId="0" applyFont="1" applyAlignment="1">
      <alignment horizontal="left" vertical="center"/>
    </xf>
    <xf numFmtId="0" fontId="14" fillId="0" borderId="3" xfId="0" applyFont="1" applyBorder="1" applyAlignment="1">
      <alignment horizontal="center" vertical="center"/>
    </xf>
    <xf numFmtId="0" fontId="2" fillId="0" borderId="6" xfId="0" applyFont="1" applyBorder="1" applyAlignment="1">
      <alignment horizontal="center" vertical="center"/>
    </xf>
    <xf numFmtId="0" fontId="2" fillId="0" borderId="6" xfId="0" applyFont="1" applyBorder="1" applyAlignment="1">
      <alignment horizontal="left" vertical="center" indent="1"/>
    </xf>
    <xf numFmtId="0" fontId="24" fillId="0" borderId="6" xfId="0" applyFont="1" applyBorder="1" applyAlignment="1">
      <alignment horizontal="left" vertical="center" indent="1" wrapText="1"/>
    </xf>
    <xf numFmtId="0" fontId="14" fillId="0" borderId="6" xfId="0" applyFont="1" applyBorder="1" applyAlignment="1">
      <alignment horizontal="center" vertical="center"/>
    </xf>
    <xf numFmtId="0" fontId="14" fillId="0" borderId="6" xfId="0" applyFont="1" applyBorder="1" applyAlignment="1">
      <alignment horizontal="left" vertical="center" indent="1" wrapText="1"/>
    </xf>
    <xf numFmtId="0" fontId="63" fillId="0" borderId="0" xfId="0" applyFont="1" applyAlignment="1">
      <alignment vertical="center"/>
    </xf>
    <xf numFmtId="0" fontId="35" fillId="0" borderId="0" xfId="0" applyFont="1" applyAlignment="1">
      <alignment vertical="top" wrapText="1"/>
    </xf>
    <xf numFmtId="0" fontId="64" fillId="3" borderId="0" xfId="0" applyFont="1" applyFill="1" applyAlignment="1">
      <alignment horizontal="left" vertical="center" indent="1"/>
    </xf>
    <xf numFmtId="0" fontId="10" fillId="13" borderId="7" xfId="0" applyFont="1" applyFill="1" applyBorder="1" applyAlignment="1">
      <alignment horizontal="left" vertical="center" indent="1"/>
    </xf>
    <xf numFmtId="0" fontId="24" fillId="13" borderId="7" xfId="0" applyFont="1" applyFill="1" applyBorder="1" applyAlignment="1">
      <alignment horizontal="center" vertical="center"/>
    </xf>
    <xf numFmtId="0" fontId="65" fillId="3" borderId="8" xfId="0" applyFont="1" applyFill="1" applyBorder="1" applyAlignment="1">
      <alignment horizontal="center" vertical="center"/>
    </xf>
    <xf numFmtId="0" fontId="24" fillId="13" borderId="7" xfId="0" applyFont="1" applyFill="1" applyBorder="1" applyAlignment="1">
      <alignment horizontal="left" vertical="center" indent="1" wrapText="1"/>
    </xf>
    <xf numFmtId="0" fontId="10" fillId="13" borderId="7" xfId="0" applyFont="1" applyFill="1" applyBorder="1" applyAlignment="1">
      <alignment horizontal="left" vertical="center" indent="1" wrapText="1"/>
    </xf>
    <xf numFmtId="0" fontId="14" fillId="0" borderId="0" xfId="0" applyFont="1" applyAlignment="1">
      <alignment vertical="center"/>
    </xf>
    <xf numFmtId="0" fontId="55" fillId="5" borderId="2" xfId="0" applyFont="1" applyFill="1" applyBorder="1" applyAlignment="1">
      <alignment horizontal="center" vertical="center"/>
    </xf>
    <xf numFmtId="0" fontId="58" fillId="14" borderId="3" xfId="0" applyFont="1" applyFill="1" applyBorder="1" applyAlignment="1">
      <alignment horizontal="left" vertical="center" indent="1" wrapText="1"/>
    </xf>
    <xf numFmtId="0" fontId="14" fillId="0" borderId="3" xfId="0" applyFont="1" applyBorder="1" applyAlignment="1">
      <alignment horizontal="left" vertical="center" indent="1" wrapText="1"/>
    </xf>
    <xf numFmtId="0" fontId="66" fillId="6" borderId="2" xfId="0" applyFont="1" applyFill="1" applyBorder="1" applyAlignment="1">
      <alignment horizontal="center" vertical="center"/>
    </xf>
    <xf numFmtId="0" fontId="66" fillId="15" borderId="2" xfId="0" applyFont="1" applyFill="1" applyBorder="1" applyAlignment="1">
      <alignment horizontal="center" vertical="center"/>
    </xf>
    <xf numFmtId="0" fontId="14" fillId="0" borderId="3" xfId="0" applyFont="1" applyBorder="1" applyAlignment="1">
      <alignment vertical="center"/>
    </xf>
    <xf numFmtId="0" fontId="59" fillId="9" borderId="2" xfId="0" applyFont="1" applyFill="1" applyBorder="1" applyAlignment="1">
      <alignment horizontal="center" vertical="center"/>
    </xf>
    <xf numFmtId="0" fontId="20" fillId="9" borderId="3" xfId="0" applyFont="1" applyFill="1" applyBorder="1" applyAlignment="1">
      <alignment horizontal="left" vertical="center" indent="1" wrapText="1"/>
    </xf>
    <xf numFmtId="0" fontId="57" fillId="13" borderId="7" xfId="0" applyFont="1" applyFill="1" applyBorder="1" applyAlignment="1">
      <alignment horizontal="left" vertical="center" indent="1"/>
    </xf>
    <xf numFmtId="0" fontId="67" fillId="13" borderId="7" xfId="0" applyFont="1" applyFill="1" applyBorder="1" applyAlignment="1">
      <alignment horizontal="center" vertical="center"/>
    </xf>
    <xf numFmtId="0" fontId="60" fillId="11" borderId="8" xfId="0" applyFont="1" applyFill="1" applyBorder="1" applyAlignment="1">
      <alignment horizontal="center" vertical="center"/>
    </xf>
    <xf numFmtId="0" fontId="67" fillId="13" borderId="7" xfId="0" applyFont="1" applyFill="1" applyBorder="1" applyAlignment="1">
      <alignment horizontal="left" vertical="center" indent="1" wrapText="1"/>
    </xf>
    <xf numFmtId="0" fontId="57" fillId="13" borderId="7" xfId="0" applyFont="1" applyFill="1" applyBorder="1" applyAlignment="1">
      <alignment horizontal="left" vertical="center" indent="1" wrapText="1"/>
    </xf>
    <xf numFmtId="0" fontId="68" fillId="11" borderId="2" xfId="0" applyFont="1" applyFill="1" applyBorder="1" applyAlignment="1">
      <alignment horizontal="center" vertical="center"/>
    </xf>
    <xf numFmtId="0" fontId="45" fillId="0" borderId="3" xfId="0" applyFont="1" applyBorder="1" applyAlignment="1">
      <alignment horizontal="left" vertical="center" indent="1" wrapText="1"/>
    </xf>
    <xf numFmtId="0" fontId="61" fillId="14" borderId="3" xfId="0" applyFont="1" applyFill="1" applyBorder="1" applyAlignment="1">
      <alignment horizontal="left" vertical="center" indent="1" wrapText="1"/>
    </xf>
    <xf numFmtId="0" fontId="2" fillId="0" borderId="9" xfId="0" applyFont="1" applyBorder="1" applyAlignment="1">
      <alignment horizontal="left" vertical="center" indent="1"/>
    </xf>
    <xf numFmtId="0" fontId="2" fillId="0" borderId="9" xfId="0" applyFont="1" applyBorder="1" applyAlignment="1">
      <alignment horizontal="center" vertical="center"/>
    </xf>
    <xf numFmtId="0" fontId="14" fillId="0" borderId="9" xfId="0" applyFont="1" applyBorder="1" applyAlignment="1">
      <alignment horizontal="left" vertical="center" indent="1" wrapText="1"/>
    </xf>
    <xf numFmtId="0" fontId="14" fillId="0" borderId="9" xfId="0" applyFont="1" applyBorder="1" applyAlignment="1">
      <alignment horizontal="center" vertical="center"/>
    </xf>
    <xf numFmtId="0" fontId="24" fillId="0" borderId="10" xfId="0" applyFont="1" applyBorder="1" applyAlignment="1">
      <alignment horizontal="left" vertical="center" indent="1"/>
    </xf>
    <xf numFmtId="0" fontId="24" fillId="0" borderId="10" xfId="0" applyFont="1" applyBorder="1" applyAlignment="1">
      <alignment horizontal="center" vertical="center"/>
    </xf>
    <xf numFmtId="0" fontId="24" fillId="0" borderId="9" xfId="0" applyFont="1" applyBorder="1" applyAlignment="1">
      <alignment horizontal="left" vertical="center" indent="1"/>
    </xf>
    <xf numFmtId="0" fontId="24" fillId="0" borderId="6" xfId="0" applyFont="1" applyBorder="1" applyAlignment="1">
      <alignment horizontal="left" vertical="center" indent="1"/>
    </xf>
    <xf numFmtId="0" fontId="10" fillId="0" borderId="3" xfId="0" applyFont="1" applyBorder="1" applyAlignment="1">
      <alignment horizontal="center" vertical="top"/>
    </xf>
    <xf numFmtId="0" fontId="38" fillId="0" borderId="3" xfId="0" applyFont="1" applyBorder="1" applyAlignment="1">
      <alignment horizontal="left" vertical="top" indent="1" wrapText="1"/>
    </xf>
    <xf numFmtId="0" fontId="38" fillId="0" borderId="3" xfId="0" applyFont="1" applyBorder="1" applyAlignment="1">
      <alignment horizontal="center" vertical="top"/>
    </xf>
    <xf numFmtId="0" fontId="10" fillId="0" borderId="6" xfId="0" applyFont="1" applyBorder="1" applyAlignment="1">
      <alignment horizontal="left" vertical="top" indent="1" wrapText="1"/>
    </xf>
    <xf numFmtId="0" fontId="10" fillId="0" borderId="6" xfId="0" applyFont="1" applyBorder="1" applyAlignment="1">
      <alignment horizontal="center" vertical="top"/>
    </xf>
    <xf numFmtId="0" fontId="38" fillId="0" borderId="6" xfId="0" applyFont="1" applyBorder="1" applyAlignment="1">
      <alignment horizontal="left" vertical="top" indent="1" wrapText="1"/>
    </xf>
    <xf numFmtId="0" fontId="38" fillId="0" borderId="6" xfId="0" applyFont="1" applyBorder="1" applyAlignment="1">
      <alignment horizontal="center" vertical="top"/>
    </xf>
    <xf numFmtId="165" fontId="38" fillId="0" borderId="3" xfId="0" applyNumberFormat="1" applyFont="1" applyBorder="1" applyAlignment="1">
      <alignment vertical="top" indent="1" wrapText="1"/>
    </xf>
  </cellXfs>
  <cellStyles count="1">
    <cellStyle name="Normal" xfId="0" builtinId="0"/>
  </cellStyles>
  <dxfs count="17">
    <dxf>
      <font>
        <b/>
        <color rgb="FF1E7F4F"/>
      </font>
      <fill>
        <patternFill>
          <bgColor rgb="FFDDF3E4"/>
        </patternFill>
      </fill>
    </dxf>
    <dxf>
      <font>
        <i/>
        <color rgb="FF4A5360"/>
      </font>
      <fill>
        <patternFill>
          <bgColor rgb="FFE9ECF0"/>
        </patternFill>
      </fill>
    </dxf>
    <dxf>
      <font>
        <color rgb="FF9AA3AD"/>
      </font>
    </dxf>
    <dxf>
      <font>
        <b/>
        <color rgb="FF1E7F4F"/>
      </font>
    </dxf>
    <dxf>
      <font>
        <b/>
        <color rgb="FF4A5360"/>
      </font>
      <fill>
        <patternFill>
          <bgColor rgb="FFE9ECF0"/>
        </patternFill>
      </fill>
    </dxf>
    <dxf>
      <font>
        <b/>
        <color rgb="FF8A5A00"/>
      </font>
      <fill>
        <patternFill>
          <bgColor rgb="FFFBEFC7"/>
        </patternFill>
      </fill>
    </dxf>
    <dxf>
      <font>
        <color rgb="FFB7BEC7"/>
      </font>
    </dxf>
    <dxf>
      <font>
        <color rgb="FF1E7F4F"/>
      </font>
    </dxf>
    <dxf>
      <font>
        <b/>
        <color rgb="FF9A4A00"/>
      </font>
      <fill>
        <patternFill>
          <bgColor rgb="FFFDE8D4"/>
        </patternFill>
      </fill>
    </dxf>
    <dxf>
      <font>
        <b/>
        <color rgb="FF8E0F1E"/>
      </font>
      <fill>
        <patternFill>
          <bgColor rgb="FFFBE9EB"/>
        </patternFill>
      </fill>
    </dxf>
    <dxf>
      <font>
        <i/>
        <color rgb="FF9AA3AD"/>
      </font>
    </dxf>
    <dxf>
      <font>
        <b/>
        <color rgb="FF3B4F8A"/>
      </font>
      <fill>
        <patternFill>
          <bgColor rgb="FFE3E7F3"/>
        </patternFill>
      </fill>
    </dxf>
    <dxf>
      <font>
        <b/>
        <color rgb="FF0B6F7D"/>
      </font>
      <fill>
        <patternFill>
          <bgColor rgb="FFCCEBED"/>
        </patternFill>
      </fill>
    </dxf>
    <dxf>
      <font>
        <color rgb="FF1E7F4F"/>
      </font>
      <fill>
        <patternFill>
          <bgColor rgb="FFDDF3E4"/>
        </patternFill>
      </fill>
    </dxf>
    <dxf>
      <font>
        <color rgb="FF4A5360"/>
      </font>
      <fill>
        <patternFill>
          <bgColor rgb="FFE9ECF0"/>
        </patternFill>
      </fill>
    </dxf>
    <dxf>
      <font>
        <b/>
        <color rgb="FF1E7F4F"/>
      </font>
      <fill>
        <patternFill>
          <bgColor rgb="FFEEF6F0"/>
        </patternFill>
      </fill>
    </dxf>
    <dxf>
      <font>
        <color rgb="FF9A4A00"/>
      </font>
      <fill>
        <patternFill>
          <bgColor rgb="FFFDE8D4"/>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theme" Target="theme/theme1.xml"/><Relationship Id="rId15" Type="http://schemas.openxmlformats.org/officeDocument/2006/relationships/styles" Target="styles.xml"/><Relationship Id="rId16" Type="http://schemas.openxmlformats.org/officeDocument/2006/relationships/sharedStrings" Target="sharedStrings.xml"/><Relationship Id="rId1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absolute">
    <xdr:from>
      <xdr:col>2</xdr:col>
      <xdr:colOff>57150</xdr:colOff>
      <xdr:row>4</xdr:row>
      <xdr:rowOff>152400</xdr:rowOff>
    </xdr:from>
    <xdr:to>
      <xdr:col>4</xdr:col>
      <xdr:colOff>0</xdr:colOff>
      <xdr:row>4</xdr:row>
      <xdr:rowOff>438150</xdr:rowOff>
    </xdr:to>
    <xdr:sp macro="[0]!modUmbau.RegelnLesen" textlink="">
      <xdr:nvSpPr>
        <xdr:cNvPr id="2" name="BTN_Lesen"/>
        <xdr:cNvSpPr txBox="1"/>
      </xdr:nvSpPr>
      <xdr:spPr>
        <a:xfrm>
          <a:off x="657225" y="952500"/>
          <a:ext cx="1771650" cy="285750"/>
        </a:xfrm>
        <a:prstGeom prst="roundRect">
          <a:avLst>
            <a:gd name="adj" fmla="val 22000"/>
          </a:avLst>
        </a:prstGeom>
        <a:solidFill>
          <a:srgbClr val="FFFFFF"/>
        </a:solidFill>
        <a:ln w="12700" cmpd="sng">
          <a:solidFill>
            <a:srgbClr val="C5CDD6"/>
          </a:solid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1F2933"/>
              </a:solidFill>
              <a:latin typeface="Aptos"/>
              <a:cs typeface="Aptos"/>
            </a:rPr>
            <a:t>Regeln aus Outlook lesen</a:t>
          </a:r>
        </a:p>
      </xdr:txBody>
    </xdr:sp>
    <xdr:clientData/>
  </xdr:twoCellAnchor>
  <xdr:twoCellAnchor editAs="absolute">
    <xdr:from>
      <xdr:col>2</xdr:col>
      <xdr:colOff>57150</xdr:colOff>
      <xdr:row>5</xdr:row>
      <xdr:rowOff>95250</xdr:rowOff>
    </xdr:from>
    <xdr:to>
      <xdr:col>4</xdr:col>
      <xdr:colOff>0</xdr:colOff>
      <xdr:row>5</xdr:row>
      <xdr:rowOff>381000</xdr:rowOff>
    </xdr:to>
    <xdr:sp macro="[0]!modUmbau.Vorschau" textlink="">
      <xdr:nvSpPr>
        <xdr:cNvPr id="3" name="BTN_Vorschau"/>
        <xdr:cNvSpPr txBox="1"/>
      </xdr:nvSpPr>
      <xdr:spPr>
        <a:xfrm>
          <a:off x="657225" y="1485900"/>
          <a:ext cx="1771650" cy="285750"/>
        </a:xfrm>
        <a:prstGeom prst="roundRect">
          <a:avLst>
            <a:gd name="adj" fmla="val 22000"/>
          </a:avLst>
        </a:prstGeom>
        <a:solidFill>
          <a:srgbClr val="0F94A7"/>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Aptos"/>
              <a:cs typeface="Aptos"/>
            </a:rPr>
            <a:t>Vorschau</a:t>
          </a:r>
        </a:p>
      </xdr:txBody>
    </xdr:sp>
    <xdr:clientData/>
  </xdr:twoCellAnchor>
  <xdr:twoCellAnchor editAs="absolute">
    <xdr:from>
      <xdr:col>2</xdr:col>
      <xdr:colOff>57150</xdr:colOff>
      <xdr:row>6</xdr:row>
      <xdr:rowOff>95250</xdr:rowOff>
    </xdr:from>
    <xdr:to>
      <xdr:col>4</xdr:col>
      <xdr:colOff>0</xdr:colOff>
      <xdr:row>6</xdr:row>
      <xdr:rowOff>381000</xdr:rowOff>
    </xdr:to>
    <xdr:sp macro="[0]!modUmbau.Ausfuehren" textlink="">
      <xdr:nvSpPr>
        <xdr:cNvPr id="4" name="BTN_Ausfuehren"/>
        <xdr:cNvSpPr txBox="1"/>
      </xdr:nvSpPr>
      <xdr:spPr>
        <a:xfrm>
          <a:off x="657225" y="1962150"/>
          <a:ext cx="1771650" cy="285750"/>
        </a:xfrm>
        <a:prstGeom prst="roundRect">
          <a:avLst>
            <a:gd name="adj" fmla="val 22000"/>
          </a:avLst>
        </a:prstGeom>
        <a:solidFill>
          <a:srgbClr val="BF1528"/>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nchorCtr="1"/>
        <a:lstStyle/>
        <a:p>
          <a:r>
            <a:rPr lang="en-US" sz="1000" b="1">
              <a:solidFill>
                <a:srgbClr val="FFFFFF"/>
              </a:solidFill>
              <a:latin typeface="Aptos"/>
              <a:cs typeface="Aptos"/>
            </a:rPr>
            <a:t>Ausführen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Aptos Display"/>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Aptos"/>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sheetPr codeName="shBlick">
    <tabColor rgb="FFBF1528"/>
    <pageSetUpPr fitToPage="1"/>
  </sheetPr>
  <dimension ref="A1:M56"/>
  <sheetViews>
    <sheetView showGridLines="0" tabSelected="1" workbookViewId="0"/>
  </sheetViews>
  <sheetFormatPr defaultRowHeight="15"/>
  <cols>
    <col min="1" max="1" width="3.28515625" customWidth="1"/>
    <col min="2" max="2" width="23.7109375" customWidth="1"/>
    <col min="3" max="3" width="3.28515625" customWidth="1"/>
    <col min="4" max="4" width="23.7109375" customWidth="1"/>
    <col min="5" max="5" width="3.28515625" customWidth="1"/>
    <col min="6" max="6" width="23.7109375" customWidth="1"/>
    <col min="7" max="7" width="3.28515625" customWidth="1"/>
    <col min="8" max="8" width="23.7109375" customWidth="1"/>
    <col min="9" max="9" width="3.28515625" customWidth="1"/>
    <col min="10" max="10" width="23.7109375" customWidth="1"/>
    <col min="11" max="11" width="3.28515625" customWidth="1"/>
    <col min="12" max="12" width="23.7109375" customWidth="1"/>
    <col min="13" max="13" width="3.28515625" customWidth="1"/>
  </cols>
  <sheetData>
    <row r="1" spans="2:13" ht="10" customHeight="1"/>
    <row r="2" spans="2:13" ht="38" customHeight="1">
      <c r="B2" s="1" t="s">
        <v>0</v>
      </c>
    </row>
    <row r="3" spans="2:13" ht="20" customHeight="1">
      <c r="B3" s="2" t="str">
        <f>"Export vom "&amp;'Übersicht'!$C$2&amp;"  ·  "&amp;'Übersicht'!$C$5</f>
        <v>Export vom 08.10.2026 20:28  ·  inkl. deaktivierte, inkl. Nur-lokale, nur Empfangen-Regeln</v>
      </c>
    </row>
    <row r="4" spans="2:13" ht="14" customHeight="1"/>
    <row r="5" spans="2:13" ht="24" customHeight="1">
      <c r="B5" s="3" t="s">
        <v>1</v>
      </c>
      <c r="D5" s="3" t="s">
        <v>2</v>
      </c>
      <c r="F5" s="3" t="s">
        <v>3</v>
      </c>
      <c r="H5" s="3" t="s">
        <v>5</v>
      </c>
      <c r="J5" s="3" t="s">
        <v>7</v>
      </c>
      <c r="L5" s="3" t="s">
        <v>9</v>
      </c>
    </row>
    <row r="6" spans="2:13" ht="40" customHeight="1">
      <c r="B6" s="4">
        <f>COUNTA('Übersicht'!$D$8:$D$50)</f>
        <v>43</v>
      </c>
      <c r="D6" s="5">
        <f>COUNTIF('Übersicht'!$E$8:$E$50,"Ja")</f>
        <v>38</v>
      </c>
      <c r="F6" s="6">
        <f>COUNTIF('Übersicht'!$E$8:$E$50,"Nein")</f>
        <v>5</v>
      </c>
      <c r="H6" s="7">
        <f>COUNTIF('Übersicht'!$G$8:$G$50,"Nur auf diesem Client")</f>
        <v>1</v>
      </c>
      <c r="J6" s="8">
        <f>COUNTA('Zielordner'!$B$5:$B$41)</f>
        <v>37</v>
      </c>
      <c r="L6" s="9">
        <f>COUNTA('Prüfhinweise'!$A$5:$A$42)</f>
        <v>38</v>
      </c>
    </row>
    <row r="7" spans="2:13" ht="24" customHeight="1">
      <c r="B7" s="10" t="str">
        <f>"Bestand "&amp;COUNTIF('Übersicht'!$B$8:$B$50,"Bestandsuebertragungen@ergo.de")&amp;"  ·  "&amp;"Makler "&amp;COUNTIF('Übersicht'!$B$8:$B$50,"Maklerauftraege@ergo.de")</f>
        <v>Bestand 18  ·  Makler 25</v>
      </c>
      <c r="D7" s="10" t="str">
        <f>"von "&amp;$B$6&amp;" Regeln"</f>
        <v>von 43 Regeln</v>
      </c>
      <c r="F7" s="10" t="s">
        <v>4</v>
      </c>
      <c r="H7" s="10" t="s">
        <v>6</v>
      </c>
      <c r="J7" s="10" t="s">
        <v>8</v>
      </c>
      <c r="L7" s="10" t="str">
        <f>"davon "&amp;COUNTIF('Prüfhinweise'!$A$5:$A$42,"Datenabfluss prüfen")&amp;" Datenabfluss"</f>
        <v>davon 15 Datenabfluss</v>
      </c>
    </row>
    <row r="8" spans="2:13" ht="22" customHeight="1"/>
    <row r="9" spans="2:13" ht="26" customHeight="1">
      <c r="B9" s="11" t="s">
        <v>10</v>
      </c>
    </row>
    <row r="10" spans="2:13" ht="24" customHeight="1">
      <c r="B10" s="12" t="s">
        <v>11</v>
      </c>
      <c r="C10" s="12"/>
      <c r="D10" s="13" t="s">
        <v>12</v>
      </c>
      <c r="E10" s="13"/>
      <c r="F10" s="12" t="s">
        <v>13</v>
      </c>
      <c r="G10" s="12"/>
      <c r="H10" s="12"/>
      <c r="I10" s="12"/>
      <c r="J10" s="12"/>
      <c r="K10" s="12"/>
      <c r="L10" s="12"/>
      <c r="M10" s="12"/>
    </row>
    <row r="11" spans="2:13" ht="22" customHeight="1">
      <c r="B11" s="14" t="s">
        <v>14</v>
      </c>
      <c r="C11" s="14"/>
      <c r="D11" s="15">
        <f>COUNTIF('Vergleich'!$A$7:$A$39,$B11)</f>
        <v>6</v>
      </c>
      <c r="E11" s="15"/>
      <c r="F11" s="16" t="s">
        <v>15</v>
      </c>
      <c r="G11" s="16"/>
      <c r="H11" s="16"/>
      <c r="I11" s="16"/>
      <c r="J11" s="16"/>
      <c r="K11" s="16"/>
      <c r="L11" s="16"/>
      <c r="M11" s="16"/>
    </row>
    <row r="12" spans="2:13" ht="22" customHeight="1">
      <c r="B12" s="17" t="s">
        <v>16</v>
      </c>
      <c r="C12" s="17"/>
      <c r="D12" s="15">
        <f>COUNTIF('Vergleich'!$A$7:$A$39,$B12)</f>
        <v>8</v>
      </c>
      <c r="E12" s="15"/>
      <c r="F12" s="16" t="s">
        <v>17</v>
      </c>
      <c r="G12" s="16"/>
      <c r="H12" s="16"/>
      <c r="I12" s="16"/>
      <c r="J12" s="16"/>
      <c r="K12" s="16"/>
      <c r="L12" s="16"/>
      <c r="M12" s="16"/>
    </row>
    <row r="13" spans="2:13" ht="22" customHeight="1">
      <c r="B13" s="18" t="s">
        <v>18</v>
      </c>
      <c r="C13" s="18"/>
      <c r="D13" s="15">
        <f>COUNTIF('Vergleich'!$A$7:$A$39,$B13)</f>
        <v>4</v>
      </c>
      <c r="E13" s="15"/>
      <c r="F13" s="16" t="s">
        <v>19</v>
      </c>
      <c r="G13" s="16"/>
      <c r="H13" s="16"/>
      <c r="I13" s="16"/>
      <c r="J13" s="16"/>
      <c r="K13" s="16"/>
      <c r="L13" s="16"/>
      <c r="M13" s="16"/>
    </row>
    <row r="14" spans="2:13" ht="22" customHeight="1">
      <c r="B14" s="19" t="s">
        <v>20</v>
      </c>
      <c r="C14" s="19"/>
      <c r="D14" s="15">
        <f>COUNTIF('Vergleich'!$A$7:$A$39,$B14)</f>
        <v>11</v>
      </c>
      <c r="E14" s="15"/>
      <c r="F14" s="16" t="s">
        <v>21</v>
      </c>
      <c r="G14" s="16"/>
      <c r="H14" s="16"/>
      <c r="I14" s="16"/>
      <c r="J14" s="16"/>
      <c r="K14" s="16"/>
      <c r="L14" s="16"/>
      <c r="M14" s="16"/>
    </row>
    <row r="15" spans="2:13" ht="22" customHeight="1">
      <c r="B15" s="20" t="s">
        <v>22</v>
      </c>
      <c r="C15" s="20"/>
      <c r="D15" s="15">
        <f>COUNTIF('Vergleich'!$A$7:$A$39,$B15)</f>
        <v>0</v>
      </c>
      <c r="E15" s="15"/>
      <c r="F15" s="16" t="s">
        <v>23</v>
      </c>
      <c r="G15" s="16"/>
      <c r="H15" s="16"/>
      <c r="I15" s="16"/>
      <c r="J15" s="16"/>
      <c r="K15" s="16"/>
      <c r="L15" s="16"/>
      <c r="M15" s="16"/>
    </row>
    <row r="16" spans="2:13" ht="48.8" customHeight="1">
      <c r="B16" s="21" t="s">
        <v>24</v>
      </c>
      <c r="C16" s="21"/>
      <c r="D16" s="21"/>
      <c r="E16" s="21"/>
      <c r="F16" s="21"/>
      <c r="G16" s="21"/>
      <c r="H16" s="21"/>
      <c r="I16" s="21"/>
      <c r="J16" s="21"/>
      <c r="K16" s="21"/>
      <c r="L16" s="21"/>
      <c r="M16" s="21"/>
    </row>
    <row r="17" spans="2:13" ht="8" customHeight="1"/>
    <row r="18" spans="2:13" ht="24" customHeight="1">
      <c r="B18" s="12" t="s">
        <v>25</v>
      </c>
      <c r="C18" s="12"/>
      <c r="D18" s="13" t="s">
        <v>26</v>
      </c>
      <c r="E18" s="13"/>
      <c r="F18" s="12" t="s">
        <v>27</v>
      </c>
      <c r="G18" s="12"/>
      <c r="H18" s="12"/>
      <c r="I18" s="12"/>
      <c r="J18" s="12"/>
      <c r="K18" s="12"/>
      <c r="L18" s="12"/>
      <c r="M18" s="12"/>
    </row>
    <row r="19" spans="2:13" ht="22" customHeight="1">
      <c r="B19" s="20" t="s">
        <v>28</v>
      </c>
      <c r="C19" s="20"/>
      <c r="D19" s="15">
        <f>COUNTIF('Anlegen'!$B$11:$B$25,$B19)</f>
        <v>2</v>
      </c>
      <c r="E19" s="15"/>
      <c r="F19" s="16" t="s">
        <v>29</v>
      </c>
      <c r="G19" s="16"/>
      <c r="H19" s="16"/>
      <c r="I19" s="16"/>
      <c r="J19" s="16"/>
      <c r="K19" s="16"/>
      <c r="L19" s="16"/>
      <c r="M19" s="16"/>
    </row>
    <row r="20" spans="2:13" ht="22" customHeight="1">
      <c r="B20" s="17" t="s">
        <v>30</v>
      </c>
      <c r="C20" s="17"/>
      <c r="D20" s="15">
        <f>COUNTIF('Anlegen'!$B$11:$B$25,$B20)</f>
        <v>5</v>
      </c>
      <c r="E20" s="15"/>
      <c r="F20" s="16" t="s">
        <v>31</v>
      </c>
      <c r="G20" s="16"/>
      <c r="H20" s="16"/>
      <c r="I20" s="16"/>
      <c r="J20" s="16"/>
      <c r="K20" s="16"/>
      <c r="L20" s="16"/>
      <c r="M20" s="16"/>
    </row>
    <row r="21" spans="2:13" ht="22" customHeight="1">
      <c r="B21" s="22" t="s">
        <v>32</v>
      </c>
      <c r="C21" s="22"/>
      <c r="D21" s="15">
        <f>COUNTIF('Anlegen'!$B$11:$B$25,$B21)</f>
        <v>3</v>
      </c>
      <c r="E21" s="15"/>
      <c r="F21" s="16" t="s">
        <v>33</v>
      </c>
      <c r="G21" s="16"/>
      <c r="H21" s="16"/>
      <c r="I21" s="16"/>
      <c r="J21" s="16"/>
      <c r="K21" s="16"/>
      <c r="L21" s="16"/>
      <c r="M21" s="16"/>
    </row>
    <row r="22" spans="2:13" ht="22" customHeight="1">
      <c r="B22" s="23" t="s">
        <v>34</v>
      </c>
      <c r="C22" s="23"/>
      <c r="D22" s="15">
        <f>COUNTIF('Anlegen'!$B$11:$B$25,$B22)</f>
        <v>4</v>
      </c>
      <c r="E22" s="15"/>
      <c r="F22" s="16" t="s">
        <v>35</v>
      </c>
      <c r="G22" s="16"/>
      <c r="H22" s="16"/>
      <c r="I22" s="16"/>
      <c r="J22" s="16"/>
      <c r="K22" s="16"/>
      <c r="L22" s="16"/>
      <c r="M22" s="16"/>
    </row>
    <row r="23" spans="2:13" ht="22" customHeight="1">
      <c r="B23" s="24" t="s">
        <v>36</v>
      </c>
      <c r="C23" s="24"/>
      <c r="D23" s="15">
        <f>COUNTIF('Anlegen'!$B$11:$B$25,$B23)</f>
        <v>1</v>
      </c>
      <c r="E23" s="15"/>
      <c r="F23" s="16" t="s">
        <v>37</v>
      </c>
      <c r="G23" s="16"/>
      <c r="H23" s="16"/>
      <c r="I23" s="16"/>
      <c r="J23" s="16"/>
      <c r="K23" s="16"/>
      <c r="L23" s="16"/>
      <c r="M23" s="16"/>
    </row>
    <row r="24" spans="2:13" ht="24" customHeight="1">
      <c r="B24" s="25" t="s">
        <v>38</v>
      </c>
      <c r="C24" s="25"/>
      <c r="D24" s="25"/>
      <c r="E24" s="25"/>
      <c r="F24" s="25" t="s">
        <v>39</v>
      </c>
      <c r="G24" s="25"/>
      <c r="H24" s="25"/>
      <c r="I24" s="25"/>
      <c r="J24" s="25" t="s">
        <v>40</v>
      </c>
      <c r="K24" s="25"/>
      <c r="L24" s="25"/>
      <c r="M24" s="25"/>
    </row>
    <row r="26" spans="2:13" ht="26" customHeight="1">
      <c r="B26" s="11" t="s">
        <v>41</v>
      </c>
    </row>
    <row r="27" spans="2:13" ht="24" customHeight="1">
      <c r="B27" s="12" t="s">
        <v>42</v>
      </c>
      <c r="C27" s="12"/>
      <c r="D27" s="12"/>
      <c r="E27" s="12"/>
      <c r="F27" s="13" t="s">
        <v>12</v>
      </c>
      <c r="G27" s="13"/>
      <c r="H27" s="13" t="s">
        <v>43</v>
      </c>
      <c r="I27" s="13"/>
      <c r="J27" s="13" t="s">
        <v>44</v>
      </c>
      <c r="K27" s="13"/>
      <c r="L27" s="13" t="s">
        <v>45</v>
      </c>
      <c r="M27" s="13"/>
    </row>
    <row r="28" spans="2:13" ht="22" customHeight="1">
      <c r="B28" s="26" t="s">
        <v>46</v>
      </c>
      <c r="C28" s="26"/>
      <c r="D28" s="26"/>
      <c r="E28" s="26"/>
      <c r="F28" s="15">
        <f>COUNTIF('Übersicht'!$B$8:$B$50,$B28)</f>
        <v>18</v>
      </c>
      <c r="G28" s="15"/>
      <c r="H28" s="15">
        <f>COUNTIFS('Übersicht'!$B$8:$B$50,$B28,'Übersicht'!$E$8:$E$50,"Ja")</f>
        <v>17</v>
      </c>
      <c r="I28" s="15"/>
      <c r="J28" s="15">
        <f>COUNTIFS('Übersicht'!$B$8:$B$50,$B28,'Übersicht'!$E$8:$E$50,"Nein")</f>
        <v>1</v>
      </c>
      <c r="K28" s="15"/>
      <c r="L28" s="15">
        <f>COUNTIF('Prüfhinweise'!$B$5:$B$42,$B28)</f>
        <v>14</v>
      </c>
      <c r="M28" s="15"/>
    </row>
    <row r="29" spans="2:13" ht="22" customHeight="1">
      <c r="B29" s="26" t="s">
        <v>47</v>
      </c>
      <c r="C29" s="26"/>
      <c r="D29" s="26"/>
      <c r="E29" s="26"/>
      <c r="F29" s="15">
        <f>COUNTIF('Übersicht'!$B$8:$B$50,$B29)</f>
        <v>25</v>
      </c>
      <c r="G29" s="15"/>
      <c r="H29" s="15">
        <f>COUNTIFS('Übersicht'!$B$8:$B$50,$B29,'Übersicht'!$E$8:$E$50,"Ja")</f>
        <v>21</v>
      </c>
      <c r="I29" s="15"/>
      <c r="J29" s="15">
        <f>COUNTIFS('Übersicht'!$B$8:$B$50,$B29,'Übersicht'!$E$8:$E$50,"Nein")</f>
        <v>4</v>
      </c>
      <c r="K29" s="15"/>
      <c r="L29" s="15">
        <f>COUNTIF('Prüfhinweise'!$B$5:$B$42,$B29)</f>
        <v>24</v>
      </c>
      <c r="M29" s="15"/>
    </row>
    <row r="30" spans="2:13" ht="22" customHeight="1">
      <c r="B30" s="27" t="s">
        <v>48</v>
      </c>
      <c r="C30" s="27"/>
      <c r="D30" s="27"/>
      <c r="E30" s="27"/>
      <c r="F30" s="28">
        <f>SUM(F28:F29)</f>
        <v>43</v>
      </c>
      <c r="G30" s="28"/>
      <c r="H30" s="28">
        <f>SUM(H28:H29)</f>
        <v>38</v>
      </c>
      <c r="I30" s="28"/>
      <c r="J30" s="28">
        <f>SUM(J28:J29)</f>
        <v>5</v>
      </c>
      <c r="K30" s="28"/>
      <c r="L30" s="28">
        <f>SUM(L28:L29)</f>
        <v>38</v>
      </c>
      <c r="M30" s="28"/>
    </row>
    <row r="32" spans="2:13" ht="26" customHeight="1">
      <c r="B32" s="11" t="s">
        <v>49</v>
      </c>
    </row>
    <row r="33" spans="2:13" ht="24" customHeight="1">
      <c r="B33" s="12" t="s">
        <v>50</v>
      </c>
      <c r="C33" s="12"/>
      <c r="D33" s="13" t="s">
        <v>51</v>
      </c>
      <c r="E33" s="13"/>
      <c r="F33" s="12" t="s">
        <v>52</v>
      </c>
      <c r="G33" s="12"/>
      <c r="H33" s="12"/>
      <c r="I33" s="12"/>
      <c r="J33" s="12"/>
      <c r="K33" s="12"/>
      <c r="L33" s="12"/>
      <c r="M33" s="12"/>
    </row>
    <row r="34" spans="2:13" ht="22" customHeight="1">
      <c r="B34" s="14" t="s">
        <v>53</v>
      </c>
      <c r="C34" s="14"/>
      <c r="D34" s="15">
        <f>COUNTIF('Prüfhinweise'!$A$5:$A$42,$B34)</f>
        <v>15</v>
      </c>
      <c r="E34" s="15"/>
      <c r="F34" s="16" t="s">
        <v>54</v>
      </c>
      <c r="G34" s="16"/>
      <c r="H34" s="16"/>
      <c r="I34" s="16"/>
      <c r="J34" s="16"/>
      <c r="K34" s="16"/>
      <c r="L34" s="16"/>
      <c r="M34" s="16"/>
    </row>
    <row r="35" spans="2:13" ht="22" customHeight="1">
      <c r="B35" s="22" t="s">
        <v>55</v>
      </c>
      <c r="C35" s="22"/>
      <c r="D35" s="15">
        <f>COUNTIF('Prüfhinweise'!$A$5:$A$42,$B35)</f>
        <v>1</v>
      </c>
      <c r="E35" s="15"/>
      <c r="F35" s="16" t="s">
        <v>56</v>
      </c>
      <c r="G35" s="16"/>
      <c r="H35" s="16"/>
      <c r="I35" s="16"/>
      <c r="J35" s="16"/>
      <c r="K35" s="16"/>
      <c r="L35" s="16"/>
      <c r="M35" s="16"/>
    </row>
    <row r="36" spans="2:13" ht="22" customHeight="1">
      <c r="B36" s="23" t="s">
        <v>57</v>
      </c>
      <c r="C36" s="23"/>
      <c r="D36" s="15">
        <f>COUNTIF('Prüfhinweise'!$A$5:$A$42,$B36)</f>
        <v>5</v>
      </c>
      <c r="E36" s="15"/>
      <c r="F36" s="16" t="s">
        <v>58</v>
      </c>
      <c r="G36" s="16"/>
      <c r="H36" s="16"/>
      <c r="I36" s="16"/>
      <c r="J36" s="16"/>
      <c r="K36" s="16"/>
      <c r="L36" s="16"/>
      <c r="M36" s="16"/>
    </row>
    <row r="37" spans="2:13" ht="22" customHeight="1">
      <c r="B37" s="17" t="s">
        <v>59</v>
      </c>
      <c r="C37" s="17"/>
      <c r="D37" s="15">
        <f>COUNTIF('Prüfhinweise'!$A$5:$A$42,$B37)</f>
        <v>12</v>
      </c>
      <c r="E37" s="15"/>
      <c r="F37" s="16" t="s">
        <v>60</v>
      </c>
      <c r="G37" s="16"/>
      <c r="H37" s="16"/>
      <c r="I37" s="16"/>
      <c r="J37" s="16"/>
      <c r="K37" s="16"/>
      <c r="L37" s="16"/>
      <c r="M37" s="16"/>
    </row>
    <row r="38" spans="2:13" ht="22" customHeight="1">
      <c r="B38" s="24" t="s">
        <v>61</v>
      </c>
      <c r="C38" s="24"/>
      <c r="D38" s="15">
        <f>COUNTIF('Prüfhinweise'!$A$5:$A$42,$B38)</f>
        <v>5</v>
      </c>
      <c r="E38" s="15"/>
      <c r="F38" s="16" t="s">
        <v>62</v>
      </c>
      <c r="G38" s="16"/>
      <c r="H38" s="16"/>
      <c r="I38" s="16"/>
      <c r="J38" s="16"/>
      <c r="K38" s="16"/>
      <c r="L38" s="16"/>
      <c r="M38" s="16"/>
    </row>
    <row r="40" spans="2:13" ht="26" customHeight="1">
      <c r="B40" s="11" t="s">
        <v>63</v>
      </c>
    </row>
    <row r="41" spans="2:13" ht="24" customHeight="1">
      <c r="B41" s="12" t="s">
        <v>64</v>
      </c>
      <c r="C41" s="12"/>
      <c r="D41" s="12" t="s">
        <v>65</v>
      </c>
      <c r="E41" s="12"/>
      <c r="F41" s="12"/>
      <c r="G41" s="12"/>
      <c r="H41" s="12"/>
      <c r="I41" s="12"/>
      <c r="J41" s="12"/>
      <c r="K41" s="12"/>
      <c r="L41" s="12"/>
      <c r="M41" s="12"/>
    </row>
    <row r="42" spans="2:13" ht="22" customHeight="1">
      <c r="B42" s="29" t="s">
        <v>11</v>
      </c>
      <c r="C42" s="29"/>
      <c r="D42" s="30" t="s">
        <v>66</v>
      </c>
      <c r="E42" s="30"/>
      <c r="F42" s="30"/>
      <c r="G42" s="30"/>
      <c r="H42" s="30"/>
      <c r="I42" s="30"/>
      <c r="J42" s="30"/>
      <c r="K42" s="30"/>
      <c r="L42" s="30"/>
      <c r="M42" s="30"/>
    </row>
    <row r="43" spans="2:13" ht="22" customHeight="1">
      <c r="B43" s="29" t="s">
        <v>67</v>
      </c>
      <c r="C43" s="29"/>
      <c r="D43" s="30" t="s">
        <v>68</v>
      </c>
      <c r="E43" s="30"/>
      <c r="F43" s="30"/>
      <c r="G43" s="30"/>
      <c r="H43" s="30"/>
      <c r="I43" s="30"/>
      <c r="J43" s="30"/>
      <c r="K43" s="30"/>
      <c r="L43" s="30"/>
      <c r="M43" s="30"/>
    </row>
    <row r="44" spans="2:13" ht="22" customHeight="1">
      <c r="B44" s="29" t="s">
        <v>69</v>
      </c>
      <c r="C44" s="29"/>
      <c r="D44" s="30" t="s">
        <v>70</v>
      </c>
      <c r="E44" s="30"/>
      <c r="F44" s="30"/>
      <c r="G44" s="30"/>
      <c r="H44" s="30"/>
      <c r="I44" s="30"/>
      <c r="J44" s="30"/>
      <c r="K44" s="30"/>
      <c r="L44" s="30"/>
      <c r="M44" s="30"/>
    </row>
    <row r="45" spans="2:13" ht="22" customHeight="1">
      <c r="B45" s="29" t="s">
        <v>71</v>
      </c>
      <c r="C45" s="29"/>
      <c r="D45" s="30" t="s">
        <v>72</v>
      </c>
      <c r="E45" s="30"/>
      <c r="F45" s="30"/>
      <c r="G45" s="30"/>
      <c r="H45" s="30"/>
      <c r="I45" s="30"/>
      <c r="J45" s="30"/>
      <c r="K45" s="30"/>
      <c r="L45" s="30"/>
      <c r="M45" s="30"/>
    </row>
    <row r="46" spans="2:13" ht="22" customHeight="1">
      <c r="B46" s="29" t="s">
        <v>73</v>
      </c>
      <c r="C46" s="29"/>
      <c r="D46" s="30" t="s">
        <v>74</v>
      </c>
      <c r="E46" s="30"/>
      <c r="F46" s="30"/>
      <c r="G46" s="30"/>
      <c r="H46" s="30"/>
      <c r="I46" s="30"/>
      <c r="J46" s="30"/>
      <c r="K46" s="30"/>
      <c r="L46" s="30"/>
      <c r="M46" s="30"/>
    </row>
    <row r="47" spans="2:13" ht="22" customHeight="1">
      <c r="B47" s="29" t="s">
        <v>75</v>
      </c>
      <c r="C47" s="29"/>
      <c r="D47" s="30" t="s">
        <v>76</v>
      </c>
      <c r="E47" s="30"/>
      <c r="F47" s="30"/>
      <c r="G47" s="30"/>
      <c r="H47" s="30"/>
      <c r="I47" s="30"/>
      <c r="J47" s="30"/>
      <c r="K47" s="30"/>
      <c r="L47" s="30"/>
      <c r="M47" s="30"/>
    </row>
    <row r="48" spans="2:13" ht="22" customHeight="1">
      <c r="B48" s="29" t="s">
        <v>77</v>
      </c>
      <c r="C48" s="29"/>
      <c r="D48" s="30" t="s">
        <v>78</v>
      </c>
      <c r="E48" s="30"/>
      <c r="F48" s="30"/>
      <c r="G48" s="30"/>
      <c r="H48" s="30"/>
      <c r="I48" s="30"/>
      <c r="J48" s="30"/>
      <c r="K48" s="30"/>
      <c r="L48" s="30"/>
      <c r="M48" s="30"/>
    </row>
    <row r="49" spans="2:13" ht="22" customHeight="1">
      <c r="B49" s="29" t="s">
        <v>45</v>
      </c>
      <c r="C49" s="29"/>
      <c r="D49" s="30" t="s">
        <v>79</v>
      </c>
      <c r="E49" s="30"/>
      <c r="F49" s="30"/>
      <c r="G49" s="30"/>
      <c r="H49" s="30"/>
      <c r="I49" s="30"/>
      <c r="J49" s="30"/>
      <c r="K49" s="30"/>
      <c r="L49" s="30"/>
      <c r="M49" s="30"/>
    </row>
    <row r="50" spans="2:13" ht="22" customHeight="1">
      <c r="B50" s="29" t="s">
        <v>80</v>
      </c>
      <c r="C50" s="29"/>
      <c r="D50" s="30" t="s">
        <v>81</v>
      </c>
      <c r="E50" s="30"/>
      <c r="F50" s="30"/>
      <c r="G50" s="30"/>
      <c r="H50" s="30"/>
      <c r="I50" s="30"/>
      <c r="J50" s="30"/>
      <c r="K50" s="30"/>
      <c r="L50" s="30"/>
      <c r="M50" s="30"/>
    </row>
    <row r="51" spans="2:13" ht="22" customHeight="1">
      <c r="B51" s="29" t="s">
        <v>82</v>
      </c>
      <c r="C51" s="29"/>
      <c r="D51" s="30" t="s">
        <v>83</v>
      </c>
      <c r="E51" s="30"/>
      <c r="F51" s="30"/>
      <c r="G51" s="30"/>
      <c r="H51" s="30"/>
      <c r="I51" s="30"/>
      <c r="J51" s="30"/>
      <c r="K51" s="30"/>
      <c r="L51" s="30"/>
      <c r="M51" s="30"/>
    </row>
    <row r="52" spans="2:13" ht="22" customHeight="1">
      <c r="B52" s="29" t="s">
        <v>84</v>
      </c>
      <c r="C52" s="29"/>
      <c r="D52" s="30" t="s">
        <v>85</v>
      </c>
      <c r="E52" s="30"/>
      <c r="F52" s="30"/>
      <c r="G52" s="30"/>
      <c r="H52" s="30"/>
      <c r="I52" s="30"/>
      <c r="J52" s="30"/>
      <c r="K52" s="30"/>
      <c r="L52" s="30"/>
      <c r="M52" s="30"/>
    </row>
    <row r="53" spans="2:13" ht="22" customHeight="1">
      <c r="B53" s="29" t="s">
        <v>86</v>
      </c>
      <c r="C53" s="29"/>
      <c r="D53" s="30" t="s">
        <v>87</v>
      </c>
      <c r="E53" s="30"/>
      <c r="F53" s="30"/>
      <c r="G53" s="30"/>
      <c r="H53" s="30"/>
      <c r="I53" s="30"/>
      <c r="J53" s="30"/>
      <c r="K53" s="30"/>
      <c r="L53" s="30"/>
      <c r="M53" s="30"/>
    </row>
    <row r="55" spans="2:13" ht="26" customHeight="1">
      <c r="B55" s="11" t="s">
        <v>88</v>
      </c>
    </row>
    <row r="56" spans="2:13" ht="24" customHeight="1">
      <c r="B56" s="31" t="s">
        <v>89</v>
      </c>
      <c r="D56" s="32" t="s">
        <v>90</v>
      </c>
      <c r="F56" s="33" t="s">
        <v>91</v>
      </c>
      <c r="H56" s="34" t="s">
        <v>92</v>
      </c>
      <c r="J56" s="35" t="s">
        <v>93</v>
      </c>
      <c r="L56" s="33" t="s">
        <v>94</v>
      </c>
    </row>
  </sheetData>
  <mergeCells count="104">
    <mergeCell ref="B10:C10"/>
    <mergeCell ref="D10:E10"/>
    <mergeCell ref="F10:M10"/>
    <mergeCell ref="B11:C11"/>
    <mergeCell ref="D11:E11"/>
    <mergeCell ref="F11:M11"/>
    <mergeCell ref="B12:C12"/>
    <mergeCell ref="D12:E12"/>
    <mergeCell ref="F12:M12"/>
    <mergeCell ref="B13:C13"/>
    <mergeCell ref="D13:E13"/>
    <mergeCell ref="F13:M13"/>
    <mergeCell ref="B14:C14"/>
    <mergeCell ref="D14:E14"/>
    <mergeCell ref="F14:M14"/>
    <mergeCell ref="B15:C15"/>
    <mergeCell ref="D15:E15"/>
    <mergeCell ref="F15:M15"/>
    <mergeCell ref="B16:M16"/>
    <mergeCell ref="B18:C18"/>
    <mergeCell ref="D18:E18"/>
    <mergeCell ref="F18:M18"/>
    <mergeCell ref="B19:C19"/>
    <mergeCell ref="D19:E19"/>
    <mergeCell ref="F19:M19"/>
    <mergeCell ref="B20:C20"/>
    <mergeCell ref="D20:E20"/>
    <mergeCell ref="F20:M20"/>
    <mergeCell ref="B21:C21"/>
    <mergeCell ref="D21:E21"/>
    <mergeCell ref="F21:M21"/>
    <mergeCell ref="B22:C22"/>
    <mergeCell ref="D22:E22"/>
    <mergeCell ref="F22:M22"/>
    <mergeCell ref="B23:C23"/>
    <mergeCell ref="D23:E23"/>
    <mergeCell ref="F23:M23"/>
    <mergeCell ref="B24:E24"/>
    <mergeCell ref="F24:I24"/>
    <mergeCell ref="J24:M24"/>
    <mergeCell ref="B27:E27"/>
    <mergeCell ref="F27:G27"/>
    <mergeCell ref="H27:I27"/>
    <mergeCell ref="J27:K27"/>
    <mergeCell ref="L27:M27"/>
    <mergeCell ref="B28:E28"/>
    <mergeCell ref="F28:G28"/>
    <mergeCell ref="H28:I28"/>
    <mergeCell ref="J28:K28"/>
    <mergeCell ref="L28:M28"/>
    <mergeCell ref="B29:E29"/>
    <mergeCell ref="F29:G29"/>
    <mergeCell ref="H29:I29"/>
    <mergeCell ref="J29:K29"/>
    <mergeCell ref="L29:M29"/>
    <mergeCell ref="B30:E30"/>
    <mergeCell ref="F30:G30"/>
    <mergeCell ref="H30:I30"/>
    <mergeCell ref="J30:K30"/>
    <mergeCell ref="L30:M30"/>
    <mergeCell ref="B33:C33"/>
    <mergeCell ref="D33:E33"/>
    <mergeCell ref="F33:M33"/>
    <mergeCell ref="B34:C34"/>
    <mergeCell ref="D34:E34"/>
    <mergeCell ref="F34:M34"/>
    <mergeCell ref="B35:C35"/>
    <mergeCell ref="D35:E35"/>
    <mergeCell ref="F35:M35"/>
    <mergeCell ref="B36:C36"/>
    <mergeCell ref="D36:E36"/>
    <mergeCell ref="F36:M36"/>
    <mergeCell ref="B37:C37"/>
    <mergeCell ref="D37:E37"/>
    <mergeCell ref="F37:M37"/>
    <mergeCell ref="B38:C38"/>
    <mergeCell ref="D38:E38"/>
    <mergeCell ref="F38:M38"/>
    <mergeCell ref="B41:C41"/>
    <mergeCell ref="D41:M41"/>
    <mergeCell ref="B42:C42"/>
    <mergeCell ref="D42:M42"/>
    <mergeCell ref="B43:C43"/>
    <mergeCell ref="D43:M43"/>
    <mergeCell ref="B44:C44"/>
    <mergeCell ref="D44:M44"/>
    <mergeCell ref="B45:C45"/>
    <mergeCell ref="D45:M45"/>
    <mergeCell ref="B46:C46"/>
    <mergeCell ref="D46:M46"/>
    <mergeCell ref="B47:C47"/>
    <mergeCell ref="D47:M47"/>
    <mergeCell ref="B48:C48"/>
    <mergeCell ref="D48:M48"/>
    <mergeCell ref="B49:C49"/>
    <mergeCell ref="D49:M49"/>
    <mergeCell ref="B50:C50"/>
    <mergeCell ref="D50:M50"/>
    <mergeCell ref="B51:C51"/>
    <mergeCell ref="D51:M51"/>
    <mergeCell ref="B52:C52"/>
    <mergeCell ref="D52:M52"/>
    <mergeCell ref="B53:C53"/>
    <mergeCell ref="D53:M53"/>
  </mergeCells>
  <hyperlinks>
    <hyperlink ref="B24" location="'Vergleich'!A1" tooltip="Blatt Vergleich öffnen" display="Zum Vergleich"/>
    <hyperlink ref="F24" location="'Anlegen'!A1" tooltip="Blatt Anlegen öffnen" display="Zur Liste „Anlegen“"/>
    <hyperlink ref="J24" location="'Umsetzung'!A1" tooltip="Blatt Umsetzung öffnen: Vorschau und Ausführen in Outlook" display="Automatisch umsetzen (Makro)"/>
    <hyperlink ref="B42" location="'Vergleich'!A1" tooltip="Zum Blatt Vergleich" display="Vergleich"/>
    <hyperlink ref="B43" location="'Anlegen'!A1" tooltip="Zum Blatt Anlegen" display="Anlegen"/>
    <hyperlink ref="B44" location="'Umsetzung'!A1" tooltip="Zum Blatt Umsetzung" display="Umsetzung"/>
    <hyperlink ref="B45" location="'Übersicht'!A1" tooltip="Zum Blatt Übersicht" display="Übersicht"/>
    <hyperlink ref="B46" location="'Regel-Logik'!A1" tooltip="Zum Blatt Regel-Logik" display="Regel-Logik"/>
    <hyperlink ref="B47" location="'Elemente'!A1" tooltip="Zum Blatt Elemente" display="Elemente"/>
    <hyperlink ref="B48" location="'Zielordner'!A1" tooltip="Zum Blatt Zielordner" display="Zielordner"/>
    <hyperlink ref="B49" location="'Prüfhinweise'!A1" tooltip="Zum Blatt Prüfhinweise" display="Prüfhinweise"/>
    <hyperlink ref="B50" location="'Diagnose'!A1" tooltip="Zum Blatt Diagnose" display="Diagnose"/>
    <hyperlink ref="B51" location="'Live'!A1" tooltip="Zum Blatt Live" display="Live"/>
    <hyperlink ref="B52" location="'Sicherung'!A1" tooltip="Zum Blatt Sicherung" display="Sicherung"/>
    <hyperlink ref="B53" location="'Protokoll'!A1" tooltip="Zum Blatt Protokoll" display="Protokoll"/>
  </hyperlinks>
  <pageMargins left="0.4" right="0.4" top="0.5" bottom="0.6" header="0.3" footer="0.3"/>
  <pageSetup paperSize="9" orientation="landscape"/>
  <headerFooter>
    <oddFooter>&amp;L&amp;"Aptos,Regular"&amp;8Outlook-Regeln – &amp;A&amp;R&amp;"Aptos,Regular"&amp;8Seite &amp;P von &amp;N</oddFooter>
  </headerFooter>
</worksheet>
</file>

<file path=xl/worksheets/sheet2.xml><?xml version="1.0" encoding="utf-8"?>
<worksheet xmlns="http://schemas.openxmlformats.org/spreadsheetml/2006/main" xmlns:r="http://schemas.openxmlformats.org/officeDocument/2006/relationships">
  <sheetPr codeName="shUmsetzung">
    <tabColor rgb="FFBF1528"/>
    <pageSetUpPr fitToPage="1"/>
  </sheetPr>
  <dimension ref="A1:M53"/>
  <sheetViews>
    <sheetView showGridLines="0" workbookViewId="0"/>
  </sheetViews>
  <sheetFormatPr defaultRowHeight="15"/>
  <cols>
    <col min="1" max="1" width="3.28515625" customWidth="1"/>
    <col min="2" max="2" width="5.7109375" customWidth="1"/>
    <col min="3" max="3" width="9.7109375" customWidth="1"/>
    <col min="4" max="4" width="17.7109375" customWidth="1"/>
    <col min="5" max="5" width="31.7109375" customWidth="1"/>
    <col min="6" max="6" width="32.7109375" customWidth="1"/>
    <col min="7" max="7" width="40.7109375" customWidth="1"/>
    <col min="8" max="9" width="34.7109375" customWidth="1"/>
    <col min="10" max="11" width="30.7109375" customWidth="1"/>
    <col min="12" max="12" width="26.7109375" customWidth="1"/>
    <col min="13" max="13" width="46.7109375" customWidth="1"/>
  </cols>
  <sheetData>
    <row r="1" spans="2:8" ht="8" customHeight="1"/>
    <row r="2" spans="2:8" ht="32" customHeight="1">
      <c r="B2" s="36" t="s">
        <v>572</v>
      </c>
    </row>
    <row r="3" spans="2:8" ht="18" customHeight="1">
      <c r="B3" s="2" t="s">
        <v>573</v>
      </c>
    </row>
    <row r="4" spans="2:8" ht="6" customHeight="1"/>
    <row r="5" spans="2:8" ht="46.8" customHeight="1">
      <c r="B5" s="37" t="s">
        <v>574</v>
      </c>
      <c r="C5" s="38"/>
      <c r="D5" s="38"/>
      <c r="E5" s="39" t="s">
        <v>575</v>
      </c>
      <c r="F5" s="39"/>
      <c r="G5" s="39"/>
      <c r="H5" s="39"/>
    </row>
    <row r="6" spans="2:8" ht="38" customHeight="1">
      <c r="B6" s="37" t="s">
        <v>576</v>
      </c>
      <c r="C6" s="38"/>
      <c r="D6" s="38"/>
      <c r="E6" s="39" t="s">
        <v>577</v>
      </c>
      <c r="F6" s="39"/>
      <c r="G6" s="39"/>
      <c r="H6" s="39"/>
    </row>
    <row r="7" spans="2:8" ht="38" customHeight="1">
      <c r="B7" s="37" t="s">
        <v>578</v>
      </c>
      <c r="C7" s="38"/>
      <c r="D7" s="38"/>
      <c r="E7" s="39" t="s">
        <v>579</v>
      </c>
      <c r="F7" s="39"/>
      <c r="G7" s="39"/>
      <c r="H7" s="39"/>
    </row>
    <row r="8" spans="2:8" ht="8" customHeight="1"/>
    <row r="9" spans="2:8" ht="22" customHeight="1">
      <c r="B9" s="40" t="s">
        <v>580</v>
      </c>
    </row>
    <row r="10" spans="2:8" ht="24" customHeight="1">
      <c r="B10" s="41" t="s">
        <v>581</v>
      </c>
      <c r="C10" s="41"/>
      <c r="D10" s="41"/>
      <c r="E10" s="42" t="s">
        <v>46</v>
      </c>
      <c r="F10" s="43" t="s">
        <v>582</v>
      </c>
      <c r="G10" s="43"/>
      <c r="H10" s="43"/>
    </row>
    <row r="11" spans="2:8" ht="24" customHeight="1">
      <c r="B11" s="41" t="s">
        <v>583</v>
      </c>
      <c r="C11" s="41"/>
      <c r="D11" s="41"/>
      <c r="E11" s="42" t="s">
        <v>47</v>
      </c>
      <c r="F11" s="43" t="s">
        <v>584</v>
      </c>
      <c r="G11" s="43"/>
      <c r="H11" s="43"/>
    </row>
    <row r="12" spans="2:8" ht="38" customHeight="1">
      <c r="B12" s="41" t="s">
        <v>585</v>
      </c>
      <c r="C12" s="41"/>
      <c r="D12" s="41"/>
      <c r="E12" s="42" t="s">
        <v>349</v>
      </c>
      <c r="F12" s="43" t="s">
        <v>586</v>
      </c>
      <c r="G12" s="43"/>
      <c r="H12" s="43"/>
    </row>
    <row r="13" spans="2:8" ht="34" customHeight="1">
      <c r="B13" s="41" t="s">
        <v>587</v>
      </c>
      <c r="C13" s="41"/>
      <c r="D13" s="41"/>
      <c r="E13" s="44" t="s">
        <v>588</v>
      </c>
      <c r="F13" s="44"/>
      <c r="G13" s="44"/>
      <c r="H13" s="44"/>
    </row>
    <row r="14" spans="2:8" ht="22" customHeight="1">
      <c r="B14" s="41" t="s">
        <v>589</v>
      </c>
      <c r="C14" s="41"/>
      <c r="D14" s="41"/>
      <c r="E14" s="45" t="s">
        <v>590</v>
      </c>
      <c r="F14" s="46" t="s">
        <v>590</v>
      </c>
      <c r="G14" s="47" t="s">
        <v>591</v>
      </c>
      <c r="H14" s="45" t="s">
        <v>590</v>
      </c>
    </row>
    <row r="15" spans="2:8" ht="10" customHeight="1"/>
    <row r="16" spans="2:8" ht="24" customHeight="1">
      <c r="B16" s="11" t="s">
        <v>592</v>
      </c>
      <c r="E16" s="48" t="s">
        <v>593</v>
      </c>
    </row>
    <row r="17" spans="2:13" ht="30" customHeight="1">
      <c r="B17" s="13" t="s">
        <v>215</v>
      </c>
      <c r="C17" s="13" t="s">
        <v>594</v>
      </c>
      <c r="D17" s="12" t="s">
        <v>104</v>
      </c>
      <c r="E17" s="12" t="s">
        <v>595</v>
      </c>
      <c r="F17" s="12" t="s">
        <v>596</v>
      </c>
      <c r="G17" s="12" t="s">
        <v>597</v>
      </c>
      <c r="H17" s="12" t="s">
        <v>598</v>
      </c>
      <c r="I17" s="12" t="s">
        <v>599</v>
      </c>
      <c r="J17" s="12" t="s">
        <v>600</v>
      </c>
      <c r="K17" s="12" t="s">
        <v>601</v>
      </c>
      <c r="L17" s="12" t="s">
        <v>602</v>
      </c>
      <c r="M17" s="12" t="s">
        <v>224</v>
      </c>
    </row>
    <row r="18" spans="2:13" ht="74.6" customHeight="1">
      <c r="B18" s="49">
        <v>1</v>
      </c>
      <c r="C18" s="50" t="s">
        <v>330</v>
      </c>
      <c r="D18" s="51" t="s">
        <v>7</v>
      </c>
      <c r="E18" s="52" t="s">
        <v>329</v>
      </c>
      <c r="F18" s="53" t="s">
        <v>590</v>
      </c>
      <c r="G18" s="54" t="s">
        <v>590</v>
      </c>
      <c r="H18" s="54" t="s">
        <v>590</v>
      </c>
      <c r="I18" s="53" t="s">
        <v>230</v>
      </c>
      <c r="J18" s="53" t="s">
        <v>590</v>
      </c>
      <c r="K18" s="53" t="s">
        <v>590</v>
      </c>
      <c r="L18" s="53" t="s">
        <v>590</v>
      </c>
      <c r="M18" s="55" t="s">
        <v>603</v>
      </c>
    </row>
    <row r="19" spans="2:13" ht="61.7" customHeight="1">
      <c r="B19" s="49">
        <v>2</v>
      </c>
      <c r="C19" s="50" t="s">
        <v>330</v>
      </c>
      <c r="D19" s="51" t="s">
        <v>604</v>
      </c>
      <c r="E19" s="52" t="s">
        <v>329</v>
      </c>
      <c r="F19" s="53" t="s">
        <v>137</v>
      </c>
      <c r="G19" s="54" t="s">
        <v>590</v>
      </c>
      <c r="H19" s="54" t="s">
        <v>590</v>
      </c>
      <c r="I19" s="53" t="s">
        <v>590</v>
      </c>
      <c r="J19" s="53" t="s">
        <v>590</v>
      </c>
      <c r="K19" s="53" t="s">
        <v>590</v>
      </c>
      <c r="L19" s="53" t="s">
        <v>590</v>
      </c>
      <c r="M19" s="55" t="s">
        <v>605</v>
      </c>
    </row>
    <row r="20" spans="2:13" ht="74.6" customHeight="1">
      <c r="B20" s="49">
        <v>3</v>
      </c>
      <c r="C20" s="50" t="s">
        <v>330</v>
      </c>
      <c r="D20" s="51" t="s">
        <v>606</v>
      </c>
      <c r="E20" s="52" t="s">
        <v>180</v>
      </c>
      <c r="F20" s="53" t="s">
        <v>590</v>
      </c>
      <c r="G20" s="54" t="s">
        <v>590</v>
      </c>
      <c r="H20" s="54" t="s">
        <v>590</v>
      </c>
      <c r="I20" s="53" t="s">
        <v>230</v>
      </c>
      <c r="J20" s="53" t="s">
        <v>590</v>
      </c>
      <c r="K20" s="53" t="s">
        <v>180</v>
      </c>
      <c r="L20" s="53" t="s">
        <v>590</v>
      </c>
      <c r="M20" s="55" t="s">
        <v>607</v>
      </c>
    </row>
    <row r="21" spans="2:13" ht="48.8" customHeight="1">
      <c r="B21" s="49">
        <v>4</v>
      </c>
      <c r="C21" s="50" t="s">
        <v>330</v>
      </c>
      <c r="D21" s="51" t="s">
        <v>608</v>
      </c>
      <c r="E21" s="52" t="s">
        <v>180</v>
      </c>
      <c r="F21" s="53" t="s">
        <v>609</v>
      </c>
      <c r="G21" s="54" t="s">
        <v>590</v>
      </c>
      <c r="H21" s="54" t="s">
        <v>590</v>
      </c>
      <c r="I21" s="53" t="s">
        <v>590</v>
      </c>
      <c r="J21" s="53" t="s">
        <v>590</v>
      </c>
      <c r="K21" s="53" t="s">
        <v>590</v>
      </c>
      <c r="L21" s="53" t="s">
        <v>590</v>
      </c>
      <c r="M21" s="55" t="s">
        <v>610</v>
      </c>
    </row>
    <row r="22" spans="2:13" ht="61.7" customHeight="1">
      <c r="B22" s="49">
        <v>5</v>
      </c>
      <c r="C22" s="50" t="s">
        <v>330</v>
      </c>
      <c r="D22" s="51" t="s">
        <v>608</v>
      </c>
      <c r="E22" s="52" t="s">
        <v>173</v>
      </c>
      <c r="F22" s="53" t="s">
        <v>611</v>
      </c>
      <c r="G22" s="54" t="s">
        <v>590</v>
      </c>
      <c r="H22" s="54" t="s">
        <v>590</v>
      </c>
      <c r="I22" s="53" t="s">
        <v>590</v>
      </c>
      <c r="J22" s="53" t="s">
        <v>590</v>
      </c>
      <c r="K22" s="53" t="s">
        <v>590</v>
      </c>
      <c r="L22" s="53" t="s">
        <v>590</v>
      </c>
      <c r="M22" s="55" t="s">
        <v>612</v>
      </c>
    </row>
    <row r="23" spans="2:13" ht="48.8" customHeight="1">
      <c r="B23" s="49">
        <v>6</v>
      </c>
      <c r="C23" s="50" t="s">
        <v>330</v>
      </c>
      <c r="D23" s="51" t="s">
        <v>606</v>
      </c>
      <c r="E23" s="52" t="s">
        <v>186</v>
      </c>
      <c r="F23" s="53" t="s">
        <v>590</v>
      </c>
      <c r="G23" s="54" t="s">
        <v>590</v>
      </c>
      <c r="H23" s="54" t="s">
        <v>590</v>
      </c>
      <c r="I23" s="53" t="s">
        <v>411</v>
      </c>
      <c r="J23" s="53" t="s">
        <v>413</v>
      </c>
      <c r="K23" s="53" t="s">
        <v>186</v>
      </c>
      <c r="L23" s="53" t="s">
        <v>590</v>
      </c>
      <c r="M23" s="55" t="s">
        <v>613</v>
      </c>
    </row>
    <row r="24" spans="2:13" ht="48.8" customHeight="1">
      <c r="B24" s="49">
        <v>7</v>
      </c>
      <c r="C24" s="50" t="s">
        <v>330</v>
      </c>
      <c r="D24" s="51" t="s">
        <v>608</v>
      </c>
      <c r="E24" s="52" t="s">
        <v>186</v>
      </c>
      <c r="F24" s="53" t="s">
        <v>614</v>
      </c>
      <c r="G24" s="54" t="s">
        <v>590</v>
      </c>
      <c r="H24" s="54" t="s">
        <v>590</v>
      </c>
      <c r="I24" s="53" t="s">
        <v>590</v>
      </c>
      <c r="J24" s="53" t="s">
        <v>590</v>
      </c>
      <c r="K24" s="53" t="s">
        <v>590</v>
      </c>
      <c r="L24" s="53" t="s">
        <v>590</v>
      </c>
      <c r="M24" s="55" t="s">
        <v>615</v>
      </c>
    </row>
    <row r="25" spans="2:13" ht="48.8" customHeight="1">
      <c r="B25" s="49">
        <v>8</v>
      </c>
      <c r="C25" s="50" t="s">
        <v>330</v>
      </c>
      <c r="D25" s="51" t="s">
        <v>616</v>
      </c>
      <c r="E25" s="52" t="s">
        <v>120</v>
      </c>
      <c r="F25" s="53" t="s">
        <v>617</v>
      </c>
      <c r="G25" s="54" t="s">
        <v>590</v>
      </c>
      <c r="H25" s="54" t="s">
        <v>590</v>
      </c>
      <c r="I25" s="53" t="s">
        <v>590</v>
      </c>
      <c r="J25" s="53" t="s">
        <v>590</v>
      </c>
      <c r="K25" s="53" t="s">
        <v>590</v>
      </c>
      <c r="L25" s="53" t="s">
        <v>590</v>
      </c>
      <c r="M25" s="55" t="s">
        <v>618</v>
      </c>
    </row>
    <row r="26" spans="2:13" ht="61.7" customHeight="1">
      <c r="B26" s="49">
        <v>9</v>
      </c>
      <c r="C26" s="50" t="s">
        <v>330</v>
      </c>
      <c r="D26" s="51" t="s">
        <v>619</v>
      </c>
      <c r="E26" s="52" t="s">
        <v>124</v>
      </c>
      <c r="F26" s="53" t="s">
        <v>590</v>
      </c>
      <c r="G26" s="54" t="s">
        <v>590</v>
      </c>
      <c r="H26" s="54" t="s">
        <v>590</v>
      </c>
      <c r="I26" s="53" t="s">
        <v>590</v>
      </c>
      <c r="J26" s="53" t="s">
        <v>590</v>
      </c>
      <c r="K26" s="53" t="s">
        <v>590</v>
      </c>
      <c r="L26" s="53" t="s">
        <v>590</v>
      </c>
      <c r="M26" s="55" t="s">
        <v>620</v>
      </c>
    </row>
    <row r="27" spans="2:13" ht="74.6" customHeight="1">
      <c r="B27" s="49">
        <v>10</v>
      </c>
      <c r="C27" s="50" t="s">
        <v>330</v>
      </c>
      <c r="D27" s="51" t="s">
        <v>621</v>
      </c>
      <c r="E27" s="52" t="s">
        <v>124</v>
      </c>
      <c r="F27" s="53" t="s">
        <v>590</v>
      </c>
      <c r="G27" s="54" t="s">
        <v>590</v>
      </c>
      <c r="H27" s="54" t="s">
        <v>590</v>
      </c>
      <c r="I27" s="53" t="s">
        <v>590</v>
      </c>
      <c r="J27" s="53" t="s">
        <v>590</v>
      </c>
      <c r="K27" s="53" t="s">
        <v>124</v>
      </c>
      <c r="L27" s="53" t="s">
        <v>590</v>
      </c>
      <c r="M27" s="55" t="s">
        <v>622</v>
      </c>
    </row>
    <row r="28" spans="2:13" ht="74.6" customHeight="1">
      <c r="B28" s="49">
        <v>11</v>
      </c>
      <c r="C28" s="50" t="s">
        <v>330</v>
      </c>
      <c r="D28" s="51" t="s">
        <v>621</v>
      </c>
      <c r="E28" s="52" t="s">
        <v>128</v>
      </c>
      <c r="F28" s="53" t="s">
        <v>590</v>
      </c>
      <c r="G28" s="54" t="s">
        <v>590</v>
      </c>
      <c r="H28" s="54" t="s">
        <v>590</v>
      </c>
      <c r="I28" s="53" t="s">
        <v>590</v>
      </c>
      <c r="J28" s="53" t="s">
        <v>590</v>
      </c>
      <c r="K28" s="53" t="s">
        <v>128</v>
      </c>
      <c r="L28" s="53" t="s">
        <v>590</v>
      </c>
      <c r="M28" s="55" t="s">
        <v>623</v>
      </c>
    </row>
    <row r="29" spans="2:13" ht="48.8" customHeight="1">
      <c r="B29" s="49">
        <v>12</v>
      </c>
      <c r="C29" s="50" t="s">
        <v>349</v>
      </c>
      <c r="D29" s="51" t="s">
        <v>606</v>
      </c>
      <c r="E29" s="52" t="s">
        <v>188</v>
      </c>
      <c r="F29" s="53" t="s">
        <v>624</v>
      </c>
      <c r="G29" s="54" t="s">
        <v>590</v>
      </c>
      <c r="H29" s="54" t="s">
        <v>590</v>
      </c>
      <c r="I29" s="53" t="s">
        <v>266</v>
      </c>
      <c r="J29" s="53" t="s">
        <v>590</v>
      </c>
      <c r="K29" s="53" t="s">
        <v>188</v>
      </c>
      <c r="L29" s="53" t="s">
        <v>590</v>
      </c>
      <c r="M29" s="55" t="s">
        <v>625</v>
      </c>
    </row>
    <row r="30" spans="2:13" ht="48.8" customHeight="1">
      <c r="B30" s="49">
        <v>13</v>
      </c>
      <c r="C30" s="50" t="s">
        <v>349</v>
      </c>
      <c r="D30" s="51" t="s">
        <v>606</v>
      </c>
      <c r="E30" s="52" t="s">
        <v>190</v>
      </c>
      <c r="F30" s="53" t="s">
        <v>626</v>
      </c>
      <c r="G30" s="54" t="s">
        <v>590</v>
      </c>
      <c r="H30" s="54" t="s">
        <v>590</v>
      </c>
      <c r="I30" s="53" t="s">
        <v>271</v>
      </c>
      <c r="J30" s="53" t="s">
        <v>590</v>
      </c>
      <c r="K30" s="53" t="s">
        <v>190</v>
      </c>
      <c r="L30" s="53" t="s">
        <v>590</v>
      </c>
      <c r="M30" s="55" t="s">
        <v>627</v>
      </c>
    </row>
    <row r="31" spans="2:13" ht="61.7" customHeight="1">
      <c r="B31" s="49">
        <v>14</v>
      </c>
      <c r="C31" s="50" t="s">
        <v>349</v>
      </c>
      <c r="D31" s="51" t="s">
        <v>606</v>
      </c>
      <c r="E31" s="52" t="s">
        <v>194</v>
      </c>
      <c r="F31" s="53" t="s">
        <v>628</v>
      </c>
      <c r="G31" s="54" t="s">
        <v>590</v>
      </c>
      <c r="H31" s="54" t="s">
        <v>590</v>
      </c>
      <c r="I31" s="53" t="s">
        <v>275</v>
      </c>
      <c r="J31" s="53" t="s">
        <v>590</v>
      </c>
      <c r="K31" s="53" t="s">
        <v>194</v>
      </c>
      <c r="L31" s="53" t="s">
        <v>590</v>
      </c>
      <c r="M31" s="55" t="s">
        <v>629</v>
      </c>
    </row>
    <row r="32" spans="2:13" ht="24" customHeight="1">
      <c r="B32" s="49"/>
      <c r="C32" s="50" t="s">
        <v>590</v>
      </c>
      <c r="D32" s="51" t="s">
        <v>590</v>
      </c>
      <c r="E32" s="52" t="s">
        <v>590</v>
      </c>
      <c r="F32" s="53" t="s">
        <v>590</v>
      </c>
      <c r="G32" s="54" t="s">
        <v>590</v>
      </c>
      <c r="H32" s="54" t="s">
        <v>590</v>
      </c>
      <c r="I32" s="53" t="s">
        <v>590</v>
      </c>
      <c r="J32" s="53" t="s">
        <v>590</v>
      </c>
      <c r="K32" s="53" t="s">
        <v>590</v>
      </c>
      <c r="L32" s="53" t="s">
        <v>590</v>
      </c>
      <c r="M32" s="55" t="s">
        <v>590</v>
      </c>
    </row>
    <row r="33" spans="2:13" ht="24" customHeight="1">
      <c r="B33" s="49"/>
      <c r="C33" s="50" t="s">
        <v>590</v>
      </c>
      <c r="D33" s="51" t="s">
        <v>590</v>
      </c>
      <c r="E33" s="52" t="s">
        <v>590</v>
      </c>
      <c r="F33" s="53" t="s">
        <v>590</v>
      </c>
      <c r="G33" s="54" t="s">
        <v>590</v>
      </c>
      <c r="H33" s="54" t="s">
        <v>590</v>
      </c>
      <c r="I33" s="53" t="s">
        <v>590</v>
      </c>
      <c r="J33" s="53" t="s">
        <v>590</v>
      </c>
      <c r="K33" s="53" t="s">
        <v>590</v>
      </c>
      <c r="L33" s="53" t="s">
        <v>590</v>
      </c>
      <c r="M33" s="55" t="s">
        <v>590</v>
      </c>
    </row>
    <row r="34" spans="2:13" ht="24" customHeight="1">
      <c r="B34" s="49"/>
      <c r="C34" s="50" t="s">
        <v>590</v>
      </c>
      <c r="D34" s="51" t="s">
        <v>590</v>
      </c>
      <c r="E34" s="52" t="s">
        <v>590</v>
      </c>
      <c r="F34" s="53" t="s">
        <v>590</v>
      </c>
      <c r="G34" s="54" t="s">
        <v>590</v>
      </c>
      <c r="H34" s="54" t="s">
        <v>590</v>
      </c>
      <c r="I34" s="53" t="s">
        <v>590</v>
      </c>
      <c r="J34" s="53" t="s">
        <v>590</v>
      </c>
      <c r="K34" s="53" t="s">
        <v>590</v>
      </c>
      <c r="L34" s="53" t="s">
        <v>590</v>
      </c>
      <c r="M34" s="55" t="s">
        <v>590</v>
      </c>
    </row>
    <row r="35" spans="2:13" ht="24" customHeight="1">
      <c r="B35" s="49"/>
      <c r="C35" s="50" t="s">
        <v>590</v>
      </c>
      <c r="D35" s="51" t="s">
        <v>590</v>
      </c>
      <c r="E35" s="52" t="s">
        <v>590</v>
      </c>
      <c r="F35" s="53" t="s">
        <v>590</v>
      </c>
      <c r="G35" s="54" t="s">
        <v>590</v>
      </c>
      <c r="H35" s="54" t="s">
        <v>590</v>
      </c>
      <c r="I35" s="53" t="s">
        <v>590</v>
      </c>
      <c r="J35" s="53" t="s">
        <v>590</v>
      </c>
      <c r="K35" s="53" t="s">
        <v>590</v>
      </c>
      <c r="L35" s="53" t="s">
        <v>590</v>
      </c>
      <c r="M35" s="55" t="s">
        <v>590</v>
      </c>
    </row>
    <row r="36" spans="2:13" ht="24" customHeight="1">
      <c r="B36" s="49"/>
      <c r="C36" s="50" t="s">
        <v>590</v>
      </c>
      <c r="D36" s="51" t="s">
        <v>590</v>
      </c>
      <c r="E36" s="52" t="s">
        <v>590</v>
      </c>
      <c r="F36" s="53" t="s">
        <v>590</v>
      </c>
      <c r="G36" s="54" t="s">
        <v>590</v>
      </c>
      <c r="H36" s="54" t="s">
        <v>590</v>
      </c>
      <c r="I36" s="53" t="s">
        <v>590</v>
      </c>
      <c r="J36" s="53" t="s">
        <v>590</v>
      </c>
      <c r="K36" s="53" t="s">
        <v>590</v>
      </c>
      <c r="L36" s="53" t="s">
        <v>590</v>
      </c>
      <c r="M36" s="55" t="s">
        <v>590</v>
      </c>
    </row>
    <row r="37" spans="2:13" ht="24" customHeight="1">
      <c r="B37" s="49"/>
      <c r="C37" s="50" t="s">
        <v>590</v>
      </c>
      <c r="D37" s="51" t="s">
        <v>590</v>
      </c>
      <c r="E37" s="52" t="s">
        <v>590</v>
      </c>
      <c r="F37" s="53" t="s">
        <v>590</v>
      </c>
      <c r="G37" s="54" t="s">
        <v>590</v>
      </c>
      <c r="H37" s="54" t="s">
        <v>590</v>
      </c>
      <c r="I37" s="53" t="s">
        <v>590</v>
      </c>
      <c r="J37" s="53" t="s">
        <v>590</v>
      </c>
      <c r="K37" s="53" t="s">
        <v>590</v>
      </c>
      <c r="L37" s="53" t="s">
        <v>590</v>
      </c>
      <c r="M37" s="55" t="s">
        <v>590</v>
      </c>
    </row>
    <row r="39" spans="2:13" ht="26" customHeight="1">
      <c r="B39" s="11" t="s">
        <v>326</v>
      </c>
    </row>
    <row r="40" spans="2:13" ht="24" customHeight="1">
      <c r="B40" s="12" t="s">
        <v>104</v>
      </c>
      <c r="C40" s="12"/>
      <c r="D40" s="12"/>
      <c r="E40" s="12" t="s">
        <v>630</v>
      </c>
      <c r="F40" s="12" t="s">
        <v>631</v>
      </c>
      <c r="G40" s="12"/>
      <c r="H40" s="12"/>
      <c r="I40" s="12"/>
      <c r="J40" s="12"/>
      <c r="K40" s="12"/>
      <c r="L40" s="12"/>
      <c r="M40" s="12"/>
    </row>
    <row r="41" spans="2:13" ht="19.2" customHeight="1">
      <c r="B41" s="56" t="s">
        <v>632</v>
      </c>
      <c r="C41" s="56"/>
      <c r="D41" s="56"/>
      <c r="E41" s="57" t="s">
        <v>633</v>
      </c>
      <c r="F41" s="58" t="s">
        <v>634</v>
      </c>
      <c r="G41" s="58"/>
      <c r="H41" s="58"/>
      <c r="I41" s="58"/>
      <c r="J41" s="58"/>
      <c r="K41" s="58"/>
      <c r="L41" s="58"/>
      <c r="M41" s="58"/>
    </row>
    <row r="42" spans="2:13" ht="19.2" customHeight="1">
      <c r="B42" s="56" t="s">
        <v>7</v>
      </c>
      <c r="C42" s="56"/>
      <c r="D42" s="56"/>
      <c r="E42" s="57" t="s">
        <v>635</v>
      </c>
      <c r="F42" s="58" t="s">
        <v>636</v>
      </c>
      <c r="G42" s="58"/>
      <c r="H42" s="58"/>
      <c r="I42" s="58"/>
      <c r="J42" s="58"/>
      <c r="K42" s="58"/>
      <c r="L42" s="58"/>
      <c r="M42" s="58"/>
    </row>
    <row r="43" spans="2:13" ht="19.2" customHeight="1">
      <c r="B43" s="56" t="s">
        <v>604</v>
      </c>
      <c r="C43" s="56"/>
      <c r="D43" s="56"/>
      <c r="E43" s="57" t="s">
        <v>637</v>
      </c>
      <c r="F43" s="58" t="s">
        <v>638</v>
      </c>
      <c r="G43" s="58"/>
      <c r="H43" s="58"/>
      <c r="I43" s="58"/>
      <c r="J43" s="58"/>
      <c r="K43" s="58"/>
      <c r="L43" s="58"/>
      <c r="M43" s="58"/>
    </row>
    <row r="44" spans="2:13" ht="19.2" customHeight="1">
      <c r="B44" s="56" t="s">
        <v>619</v>
      </c>
      <c r="C44" s="56"/>
      <c r="D44" s="56"/>
      <c r="E44" s="57" t="s">
        <v>639</v>
      </c>
      <c r="F44" s="58" t="s">
        <v>640</v>
      </c>
      <c r="G44" s="58"/>
      <c r="H44" s="58"/>
      <c r="I44" s="58"/>
      <c r="J44" s="58"/>
      <c r="K44" s="58"/>
      <c r="L44" s="58"/>
      <c r="M44" s="58"/>
    </row>
    <row r="45" spans="2:13" ht="19.2" customHeight="1">
      <c r="B45" s="56" t="s">
        <v>608</v>
      </c>
      <c r="C45" s="56"/>
      <c r="D45" s="56"/>
      <c r="E45" s="57" t="s">
        <v>641</v>
      </c>
      <c r="F45" s="58" t="s">
        <v>642</v>
      </c>
      <c r="G45" s="58"/>
      <c r="H45" s="58"/>
      <c r="I45" s="58"/>
      <c r="J45" s="58"/>
      <c r="K45" s="58"/>
      <c r="L45" s="58"/>
      <c r="M45" s="58"/>
    </row>
    <row r="46" spans="2:13" ht="19.2" customHeight="1">
      <c r="B46" s="56" t="s">
        <v>606</v>
      </c>
      <c r="C46" s="56"/>
      <c r="D46" s="56"/>
      <c r="E46" s="57" t="s">
        <v>643</v>
      </c>
      <c r="F46" s="58" t="s">
        <v>644</v>
      </c>
      <c r="G46" s="58"/>
      <c r="H46" s="58"/>
      <c r="I46" s="58"/>
      <c r="J46" s="58"/>
      <c r="K46" s="58"/>
      <c r="L46" s="58"/>
      <c r="M46" s="58"/>
    </row>
    <row r="47" spans="2:13" ht="19.2" customHeight="1">
      <c r="B47" s="56" t="s">
        <v>616</v>
      </c>
      <c r="C47" s="56"/>
      <c r="D47" s="56"/>
      <c r="E47" s="57" t="s">
        <v>641</v>
      </c>
      <c r="F47" s="58" t="s">
        <v>645</v>
      </c>
      <c r="G47" s="58"/>
      <c r="H47" s="58"/>
      <c r="I47" s="58"/>
      <c r="J47" s="58"/>
      <c r="K47" s="58"/>
      <c r="L47" s="58"/>
      <c r="M47" s="58"/>
    </row>
    <row r="48" spans="2:13" ht="31.5" customHeight="1">
      <c r="B48" s="56" t="s">
        <v>621</v>
      </c>
      <c r="C48" s="56"/>
      <c r="D48" s="56"/>
      <c r="E48" s="57" t="s">
        <v>646</v>
      </c>
      <c r="F48" s="58" t="s">
        <v>647</v>
      </c>
      <c r="G48" s="58"/>
      <c r="H48" s="58"/>
      <c r="I48" s="58"/>
      <c r="J48" s="58"/>
      <c r="K48" s="58"/>
      <c r="L48" s="58"/>
      <c r="M48" s="58"/>
    </row>
    <row r="49" spans="2:13" ht="19.2" customHeight="1">
      <c r="B49" s="56" t="s">
        <v>648</v>
      </c>
      <c r="C49" s="56"/>
      <c r="D49" s="56"/>
      <c r="E49" s="57" t="s">
        <v>639</v>
      </c>
      <c r="F49" s="58" t="s">
        <v>649</v>
      </c>
      <c r="G49" s="58"/>
      <c r="H49" s="58"/>
      <c r="I49" s="58"/>
      <c r="J49" s="58"/>
      <c r="K49" s="58"/>
      <c r="L49" s="58"/>
      <c r="M49" s="58"/>
    </row>
    <row r="51" spans="2:13" ht="35.8" customHeight="1">
      <c r="B51" s="59" t="s">
        <v>650</v>
      </c>
      <c r="C51" s="59"/>
      <c r="D51" s="59"/>
      <c r="E51" s="60" t="s">
        <v>651</v>
      </c>
      <c r="F51" s="60"/>
      <c r="G51" s="60"/>
      <c r="H51" s="60"/>
      <c r="I51" s="60"/>
      <c r="J51" s="60"/>
      <c r="K51" s="60"/>
      <c r="L51" s="60"/>
      <c r="M51" s="60"/>
    </row>
    <row r="52" spans="2:13" ht="48.8" customHeight="1">
      <c r="B52" s="61" t="s">
        <v>652</v>
      </c>
      <c r="C52" s="61"/>
      <c r="D52" s="61"/>
      <c r="E52" s="62" t="s">
        <v>653</v>
      </c>
      <c r="F52" s="62"/>
      <c r="G52" s="62"/>
      <c r="H52" s="62"/>
      <c r="I52" s="62"/>
      <c r="J52" s="62"/>
      <c r="K52" s="62"/>
      <c r="L52" s="62"/>
      <c r="M52" s="62"/>
    </row>
    <row r="53" spans="2:13" ht="35.8" customHeight="1">
      <c r="B53" s="63" t="s">
        <v>654</v>
      </c>
      <c r="C53" s="63"/>
      <c r="D53" s="63"/>
      <c r="E53" s="64" t="s">
        <v>655</v>
      </c>
      <c r="F53" s="64"/>
      <c r="G53" s="64"/>
      <c r="H53" s="64"/>
      <c r="I53" s="64"/>
      <c r="J53" s="64"/>
      <c r="K53" s="64"/>
      <c r="L53" s="64"/>
      <c r="M53" s="64"/>
    </row>
  </sheetData>
  <mergeCells count="41">
    <mergeCell ref="C5:D5"/>
    <mergeCell ref="E5:H5"/>
    <mergeCell ref="C6:D6"/>
    <mergeCell ref="E6:H6"/>
    <mergeCell ref="C7:D7"/>
    <mergeCell ref="E7:H7"/>
    <mergeCell ref="B10:D10"/>
    <mergeCell ref="F10:H10"/>
    <mergeCell ref="B11:D11"/>
    <mergeCell ref="F11:H11"/>
    <mergeCell ref="B12:D12"/>
    <mergeCell ref="F12:H12"/>
    <mergeCell ref="B13:D13"/>
    <mergeCell ref="E13:H13"/>
    <mergeCell ref="B14:D14"/>
    <mergeCell ref="B40:D40"/>
    <mergeCell ref="F40:M40"/>
    <mergeCell ref="B41:D41"/>
    <mergeCell ref="F41:M41"/>
    <mergeCell ref="B42:D42"/>
    <mergeCell ref="F42:M42"/>
    <mergeCell ref="B43:D43"/>
    <mergeCell ref="F43:M43"/>
    <mergeCell ref="B44:D44"/>
    <mergeCell ref="F44:M44"/>
    <mergeCell ref="B45:D45"/>
    <mergeCell ref="F45:M45"/>
    <mergeCell ref="B46:D46"/>
    <mergeCell ref="F46:M46"/>
    <mergeCell ref="B47:D47"/>
    <mergeCell ref="F47:M47"/>
    <mergeCell ref="B48:D48"/>
    <mergeCell ref="F48:M48"/>
    <mergeCell ref="B49:D49"/>
    <mergeCell ref="F49:M49"/>
    <mergeCell ref="B51:D51"/>
    <mergeCell ref="E51:M51"/>
    <mergeCell ref="B52:D52"/>
    <mergeCell ref="E52:M52"/>
    <mergeCell ref="B53:D53"/>
    <mergeCell ref="E53:M53"/>
  </mergeCells>
  <conditionalFormatting sqref="B18:F37">
    <cfRule type="expression" dxfId="2" priority="20">
      <formula>$C18="Nein"</formula>
    </cfRule>
  </conditionalFormatting>
  <conditionalFormatting sqref="C18:C37">
    <cfRule type="cellIs" dxfId="13" priority="8" operator="equal">
      <formula>"Ja"</formula>
    </cfRule>
    <cfRule type="cellIs" dxfId="14" priority="9" operator="equal">
      <formula>"Nein"</formula>
    </cfRule>
  </conditionalFormatting>
  <conditionalFormatting sqref="E12">
    <cfRule type="cellIs" dxfId="9" priority="1" operator="equal">
      <formula>"Ja"</formula>
    </cfRule>
  </conditionalFormatting>
  <conditionalFormatting sqref="E13:H13">
    <cfRule type="beginsWith" dxfId="9" priority="2" operator="beginsWith" text="Speichern gesperrt">
      <formula>LEFT(E13,18)="Speichern gesperrt"</formula>
    </cfRule>
    <cfRule type="beginsWith" dxfId="9" priority="3" operator="beginsWith" text="Vorschau nicht">
      <formula>LEFT(E13,14)="Vorschau nicht"</formula>
    </cfRule>
    <cfRule type="beginsWith" dxfId="9" priority="4" operator="beginsWith" text="Lesen nicht">
      <formula>LEFT(E13,11)="Lesen nicht"</formula>
    </cfRule>
    <cfRule type="beginsWith" dxfId="5" priority="5" operator="beginsWith" text="Speichern freigegeben">
      <formula>LEFT(E13,21)="Speichern freigegeben"</formula>
    </cfRule>
    <cfRule type="beginsWith" dxfId="8" priority="6" operator="beginsWith" text="Speichern möglich mit">
      <formula>LEFT(E13,21)="Speichern möglich mit"</formula>
    </cfRule>
    <cfRule type="beginsWith" dxfId="0" priority="7" operator="beginsWith" text="Speichern möglich">
      <formula>LEFT(E13,17)="Speichern möglich"</formula>
    </cfRule>
  </conditionalFormatting>
  <conditionalFormatting sqref="G18:H37">
    <cfRule type="beginsWith" dxfId="9" priority="10" operator="beginsWith" text="blockiert">
      <formula>LEFT(G18,9)="blockiert"</formula>
    </cfRule>
    <cfRule type="beginsWith" dxfId="9" priority="11" operator="beginsWith" text="nicht ausgeführt">
      <formula>LEFT(G18,16)="nicht ausgeführt"</formula>
    </cfRule>
    <cfRule type="beginsWith" dxfId="9" priority="12" operator="beginsWith" text="gespeichert, Prüfung">
      <formula>LEFT(G18,20)="gespeichert, Prüfung"</formula>
    </cfRule>
    <cfRule type="beginsWith" dxfId="5" priority="13" operator="beginsWith" text="im Speicher">
      <formula>LEFT(G18,11)="im Speicher"</formula>
    </cfRule>
    <cfRule type="beginsWith" dxfId="5" priority="14" operator="beginsWith" text="erledigt (geprüft, Bedingung">
      <formula>LEFT(G18,28)="erledigt (geprüft, Bedingung"</formula>
    </cfRule>
    <cfRule type="beginsWith" dxfId="8" priority="15" operator="beginsWith" text="erledigt (geprüft, ohne">
      <formula>LEFT(G18,23)="erledigt (geprüft, ohne"</formula>
    </cfRule>
    <cfRule type="beginsWith" dxfId="12" priority="16" operator="beginsWith" text="bereit">
      <formula>LEFT(G18,6)="bereit"</formula>
    </cfRule>
    <cfRule type="beginsWith" dxfId="0" priority="17" operator="beginsWith" text="erledigt (geprüft)">
      <formula>LEFT(G18,18)="erledigt (geprüft)"</formula>
    </cfRule>
    <cfRule type="beginsWith" dxfId="15" priority="18" operator="beginsWith" text="schon erledigt">
      <formula>LEFT(G18,14)="schon erledigt"</formula>
    </cfRule>
    <cfRule type="beginsWith" dxfId="4" priority="19" operator="beginsWith" text="nicht ausgewählt">
      <formula>LEFT(G18,16)="nicht ausgewählt"</formula>
    </cfRule>
  </conditionalFormatting>
  <conditionalFormatting sqref="I18:M37">
    <cfRule type="expression" dxfId="2" priority="21">
      <formula>$C18="Nein"</formula>
    </cfRule>
  </conditionalFormatting>
  <dataValidations count="3">
    <dataValidation type="list" allowBlank="1" showInputMessage="1" showErrorMessage="1" promptTitle="Sperre aufheben?" prompt="Ja nur, wenn die Regeln in Outlook exportiert sind (.rwz)." sqref="E12">
      <formula1>"Nein,Ja"</formula1>
    </dataValidation>
    <dataValidation type="list" allowBlank="1" showInputMessage="1" showErrorMessage="1" sqref="C18:C37">
      <formula1>"Ja,Nein"</formula1>
    </dataValidation>
    <dataValidation type="list" allowBlank="1" showInputMessage="1" showErrorMessage="1" error="Bitte eine Aktion aus der Liste." sqref="D18:D37">
      <formula1>"ORDNER_ANLEGEN,ZIELORDNER,UMBENENNEN,UMLEITEN_STATT_WEITERLEITEN,POSITION,KOPIEREN,BEDINGUNG_WORT_ERGAENZEN,AUSNAHMEN_UEBERNEHMEN,DEAKTIVIEREN"</formula1>
    </dataValidation>
  </dataValidations>
  <pageMargins left="0.4" right="0.4" top="0.5" bottom="0.6" header="0.3" footer="0.3"/>
  <pageSetup paperSize="9" fitToHeight="0" orientation="landscape"/>
  <headerFooter>
    <oddFooter>&amp;L&amp;"Aptos,Regular"&amp;8Outlook-Regeln – &amp;A&amp;R&amp;"Aptos,Regular"&amp;8Seite &amp;P von &amp;N</oddFooter>
  </headerFooter>
  <drawing r:id="rId1"/>
</worksheet>
</file>

<file path=xl/worksheets/sheet3.xml><?xml version="1.0" encoding="utf-8"?>
<worksheet xmlns="http://schemas.openxmlformats.org/spreadsheetml/2006/main" xmlns:r="http://schemas.openxmlformats.org/officeDocument/2006/relationships">
  <sheetPr codeName="shVergleich">
    <tabColor rgb="FF5B3E96"/>
    <pageSetUpPr fitToPage="1"/>
  </sheetPr>
  <dimension ref="A1:K39"/>
  <sheetViews>
    <sheetView showGridLines="0" workbookViewId="0">
      <pane ySplit="6" topLeftCell="A7" activePane="bottomLeft" state="frozen"/>
      <selection pane="bottomLeft"/>
    </sheetView>
  </sheetViews>
  <sheetFormatPr defaultRowHeight="15"/>
  <cols>
    <col min="1" max="1" width="19.7109375" customWidth="1"/>
    <col min="2" max="2" width="40.7109375" customWidth="1"/>
    <col min="3" max="5" width="9.7109375" customWidth="1"/>
    <col min="6" max="6" width="14.7109375" customWidth="1"/>
    <col min="7" max="8" width="9.7109375" customWidth="1"/>
    <col min="9" max="9" width="72.7109375" customWidth="1"/>
    <col min="10" max="11" width="58.7109375" customWidth="1"/>
  </cols>
  <sheetData>
    <row r="1" spans="1:11" ht="36" customHeight="1">
      <c r="A1" s="36" t="s">
        <v>10</v>
      </c>
    </row>
    <row r="2" spans="1:11" ht="18" customHeight="1">
      <c r="A2" s="65" t="s">
        <v>95</v>
      </c>
    </row>
    <row r="3" spans="1:11" ht="30" customHeight="1">
      <c r="A3" s="21" t="s">
        <v>96</v>
      </c>
      <c r="B3" s="21"/>
      <c r="C3" s="21"/>
      <c r="D3" s="21"/>
      <c r="E3" s="21"/>
      <c r="F3" s="21"/>
      <c r="G3" s="21"/>
      <c r="H3" s="21"/>
      <c r="I3" s="21"/>
      <c r="J3" s="21"/>
      <c r="K3" s="21"/>
    </row>
    <row r="4" spans="1:11" ht="8" customHeight="1"/>
    <row r="5" spans="1:11" ht="18" customHeight="1">
      <c r="A5" s="65" t="s">
        <v>97</v>
      </c>
    </row>
    <row r="6" spans="1:11" ht="30" customHeight="1">
      <c r="A6" s="12" t="s">
        <v>98</v>
      </c>
      <c r="B6" s="12" t="s">
        <v>99</v>
      </c>
      <c r="C6" s="13" t="s">
        <v>100</v>
      </c>
      <c r="D6" s="13" t="s">
        <v>101</v>
      </c>
      <c r="E6" s="13" t="s">
        <v>102</v>
      </c>
      <c r="F6" s="13" t="s">
        <v>103</v>
      </c>
      <c r="G6" s="13" t="s">
        <v>104</v>
      </c>
      <c r="H6" s="13" t="s">
        <v>105</v>
      </c>
      <c r="I6" s="12" t="s">
        <v>106</v>
      </c>
      <c r="J6" s="12" t="s">
        <v>107</v>
      </c>
      <c r="K6" s="12" t="s">
        <v>108</v>
      </c>
    </row>
    <row r="7" spans="1:11" ht="26" customHeight="1">
      <c r="A7" s="66" t="s">
        <v>109</v>
      </c>
      <c r="B7" s="66"/>
      <c r="C7" s="66"/>
      <c r="D7" s="66"/>
      <c r="E7" s="66"/>
      <c r="F7" s="66"/>
      <c r="G7" s="66"/>
      <c r="H7" s="66"/>
      <c r="I7" s="66"/>
      <c r="J7" s="66"/>
      <c r="K7" s="66"/>
    </row>
    <row r="8" spans="1:11" ht="88.6" customHeight="1">
      <c r="A8" s="67" t="s">
        <v>14</v>
      </c>
      <c r="B8" s="68" t="s">
        <v>110</v>
      </c>
      <c r="C8" s="69">
        <v>5</v>
      </c>
      <c r="D8" s="70">
        <v>3</v>
      </c>
      <c r="E8" s="71" t="s">
        <v>111</v>
      </c>
      <c r="F8" s="72" t="s">
        <v>112</v>
      </c>
      <c r="G8" s="72" t="s">
        <v>112</v>
      </c>
      <c r="H8" s="71" t="s">
        <v>111</v>
      </c>
      <c r="I8" s="73" t="s">
        <v>113</v>
      </c>
      <c r="J8" s="74" t="s">
        <v>114</v>
      </c>
      <c r="K8" s="75" t="s">
        <v>115</v>
      </c>
    </row>
    <row r="9" spans="1:11" ht="75" customHeight="1">
      <c r="A9" s="67" t="s">
        <v>14</v>
      </c>
      <c r="B9" s="68" t="s">
        <v>116</v>
      </c>
      <c r="C9" s="69">
        <v>6</v>
      </c>
      <c r="D9" s="69">
        <v>5</v>
      </c>
      <c r="E9" s="72" t="s">
        <v>112</v>
      </c>
      <c r="F9" s="71" t="s">
        <v>111</v>
      </c>
      <c r="G9" s="72" t="s">
        <v>112</v>
      </c>
      <c r="H9" s="71" t="s">
        <v>111</v>
      </c>
      <c r="I9" s="73" t="s">
        <v>117</v>
      </c>
      <c r="J9" s="74" t="s">
        <v>118</v>
      </c>
      <c r="K9" s="74" t="s">
        <v>119</v>
      </c>
    </row>
    <row r="10" spans="1:11" ht="88.6" customHeight="1">
      <c r="A10" s="67" t="s">
        <v>14</v>
      </c>
      <c r="B10" s="68" t="s">
        <v>120</v>
      </c>
      <c r="C10" s="69">
        <v>9</v>
      </c>
      <c r="D10" s="69">
        <v>9</v>
      </c>
      <c r="E10" s="72" t="s">
        <v>112</v>
      </c>
      <c r="F10" s="71" t="s">
        <v>111</v>
      </c>
      <c r="G10" s="72" t="s">
        <v>112</v>
      </c>
      <c r="H10" s="71" t="s">
        <v>111</v>
      </c>
      <c r="I10" s="73" t="s">
        <v>121</v>
      </c>
      <c r="J10" s="74" t="s">
        <v>122</v>
      </c>
      <c r="K10" s="74" t="s">
        <v>123</v>
      </c>
    </row>
    <row r="11" spans="1:11" ht="333.4" customHeight="1">
      <c r="A11" s="67" t="s">
        <v>14</v>
      </c>
      <c r="B11" s="68" t="s">
        <v>124</v>
      </c>
      <c r="C11" s="69">
        <v>16</v>
      </c>
      <c r="D11" s="69">
        <v>21</v>
      </c>
      <c r="E11" s="72" t="s">
        <v>112</v>
      </c>
      <c r="F11" s="71" t="s">
        <v>111</v>
      </c>
      <c r="G11" s="71" t="s">
        <v>111</v>
      </c>
      <c r="H11" s="71" t="s">
        <v>111</v>
      </c>
      <c r="I11" s="73" t="s">
        <v>125</v>
      </c>
      <c r="J11" s="74" t="s">
        <v>126</v>
      </c>
      <c r="K11" s="74" t="s">
        <v>127</v>
      </c>
    </row>
    <row r="12" spans="1:11" ht="102.2" customHeight="1">
      <c r="A12" s="67" t="s">
        <v>14</v>
      </c>
      <c r="B12" s="68" t="s">
        <v>128</v>
      </c>
      <c r="C12" s="69">
        <v>17</v>
      </c>
      <c r="D12" s="69">
        <v>23</v>
      </c>
      <c r="E12" s="72" t="s">
        <v>112</v>
      </c>
      <c r="F12" s="71" t="s">
        <v>111</v>
      </c>
      <c r="G12" s="72" t="s">
        <v>112</v>
      </c>
      <c r="H12" s="71" t="s">
        <v>111</v>
      </c>
      <c r="I12" s="73" t="s">
        <v>129</v>
      </c>
      <c r="J12" s="74" t="s">
        <v>130</v>
      </c>
      <c r="K12" s="74" t="s">
        <v>131</v>
      </c>
    </row>
    <row r="13" spans="1:11" ht="115.8" customHeight="1">
      <c r="A13" s="67" t="s">
        <v>14</v>
      </c>
      <c r="B13" s="68" t="s">
        <v>132</v>
      </c>
      <c r="C13" s="70">
        <v>18</v>
      </c>
      <c r="D13" s="70">
        <v>24</v>
      </c>
      <c r="E13" s="72" t="s">
        <v>112</v>
      </c>
      <c r="F13" s="72" t="s">
        <v>112</v>
      </c>
      <c r="G13" s="71" t="s">
        <v>111</v>
      </c>
      <c r="H13" s="71" t="s">
        <v>111</v>
      </c>
      <c r="I13" s="73" t="s">
        <v>133</v>
      </c>
      <c r="J13" s="75" t="s">
        <v>134</v>
      </c>
      <c r="K13" s="75" t="s">
        <v>135</v>
      </c>
    </row>
    <row r="14" spans="1:11" ht="26" customHeight="1">
      <c r="A14" s="66" t="s">
        <v>136</v>
      </c>
      <c r="B14" s="66"/>
      <c r="C14" s="66"/>
      <c r="D14" s="66"/>
      <c r="E14" s="66"/>
      <c r="F14" s="66"/>
      <c r="G14" s="66"/>
      <c r="H14" s="66"/>
      <c r="I14" s="66"/>
      <c r="J14" s="66"/>
      <c r="K14" s="66"/>
    </row>
    <row r="15" spans="1:11" ht="61.4" customHeight="1">
      <c r="A15" s="76" t="s">
        <v>16</v>
      </c>
      <c r="B15" s="68" t="s">
        <v>137</v>
      </c>
      <c r="C15" s="69">
        <v>1</v>
      </c>
      <c r="D15" s="69">
        <v>1</v>
      </c>
      <c r="E15" s="72" t="s">
        <v>112</v>
      </c>
      <c r="F15" s="72" t="s">
        <v>112</v>
      </c>
      <c r="G15" s="72" t="s">
        <v>112</v>
      </c>
      <c r="H15" s="71" t="s">
        <v>111</v>
      </c>
      <c r="I15" s="73" t="s">
        <v>138</v>
      </c>
      <c r="J15" s="74" t="s">
        <v>139</v>
      </c>
      <c r="K15" s="74" t="s">
        <v>139</v>
      </c>
    </row>
    <row r="16" spans="1:11" ht="61.4" customHeight="1">
      <c r="A16" s="76" t="s">
        <v>16</v>
      </c>
      <c r="B16" s="68" t="s">
        <v>140</v>
      </c>
      <c r="C16" s="69">
        <v>7</v>
      </c>
      <c r="D16" s="69">
        <v>6</v>
      </c>
      <c r="E16" s="72" t="s">
        <v>112</v>
      </c>
      <c r="F16" s="72" t="s">
        <v>112</v>
      </c>
      <c r="G16" s="72" t="s">
        <v>112</v>
      </c>
      <c r="H16" s="71" t="s">
        <v>111</v>
      </c>
      <c r="I16" s="73" t="s">
        <v>141</v>
      </c>
      <c r="J16" s="74" t="s">
        <v>142</v>
      </c>
      <c r="K16" s="74" t="s">
        <v>143</v>
      </c>
    </row>
    <row r="17" spans="1:11" ht="143" customHeight="1">
      <c r="A17" s="76" t="s">
        <v>16</v>
      </c>
      <c r="B17" s="68" t="s">
        <v>144</v>
      </c>
      <c r="C17" s="69">
        <v>8</v>
      </c>
      <c r="D17" s="69">
        <v>7</v>
      </c>
      <c r="E17" s="72" t="s">
        <v>112</v>
      </c>
      <c r="F17" s="72" t="s">
        <v>112</v>
      </c>
      <c r="G17" s="72" t="s">
        <v>112</v>
      </c>
      <c r="H17" s="71" t="s">
        <v>111</v>
      </c>
      <c r="I17" s="73" t="s">
        <v>145</v>
      </c>
      <c r="J17" s="74" t="s">
        <v>146</v>
      </c>
      <c r="K17" s="74" t="s">
        <v>147</v>
      </c>
    </row>
    <row r="18" spans="1:11" ht="129.4" customHeight="1">
      <c r="A18" s="76" t="s">
        <v>16</v>
      </c>
      <c r="B18" s="68" t="s">
        <v>148</v>
      </c>
      <c r="C18" s="69">
        <v>10</v>
      </c>
      <c r="D18" s="69">
        <v>10</v>
      </c>
      <c r="E18" s="72" t="s">
        <v>112</v>
      </c>
      <c r="F18" s="72" t="s">
        <v>112</v>
      </c>
      <c r="G18" s="72" t="s">
        <v>112</v>
      </c>
      <c r="H18" s="71" t="s">
        <v>111</v>
      </c>
      <c r="I18" s="73" t="s">
        <v>149</v>
      </c>
      <c r="J18" s="74" t="s">
        <v>150</v>
      </c>
      <c r="K18" s="74" t="s">
        <v>151</v>
      </c>
    </row>
    <row r="19" spans="1:11" ht="115.8" customHeight="1">
      <c r="A19" s="76" t="s">
        <v>16</v>
      </c>
      <c r="B19" s="68" t="s">
        <v>152</v>
      </c>
      <c r="C19" s="69">
        <v>12</v>
      </c>
      <c r="D19" s="69">
        <v>17</v>
      </c>
      <c r="E19" s="72" t="s">
        <v>112</v>
      </c>
      <c r="F19" s="72" t="s">
        <v>112</v>
      </c>
      <c r="G19" s="72" t="s">
        <v>112</v>
      </c>
      <c r="H19" s="71" t="s">
        <v>111</v>
      </c>
      <c r="I19" s="73" t="s">
        <v>153</v>
      </c>
      <c r="J19" s="74" t="s">
        <v>154</v>
      </c>
      <c r="K19" s="74" t="s">
        <v>155</v>
      </c>
    </row>
    <row r="20" spans="1:11" ht="129.4" customHeight="1">
      <c r="A20" s="76" t="s">
        <v>16</v>
      </c>
      <c r="B20" s="68" t="s">
        <v>156</v>
      </c>
      <c r="C20" s="69">
        <v>13</v>
      </c>
      <c r="D20" s="69">
        <v>18</v>
      </c>
      <c r="E20" s="72" t="s">
        <v>112</v>
      </c>
      <c r="F20" s="72" t="s">
        <v>112</v>
      </c>
      <c r="G20" s="72" t="s">
        <v>112</v>
      </c>
      <c r="H20" s="71" t="s">
        <v>111</v>
      </c>
      <c r="I20" s="73" t="s">
        <v>157</v>
      </c>
      <c r="J20" s="74" t="s">
        <v>158</v>
      </c>
      <c r="K20" s="74" t="s">
        <v>159</v>
      </c>
    </row>
    <row r="21" spans="1:11" ht="75" customHeight="1">
      <c r="A21" s="76" t="s">
        <v>16</v>
      </c>
      <c r="B21" s="68" t="s">
        <v>160</v>
      </c>
      <c r="C21" s="69">
        <v>14</v>
      </c>
      <c r="D21" s="69">
        <v>19</v>
      </c>
      <c r="E21" s="72" t="s">
        <v>112</v>
      </c>
      <c r="F21" s="72" t="s">
        <v>112</v>
      </c>
      <c r="G21" s="72" t="s">
        <v>112</v>
      </c>
      <c r="H21" s="71" t="s">
        <v>111</v>
      </c>
      <c r="I21" s="73" t="s">
        <v>161</v>
      </c>
      <c r="J21" s="74" t="s">
        <v>162</v>
      </c>
      <c r="K21" s="74" t="s">
        <v>163</v>
      </c>
    </row>
    <row r="22" spans="1:11" ht="211" customHeight="1">
      <c r="A22" s="76" t="s">
        <v>16</v>
      </c>
      <c r="B22" s="68" t="s">
        <v>164</v>
      </c>
      <c r="C22" s="69">
        <v>15</v>
      </c>
      <c r="D22" s="69">
        <v>20</v>
      </c>
      <c r="E22" s="72" t="s">
        <v>112</v>
      </c>
      <c r="F22" s="72" t="s">
        <v>112</v>
      </c>
      <c r="G22" s="72" t="s">
        <v>112</v>
      </c>
      <c r="H22" s="71" t="s">
        <v>111</v>
      </c>
      <c r="I22" s="73" t="s">
        <v>161</v>
      </c>
      <c r="J22" s="74" t="s">
        <v>165</v>
      </c>
      <c r="K22" s="74" t="s">
        <v>165</v>
      </c>
    </row>
    <row r="23" spans="1:11" ht="26" customHeight="1">
      <c r="A23" s="66" t="s">
        <v>166</v>
      </c>
      <c r="B23" s="66"/>
      <c r="C23" s="66"/>
      <c r="D23" s="66"/>
      <c r="E23" s="66"/>
      <c r="F23" s="66"/>
      <c r="G23" s="66"/>
      <c r="H23" s="66"/>
      <c r="I23" s="66"/>
      <c r="J23" s="66"/>
      <c r="K23" s="66"/>
    </row>
    <row r="24" spans="1:11" ht="75" customHeight="1">
      <c r="A24" s="77" t="s">
        <v>18</v>
      </c>
      <c r="B24" s="68" t="s">
        <v>167</v>
      </c>
      <c r="C24" s="69">
        <v>2</v>
      </c>
      <c r="D24" s="78" t="s">
        <v>168</v>
      </c>
      <c r="E24" s="79" t="s">
        <v>168</v>
      </c>
      <c r="F24" s="79" t="s">
        <v>168</v>
      </c>
      <c r="G24" s="79" t="s">
        <v>168</v>
      </c>
      <c r="H24" s="79" t="s">
        <v>168</v>
      </c>
      <c r="I24" s="73" t="s">
        <v>169</v>
      </c>
      <c r="J24" s="74" t="s">
        <v>170</v>
      </c>
      <c r="K24" s="80" t="s">
        <v>168</v>
      </c>
    </row>
    <row r="25" spans="1:11" ht="61.4" customHeight="1">
      <c r="A25" s="77" t="s">
        <v>18</v>
      </c>
      <c r="B25" s="68" t="s">
        <v>171</v>
      </c>
      <c r="C25" s="69">
        <v>3</v>
      </c>
      <c r="D25" s="78" t="s">
        <v>168</v>
      </c>
      <c r="E25" s="79" t="s">
        <v>168</v>
      </c>
      <c r="F25" s="79" t="s">
        <v>168</v>
      </c>
      <c r="G25" s="79" t="s">
        <v>168</v>
      </c>
      <c r="H25" s="79" t="s">
        <v>168</v>
      </c>
      <c r="I25" s="73" t="s">
        <v>169</v>
      </c>
      <c r="J25" s="74" t="s">
        <v>172</v>
      </c>
      <c r="K25" s="80" t="s">
        <v>168</v>
      </c>
    </row>
    <row r="26" spans="1:11" ht="75" customHeight="1">
      <c r="A26" s="77" t="s">
        <v>18</v>
      </c>
      <c r="B26" s="68" t="s">
        <v>173</v>
      </c>
      <c r="C26" s="69">
        <v>4</v>
      </c>
      <c r="D26" s="78" t="s">
        <v>168</v>
      </c>
      <c r="E26" s="79" t="s">
        <v>168</v>
      </c>
      <c r="F26" s="79" t="s">
        <v>168</v>
      </c>
      <c r="G26" s="79" t="s">
        <v>168</v>
      </c>
      <c r="H26" s="79" t="s">
        <v>168</v>
      </c>
      <c r="I26" s="73" t="s">
        <v>174</v>
      </c>
      <c r="J26" s="74" t="s">
        <v>175</v>
      </c>
      <c r="K26" s="80" t="s">
        <v>168</v>
      </c>
    </row>
    <row r="27" spans="1:11" ht="61.4" customHeight="1">
      <c r="A27" s="77" t="s">
        <v>18</v>
      </c>
      <c r="B27" s="68" t="s">
        <v>176</v>
      </c>
      <c r="C27" s="69">
        <v>11</v>
      </c>
      <c r="D27" s="78" t="s">
        <v>168</v>
      </c>
      <c r="E27" s="79" t="s">
        <v>168</v>
      </c>
      <c r="F27" s="79" t="s">
        <v>168</v>
      </c>
      <c r="G27" s="79" t="s">
        <v>168</v>
      </c>
      <c r="H27" s="79" t="s">
        <v>168</v>
      </c>
      <c r="I27" s="73" t="s">
        <v>177</v>
      </c>
      <c r="J27" s="74" t="s">
        <v>178</v>
      </c>
      <c r="K27" s="80" t="s">
        <v>168</v>
      </c>
    </row>
    <row r="28" spans="1:11" ht="26" customHeight="1">
      <c r="A28" s="66" t="s">
        <v>179</v>
      </c>
      <c r="B28" s="66"/>
      <c r="C28" s="66"/>
      <c r="D28" s="66"/>
      <c r="E28" s="66"/>
      <c r="F28" s="66"/>
      <c r="G28" s="66"/>
      <c r="H28" s="66"/>
      <c r="I28" s="66"/>
      <c r="J28" s="66"/>
      <c r="K28" s="66"/>
    </row>
    <row r="29" spans="1:11" ht="61.4" customHeight="1">
      <c r="A29" s="81" t="s">
        <v>20</v>
      </c>
      <c r="B29" s="68" t="s">
        <v>180</v>
      </c>
      <c r="C29" s="78" t="s">
        <v>168</v>
      </c>
      <c r="D29" s="69">
        <v>2</v>
      </c>
      <c r="E29" s="79" t="s">
        <v>168</v>
      </c>
      <c r="F29" s="79" t="s">
        <v>168</v>
      </c>
      <c r="G29" s="79" t="s">
        <v>168</v>
      </c>
      <c r="H29" s="79" t="s">
        <v>168</v>
      </c>
      <c r="I29" s="73" t="s">
        <v>181</v>
      </c>
      <c r="J29" s="80" t="s">
        <v>168</v>
      </c>
      <c r="K29" s="74" t="s">
        <v>182</v>
      </c>
    </row>
    <row r="30" spans="1:11" ht="61.4" customHeight="1">
      <c r="A30" s="81" t="s">
        <v>20</v>
      </c>
      <c r="B30" s="68" t="s">
        <v>183</v>
      </c>
      <c r="C30" s="78" t="s">
        <v>168</v>
      </c>
      <c r="D30" s="70">
        <v>4</v>
      </c>
      <c r="E30" s="79" t="s">
        <v>168</v>
      </c>
      <c r="F30" s="79" t="s">
        <v>168</v>
      </c>
      <c r="G30" s="79" t="s">
        <v>168</v>
      </c>
      <c r="H30" s="79" t="s">
        <v>168</v>
      </c>
      <c r="I30" s="73" t="s">
        <v>184</v>
      </c>
      <c r="J30" s="80" t="s">
        <v>168</v>
      </c>
      <c r="K30" s="75" t="s">
        <v>185</v>
      </c>
    </row>
    <row r="31" spans="1:11" ht="88.6" customHeight="1">
      <c r="A31" s="81" t="s">
        <v>20</v>
      </c>
      <c r="B31" s="68" t="s">
        <v>186</v>
      </c>
      <c r="C31" s="78" t="s">
        <v>168</v>
      </c>
      <c r="D31" s="69">
        <v>8</v>
      </c>
      <c r="E31" s="79" t="s">
        <v>168</v>
      </c>
      <c r="F31" s="79" t="s">
        <v>168</v>
      </c>
      <c r="G31" s="79" t="s">
        <v>168</v>
      </c>
      <c r="H31" s="79" t="s">
        <v>168</v>
      </c>
      <c r="I31" s="73" t="s">
        <v>184</v>
      </c>
      <c r="J31" s="80" t="s">
        <v>168</v>
      </c>
      <c r="K31" s="74" t="s">
        <v>187</v>
      </c>
    </row>
    <row r="32" spans="1:11" ht="61.4" customHeight="1">
      <c r="A32" s="81" t="s">
        <v>20</v>
      </c>
      <c r="B32" s="68" t="s">
        <v>188</v>
      </c>
      <c r="C32" s="78" t="s">
        <v>168</v>
      </c>
      <c r="D32" s="69">
        <v>11</v>
      </c>
      <c r="E32" s="79" t="s">
        <v>168</v>
      </c>
      <c r="F32" s="79" t="s">
        <v>168</v>
      </c>
      <c r="G32" s="79" t="s">
        <v>168</v>
      </c>
      <c r="H32" s="79" t="s">
        <v>168</v>
      </c>
      <c r="I32" s="73" t="s">
        <v>184</v>
      </c>
      <c r="J32" s="80" t="s">
        <v>168</v>
      </c>
      <c r="K32" s="74" t="s">
        <v>189</v>
      </c>
    </row>
    <row r="33" spans="1:11" ht="61.4" customHeight="1">
      <c r="A33" s="81" t="s">
        <v>20</v>
      </c>
      <c r="B33" s="68" t="s">
        <v>190</v>
      </c>
      <c r="C33" s="78" t="s">
        <v>168</v>
      </c>
      <c r="D33" s="69">
        <v>12</v>
      </c>
      <c r="E33" s="79" t="s">
        <v>168</v>
      </c>
      <c r="F33" s="79" t="s">
        <v>168</v>
      </c>
      <c r="G33" s="79" t="s">
        <v>168</v>
      </c>
      <c r="H33" s="79" t="s">
        <v>168</v>
      </c>
      <c r="I33" s="73" t="s">
        <v>184</v>
      </c>
      <c r="J33" s="80" t="s">
        <v>168</v>
      </c>
      <c r="K33" s="74" t="s">
        <v>191</v>
      </c>
    </row>
    <row r="34" spans="1:11" ht="47.8" customHeight="1">
      <c r="A34" s="81" t="s">
        <v>20</v>
      </c>
      <c r="B34" s="68" t="s">
        <v>192</v>
      </c>
      <c r="C34" s="78" t="s">
        <v>168</v>
      </c>
      <c r="D34" s="69">
        <v>13</v>
      </c>
      <c r="E34" s="79" t="s">
        <v>168</v>
      </c>
      <c r="F34" s="79" t="s">
        <v>168</v>
      </c>
      <c r="G34" s="79" t="s">
        <v>168</v>
      </c>
      <c r="H34" s="79" t="s">
        <v>168</v>
      </c>
      <c r="I34" s="73" t="s">
        <v>184</v>
      </c>
      <c r="J34" s="80" t="s">
        <v>168</v>
      </c>
      <c r="K34" s="74" t="s">
        <v>193</v>
      </c>
    </row>
    <row r="35" spans="1:11" ht="61.4" customHeight="1">
      <c r="A35" s="81" t="s">
        <v>20</v>
      </c>
      <c r="B35" s="68" t="s">
        <v>194</v>
      </c>
      <c r="C35" s="78" t="s">
        <v>168</v>
      </c>
      <c r="D35" s="69">
        <v>14</v>
      </c>
      <c r="E35" s="79" t="s">
        <v>168</v>
      </c>
      <c r="F35" s="79" t="s">
        <v>168</v>
      </c>
      <c r="G35" s="79" t="s">
        <v>168</v>
      </c>
      <c r="H35" s="79" t="s">
        <v>168</v>
      </c>
      <c r="I35" s="73" t="s">
        <v>184</v>
      </c>
      <c r="J35" s="80" t="s">
        <v>168</v>
      </c>
      <c r="K35" s="74" t="s">
        <v>195</v>
      </c>
    </row>
    <row r="36" spans="1:11" ht="75" customHeight="1">
      <c r="A36" s="81" t="s">
        <v>20</v>
      </c>
      <c r="B36" s="68" t="s">
        <v>196</v>
      </c>
      <c r="C36" s="78" t="s">
        <v>168</v>
      </c>
      <c r="D36" s="69">
        <v>15</v>
      </c>
      <c r="E36" s="79" t="s">
        <v>168</v>
      </c>
      <c r="F36" s="79" t="s">
        <v>168</v>
      </c>
      <c r="G36" s="79" t="s">
        <v>168</v>
      </c>
      <c r="H36" s="79" t="s">
        <v>168</v>
      </c>
      <c r="I36" s="73" t="s">
        <v>197</v>
      </c>
      <c r="J36" s="80" t="s">
        <v>168</v>
      </c>
      <c r="K36" s="74" t="s">
        <v>198</v>
      </c>
    </row>
    <row r="37" spans="1:11" ht="156.6" customHeight="1">
      <c r="A37" s="81" t="s">
        <v>20</v>
      </c>
      <c r="B37" s="68" t="s">
        <v>199</v>
      </c>
      <c r="C37" s="78" t="s">
        <v>168</v>
      </c>
      <c r="D37" s="69">
        <v>16</v>
      </c>
      <c r="E37" s="79" t="s">
        <v>168</v>
      </c>
      <c r="F37" s="79" t="s">
        <v>168</v>
      </c>
      <c r="G37" s="79" t="s">
        <v>168</v>
      </c>
      <c r="H37" s="79" t="s">
        <v>168</v>
      </c>
      <c r="I37" s="73" t="s">
        <v>200</v>
      </c>
      <c r="J37" s="80" t="s">
        <v>168</v>
      </c>
      <c r="K37" s="74" t="s">
        <v>201</v>
      </c>
    </row>
    <row r="38" spans="1:11" ht="102.2" customHeight="1">
      <c r="A38" s="81" t="s">
        <v>20</v>
      </c>
      <c r="B38" s="68" t="s">
        <v>202</v>
      </c>
      <c r="C38" s="78" t="s">
        <v>168</v>
      </c>
      <c r="D38" s="69">
        <v>22</v>
      </c>
      <c r="E38" s="79" t="s">
        <v>168</v>
      </c>
      <c r="F38" s="79" t="s">
        <v>168</v>
      </c>
      <c r="G38" s="79" t="s">
        <v>168</v>
      </c>
      <c r="H38" s="79" t="s">
        <v>168</v>
      </c>
      <c r="I38" s="73" t="s">
        <v>184</v>
      </c>
      <c r="J38" s="80" t="s">
        <v>168</v>
      </c>
      <c r="K38" s="74" t="s">
        <v>203</v>
      </c>
    </row>
    <row r="39" spans="1:11" ht="102.2" customHeight="1">
      <c r="A39" s="81" t="s">
        <v>20</v>
      </c>
      <c r="B39" s="68" t="s">
        <v>204</v>
      </c>
      <c r="C39" s="78" t="s">
        <v>168</v>
      </c>
      <c r="D39" s="70">
        <v>25</v>
      </c>
      <c r="E39" s="79" t="s">
        <v>168</v>
      </c>
      <c r="F39" s="79" t="s">
        <v>168</v>
      </c>
      <c r="G39" s="79" t="s">
        <v>168</v>
      </c>
      <c r="H39" s="79" t="s">
        <v>168</v>
      </c>
      <c r="I39" s="73" t="s">
        <v>184</v>
      </c>
      <c r="J39" s="80" t="s">
        <v>168</v>
      </c>
      <c r="K39" s="75" t="s">
        <v>205</v>
      </c>
    </row>
  </sheetData>
  <mergeCells count="5">
    <mergeCell ref="A3:K3"/>
    <mergeCell ref="A7:K7"/>
    <mergeCell ref="A14:K14"/>
    <mergeCell ref="A23:K23"/>
    <mergeCell ref="A28:K28"/>
  </mergeCells>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4.xml><?xml version="1.0" encoding="utf-8"?>
<worksheet xmlns="http://schemas.openxmlformats.org/spreadsheetml/2006/main" xmlns:r="http://schemas.openxmlformats.org/officeDocument/2006/relationships">
  <sheetPr codeName="shAnlegen">
    <tabColor rgb="FF1E7F4F"/>
    <pageSetUpPr fitToPage="1"/>
  </sheetPr>
  <dimension ref="A1:K56"/>
  <sheetViews>
    <sheetView showGridLines="0" workbookViewId="0">
      <pane ySplit="10" topLeftCell="A11" activePane="bottomLeft" state="frozen"/>
      <selection pane="bottomLeft"/>
    </sheetView>
  </sheetViews>
  <sheetFormatPr defaultRowHeight="15"/>
  <cols>
    <col min="1" max="1" width="5.7109375" customWidth="1"/>
    <col min="2" max="2" width="19.7109375" customWidth="1"/>
    <col min="3" max="3" width="34.7109375" customWidth="1"/>
    <col min="4" max="4" width="8.7109375" customWidth="1"/>
    <col min="5" max="5" width="30.7109375" customWidth="1"/>
    <col min="6" max="6" width="38.7109375" customWidth="1"/>
    <col min="7" max="7" width="20.7109375" customWidth="1"/>
    <col min="8" max="8" width="52.7109375" customWidth="1"/>
    <col min="9" max="9" width="32.7109375" customWidth="1"/>
    <col min="10" max="10" width="52.7109375" customWidth="1"/>
    <col min="11" max="11" width="12.7109375" customWidth="1"/>
  </cols>
  <sheetData>
    <row r="1" spans="1:11" ht="36" customHeight="1">
      <c r="A1" s="36" t="s">
        <v>206</v>
      </c>
    </row>
    <row r="2" spans="1:11" ht="18" customHeight="1">
      <c r="A2" s="65" t="s">
        <v>207</v>
      </c>
    </row>
    <row r="3" spans="1:11" ht="30" customHeight="1">
      <c r="A3" s="82" t="s">
        <v>208</v>
      </c>
      <c r="B3" s="82"/>
      <c r="C3" s="82"/>
      <c r="D3" s="82"/>
      <c r="E3" s="82"/>
      <c r="F3" s="82"/>
      <c r="G3" s="82"/>
      <c r="H3" s="82"/>
      <c r="I3" s="82"/>
      <c r="J3" s="82"/>
      <c r="K3" s="82"/>
    </row>
    <row r="4" spans="1:11" ht="22" customHeight="1">
      <c r="A4" s="83" t="s">
        <v>209</v>
      </c>
    </row>
    <row r="5" spans="1:11" ht="16" customHeight="1">
      <c r="A5" s="84" t="s">
        <v>210</v>
      </c>
    </row>
    <row r="6" spans="1:11" ht="16" customHeight="1">
      <c r="A6" s="84" t="s">
        <v>211</v>
      </c>
    </row>
    <row r="7" spans="1:11" ht="16" customHeight="1">
      <c r="A7" s="84" t="s">
        <v>212</v>
      </c>
    </row>
    <row r="8" spans="1:11" ht="16" customHeight="1">
      <c r="A8" s="84" t="s">
        <v>213</v>
      </c>
    </row>
    <row r="9" spans="1:11" ht="22" customHeight="1">
      <c r="A9" s="85" t="s">
        <v>214</v>
      </c>
    </row>
    <row r="10" spans="1:11" ht="30" customHeight="1">
      <c r="A10" s="13" t="s">
        <v>215</v>
      </c>
      <c r="B10" s="12" t="s">
        <v>216</v>
      </c>
      <c r="C10" s="12" t="s">
        <v>217</v>
      </c>
      <c r="D10" s="13" t="s">
        <v>218</v>
      </c>
      <c r="E10" s="12" t="s">
        <v>219</v>
      </c>
      <c r="F10" s="12" t="s">
        <v>220</v>
      </c>
      <c r="G10" s="12" t="s">
        <v>221</v>
      </c>
      <c r="H10" s="12" t="s">
        <v>222</v>
      </c>
      <c r="I10" s="12" t="s">
        <v>223</v>
      </c>
      <c r="J10" s="12" t="s">
        <v>224</v>
      </c>
      <c r="K10" s="13" t="s">
        <v>225</v>
      </c>
    </row>
    <row r="11" spans="1:11" ht="105.2" customHeight="1">
      <c r="A11" s="49">
        <v>1</v>
      </c>
      <c r="B11" s="86" t="s">
        <v>30</v>
      </c>
      <c r="C11" s="87" t="s">
        <v>226</v>
      </c>
      <c r="D11" s="88">
        <v>1</v>
      </c>
      <c r="E11" s="89" t="s">
        <v>227</v>
      </c>
      <c r="F11" s="90" t="s">
        <v>228</v>
      </c>
      <c r="G11" s="89" t="s">
        <v>168</v>
      </c>
      <c r="H11" s="89" t="s">
        <v>229</v>
      </c>
      <c r="I11" s="89" t="s">
        <v>230</v>
      </c>
      <c r="J11" s="91" t="s">
        <v>231</v>
      </c>
      <c r="K11" s="49" t="s">
        <v>232</v>
      </c>
    </row>
    <row r="12" spans="1:11" ht="64.4" customHeight="1">
      <c r="A12" s="49">
        <v>2</v>
      </c>
      <c r="B12" s="92" t="s">
        <v>28</v>
      </c>
      <c r="C12" s="87" t="s">
        <v>180</v>
      </c>
      <c r="D12" s="88">
        <v>2</v>
      </c>
      <c r="E12" s="89" t="s">
        <v>233</v>
      </c>
      <c r="F12" s="90" t="s">
        <v>234</v>
      </c>
      <c r="G12" s="89" t="s">
        <v>168</v>
      </c>
      <c r="H12" s="89" t="s">
        <v>229</v>
      </c>
      <c r="I12" s="89" t="s">
        <v>235</v>
      </c>
      <c r="J12" s="91" t="s">
        <v>236</v>
      </c>
      <c r="K12" s="49" t="s">
        <v>232</v>
      </c>
    </row>
    <row r="13" spans="1:11" ht="91.6" customHeight="1">
      <c r="A13" s="49">
        <v>3</v>
      </c>
      <c r="B13" s="86" t="s">
        <v>30</v>
      </c>
      <c r="C13" s="87" t="s">
        <v>237</v>
      </c>
      <c r="D13" s="88">
        <v>3</v>
      </c>
      <c r="E13" s="89" t="s">
        <v>238</v>
      </c>
      <c r="F13" s="89" t="s">
        <v>239</v>
      </c>
      <c r="G13" s="89" t="s">
        <v>240</v>
      </c>
      <c r="H13" s="89" t="s">
        <v>241</v>
      </c>
      <c r="I13" s="89" t="s">
        <v>168</v>
      </c>
      <c r="J13" s="91" t="s">
        <v>242</v>
      </c>
      <c r="K13" s="49" t="s">
        <v>232</v>
      </c>
    </row>
    <row r="14" spans="1:11" ht="91.6" customHeight="1">
      <c r="A14" s="49">
        <v>4</v>
      </c>
      <c r="B14" s="92" t="s">
        <v>28</v>
      </c>
      <c r="C14" s="87" t="s">
        <v>186</v>
      </c>
      <c r="D14" s="88">
        <v>10</v>
      </c>
      <c r="E14" s="89" t="s">
        <v>243</v>
      </c>
      <c r="F14" s="90" t="s">
        <v>244</v>
      </c>
      <c r="G14" s="89" t="s">
        <v>168</v>
      </c>
      <c r="H14" s="89" t="s">
        <v>245</v>
      </c>
      <c r="I14" s="89" t="s">
        <v>246</v>
      </c>
      <c r="J14" s="91" t="s">
        <v>247</v>
      </c>
      <c r="K14" s="49" t="s">
        <v>232</v>
      </c>
    </row>
    <row r="15" spans="1:11" ht="91.6" customHeight="1">
      <c r="A15" s="49">
        <v>5</v>
      </c>
      <c r="B15" s="86" t="s">
        <v>30</v>
      </c>
      <c r="C15" s="87" t="s">
        <v>248</v>
      </c>
      <c r="D15" s="88">
        <v>11</v>
      </c>
      <c r="E15" s="89" t="s">
        <v>249</v>
      </c>
      <c r="F15" s="89" t="s">
        <v>250</v>
      </c>
      <c r="G15" s="89" t="s">
        <v>168</v>
      </c>
      <c r="H15" s="89" t="s">
        <v>245</v>
      </c>
      <c r="I15" s="89" t="s">
        <v>168</v>
      </c>
      <c r="J15" s="91" t="s">
        <v>251</v>
      </c>
      <c r="K15" s="49" t="s">
        <v>232</v>
      </c>
    </row>
    <row r="16" spans="1:11" ht="146" customHeight="1">
      <c r="A16" s="49">
        <v>6</v>
      </c>
      <c r="B16" s="86" t="s">
        <v>30</v>
      </c>
      <c r="C16" s="87" t="s">
        <v>252</v>
      </c>
      <c r="D16" s="88">
        <v>21</v>
      </c>
      <c r="E16" s="89" t="s">
        <v>253</v>
      </c>
      <c r="F16" s="89" t="s">
        <v>254</v>
      </c>
      <c r="G16" s="89" t="s">
        <v>255</v>
      </c>
      <c r="H16" s="89" t="s">
        <v>256</v>
      </c>
      <c r="I16" s="89" t="s">
        <v>168</v>
      </c>
      <c r="J16" s="91" t="s">
        <v>257</v>
      </c>
      <c r="K16" s="49" t="s">
        <v>232</v>
      </c>
    </row>
    <row r="17" spans="1:11" ht="146" customHeight="1">
      <c r="A17" s="49">
        <v>7</v>
      </c>
      <c r="B17" s="86" t="s">
        <v>30</v>
      </c>
      <c r="C17" s="87" t="s">
        <v>258</v>
      </c>
      <c r="D17" s="88">
        <v>22</v>
      </c>
      <c r="E17" s="89" t="s">
        <v>259</v>
      </c>
      <c r="F17" s="89" t="s">
        <v>260</v>
      </c>
      <c r="G17" s="89" t="s">
        <v>261</v>
      </c>
      <c r="H17" s="89" t="s">
        <v>256</v>
      </c>
      <c r="I17" s="89" t="s">
        <v>168</v>
      </c>
      <c r="J17" s="91" t="s">
        <v>262</v>
      </c>
      <c r="K17" s="49" t="s">
        <v>232</v>
      </c>
    </row>
    <row r="18" spans="1:11" ht="64.4" customHeight="1">
      <c r="A18" s="49">
        <v>8</v>
      </c>
      <c r="B18" s="93" t="s">
        <v>32</v>
      </c>
      <c r="C18" s="87" t="s">
        <v>188</v>
      </c>
      <c r="D18" s="88">
        <v>13</v>
      </c>
      <c r="E18" s="89" t="s">
        <v>263</v>
      </c>
      <c r="F18" s="90" t="s">
        <v>264</v>
      </c>
      <c r="G18" s="89" t="s">
        <v>168</v>
      </c>
      <c r="H18" s="89" t="s">
        <v>265</v>
      </c>
      <c r="I18" s="89" t="s">
        <v>266</v>
      </c>
      <c r="J18" s="91" t="s">
        <v>267</v>
      </c>
      <c r="K18" s="49" t="s">
        <v>232</v>
      </c>
    </row>
    <row r="19" spans="1:11" ht="64.4" customHeight="1">
      <c r="A19" s="49">
        <v>9</v>
      </c>
      <c r="B19" s="93" t="s">
        <v>32</v>
      </c>
      <c r="C19" s="87" t="s">
        <v>190</v>
      </c>
      <c r="D19" s="88">
        <v>14</v>
      </c>
      <c r="E19" s="89" t="s">
        <v>268</v>
      </c>
      <c r="F19" s="90" t="s">
        <v>269</v>
      </c>
      <c r="G19" s="89" t="s">
        <v>168</v>
      </c>
      <c r="H19" s="89" t="s">
        <v>270</v>
      </c>
      <c r="I19" s="89" t="s">
        <v>271</v>
      </c>
      <c r="J19" s="91" t="s">
        <v>267</v>
      </c>
      <c r="K19" s="49" t="s">
        <v>232</v>
      </c>
    </row>
    <row r="20" spans="1:11" ht="64.4" customHeight="1">
      <c r="A20" s="49">
        <v>10</v>
      </c>
      <c r="B20" s="93" t="s">
        <v>32</v>
      </c>
      <c r="C20" s="87" t="s">
        <v>194</v>
      </c>
      <c r="D20" s="88">
        <v>15</v>
      </c>
      <c r="E20" s="89" t="s">
        <v>272</v>
      </c>
      <c r="F20" s="90" t="s">
        <v>273</v>
      </c>
      <c r="G20" s="89" t="s">
        <v>168</v>
      </c>
      <c r="H20" s="89" t="s">
        <v>274</v>
      </c>
      <c r="I20" s="89" t="s">
        <v>275</v>
      </c>
      <c r="J20" s="91" t="s">
        <v>267</v>
      </c>
      <c r="K20" s="49" t="s">
        <v>232</v>
      </c>
    </row>
    <row r="21" spans="1:11" ht="50.8" customHeight="1">
      <c r="A21" s="49">
        <v>11</v>
      </c>
      <c r="B21" s="94" t="s">
        <v>34</v>
      </c>
      <c r="C21" s="87" t="s">
        <v>192</v>
      </c>
      <c r="D21" s="88" t="s">
        <v>168</v>
      </c>
      <c r="E21" s="89" t="s">
        <v>276</v>
      </c>
      <c r="F21" s="89" t="s">
        <v>277</v>
      </c>
      <c r="G21" s="89" t="s">
        <v>168</v>
      </c>
      <c r="H21" s="89" t="s">
        <v>278</v>
      </c>
      <c r="I21" s="89" t="s">
        <v>168</v>
      </c>
      <c r="J21" s="91" t="s">
        <v>279</v>
      </c>
      <c r="K21" s="49" t="s">
        <v>232</v>
      </c>
    </row>
    <row r="22" spans="1:11" ht="159.6" customHeight="1">
      <c r="A22" s="49">
        <v>12</v>
      </c>
      <c r="B22" s="94" t="s">
        <v>34</v>
      </c>
      <c r="C22" s="87" t="s">
        <v>280</v>
      </c>
      <c r="D22" s="88">
        <v>16</v>
      </c>
      <c r="E22" s="89" t="s">
        <v>281</v>
      </c>
      <c r="F22" s="89" t="s">
        <v>282</v>
      </c>
      <c r="G22" s="89" t="s">
        <v>168</v>
      </c>
      <c r="H22" s="89" t="s">
        <v>283</v>
      </c>
      <c r="I22" s="89" t="s">
        <v>168</v>
      </c>
      <c r="J22" s="91" t="s">
        <v>284</v>
      </c>
      <c r="K22" s="49" t="s">
        <v>232</v>
      </c>
    </row>
    <row r="23" spans="1:11" ht="105.2" customHeight="1">
      <c r="A23" s="49">
        <v>13</v>
      </c>
      <c r="B23" s="94" t="s">
        <v>34</v>
      </c>
      <c r="C23" s="87" t="s">
        <v>199</v>
      </c>
      <c r="D23" s="88" t="s">
        <v>168</v>
      </c>
      <c r="E23" s="89" t="s">
        <v>285</v>
      </c>
      <c r="F23" s="89" t="s">
        <v>286</v>
      </c>
      <c r="G23" s="89" t="s">
        <v>168</v>
      </c>
      <c r="H23" s="89" t="s">
        <v>287</v>
      </c>
      <c r="I23" s="89" t="s">
        <v>168</v>
      </c>
      <c r="J23" s="91" t="s">
        <v>288</v>
      </c>
      <c r="K23" s="49" t="s">
        <v>232</v>
      </c>
    </row>
    <row r="24" spans="1:11" ht="91.6" customHeight="1">
      <c r="A24" s="49">
        <v>14</v>
      </c>
      <c r="B24" s="94" t="s">
        <v>34</v>
      </c>
      <c r="C24" s="87" t="s">
        <v>202</v>
      </c>
      <c r="D24" s="88" t="s">
        <v>168</v>
      </c>
      <c r="E24" s="89" t="s">
        <v>289</v>
      </c>
      <c r="F24" s="89" t="s">
        <v>290</v>
      </c>
      <c r="G24" s="89" t="s">
        <v>168</v>
      </c>
      <c r="H24" s="89" t="s">
        <v>291</v>
      </c>
      <c r="I24" s="89" t="s">
        <v>168</v>
      </c>
      <c r="J24" s="91" t="s">
        <v>288</v>
      </c>
      <c r="K24" s="49" t="s">
        <v>232</v>
      </c>
    </row>
    <row r="25" spans="1:11" ht="105.2" customHeight="1">
      <c r="A25" s="49">
        <v>15</v>
      </c>
      <c r="B25" s="95" t="s">
        <v>36</v>
      </c>
      <c r="C25" s="87" t="s">
        <v>292</v>
      </c>
      <c r="D25" s="88">
        <v>7</v>
      </c>
      <c r="E25" s="89" t="s">
        <v>293</v>
      </c>
      <c r="F25" s="89" t="s">
        <v>294</v>
      </c>
      <c r="G25" s="89" t="s">
        <v>168</v>
      </c>
      <c r="H25" s="89" t="s">
        <v>295</v>
      </c>
      <c r="I25" s="89" t="s">
        <v>168</v>
      </c>
      <c r="J25" s="91" t="s">
        <v>296</v>
      </c>
      <c r="K25" s="49" t="s">
        <v>232</v>
      </c>
    </row>
    <row r="26" spans="1:11" ht="14" customHeight="1"/>
    <row r="27" spans="1:11" ht="30" customHeight="1">
      <c r="A27" s="11" t="s">
        <v>297</v>
      </c>
    </row>
    <row r="28" spans="1:11" ht="26" customHeight="1">
      <c r="A28" s="13" t="s">
        <v>298</v>
      </c>
      <c r="B28" s="12" t="s">
        <v>299</v>
      </c>
      <c r="C28" s="12" t="s">
        <v>99</v>
      </c>
      <c r="D28" s="12"/>
      <c r="E28" s="12"/>
      <c r="F28" s="12" t="s">
        <v>300</v>
      </c>
    </row>
    <row r="29" spans="1:11" ht="22" customHeight="1">
      <c r="A29" s="69">
        <v>1</v>
      </c>
      <c r="B29" s="96" t="s">
        <v>301</v>
      </c>
      <c r="C29" s="26" t="s">
        <v>137</v>
      </c>
      <c r="D29" s="26"/>
      <c r="E29" s="26"/>
      <c r="F29" s="16">
        <v>1</v>
      </c>
    </row>
    <row r="30" spans="1:11" ht="26" customHeight="1">
      <c r="A30" s="69">
        <v>2</v>
      </c>
      <c r="B30" s="97" t="s">
        <v>302</v>
      </c>
      <c r="C30" s="26" t="s">
        <v>180</v>
      </c>
      <c r="D30" s="26"/>
      <c r="E30" s="26"/>
      <c r="F30" s="16" t="s">
        <v>168</v>
      </c>
    </row>
    <row r="31" spans="1:11" ht="22" customHeight="1">
      <c r="A31" s="69">
        <v>3</v>
      </c>
      <c r="B31" s="96" t="s">
        <v>303</v>
      </c>
      <c r="C31" s="26" t="s">
        <v>173</v>
      </c>
      <c r="D31" s="26"/>
      <c r="E31" s="26"/>
      <c r="F31" s="16">
        <v>4</v>
      </c>
    </row>
    <row r="32" spans="1:11" ht="22" customHeight="1">
      <c r="A32" s="69">
        <v>4</v>
      </c>
      <c r="B32" s="98" t="s">
        <v>304</v>
      </c>
      <c r="C32" s="99" t="s">
        <v>167</v>
      </c>
      <c r="D32" s="99"/>
      <c r="E32" s="99"/>
      <c r="F32" s="16">
        <v>2</v>
      </c>
    </row>
    <row r="33" spans="1:6" ht="22" customHeight="1">
      <c r="A33" s="69">
        <v>5</v>
      </c>
      <c r="B33" s="98" t="s">
        <v>304</v>
      </c>
      <c r="C33" s="99" t="s">
        <v>171</v>
      </c>
      <c r="D33" s="99"/>
      <c r="E33" s="99"/>
      <c r="F33" s="16">
        <v>3</v>
      </c>
    </row>
    <row r="34" spans="1:6" ht="22" customHeight="1">
      <c r="A34" s="69">
        <v>6</v>
      </c>
      <c r="B34" s="98" t="s">
        <v>304</v>
      </c>
      <c r="C34" s="99" t="s">
        <v>110</v>
      </c>
      <c r="D34" s="99"/>
      <c r="E34" s="99"/>
      <c r="F34" s="16">
        <v>5</v>
      </c>
    </row>
    <row r="35" spans="1:6" ht="22" customHeight="1">
      <c r="A35" s="69">
        <v>7</v>
      </c>
      <c r="B35" s="98" t="s">
        <v>304</v>
      </c>
      <c r="C35" s="99" t="s">
        <v>116</v>
      </c>
      <c r="D35" s="99"/>
      <c r="E35" s="99"/>
      <c r="F35" s="16">
        <v>6</v>
      </c>
    </row>
    <row r="36" spans="1:6" ht="22" customHeight="1">
      <c r="A36" s="69">
        <v>8</v>
      </c>
      <c r="B36" s="98" t="s">
        <v>304</v>
      </c>
      <c r="C36" s="99" t="s">
        <v>140</v>
      </c>
      <c r="D36" s="99"/>
      <c r="E36" s="99"/>
      <c r="F36" s="16">
        <v>7</v>
      </c>
    </row>
    <row r="37" spans="1:6" ht="22" customHeight="1">
      <c r="A37" s="69">
        <v>9</v>
      </c>
      <c r="B37" s="98" t="s">
        <v>304</v>
      </c>
      <c r="C37" s="99" t="s">
        <v>144</v>
      </c>
      <c r="D37" s="99"/>
      <c r="E37" s="99"/>
      <c r="F37" s="16">
        <v>8</v>
      </c>
    </row>
    <row r="38" spans="1:6" ht="26" customHeight="1">
      <c r="A38" s="69">
        <v>10</v>
      </c>
      <c r="B38" s="97" t="s">
        <v>302</v>
      </c>
      <c r="C38" s="26" t="s">
        <v>186</v>
      </c>
      <c r="D38" s="26"/>
      <c r="E38" s="26"/>
      <c r="F38" s="16" t="s">
        <v>168</v>
      </c>
    </row>
    <row r="39" spans="1:6" ht="22" customHeight="1">
      <c r="A39" s="69">
        <v>11</v>
      </c>
      <c r="B39" s="96" t="s">
        <v>301</v>
      </c>
      <c r="C39" s="26" t="s">
        <v>120</v>
      </c>
      <c r="D39" s="26"/>
      <c r="E39" s="26"/>
      <c r="F39" s="16">
        <v>9</v>
      </c>
    </row>
    <row r="40" spans="1:6" ht="22" customHeight="1">
      <c r="A40" s="69">
        <v>12</v>
      </c>
      <c r="B40" s="98" t="s">
        <v>304</v>
      </c>
      <c r="C40" s="99" t="s">
        <v>148</v>
      </c>
      <c r="D40" s="99"/>
      <c r="E40" s="99"/>
      <c r="F40" s="16">
        <v>10</v>
      </c>
    </row>
    <row r="41" spans="1:6" ht="26" customHeight="1">
      <c r="A41" s="69">
        <v>13</v>
      </c>
      <c r="B41" s="100" t="s">
        <v>305</v>
      </c>
      <c r="C41" s="26" t="s">
        <v>188</v>
      </c>
      <c r="D41" s="26"/>
      <c r="E41" s="26"/>
      <c r="F41" s="16" t="s">
        <v>168</v>
      </c>
    </row>
    <row r="42" spans="1:6" ht="26" customHeight="1">
      <c r="A42" s="69">
        <v>14</v>
      </c>
      <c r="B42" s="100" t="s">
        <v>305</v>
      </c>
      <c r="C42" s="26" t="s">
        <v>190</v>
      </c>
      <c r="D42" s="26"/>
      <c r="E42" s="26"/>
      <c r="F42" s="16" t="s">
        <v>168</v>
      </c>
    </row>
    <row r="43" spans="1:6" ht="26" customHeight="1">
      <c r="A43" s="69">
        <v>15</v>
      </c>
      <c r="B43" s="100" t="s">
        <v>305</v>
      </c>
      <c r="C43" s="26" t="s">
        <v>194</v>
      </c>
      <c r="D43" s="26"/>
      <c r="E43" s="26"/>
      <c r="F43" s="16" t="s">
        <v>168</v>
      </c>
    </row>
    <row r="44" spans="1:6" ht="22" customHeight="1">
      <c r="A44" s="69">
        <v>16</v>
      </c>
      <c r="B44" s="98" t="s">
        <v>304</v>
      </c>
      <c r="C44" s="99" t="s">
        <v>176</v>
      </c>
      <c r="D44" s="99"/>
      <c r="E44" s="99"/>
      <c r="F44" s="16">
        <v>11</v>
      </c>
    </row>
    <row r="45" spans="1:6" ht="22" customHeight="1">
      <c r="A45" s="69">
        <v>17</v>
      </c>
      <c r="B45" s="98" t="s">
        <v>304</v>
      </c>
      <c r="C45" s="99" t="s">
        <v>152</v>
      </c>
      <c r="D45" s="99"/>
      <c r="E45" s="99"/>
      <c r="F45" s="16">
        <v>12</v>
      </c>
    </row>
    <row r="46" spans="1:6" ht="22" customHeight="1">
      <c r="A46" s="69">
        <v>18</v>
      </c>
      <c r="B46" s="98" t="s">
        <v>304</v>
      </c>
      <c r="C46" s="99" t="s">
        <v>156</v>
      </c>
      <c r="D46" s="99"/>
      <c r="E46" s="99"/>
      <c r="F46" s="16">
        <v>13</v>
      </c>
    </row>
    <row r="47" spans="1:6" ht="22" customHeight="1">
      <c r="A47" s="69">
        <v>19</v>
      </c>
      <c r="B47" s="98" t="s">
        <v>304</v>
      </c>
      <c r="C47" s="99" t="s">
        <v>160</v>
      </c>
      <c r="D47" s="99"/>
      <c r="E47" s="99"/>
      <c r="F47" s="16">
        <v>14</v>
      </c>
    </row>
    <row r="48" spans="1:6" ht="22" customHeight="1">
      <c r="A48" s="69">
        <v>20</v>
      </c>
      <c r="B48" s="98" t="s">
        <v>304</v>
      </c>
      <c r="C48" s="99" t="s">
        <v>164</v>
      </c>
      <c r="D48" s="99"/>
      <c r="E48" s="99"/>
      <c r="F48" s="16">
        <v>15</v>
      </c>
    </row>
    <row r="49" spans="1:8" ht="22" customHeight="1">
      <c r="A49" s="69">
        <v>21</v>
      </c>
      <c r="B49" s="96" t="s">
        <v>301</v>
      </c>
      <c r="C49" s="26" t="s">
        <v>124</v>
      </c>
      <c r="D49" s="26"/>
      <c r="E49" s="26"/>
      <c r="F49" s="16">
        <v>16</v>
      </c>
    </row>
    <row r="50" spans="1:8" ht="22" customHeight="1">
      <c r="A50" s="69">
        <v>22</v>
      </c>
      <c r="B50" s="96" t="s">
        <v>301</v>
      </c>
      <c r="C50" s="26" t="s">
        <v>128</v>
      </c>
      <c r="D50" s="26"/>
      <c r="E50" s="26"/>
      <c r="F50" s="16">
        <v>17</v>
      </c>
    </row>
    <row r="51" spans="1:8" ht="26" customHeight="1">
      <c r="A51" s="69">
        <v>23</v>
      </c>
      <c r="B51" s="101" t="s">
        <v>306</v>
      </c>
      <c r="C51" s="102" t="s">
        <v>132</v>
      </c>
      <c r="D51" s="102"/>
      <c r="E51" s="102"/>
      <c r="F51" s="16">
        <v>18</v>
      </c>
    </row>
    <row r="52" spans="1:8">
      <c r="A52" s="103" t="s">
        <v>307</v>
      </c>
    </row>
    <row r="54" spans="1:8" ht="30" customHeight="1">
      <c r="A54" s="11" t="s">
        <v>308</v>
      </c>
    </row>
    <row r="55" spans="1:8" ht="20.6" customHeight="1">
      <c r="A55" s="104" t="s">
        <v>168</v>
      </c>
      <c r="B55" s="73" t="s">
        <v>309</v>
      </c>
      <c r="C55" s="73"/>
      <c r="D55" s="73"/>
      <c r="E55" s="73"/>
      <c r="F55" s="73"/>
      <c r="G55" s="73"/>
      <c r="H55" s="73"/>
    </row>
    <row r="56" spans="1:8" ht="20.6" customHeight="1">
      <c r="A56" s="104" t="s">
        <v>168</v>
      </c>
      <c r="B56" s="73" t="s">
        <v>310</v>
      </c>
      <c r="C56" s="73"/>
      <c r="D56" s="73"/>
      <c r="E56" s="73"/>
      <c r="F56" s="73"/>
      <c r="G56" s="73"/>
      <c r="H56" s="73"/>
    </row>
  </sheetData>
  <mergeCells count="27">
    <mergeCell ref="A3:K3"/>
    <mergeCell ref="C28:E28"/>
    <mergeCell ref="C29:E29"/>
    <mergeCell ref="C30:E30"/>
    <mergeCell ref="C31:E31"/>
    <mergeCell ref="C32:E32"/>
    <mergeCell ref="C33:E33"/>
    <mergeCell ref="C34:E34"/>
    <mergeCell ref="C35:E35"/>
    <mergeCell ref="C36:E36"/>
    <mergeCell ref="C37:E37"/>
    <mergeCell ref="C38:E38"/>
    <mergeCell ref="C39:E39"/>
    <mergeCell ref="C40:E40"/>
    <mergeCell ref="C41:E41"/>
    <mergeCell ref="C42:E42"/>
    <mergeCell ref="C43:E43"/>
    <mergeCell ref="C44:E44"/>
    <mergeCell ref="C45:E45"/>
    <mergeCell ref="C46:E46"/>
    <mergeCell ref="C47:E47"/>
    <mergeCell ref="C48:E48"/>
    <mergeCell ref="C49:E49"/>
    <mergeCell ref="C50:E50"/>
    <mergeCell ref="C51:E51"/>
    <mergeCell ref="B55:H55"/>
    <mergeCell ref="B56:H56"/>
  </mergeCells>
  <conditionalFormatting sqref="A11:J25">
    <cfRule type="expression" dxfId="2" priority="3">
      <formula>$K11="erledigt"</formula>
    </cfRule>
  </conditionalFormatting>
  <conditionalFormatting sqref="K11:K25">
    <cfRule type="cellIs" dxfId="0" priority="1" operator="equal">
      <formula>"erledigt"</formula>
    </cfRule>
    <cfRule type="cellIs" dxfId="1" priority="2" operator="equal">
      <formula>"verworfen"</formula>
    </cfRule>
  </conditionalFormatting>
  <dataValidations count="1">
    <dataValidation type="list" allowBlank="1" showInputMessage="1" showErrorMessage="1" promptTitle="Stand" prompt="offen, erledigt oder verworfen" sqref="K11:K25">
      <formula1>"offen,erledigt,verworfen"</formula1>
    </dataValidation>
  </dataValidations>
  <hyperlinks>
    <hyperlink ref="A9" location="'Umsetzung'!A1" tooltip="Blatt Umsetzung öffnen" display="Automatisch umsetzen: Blatt „Umsetzung“ (Makro) – die Vorschau zeigt jeden Schritt, bevor etwas geändert wird."/>
  </hyperlinks>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5.xml><?xml version="1.0" encoding="utf-8"?>
<worksheet xmlns="http://schemas.openxmlformats.org/spreadsheetml/2006/main" xmlns:r="http://schemas.openxmlformats.org/officeDocument/2006/relationships">
  <sheetPr codeName="shUebersicht">
    <tabColor rgb="FF1F2933"/>
    <pageSetUpPr fitToPage="1"/>
  </sheetPr>
  <dimension ref="A1:N50"/>
  <sheetViews>
    <sheetView showGridLines="0" workbookViewId="0">
      <pane ySplit="7" topLeftCell="A8" activePane="bottomLeft" state="frozen"/>
      <selection pane="bottomLeft"/>
    </sheetView>
  </sheetViews>
  <sheetFormatPr defaultRowHeight="15"/>
  <cols>
    <col min="1" max="1" width="6.7109375" customWidth="1"/>
    <col min="2" max="2" width="30.7109375" customWidth="1"/>
    <col min="3" max="3" width="12.7109375" customWidth="1"/>
    <col min="4" max="4" width="42.7109375" customWidth="1"/>
    <col min="5" max="5" width="8.7109375" customWidth="1"/>
    <col min="6" max="6" width="11.7109375" customWidth="1"/>
    <col min="7" max="7" width="21.7109375" customWidth="1"/>
    <col min="8" max="8" width="12.7109375" customWidth="1"/>
    <col min="9" max="9" width="13.7109375" customWidth="1"/>
    <col min="10" max="10" width="11.7109375" customWidth="1"/>
    <col min="11" max="12" width="9.7109375" customWidth="1"/>
    <col min="13" max="13" width="50.7109375" customWidth="1"/>
    <col min="14" max="14" width="90.7109375" customWidth="1"/>
  </cols>
  <sheetData>
    <row r="1" spans="1:14" ht="36" customHeight="1">
      <c r="A1" s="36" t="s">
        <v>311</v>
      </c>
    </row>
    <row r="2" spans="1:14" ht="17" customHeight="1">
      <c r="A2" s="65" t="s">
        <v>312</v>
      </c>
      <c r="C2" s="105" t="s">
        <v>313</v>
      </c>
    </row>
    <row r="3" spans="1:14" ht="17" customHeight="1">
      <c r="A3" s="65" t="s">
        <v>314</v>
      </c>
      <c r="C3" s="105" t="s">
        <v>315</v>
      </c>
    </row>
    <row r="4" spans="1:14" ht="17" customHeight="1">
      <c r="A4" s="65" t="s">
        <v>316</v>
      </c>
      <c r="C4" s="106">
        <v>43</v>
      </c>
    </row>
    <row r="5" spans="1:14" ht="17" customHeight="1">
      <c r="A5" s="65" t="s">
        <v>317</v>
      </c>
      <c r="C5" s="105" t="s">
        <v>318</v>
      </c>
    </row>
    <row r="6" spans="1:14" ht="12" customHeight="1"/>
    <row r="7" spans="1:14" ht="30" customHeight="1">
      <c r="A7" s="13" t="s">
        <v>215</v>
      </c>
      <c r="B7" s="12" t="s">
        <v>42</v>
      </c>
      <c r="C7" s="13" t="s">
        <v>319</v>
      </c>
      <c r="D7" s="12" t="s">
        <v>320</v>
      </c>
      <c r="E7" s="13" t="s">
        <v>102</v>
      </c>
      <c r="F7" s="13" t="s">
        <v>321</v>
      </c>
      <c r="G7" s="12" t="s">
        <v>322</v>
      </c>
      <c r="H7" s="13" t="s">
        <v>323</v>
      </c>
      <c r="I7" s="13" t="s">
        <v>324</v>
      </c>
      <c r="J7" s="13" t="s">
        <v>325</v>
      </c>
      <c r="K7" s="13" t="s">
        <v>326</v>
      </c>
      <c r="L7" s="13" t="s">
        <v>327</v>
      </c>
      <c r="M7" s="12" t="s">
        <v>77</v>
      </c>
      <c r="N7" s="12" t="s">
        <v>328</v>
      </c>
    </row>
    <row r="8" spans="1:14" ht="47.8" customHeight="1">
      <c r="A8" s="104">
        <v>1</v>
      </c>
      <c r="B8" s="16" t="s">
        <v>46</v>
      </c>
      <c r="C8" s="104">
        <v>1</v>
      </c>
      <c r="D8" s="68" t="s">
        <v>329</v>
      </c>
      <c r="E8" s="107" t="s">
        <v>330</v>
      </c>
      <c r="F8" s="104" t="s">
        <v>331</v>
      </c>
      <c r="G8" s="16" t="s">
        <v>332</v>
      </c>
      <c r="H8" s="107">
        <v>1</v>
      </c>
      <c r="I8" s="107" t="s">
        <v>330</v>
      </c>
      <c r="J8" s="107">
        <v>0</v>
      </c>
      <c r="K8" s="107">
        <v>1</v>
      </c>
      <c r="L8" s="104" t="s">
        <v>330</v>
      </c>
      <c r="M8" s="73" t="s">
        <v>333</v>
      </c>
      <c r="N8" s="73" t="s">
        <v>139</v>
      </c>
    </row>
    <row r="9" spans="1:14" ht="61.4" customHeight="1">
      <c r="A9" s="104">
        <v>2</v>
      </c>
      <c r="B9" s="16" t="s">
        <v>46</v>
      </c>
      <c r="C9" s="104">
        <v>2</v>
      </c>
      <c r="D9" s="68" t="s">
        <v>167</v>
      </c>
      <c r="E9" s="107" t="s">
        <v>330</v>
      </c>
      <c r="F9" s="104" t="s">
        <v>331</v>
      </c>
      <c r="G9" s="16" t="s">
        <v>332</v>
      </c>
      <c r="H9" s="107">
        <v>2</v>
      </c>
      <c r="I9" s="107" t="s">
        <v>330</v>
      </c>
      <c r="J9" s="107">
        <v>0</v>
      </c>
      <c r="K9" s="107">
        <v>1</v>
      </c>
      <c r="L9" s="104" t="s">
        <v>330</v>
      </c>
      <c r="M9" s="73" t="s">
        <v>334</v>
      </c>
      <c r="N9" s="73" t="s">
        <v>170</v>
      </c>
    </row>
    <row r="10" spans="1:14" ht="47.8" customHeight="1">
      <c r="A10" s="104">
        <v>3</v>
      </c>
      <c r="B10" s="16" t="s">
        <v>46</v>
      </c>
      <c r="C10" s="104">
        <v>3</v>
      </c>
      <c r="D10" s="68" t="s">
        <v>171</v>
      </c>
      <c r="E10" s="107" t="s">
        <v>330</v>
      </c>
      <c r="F10" s="104" t="s">
        <v>331</v>
      </c>
      <c r="G10" s="16" t="s">
        <v>332</v>
      </c>
      <c r="H10" s="107">
        <v>2</v>
      </c>
      <c r="I10" s="107" t="s">
        <v>330</v>
      </c>
      <c r="J10" s="107">
        <v>0</v>
      </c>
      <c r="K10" s="107">
        <v>1</v>
      </c>
      <c r="L10" s="104" t="s">
        <v>330</v>
      </c>
      <c r="M10" s="73" t="s">
        <v>335</v>
      </c>
      <c r="N10" s="73" t="s">
        <v>172</v>
      </c>
    </row>
    <row r="11" spans="1:14" ht="47.8" customHeight="1">
      <c r="A11" s="104">
        <v>4</v>
      </c>
      <c r="B11" s="16" t="s">
        <v>46</v>
      </c>
      <c r="C11" s="104">
        <v>4</v>
      </c>
      <c r="D11" s="68" t="s">
        <v>173</v>
      </c>
      <c r="E11" s="107" t="s">
        <v>330</v>
      </c>
      <c r="F11" s="104" t="s">
        <v>331</v>
      </c>
      <c r="G11" s="16" t="s">
        <v>332</v>
      </c>
      <c r="H11" s="107">
        <v>1</v>
      </c>
      <c r="I11" s="107" t="s">
        <v>330</v>
      </c>
      <c r="J11" s="107">
        <v>1</v>
      </c>
      <c r="K11" s="107">
        <v>1</v>
      </c>
      <c r="L11" s="104" t="s">
        <v>330</v>
      </c>
      <c r="M11" s="73" t="s">
        <v>336</v>
      </c>
      <c r="N11" s="73" t="s">
        <v>175</v>
      </c>
    </row>
    <row r="12" spans="1:14" ht="61.4" customHeight="1">
      <c r="A12" s="104">
        <v>5</v>
      </c>
      <c r="B12" s="16" t="s">
        <v>46</v>
      </c>
      <c r="C12" s="104">
        <v>5</v>
      </c>
      <c r="D12" s="68" t="s">
        <v>110</v>
      </c>
      <c r="E12" s="107" t="s">
        <v>330</v>
      </c>
      <c r="F12" s="104" t="s">
        <v>331</v>
      </c>
      <c r="G12" s="16" t="s">
        <v>332</v>
      </c>
      <c r="H12" s="107">
        <v>1</v>
      </c>
      <c r="I12" s="107" t="s">
        <v>330</v>
      </c>
      <c r="J12" s="107">
        <v>0</v>
      </c>
      <c r="K12" s="107">
        <v>1</v>
      </c>
      <c r="L12" s="104" t="s">
        <v>330</v>
      </c>
      <c r="M12" s="73" t="s">
        <v>337</v>
      </c>
      <c r="N12" s="73" t="s">
        <v>114</v>
      </c>
    </row>
    <row r="13" spans="1:14" ht="47.8" customHeight="1">
      <c r="A13" s="104">
        <v>6</v>
      </c>
      <c r="B13" s="16" t="s">
        <v>46</v>
      </c>
      <c r="C13" s="104">
        <v>6</v>
      </c>
      <c r="D13" s="68" t="s">
        <v>116</v>
      </c>
      <c r="E13" s="107" t="s">
        <v>330</v>
      </c>
      <c r="F13" s="104" t="s">
        <v>331</v>
      </c>
      <c r="G13" s="16" t="s">
        <v>332</v>
      </c>
      <c r="H13" s="107">
        <v>1</v>
      </c>
      <c r="I13" s="107" t="s">
        <v>330</v>
      </c>
      <c r="J13" s="107">
        <v>0</v>
      </c>
      <c r="K13" s="107">
        <v>1</v>
      </c>
      <c r="L13" s="104" t="s">
        <v>330</v>
      </c>
      <c r="M13" s="73" t="s">
        <v>338</v>
      </c>
      <c r="N13" s="73" t="s">
        <v>118</v>
      </c>
    </row>
    <row r="14" spans="1:14" ht="61.4" customHeight="1">
      <c r="A14" s="104">
        <v>7</v>
      </c>
      <c r="B14" s="16" t="s">
        <v>46</v>
      </c>
      <c r="C14" s="104">
        <v>7</v>
      </c>
      <c r="D14" s="68" t="s">
        <v>140</v>
      </c>
      <c r="E14" s="107" t="s">
        <v>330</v>
      </c>
      <c r="F14" s="104" t="s">
        <v>331</v>
      </c>
      <c r="G14" s="16" t="s">
        <v>332</v>
      </c>
      <c r="H14" s="107">
        <v>1</v>
      </c>
      <c r="I14" s="107" t="s">
        <v>330</v>
      </c>
      <c r="J14" s="107">
        <v>0</v>
      </c>
      <c r="K14" s="107">
        <v>1</v>
      </c>
      <c r="L14" s="104" t="s">
        <v>330</v>
      </c>
      <c r="M14" s="73" t="s">
        <v>339</v>
      </c>
      <c r="N14" s="73" t="s">
        <v>142</v>
      </c>
    </row>
    <row r="15" spans="1:14" ht="102.2" customHeight="1">
      <c r="A15" s="104">
        <v>8</v>
      </c>
      <c r="B15" s="16" t="s">
        <v>46</v>
      </c>
      <c r="C15" s="104">
        <v>8</v>
      </c>
      <c r="D15" s="68" t="s">
        <v>144</v>
      </c>
      <c r="E15" s="107" t="s">
        <v>330</v>
      </c>
      <c r="F15" s="104" t="s">
        <v>331</v>
      </c>
      <c r="G15" s="16" t="s">
        <v>332</v>
      </c>
      <c r="H15" s="107">
        <v>2</v>
      </c>
      <c r="I15" s="107" t="s">
        <v>330</v>
      </c>
      <c r="J15" s="107">
        <v>1</v>
      </c>
      <c r="K15" s="107">
        <v>2</v>
      </c>
      <c r="L15" s="104" t="s">
        <v>330</v>
      </c>
      <c r="M15" s="73" t="s">
        <v>340</v>
      </c>
      <c r="N15" s="73" t="s">
        <v>146</v>
      </c>
    </row>
    <row r="16" spans="1:14" ht="61.4" customHeight="1">
      <c r="A16" s="104">
        <v>9</v>
      </c>
      <c r="B16" s="16" t="s">
        <v>46</v>
      </c>
      <c r="C16" s="104">
        <v>9</v>
      </c>
      <c r="D16" s="68" t="s">
        <v>120</v>
      </c>
      <c r="E16" s="107" t="s">
        <v>330</v>
      </c>
      <c r="F16" s="104" t="s">
        <v>331</v>
      </c>
      <c r="G16" s="16" t="s">
        <v>332</v>
      </c>
      <c r="H16" s="107">
        <v>1</v>
      </c>
      <c r="I16" s="107" t="s">
        <v>330</v>
      </c>
      <c r="J16" s="107">
        <v>0</v>
      </c>
      <c r="K16" s="107">
        <v>2</v>
      </c>
      <c r="L16" s="104" t="s">
        <v>330</v>
      </c>
      <c r="M16" s="73" t="s">
        <v>341</v>
      </c>
      <c r="N16" s="73" t="s">
        <v>122</v>
      </c>
    </row>
    <row r="17" spans="1:14" ht="88.6" customHeight="1">
      <c r="A17" s="104">
        <v>10</v>
      </c>
      <c r="B17" s="16" t="s">
        <v>46</v>
      </c>
      <c r="C17" s="104">
        <v>10</v>
      </c>
      <c r="D17" s="68" t="s">
        <v>148</v>
      </c>
      <c r="E17" s="107" t="s">
        <v>330</v>
      </c>
      <c r="F17" s="104" t="s">
        <v>331</v>
      </c>
      <c r="G17" s="16" t="s">
        <v>332</v>
      </c>
      <c r="H17" s="107">
        <v>2</v>
      </c>
      <c r="I17" s="107" t="s">
        <v>330</v>
      </c>
      <c r="J17" s="107">
        <v>0</v>
      </c>
      <c r="K17" s="107">
        <v>2</v>
      </c>
      <c r="L17" s="104" t="s">
        <v>330</v>
      </c>
      <c r="M17" s="73" t="s">
        <v>342</v>
      </c>
      <c r="N17" s="73" t="s">
        <v>150</v>
      </c>
    </row>
    <row r="18" spans="1:14" ht="61.4" customHeight="1">
      <c r="A18" s="104">
        <v>11</v>
      </c>
      <c r="B18" s="16" t="s">
        <v>46</v>
      </c>
      <c r="C18" s="104">
        <v>11</v>
      </c>
      <c r="D18" s="68" t="s">
        <v>176</v>
      </c>
      <c r="E18" s="107" t="s">
        <v>330</v>
      </c>
      <c r="F18" s="104" t="s">
        <v>331</v>
      </c>
      <c r="G18" s="16" t="s">
        <v>332</v>
      </c>
      <c r="H18" s="107">
        <v>2</v>
      </c>
      <c r="I18" s="107" t="s">
        <v>330</v>
      </c>
      <c r="J18" s="107">
        <v>0</v>
      </c>
      <c r="K18" s="107">
        <v>2</v>
      </c>
      <c r="L18" s="104" t="s">
        <v>330</v>
      </c>
      <c r="M18" s="73" t="s">
        <v>343</v>
      </c>
      <c r="N18" s="73" t="s">
        <v>178</v>
      </c>
    </row>
    <row r="19" spans="1:14" ht="88.6" customHeight="1">
      <c r="A19" s="104">
        <v>12</v>
      </c>
      <c r="B19" s="16" t="s">
        <v>46</v>
      </c>
      <c r="C19" s="104">
        <v>12</v>
      </c>
      <c r="D19" s="68" t="s">
        <v>152</v>
      </c>
      <c r="E19" s="107" t="s">
        <v>330</v>
      </c>
      <c r="F19" s="104" t="s">
        <v>331</v>
      </c>
      <c r="G19" s="16" t="s">
        <v>332</v>
      </c>
      <c r="H19" s="107">
        <v>1</v>
      </c>
      <c r="I19" s="107" t="s">
        <v>330</v>
      </c>
      <c r="J19" s="107">
        <v>0</v>
      </c>
      <c r="K19" s="107">
        <v>2</v>
      </c>
      <c r="L19" s="104" t="s">
        <v>330</v>
      </c>
      <c r="M19" s="73" t="s">
        <v>344</v>
      </c>
      <c r="N19" s="73" t="s">
        <v>154</v>
      </c>
    </row>
    <row r="20" spans="1:14" ht="75" customHeight="1">
      <c r="A20" s="104">
        <v>13</v>
      </c>
      <c r="B20" s="16" t="s">
        <v>46</v>
      </c>
      <c r="C20" s="104">
        <v>13</v>
      </c>
      <c r="D20" s="68" t="s">
        <v>156</v>
      </c>
      <c r="E20" s="107" t="s">
        <v>330</v>
      </c>
      <c r="F20" s="104" t="s">
        <v>331</v>
      </c>
      <c r="G20" s="16" t="s">
        <v>332</v>
      </c>
      <c r="H20" s="107">
        <v>1</v>
      </c>
      <c r="I20" s="107" t="s">
        <v>330</v>
      </c>
      <c r="J20" s="107">
        <v>0</v>
      </c>
      <c r="K20" s="107">
        <v>2</v>
      </c>
      <c r="L20" s="104" t="s">
        <v>330</v>
      </c>
      <c r="M20" s="73" t="s">
        <v>345</v>
      </c>
      <c r="N20" s="73" t="s">
        <v>158</v>
      </c>
    </row>
    <row r="21" spans="1:14" ht="61.4" customHeight="1">
      <c r="A21" s="104">
        <v>14</v>
      </c>
      <c r="B21" s="16" t="s">
        <v>46</v>
      </c>
      <c r="C21" s="104">
        <v>14</v>
      </c>
      <c r="D21" s="68" t="s">
        <v>160</v>
      </c>
      <c r="E21" s="107" t="s">
        <v>330</v>
      </c>
      <c r="F21" s="104" t="s">
        <v>331</v>
      </c>
      <c r="G21" s="16" t="s">
        <v>332</v>
      </c>
      <c r="H21" s="107">
        <v>1</v>
      </c>
      <c r="I21" s="107" t="s">
        <v>330</v>
      </c>
      <c r="J21" s="107">
        <v>0</v>
      </c>
      <c r="K21" s="107">
        <v>2</v>
      </c>
      <c r="L21" s="104" t="s">
        <v>330</v>
      </c>
      <c r="M21" s="73" t="s">
        <v>346</v>
      </c>
      <c r="N21" s="73" t="s">
        <v>162</v>
      </c>
    </row>
    <row r="22" spans="1:14" ht="143" customHeight="1">
      <c r="A22" s="104">
        <v>15</v>
      </c>
      <c r="B22" s="16" t="s">
        <v>46</v>
      </c>
      <c r="C22" s="104">
        <v>15</v>
      </c>
      <c r="D22" s="68" t="s">
        <v>164</v>
      </c>
      <c r="E22" s="107" t="s">
        <v>330</v>
      </c>
      <c r="F22" s="104" t="s">
        <v>331</v>
      </c>
      <c r="G22" s="16" t="s">
        <v>332</v>
      </c>
      <c r="H22" s="107">
        <v>2</v>
      </c>
      <c r="I22" s="107" t="s">
        <v>330</v>
      </c>
      <c r="J22" s="107">
        <v>1</v>
      </c>
      <c r="K22" s="107">
        <v>2</v>
      </c>
      <c r="L22" s="104" t="s">
        <v>330</v>
      </c>
      <c r="M22" s="73" t="s">
        <v>346</v>
      </c>
      <c r="N22" s="73" t="s">
        <v>165</v>
      </c>
    </row>
    <row r="23" spans="1:14" ht="47.8" customHeight="1">
      <c r="A23" s="104">
        <v>16</v>
      </c>
      <c r="B23" s="16" t="s">
        <v>46</v>
      </c>
      <c r="C23" s="104">
        <v>16</v>
      </c>
      <c r="D23" s="68" t="s">
        <v>124</v>
      </c>
      <c r="E23" s="107" t="s">
        <v>330</v>
      </c>
      <c r="F23" s="104" t="s">
        <v>331</v>
      </c>
      <c r="G23" s="16" t="s">
        <v>332</v>
      </c>
      <c r="H23" s="107">
        <v>1</v>
      </c>
      <c r="I23" s="107" t="s">
        <v>330</v>
      </c>
      <c r="J23" s="107">
        <v>0</v>
      </c>
      <c r="K23" s="107">
        <v>2</v>
      </c>
      <c r="L23" s="104" t="s">
        <v>330</v>
      </c>
      <c r="M23" s="73" t="s">
        <v>347</v>
      </c>
      <c r="N23" s="73" t="s">
        <v>126</v>
      </c>
    </row>
    <row r="24" spans="1:14" ht="47.8" customHeight="1">
      <c r="A24" s="104">
        <v>17</v>
      </c>
      <c r="B24" s="16" t="s">
        <v>46</v>
      </c>
      <c r="C24" s="104">
        <v>17</v>
      </c>
      <c r="D24" s="68" t="s">
        <v>128</v>
      </c>
      <c r="E24" s="107" t="s">
        <v>330</v>
      </c>
      <c r="F24" s="104" t="s">
        <v>331</v>
      </c>
      <c r="G24" s="16" t="s">
        <v>332</v>
      </c>
      <c r="H24" s="107">
        <v>0</v>
      </c>
      <c r="I24" s="107" t="s">
        <v>348</v>
      </c>
      <c r="J24" s="107">
        <v>0</v>
      </c>
      <c r="K24" s="107">
        <v>2</v>
      </c>
      <c r="L24" s="104" t="s">
        <v>330</v>
      </c>
      <c r="M24" s="73" t="s">
        <v>347</v>
      </c>
      <c r="N24" s="73" t="s">
        <v>130</v>
      </c>
    </row>
    <row r="25" spans="1:14" ht="75" customHeight="1">
      <c r="A25" s="104">
        <v>18</v>
      </c>
      <c r="B25" s="16" t="s">
        <v>46</v>
      </c>
      <c r="C25" s="104">
        <v>18</v>
      </c>
      <c r="D25" s="68" t="s">
        <v>132</v>
      </c>
      <c r="E25" s="107" t="s">
        <v>349</v>
      </c>
      <c r="F25" s="104" t="s">
        <v>331</v>
      </c>
      <c r="G25" s="16" t="s">
        <v>332</v>
      </c>
      <c r="H25" s="107">
        <v>0</v>
      </c>
      <c r="I25" s="107" t="s">
        <v>348</v>
      </c>
      <c r="J25" s="107">
        <v>2</v>
      </c>
      <c r="K25" s="107">
        <v>2</v>
      </c>
      <c r="L25" s="104" t="s">
        <v>330</v>
      </c>
      <c r="M25" s="73" t="s">
        <v>350</v>
      </c>
      <c r="N25" s="73" t="s">
        <v>134</v>
      </c>
    </row>
    <row r="26" spans="1:14" ht="47.8" customHeight="1">
      <c r="A26" s="108">
        <v>19</v>
      </c>
      <c r="B26" s="109" t="s">
        <v>47</v>
      </c>
      <c r="C26" s="108">
        <v>1</v>
      </c>
      <c r="D26" s="110" t="s">
        <v>137</v>
      </c>
      <c r="E26" s="111" t="s">
        <v>330</v>
      </c>
      <c r="F26" s="108" t="s">
        <v>331</v>
      </c>
      <c r="G26" s="109" t="s">
        <v>332</v>
      </c>
      <c r="H26" s="111">
        <v>1</v>
      </c>
      <c r="I26" s="111" t="s">
        <v>330</v>
      </c>
      <c r="J26" s="111">
        <v>0</v>
      </c>
      <c r="K26" s="111">
        <v>1</v>
      </c>
      <c r="L26" s="108" t="s">
        <v>330</v>
      </c>
      <c r="M26" s="112" t="s">
        <v>333</v>
      </c>
      <c r="N26" s="112" t="s">
        <v>139</v>
      </c>
    </row>
    <row r="27" spans="1:14" ht="47.8" customHeight="1">
      <c r="A27" s="104">
        <v>20</v>
      </c>
      <c r="B27" s="16" t="s">
        <v>47</v>
      </c>
      <c r="C27" s="104">
        <v>2</v>
      </c>
      <c r="D27" s="68" t="s">
        <v>180</v>
      </c>
      <c r="E27" s="107" t="s">
        <v>330</v>
      </c>
      <c r="F27" s="104" t="s">
        <v>331</v>
      </c>
      <c r="G27" s="16" t="s">
        <v>332</v>
      </c>
      <c r="H27" s="107">
        <v>2</v>
      </c>
      <c r="I27" s="107" t="s">
        <v>330</v>
      </c>
      <c r="J27" s="107">
        <v>0</v>
      </c>
      <c r="K27" s="107">
        <v>1</v>
      </c>
      <c r="L27" s="104" t="s">
        <v>330</v>
      </c>
      <c r="M27" s="73" t="s">
        <v>333</v>
      </c>
      <c r="N27" s="73" t="s">
        <v>182</v>
      </c>
    </row>
    <row r="28" spans="1:14" ht="47.8" customHeight="1">
      <c r="A28" s="104">
        <v>21</v>
      </c>
      <c r="B28" s="16" t="s">
        <v>47</v>
      </c>
      <c r="C28" s="104">
        <v>3</v>
      </c>
      <c r="D28" s="68" t="s">
        <v>110</v>
      </c>
      <c r="E28" s="107" t="s">
        <v>349</v>
      </c>
      <c r="F28" s="104" t="s">
        <v>331</v>
      </c>
      <c r="G28" s="16" t="s">
        <v>94</v>
      </c>
      <c r="H28" s="107">
        <v>1</v>
      </c>
      <c r="I28" s="107" t="s">
        <v>330</v>
      </c>
      <c r="J28" s="107">
        <v>0</v>
      </c>
      <c r="K28" s="107">
        <v>1</v>
      </c>
      <c r="L28" s="104" t="s">
        <v>330</v>
      </c>
      <c r="M28" s="73"/>
      <c r="N28" s="73" t="s">
        <v>115</v>
      </c>
    </row>
    <row r="29" spans="1:14" ht="47.8" customHeight="1">
      <c r="A29" s="104">
        <v>22</v>
      </c>
      <c r="B29" s="16" t="s">
        <v>47</v>
      </c>
      <c r="C29" s="104">
        <v>4</v>
      </c>
      <c r="D29" s="68" t="s">
        <v>183</v>
      </c>
      <c r="E29" s="107" t="s">
        <v>349</v>
      </c>
      <c r="F29" s="104" t="s">
        <v>331</v>
      </c>
      <c r="G29" s="16" t="s">
        <v>332</v>
      </c>
      <c r="H29" s="107">
        <v>1</v>
      </c>
      <c r="I29" s="107" t="s">
        <v>330</v>
      </c>
      <c r="J29" s="107">
        <v>0</v>
      </c>
      <c r="K29" s="107">
        <v>2</v>
      </c>
      <c r="L29" s="104" t="s">
        <v>330</v>
      </c>
      <c r="M29" s="73" t="s">
        <v>351</v>
      </c>
      <c r="N29" s="73" t="s">
        <v>185</v>
      </c>
    </row>
    <row r="30" spans="1:14" ht="47.8" customHeight="1">
      <c r="A30" s="104">
        <v>23</v>
      </c>
      <c r="B30" s="16" t="s">
        <v>47</v>
      </c>
      <c r="C30" s="104">
        <v>5</v>
      </c>
      <c r="D30" s="68" t="s">
        <v>116</v>
      </c>
      <c r="E30" s="107" t="s">
        <v>330</v>
      </c>
      <c r="F30" s="104" t="s">
        <v>331</v>
      </c>
      <c r="G30" s="16" t="s">
        <v>332</v>
      </c>
      <c r="H30" s="107">
        <v>2</v>
      </c>
      <c r="I30" s="107" t="s">
        <v>330</v>
      </c>
      <c r="J30" s="107">
        <v>0</v>
      </c>
      <c r="K30" s="107">
        <v>1</v>
      </c>
      <c r="L30" s="104" t="s">
        <v>330</v>
      </c>
      <c r="M30" s="73" t="s">
        <v>352</v>
      </c>
      <c r="N30" s="73" t="s">
        <v>119</v>
      </c>
    </row>
    <row r="31" spans="1:14" ht="47.8" customHeight="1">
      <c r="A31" s="104">
        <v>24</v>
      </c>
      <c r="B31" s="16" t="s">
        <v>47</v>
      </c>
      <c r="C31" s="104">
        <v>6</v>
      </c>
      <c r="D31" s="68" t="s">
        <v>140</v>
      </c>
      <c r="E31" s="107" t="s">
        <v>330</v>
      </c>
      <c r="F31" s="104" t="s">
        <v>331</v>
      </c>
      <c r="G31" s="16" t="s">
        <v>332</v>
      </c>
      <c r="H31" s="107">
        <v>1</v>
      </c>
      <c r="I31" s="107" t="s">
        <v>330</v>
      </c>
      <c r="J31" s="107">
        <v>0</v>
      </c>
      <c r="K31" s="107">
        <v>1</v>
      </c>
      <c r="L31" s="104" t="s">
        <v>330</v>
      </c>
      <c r="M31" s="73" t="s">
        <v>353</v>
      </c>
      <c r="N31" s="73" t="s">
        <v>143</v>
      </c>
    </row>
    <row r="32" spans="1:14" ht="102.2" customHeight="1">
      <c r="A32" s="104">
        <v>25</v>
      </c>
      <c r="B32" s="16" t="s">
        <v>47</v>
      </c>
      <c r="C32" s="104">
        <v>7</v>
      </c>
      <c r="D32" s="68" t="s">
        <v>144</v>
      </c>
      <c r="E32" s="107" t="s">
        <v>330</v>
      </c>
      <c r="F32" s="104" t="s">
        <v>331</v>
      </c>
      <c r="G32" s="16" t="s">
        <v>332</v>
      </c>
      <c r="H32" s="107">
        <v>2</v>
      </c>
      <c r="I32" s="107" t="s">
        <v>330</v>
      </c>
      <c r="J32" s="107">
        <v>1</v>
      </c>
      <c r="K32" s="107">
        <v>2</v>
      </c>
      <c r="L32" s="104" t="s">
        <v>330</v>
      </c>
      <c r="M32" s="73" t="s">
        <v>354</v>
      </c>
      <c r="N32" s="73" t="s">
        <v>147</v>
      </c>
    </row>
    <row r="33" spans="1:14" ht="61.4" customHeight="1">
      <c r="A33" s="104">
        <v>26</v>
      </c>
      <c r="B33" s="16" t="s">
        <v>47</v>
      </c>
      <c r="C33" s="104">
        <v>8</v>
      </c>
      <c r="D33" s="68" t="s">
        <v>186</v>
      </c>
      <c r="E33" s="107" t="s">
        <v>330</v>
      </c>
      <c r="F33" s="104" t="s">
        <v>331</v>
      </c>
      <c r="G33" s="16" t="s">
        <v>332</v>
      </c>
      <c r="H33" s="107">
        <v>1</v>
      </c>
      <c r="I33" s="107" t="s">
        <v>330</v>
      </c>
      <c r="J33" s="107">
        <v>0</v>
      </c>
      <c r="K33" s="107">
        <v>2</v>
      </c>
      <c r="L33" s="104" t="s">
        <v>330</v>
      </c>
      <c r="M33" s="73" t="s">
        <v>355</v>
      </c>
      <c r="N33" s="73" t="s">
        <v>187</v>
      </c>
    </row>
    <row r="34" spans="1:14" ht="61.4" customHeight="1">
      <c r="A34" s="104">
        <v>27</v>
      </c>
      <c r="B34" s="16" t="s">
        <v>47</v>
      </c>
      <c r="C34" s="104">
        <v>9</v>
      </c>
      <c r="D34" s="68" t="s">
        <v>120</v>
      </c>
      <c r="E34" s="107" t="s">
        <v>330</v>
      </c>
      <c r="F34" s="104" t="s">
        <v>331</v>
      </c>
      <c r="G34" s="16" t="s">
        <v>332</v>
      </c>
      <c r="H34" s="107">
        <v>1</v>
      </c>
      <c r="I34" s="107" t="s">
        <v>330</v>
      </c>
      <c r="J34" s="107">
        <v>0</v>
      </c>
      <c r="K34" s="107">
        <v>2</v>
      </c>
      <c r="L34" s="104" t="s">
        <v>330</v>
      </c>
      <c r="M34" s="73" t="s">
        <v>355</v>
      </c>
      <c r="N34" s="73" t="s">
        <v>123</v>
      </c>
    </row>
    <row r="35" spans="1:14" ht="88.6" customHeight="1">
      <c r="A35" s="104">
        <v>28</v>
      </c>
      <c r="B35" s="16" t="s">
        <v>47</v>
      </c>
      <c r="C35" s="104">
        <v>10</v>
      </c>
      <c r="D35" s="68" t="s">
        <v>148</v>
      </c>
      <c r="E35" s="107" t="s">
        <v>330</v>
      </c>
      <c r="F35" s="104" t="s">
        <v>331</v>
      </c>
      <c r="G35" s="16" t="s">
        <v>332</v>
      </c>
      <c r="H35" s="107">
        <v>2</v>
      </c>
      <c r="I35" s="107" t="s">
        <v>330</v>
      </c>
      <c r="J35" s="107">
        <v>0</v>
      </c>
      <c r="K35" s="107">
        <v>2</v>
      </c>
      <c r="L35" s="104" t="s">
        <v>330</v>
      </c>
      <c r="M35" s="73" t="s">
        <v>356</v>
      </c>
      <c r="N35" s="73" t="s">
        <v>151</v>
      </c>
    </row>
    <row r="36" spans="1:14" ht="47.8" customHeight="1">
      <c r="A36" s="104">
        <v>29</v>
      </c>
      <c r="B36" s="16" t="s">
        <v>47</v>
      </c>
      <c r="C36" s="104">
        <v>11</v>
      </c>
      <c r="D36" s="68" t="s">
        <v>188</v>
      </c>
      <c r="E36" s="107" t="s">
        <v>330</v>
      </c>
      <c r="F36" s="104" t="s">
        <v>331</v>
      </c>
      <c r="G36" s="16" t="s">
        <v>332</v>
      </c>
      <c r="H36" s="107">
        <v>2</v>
      </c>
      <c r="I36" s="107" t="s">
        <v>330</v>
      </c>
      <c r="J36" s="107">
        <v>0</v>
      </c>
      <c r="K36" s="107">
        <v>1</v>
      </c>
      <c r="L36" s="104" t="s">
        <v>330</v>
      </c>
      <c r="M36" s="73" t="s">
        <v>357</v>
      </c>
      <c r="N36" s="73" t="s">
        <v>189</v>
      </c>
    </row>
    <row r="37" spans="1:14" ht="47.8" customHeight="1">
      <c r="A37" s="104">
        <v>30</v>
      </c>
      <c r="B37" s="16" t="s">
        <v>47</v>
      </c>
      <c r="C37" s="104">
        <v>12</v>
      </c>
      <c r="D37" s="68" t="s">
        <v>190</v>
      </c>
      <c r="E37" s="107" t="s">
        <v>330</v>
      </c>
      <c r="F37" s="104" t="s">
        <v>331</v>
      </c>
      <c r="G37" s="16" t="s">
        <v>332</v>
      </c>
      <c r="H37" s="107">
        <v>2</v>
      </c>
      <c r="I37" s="107" t="s">
        <v>330</v>
      </c>
      <c r="J37" s="107">
        <v>0</v>
      </c>
      <c r="K37" s="107">
        <v>1</v>
      </c>
      <c r="L37" s="104" t="s">
        <v>330</v>
      </c>
      <c r="M37" s="73" t="s">
        <v>358</v>
      </c>
      <c r="N37" s="73" t="s">
        <v>191</v>
      </c>
    </row>
    <row r="38" spans="1:14" ht="34.2" customHeight="1">
      <c r="A38" s="104">
        <v>31</v>
      </c>
      <c r="B38" s="16" t="s">
        <v>47</v>
      </c>
      <c r="C38" s="104">
        <v>13</v>
      </c>
      <c r="D38" s="68" t="s">
        <v>192</v>
      </c>
      <c r="E38" s="107" t="s">
        <v>330</v>
      </c>
      <c r="F38" s="104" t="s">
        <v>331</v>
      </c>
      <c r="G38" s="16" t="s">
        <v>332</v>
      </c>
      <c r="H38" s="107">
        <v>1</v>
      </c>
      <c r="I38" s="107" t="s">
        <v>330</v>
      </c>
      <c r="J38" s="107">
        <v>0</v>
      </c>
      <c r="K38" s="107">
        <v>1</v>
      </c>
      <c r="L38" s="104" t="s">
        <v>330</v>
      </c>
      <c r="M38" s="73" t="s">
        <v>359</v>
      </c>
      <c r="N38" s="73" t="s">
        <v>193</v>
      </c>
    </row>
    <row r="39" spans="1:14" ht="47.8" customHeight="1">
      <c r="A39" s="104">
        <v>32</v>
      </c>
      <c r="B39" s="16" t="s">
        <v>47</v>
      </c>
      <c r="C39" s="104">
        <v>14</v>
      </c>
      <c r="D39" s="68" t="s">
        <v>194</v>
      </c>
      <c r="E39" s="107" t="s">
        <v>330</v>
      </c>
      <c r="F39" s="104" t="s">
        <v>331</v>
      </c>
      <c r="G39" s="16" t="s">
        <v>332</v>
      </c>
      <c r="H39" s="107">
        <v>2</v>
      </c>
      <c r="I39" s="107" t="s">
        <v>330</v>
      </c>
      <c r="J39" s="107">
        <v>0</v>
      </c>
      <c r="K39" s="107">
        <v>1</v>
      </c>
      <c r="L39" s="104" t="s">
        <v>330</v>
      </c>
      <c r="M39" s="73" t="s">
        <v>360</v>
      </c>
      <c r="N39" s="73" t="s">
        <v>195</v>
      </c>
    </row>
    <row r="40" spans="1:14" ht="61.4" customHeight="1">
      <c r="A40" s="104">
        <v>33</v>
      </c>
      <c r="B40" s="16" t="s">
        <v>47</v>
      </c>
      <c r="C40" s="104">
        <v>15</v>
      </c>
      <c r="D40" s="68" t="s">
        <v>196</v>
      </c>
      <c r="E40" s="107" t="s">
        <v>330</v>
      </c>
      <c r="F40" s="104" t="s">
        <v>331</v>
      </c>
      <c r="G40" s="16" t="s">
        <v>332</v>
      </c>
      <c r="H40" s="107">
        <v>1</v>
      </c>
      <c r="I40" s="107" t="s">
        <v>330</v>
      </c>
      <c r="J40" s="107">
        <v>0</v>
      </c>
      <c r="K40" s="107">
        <v>2</v>
      </c>
      <c r="L40" s="104" t="s">
        <v>330</v>
      </c>
      <c r="M40" s="73" t="s">
        <v>361</v>
      </c>
      <c r="N40" s="73" t="s">
        <v>198</v>
      </c>
    </row>
    <row r="41" spans="1:14" ht="102.2" customHeight="1">
      <c r="A41" s="104">
        <v>34</v>
      </c>
      <c r="B41" s="16" t="s">
        <v>47</v>
      </c>
      <c r="C41" s="104">
        <v>16</v>
      </c>
      <c r="D41" s="68" t="s">
        <v>199</v>
      </c>
      <c r="E41" s="107" t="s">
        <v>330</v>
      </c>
      <c r="F41" s="104" t="s">
        <v>331</v>
      </c>
      <c r="G41" s="16" t="s">
        <v>332</v>
      </c>
      <c r="H41" s="107">
        <v>2</v>
      </c>
      <c r="I41" s="107" t="s">
        <v>330</v>
      </c>
      <c r="J41" s="107">
        <v>0</v>
      </c>
      <c r="K41" s="107">
        <v>2</v>
      </c>
      <c r="L41" s="104" t="s">
        <v>330</v>
      </c>
      <c r="M41" s="73" t="s">
        <v>362</v>
      </c>
      <c r="N41" s="73" t="s">
        <v>201</v>
      </c>
    </row>
    <row r="42" spans="1:14" ht="88.6" customHeight="1">
      <c r="A42" s="104">
        <v>35</v>
      </c>
      <c r="B42" s="16" t="s">
        <v>47</v>
      </c>
      <c r="C42" s="104">
        <v>17</v>
      </c>
      <c r="D42" s="68" t="s">
        <v>152</v>
      </c>
      <c r="E42" s="107" t="s">
        <v>330</v>
      </c>
      <c r="F42" s="104" t="s">
        <v>331</v>
      </c>
      <c r="G42" s="16" t="s">
        <v>332</v>
      </c>
      <c r="H42" s="107">
        <v>1</v>
      </c>
      <c r="I42" s="107" t="s">
        <v>330</v>
      </c>
      <c r="J42" s="107">
        <v>0</v>
      </c>
      <c r="K42" s="107">
        <v>2</v>
      </c>
      <c r="L42" s="104" t="s">
        <v>330</v>
      </c>
      <c r="M42" s="73" t="s">
        <v>363</v>
      </c>
      <c r="N42" s="73" t="s">
        <v>155</v>
      </c>
    </row>
    <row r="43" spans="1:14" ht="75" customHeight="1">
      <c r="A43" s="104">
        <v>36</v>
      </c>
      <c r="B43" s="16" t="s">
        <v>47</v>
      </c>
      <c r="C43" s="104">
        <v>18</v>
      </c>
      <c r="D43" s="68" t="s">
        <v>156</v>
      </c>
      <c r="E43" s="107" t="s">
        <v>330</v>
      </c>
      <c r="F43" s="104" t="s">
        <v>331</v>
      </c>
      <c r="G43" s="16" t="s">
        <v>332</v>
      </c>
      <c r="H43" s="107">
        <v>1</v>
      </c>
      <c r="I43" s="107" t="s">
        <v>330</v>
      </c>
      <c r="J43" s="107">
        <v>0</v>
      </c>
      <c r="K43" s="107">
        <v>2</v>
      </c>
      <c r="L43" s="104" t="s">
        <v>330</v>
      </c>
      <c r="M43" s="73" t="s">
        <v>364</v>
      </c>
      <c r="N43" s="73" t="s">
        <v>159</v>
      </c>
    </row>
    <row r="44" spans="1:14" ht="61.4" customHeight="1">
      <c r="A44" s="104">
        <v>37</v>
      </c>
      <c r="B44" s="16" t="s">
        <v>47</v>
      </c>
      <c r="C44" s="104">
        <v>19</v>
      </c>
      <c r="D44" s="68" t="s">
        <v>160</v>
      </c>
      <c r="E44" s="107" t="s">
        <v>330</v>
      </c>
      <c r="F44" s="104" t="s">
        <v>331</v>
      </c>
      <c r="G44" s="16" t="s">
        <v>332</v>
      </c>
      <c r="H44" s="107">
        <v>1</v>
      </c>
      <c r="I44" s="107" t="s">
        <v>330</v>
      </c>
      <c r="J44" s="107">
        <v>0</v>
      </c>
      <c r="K44" s="107">
        <v>2</v>
      </c>
      <c r="L44" s="104" t="s">
        <v>330</v>
      </c>
      <c r="M44" s="73" t="s">
        <v>365</v>
      </c>
      <c r="N44" s="73" t="s">
        <v>163</v>
      </c>
    </row>
    <row r="45" spans="1:14" ht="143" customHeight="1">
      <c r="A45" s="104">
        <v>38</v>
      </c>
      <c r="B45" s="16" t="s">
        <v>47</v>
      </c>
      <c r="C45" s="104">
        <v>20</v>
      </c>
      <c r="D45" s="68" t="s">
        <v>164</v>
      </c>
      <c r="E45" s="107" t="s">
        <v>330</v>
      </c>
      <c r="F45" s="104" t="s">
        <v>331</v>
      </c>
      <c r="G45" s="16" t="s">
        <v>332</v>
      </c>
      <c r="H45" s="107">
        <v>2</v>
      </c>
      <c r="I45" s="107" t="s">
        <v>330</v>
      </c>
      <c r="J45" s="107">
        <v>1</v>
      </c>
      <c r="K45" s="107">
        <v>2</v>
      </c>
      <c r="L45" s="104" t="s">
        <v>330</v>
      </c>
      <c r="M45" s="73" t="s">
        <v>365</v>
      </c>
      <c r="N45" s="73" t="s">
        <v>165</v>
      </c>
    </row>
    <row r="46" spans="1:14" ht="143" customHeight="1">
      <c r="A46" s="104">
        <v>39</v>
      </c>
      <c r="B46" s="16" t="s">
        <v>47</v>
      </c>
      <c r="C46" s="104">
        <v>21</v>
      </c>
      <c r="D46" s="68" t="s">
        <v>124</v>
      </c>
      <c r="E46" s="107" t="s">
        <v>330</v>
      </c>
      <c r="F46" s="104" t="s">
        <v>331</v>
      </c>
      <c r="G46" s="16" t="s">
        <v>332</v>
      </c>
      <c r="H46" s="107">
        <v>1</v>
      </c>
      <c r="I46" s="107" t="s">
        <v>330</v>
      </c>
      <c r="J46" s="107">
        <v>2</v>
      </c>
      <c r="K46" s="107">
        <v>2</v>
      </c>
      <c r="L46" s="104" t="s">
        <v>330</v>
      </c>
      <c r="M46" s="73" t="s">
        <v>366</v>
      </c>
      <c r="N46" s="73" t="s">
        <v>127</v>
      </c>
    </row>
    <row r="47" spans="1:14" ht="75" customHeight="1">
      <c r="A47" s="104">
        <v>40</v>
      </c>
      <c r="B47" s="16" t="s">
        <v>47</v>
      </c>
      <c r="C47" s="104">
        <v>22</v>
      </c>
      <c r="D47" s="68" t="s">
        <v>202</v>
      </c>
      <c r="E47" s="107" t="s">
        <v>330</v>
      </c>
      <c r="F47" s="104" t="s">
        <v>331</v>
      </c>
      <c r="G47" s="16" t="s">
        <v>332</v>
      </c>
      <c r="H47" s="107">
        <v>1</v>
      </c>
      <c r="I47" s="107" t="s">
        <v>330</v>
      </c>
      <c r="J47" s="107">
        <v>0</v>
      </c>
      <c r="K47" s="107">
        <v>2</v>
      </c>
      <c r="L47" s="104" t="s">
        <v>330</v>
      </c>
      <c r="M47" s="73" t="s">
        <v>367</v>
      </c>
      <c r="N47" s="73" t="s">
        <v>203</v>
      </c>
    </row>
    <row r="48" spans="1:14" ht="75" customHeight="1">
      <c r="A48" s="104">
        <v>41</v>
      </c>
      <c r="B48" s="16" t="s">
        <v>47</v>
      </c>
      <c r="C48" s="104">
        <v>23</v>
      </c>
      <c r="D48" s="68" t="s">
        <v>128</v>
      </c>
      <c r="E48" s="107" t="s">
        <v>330</v>
      </c>
      <c r="F48" s="104" t="s">
        <v>331</v>
      </c>
      <c r="G48" s="16" t="s">
        <v>332</v>
      </c>
      <c r="H48" s="107">
        <v>0</v>
      </c>
      <c r="I48" s="107" t="s">
        <v>348</v>
      </c>
      <c r="J48" s="107">
        <v>2</v>
      </c>
      <c r="K48" s="107">
        <v>2</v>
      </c>
      <c r="L48" s="104" t="s">
        <v>330</v>
      </c>
      <c r="M48" s="73" t="s">
        <v>366</v>
      </c>
      <c r="N48" s="73" t="s">
        <v>131</v>
      </c>
    </row>
    <row r="49" spans="1:14" ht="88.6" customHeight="1">
      <c r="A49" s="104">
        <v>42</v>
      </c>
      <c r="B49" s="16" t="s">
        <v>47</v>
      </c>
      <c r="C49" s="104">
        <v>24</v>
      </c>
      <c r="D49" s="68" t="s">
        <v>132</v>
      </c>
      <c r="E49" s="107" t="s">
        <v>349</v>
      </c>
      <c r="F49" s="104" t="s">
        <v>331</v>
      </c>
      <c r="G49" s="16" t="s">
        <v>332</v>
      </c>
      <c r="H49" s="107">
        <v>0</v>
      </c>
      <c r="I49" s="107" t="s">
        <v>348</v>
      </c>
      <c r="J49" s="107">
        <v>2</v>
      </c>
      <c r="K49" s="107">
        <v>2</v>
      </c>
      <c r="L49" s="104" t="s">
        <v>330</v>
      </c>
      <c r="M49" s="73" t="s">
        <v>351</v>
      </c>
      <c r="N49" s="73" t="s">
        <v>135</v>
      </c>
    </row>
    <row r="50" spans="1:14" ht="75" customHeight="1">
      <c r="A50" s="104">
        <v>43</v>
      </c>
      <c r="B50" s="16" t="s">
        <v>47</v>
      </c>
      <c r="C50" s="104">
        <v>25</v>
      </c>
      <c r="D50" s="68" t="s">
        <v>204</v>
      </c>
      <c r="E50" s="107" t="s">
        <v>349</v>
      </c>
      <c r="F50" s="104" t="s">
        <v>331</v>
      </c>
      <c r="G50" s="16" t="s">
        <v>332</v>
      </c>
      <c r="H50" s="107">
        <v>0</v>
      </c>
      <c r="I50" s="107" t="s">
        <v>348</v>
      </c>
      <c r="J50" s="107">
        <v>2</v>
      </c>
      <c r="K50" s="107">
        <v>2</v>
      </c>
      <c r="L50" s="104" t="s">
        <v>330</v>
      </c>
      <c r="M50" s="73" t="s">
        <v>366</v>
      </c>
      <c r="N50" s="73" t="s">
        <v>205</v>
      </c>
    </row>
  </sheetData>
  <autoFilter ref="A7:N50"/>
  <conditionalFormatting sqref="A8:N50">
    <cfRule type="expression" dxfId="10" priority="11">
      <formula>$E8="Nein"</formula>
    </cfRule>
  </conditionalFormatting>
  <conditionalFormatting sqref="E8:E50">
    <cfRule type="cellIs" dxfId="3" priority="1" operator="equal">
      <formula>"Ja"</formula>
    </cfRule>
    <cfRule type="cellIs" dxfId="4" priority="2" operator="equal">
      <formula>"Nein"</formula>
    </cfRule>
  </conditionalFormatting>
  <conditionalFormatting sqref="G8:G50">
    <cfRule type="cellIs" dxfId="5" priority="3" operator="equal">
      <formula>"Nur auf diesem Client"</formula>
    </cfRule>
  </conditionalFormatting>
  <conditionalFormatting sqref="H8:H50">
    <cfRule type="cellIs" dxfId="6" priority="4" operator="equal">
      <formula>0</formula>
    </cfRule>
  </conditionalFormatting>
  <conditionalFormatting sqref="I8:I50">
    <cfRule type="cellIs" dxfId="7" priority="7" operator="equal">
      <formula>"Ja"</formula>
    </cfRule>
    <cfRule type="beginsWith" dxfId="8" priority="8" operator="beginsWith" text="keine">
      <formula>LEFT(I8,5)="keine"</formula>
    </cfRule>
    <cfRule type="beginsWith" dxfId="9" priority="9" operator="beginsWith" text="Nein">
      <formula>LEFT(I8,4)="Nein"</formula>
    </cfRule>
    <cfRule type="beginsWith" dxfId="9" priority="10" operator="beginsWith" text="teil">
      <formula>LEFT(I8,4)="teil"</formula>
    </cfRule>
  </conditionalFormatting>
  <conditionalFormatting sqref="J8:J50">
    <cfRule type="cellIs" dxfId="6" priority="5" operator="equal">
      <formula>0</formula>
    </cfRule>
  </conditionalFormatting>
  <conditionalFormatting sqref="K8:K50">
    <cfRule type="cellIs" dxfId="6" priority="6" operator="equal">
      <formula>0</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6.xml><?xml version="1.0" encoding="utf-8"?>
<worksheet xmlns="http://schemas.openxmlformats.org/spreadsheetml/2006/main" xmlns:r="http://schemas.openxmlformats.org/officeDocument/2006/relationships">
  <sheetPr codeName="shLogik">
    <tabColor rgb="FF3B4F8A"/>
    <outlinePr summaryBelow="0" summaryRight="0"/>
    <pageSetUpPr fitToPage="1"/>
  </sheetPr>
  <dimension ref="A1:E278"/>
  <sheetViews>
    <sheetView showGridLines="0" workbookViewId="0">
      <pane ySplit="4" topLeftCell="A5" activePane="bottomLeft" state="frozen"/>
      <selection pane="bottomLeft"/>
    </sheetView>
  </sheetViews>
  <sheetFormatPr defaultRowHeight="15" outlineLevelRow="2"/>
  <cols>
    <col min="1" max="1" width="28.7109375" customWidth="1"/>
    <col min="2" max="2" width="6.7109375" customWidth="1"/>
    <col min="3" max="3" width="13.7109375" customWidth="1"/>
    <col min="4" max="4" width="48.7109375" customWidth="1"/>
    <col min="5" max="5" width="100.7109375" customWidth="1"/>
  </cols>
  <sheetData>
    <row r="1" spans="1:5" ht="36" customHeight="1">
      <c r="A1" s="36" t="s">
        <v>368</v>
      </c>
    </row>
    <row r="2" spans="1:5" ht="42.8" customHeight="1">
      <c r="A2" s="113" t="s">
        <v>369</v>
      </c>
      <c r="B2" s="114" t="s">
        <v>370</v>
      </c>
      <c r="C2" s="114"/>
      <c r="D2" s="114"/>
      <c r="E2" s="114"/>
    </row>
    <row r="3" spans="1:5" ht="18" customHeight="1">
      <c r="A3" s="65" t="s">
        <v>371</v>
      </c>
    </row>
    <row r="4" spans="1:5" ht="26" customHeight="1">
      <c r="A4" s="12" t="s">
        <v>42</v>
      </c>
      <c r="B4" s="13" t="s">
        <v>215</v>
      </c>
      <c r="C4" s="13" t="s">
        <v>372</v>
      </c>
      <c r="D4" s="12" t="s">
        <v>373</v>
      </c>
      <c r="E4" s="12" t="s">
        <v>374</v>
      </c>
    </row>
    <row r="5" spans="1:5" ht="28" customHeight="1">
      <c r="A5" s="115" t="s">
        <v>375</v>
      </c>
      <c r="B5" s="115"/>
      <c r="C5" s="115"/>
      <c r="D5" s="115"/>
      <c r="E5" s="115"/>
    </row>
    <row r="6" spans="1:5" ht="36.2" customHeight="1" outlineLevel="1">
      <c r="A6" s="116" t="s">
        <v>46</v>
      </c>
      <c r="B6" s="117">
        <v>1</v>
      </c>
      <c r="C6" s="118" t="s">
        <v>376</v>
      </c>
      <c r="D6" s="119" t="s">
        <v>377</v>
      </c>
      <c r="E6" s="120" t="s">
        <v>139</v>
      </c>
    </row>
    <row r="7" spans="1:5" ht="20.6" customHeight="1" outlineLevel="2">
      <c r="A7" s="121"/>
      <c r="B7" s="121"/>
      <c r="C7" s="122" t="s">
        <v>378</v>
      </c>
      <c r="D7" s="123" t="s">
        <v>379</v>
      </c>
      <c r="E7" s="124" t="s">
        <v>380</v>
      </c>
    </row>
    <row r="8" spans="1:5" ht="20.6" customHeight="1" outlineLevel="2">
      <c r="A8" s="121"/>
      <c r="B8" s="121"/>
      <c r="C8" s="125" t="s">
        <v>381</v>
      </c>
      <c r="D8" s="123" t="s">
        <v>382</v>
      </c>
      <c r="E8" s="124" t="s">
        <v>333</v>
      </c>
    </row>
    <row r="9" spans="1:5" ht="20.6" customHeight="1" outlineLevel="2">
      <c r="A9" s="121"/>
      <c r="B9" s="121"/>
      <c r="C9" s="126" t="s">
        <v>383</v>
      </c>
      <c r="D9" s="123" t="s">
        <v>384</v>
      </c>
      <c r="E9" s="127"/>
    </row>
    <row r="10" spans="1:5" ht="7" customHeight="1" outlineLevel="1"/>
    <row r="11" spans="1:5" ht="49.8" customHeight="1" outlineLevel="1">
      <c r="A11" s="116" t="s">
        <v>46</v>
      </c>
      <c r="B11" s="117">
        <v>2</v>
      </c>
      <c r="C11" s="118" t="s">
        <v>376</v>
      </c>
      <c r="D11" s="119" t="s">
        <v>385</v>
      </c>
      <c r="E11" s="120" t="s">
        <v>170</v>
      </c>
    </row>
    <row r="12" spans="1:5" ht="20.6" customHeight="1" outlineLevel="2">
      <c r="A12" s="121"/>
      <c r="B12" s="121"/>
      <c r="C12" s="122" t="s">
        <v>378</v>
      </c>
      <c r="D12" s="123" t="s">
        <v>386</v>
      </c>
      <c r="E12" s="124" t="s">
        <v>167</v>
      </c>
    </row>
    <row r="13" spans="1:5" ht="20.6" customHeight="1" outlineLevel="2">
      <c r="A13" s="121"/>
      <c r="B13" s="121"/>
      <c r="C13" s="122" t="s">
        <v>387</v>
      </c>
      <c r="D13" s="123" t="s">
        <v>388</v>
      </c>
      <c r="E13" s="124" t="s">
        <v>389</v>
      </c>
    </row>
    <row r="14" spans="1:5" ht="20.6" customHeight="1" outlineLevel="2">
      <c r="A14" s="121"/>
      <c r="B14" s="121"/>
      <c r="C14" s="125" t="s">
        <v>381</v>
      </c>
      <c r="D14" s="123" t="s">
        <v>382</v>
      </c>
      <c r="E14" s="124" t="s">
        <v>334</v>
      </c>
    </row>
    <row r="15" spans="1:5" ht="20.6" customHeight="1" outlineLevel="2">
      <c r="A15" s="121"/>
      <c r="B15" s="121"/>
      <c r="C15" s="126" t="s">
        <v>383</v>
      </c>
      <c r="D15" s="123" t="s">
        <v>384</v>
      </c>
      <c r="E15" s="127"/>
    </row>
    <row r="16" spans="1:5" ht="7" customHeight="1" outlineLevel="1"/>
    <row r="17" spans="1:5" ht="36.2" customHeight="1" outlineLevel="1">
      <c r="A17" s="116" t="s">
        <v>46</v>
      </c>
      <c r="B17" s="117">
        <v>3</v>
      </c>
      <c r="C17" s="118" t="s">
        <v>376</v>
      </c>
      <c r="D17" s="119" t="s">
        <v>390</v>
      </c>
      <c r="E17" s="120" t="s">
        <v>172</v>
      </c>
    </row>
    <row r="18" spans="1:5" ht="20.6" customHeight="1" outlineLevel="2">
      <c r="A18" s="121"/>
      <c r="B18" s="121"/>
      <c r="C18" s="122" t="s">
        <v>378</v>
      </c>
      <c r="D18" s="123" t="s">
        <v>386</v>
      </c>
      <c r="E18" s="124" t="s">
        <v>171</v>
      </c>
    </row>
    <row r="19" spans="1:5" ht="20.6" customHeight="1" outlineLevel="2">
      <c r="A19" s="121"/>
      <c r="B19" s="121"/>
      <c r="C19" s="122" t="s">
        <v>387</v>
      </c>
      <c r="D19" s="123" t="s">
        <v>388</v>
      </c>
      <c r="E19" s="124" t="s">
        <v>391</v>
      </c>
    </row>
    <row r="20" spans="1:5" ht="20.6" customHeight="1" outlineLevel="2">
      <c r="A20" s="121"/>
      <c r="B20" s="121"/>
      <c r="C20" s="125" t="s">
        <v>381</v>
      </c>
      <c r="D20" s="123" t="s">
        <v>382</v>
      </c>
      <c r="E20" s="124" t="s">
        <v>335</v>
      </c>
    </row>
    <row r="21" spans="1:5" ht="20.6" customHeight="1" outlineLevel="2">
      <c r="A21" s="121"/>
      <c r="B21" s="121"/>
      <c r="C21" s="126" t="s">
        <v>383</v>
      </c>
      <c r="D21" s="123" t="s">
        <v>384</v>
      </c>
      <c r="E21" s="127"/>
    </row>
    <row r="22" spans="1:5" ht="7" customHeight="1" outlineLevel="1"/>
    <row r="23" spans="1:5" ht="49.8" customHeight="1" outlineLevel="1">
      <c r="A23" s="116" t="s">
        <v>46</v>
      </c>
      <c r="B23" s="117">
        <v>4</v>
      </c>
      <c r="C23" s="118" t="s">
        <v>376</v>
      </c>
      <c r="D23" s="119" t="s">
        <v>392</v>
      </c>
      <c r="E23" s="120" t="s">
        <v>175</v>
      </c>
    </row>
    <row r="24" spans="1:5" ht="20.6" customHeight="1" outlineLevel="2">
      <c r="A24" s="121"/>
      <c r="B24" s="121"/>
      <c r="C24" s="122" t="s">
        <v>378</v>
      </c>
      <c r="D24" s="123" t="s">
        <v>388</v>
      </c>
      <c r="E24" s="124" t="s">
        <v>393</v>
      </c>
    </row>
    <row r="25" spans="1:5" ht="20.6" customHeight="1" outlineLevel="2">
      <c r="A25" s="121"/>
      <c r="B25" s="121"/>
      <c r="C25" s="128" t="s">
        <v>221</v>
      </c>
      <c r="D25" s="123" t="s">
        <v>388</v>
      </c>
      <c r="E25" s="124" t="s">
        <v>394</v>
      </c>
    </row>
    <row r="26" spans="1:5" ht="20.6" customHeight="1" outlineLevel="2">
      <c r="A26" s="121"/>
      <c r="B26" s="121"/>
      <c r="C26" s="125" t="s">
        <v>381</v>
      </c>
      <c r="D26" s="123" t="s">
        <v>382</v>
      </c>
      <c r="E26" s="124" t="s">
        <v>336</v>
      </c>
    </row>
    <row r="27" spans="1:5" ht="20.6" customHeight="1" outlineLevel="2">
      <c r="A27" s="121"/>
      <c r="B27" s="121"/>
      <c r="C27" s="126" t="s">
        <v>383</v>
      </c>
      <c r="D27" s="123" t="s">
        <v>384</v>
      </c>
      <c r="E27" s="127"/>
    </row>
    <row r="28" spans="1:5" ht="7" customHeight="1" outlineLevel="1"/>
    <row r="29" spans="1:5" ht="49.8" customHeight="1" outlineLevel="1">
      <c r="A29" s="116" t="s">
        <v>46</v>
      </c>
      <c r="B29" s="117">
        <v>5</v>
      </c>
      <c r="C29" s="118" t="s">
        <v>376</v>
      </c>
      <c r="D29" s="119" t="s">
        <v>395</v>
      </c>
      <c r="E29" s="120" t="s">
        <v>114</v>
      </c>
    </row>
    <row r="30" spans="1:5" ht="34.2" customHeight="1" outlineLevel="2">
      <c r="A30" s="121"/>
      <c r="B30" s="121"/>
      <c r="C30" s="122" t="s">
        <v>378</v>
      </c>
      <c r="D30" s="123" t="s">
        <v>396</v>
      </c>
      <c r="E30" s="124" t="s">
        <v>397</v>
      </c>
    </row>
    <row r="31" spans="1:5" ht="20.6" customHeight="1" outlineLevel="2">
      <c r="A31" s="121"/>
      <c r="B31" s="121"/>
      <c r="C31" s="125" t="s">
        <v>381</v>
      </c>
      <c r="D31" s="123" t="s">
        <v>382</v>
      </c>
      <c r="E31" s="124" t="s">
        <v>337</v>
      </c>
    </row>
    <row r="32" spans="1:5" ht="20.6" customHeight="1" outlineLevel="2">
      <c r="A32" s="121"/>
      <c r="B32" s="121"/>
      <c r="C32" s="126" t="s">
        <v>383</v>
      </c>
      <c r="D32" s="123" t="s">
        <v>384</v>
      </c>
      <c r="E32" s="127"/>
    </row>
    <row r="33" spans="1:5" ht="7" customHeight="1" outlineLevel="1"/>
    <row r="34" spans="1:5" ht="36.2" customHeight="1" outlineLevel="1">
      <c r="A34" s="116" t="s">
        <v>46</v>
      </c>
      <c r="B34" s="117">
        <v>6</v>
      </c>
      <c r="C34" s="118" t="s">
        <v>376</v>
      </c>
      <c r="D34" s="119" t="s">
        <v>398</v>
      </c>
      <c r="E34" s="120" t="s">
        <v>118</v>
      </c>
    </row>
    <row r="35" spans="1:5" ht="20.6" customHeight="1" outlineLevel="2">
      <c r="A35" s="121"/>
      <c r="B35" s="121"/>
      <c r="C35" s="122" t="s">
        <v>378</v>
      </c>
      <c r="D35" s="123" t="s">
        <v>386</v>
      </c>
      <c r="E35" s="124" t="s">
        <v>399</v>
      </c>
    </row>
    <row r="36" spans="1:5" ht="20.6" customHeight="1" outlineLevel="2">
      <c r="A36" s="121"/>
      <c r="B36" s="121"/>
      <c r="C36" s="125" t="s">
        <v>381</v>
      </c>
      <c r="D36" s="123" t="s">
        <v>382</v>
      </c>
      <c r="E36" s="124" t="s">
        <v>338</v>
      </c>
    </row>
    <row r="37" spans="1:5" ht="20.6" customHeight="1" outlineLevel="2">
      <c r="A37" s="121"/>
      <c r="B37" s="121"/>
      <c r="C37" s="126" t="s">
        <v>383</v>
      </c>
      <c r="D37" s="123" t="s">
        <v>384</v>
      </c>
      <c r="E37" s="127"/>
    </row>
    <row r="38" spans="1:5" ht="7" customHeight="1" outlineLevel="1"/>
    <row r="39" spans="1:5" ht="49.8" customHeight="1" outlineLevel="1">
      <c r="A39" s="116" t="s">
        <v>46</v>
      </c>
      <c r="B39" s="117">
        <v>7</v>
      </c>
      <c r="C39" s="118" t="s">
        <v>376</v>
      </c>
      <c r="D39" s="119" t="s">
        <v>400</v>
      </c>
      <c r="E39" s="120" t="s">
        <v>142</v>
      </c>
    </row>
    <row r="40" spans="1:5" ht="20.6" customHeight="1" outlineLevel="2">
      <c r="A40" s="121"/>
      <c r="B40" s="121"/>
      <c r="C40" s="122" t="s">
        <v>378</v>
      </c>
      <c r="D40" s="123" t="s">
        <v>388</v>
      </c>
      <c r="E40" s="124" t="s">
        <v>401</v>
      </c>
    </row>
    <row r="41" spans="1:5" ht="20.6" customHeight="1" outlineLevel="2">
      <c r="A41" s="121"/>
      <c r="B41" s="121"/>
      <c r="C41" s="125" t="s">
        <v>381</v>
      </c>
      <c r="D41" s="123" t="s">
        <v>382</v>
      </c>
      <c r="E41" s="124" t="s">
        <v>339</v>
      </c>
    </row>
    <row r="42" spans="1:5" ht="20.6" customHeight="1" outlineLevel="2">
      <c r="A42" s="121"/>
      <c r="B42" s="121"/>
      <c r="C42" s="126" t="s">
        <v>383</v>
      </c>
      <c r="D42" s="123" t="s">
        <v>384</v>
      </c>
      <c r="E42" s="127"/>
    </row>
    <row r="43" spans="1:5" ht="7" customHeight="1" outlineLevel="1"/>
    <row r="44" spans="1:5" ht="90.6" customHeight="1" outlineLevel="1">
      <c r="A44" s="116" t="s">
        <v>46</v>
      </c>
      <c r="B44" s="117">
        <v>8</v>
      </c>
      <c r="C44" s="118" t="s">
        <v>376</v>
      </c>
      <c r="D44" s="119" t="s">
        <v>402</v>
      </c>
      <c r="E44" s="120" t="s">
        <v>146</v>
      </c>
    </row>
    <row r="45" spans="1:5" ht="20.6" customHeight="1" outlineLevel="2">
      <c r="A45" s="121"/>
      <c r="B45" s="121"/>
      <c r="C45" s="122" t="s">
        <v>378</v>
      </c>
      <c r="D45" s="123" t="s">
        <v>403</v>
      </c>
      <c r="E45" s="124" t="s">
        <v>404</v>
      </c>
    </row>
    <row r="46" spans="1:5" ht="20.6" customHeight="1" outlineLevel="2">
      <c r="A46" s="121"/>
      <c r="B46" s="121"/>
      <c r="C46" s="122" t="s">
        <v>387</v>
      </c>
      <c r="D46" s="123" t="s">
        <v>388</v>
      </c>
      <c r="E46" s="124" t="s">
        <v>405</v>
      </c>
    </row>
    <row r="47" spans="1:5" ht="34.2" customHeight="1" outlineLevel="2">
      <c r="A47" s="121"/>
      <c r="B47" s="121"/>
      <c r="C47" s="128" t="s">
        <v>221</v>
      </c>
      <c r="D47" s="123" t="s">
        <v>403</v>
      </c>
      <c r="E47" s="124" t="s">
        <v>406</v>
      </c>
    </row>
    <row r="48" spans="1:5" ht="20.6" customHeight="1" outlineLevel="2">
      <c r="A48" s="121"/>
      <c r="B48" s="121"/>
      <c r="C48" s="125" t="s">
        <v>381</v>
      </c>
      <c r="D48" s="123" t="s">
        <v>382</v>
      </c>
      <c r="E48" s="124" t="s">
        <v>340</v>
      </c>
    </row>
    <row r="49" spans="1:5" ht="20.6" customHeight="1" outlineLevel="2">
      <c r="A49" s="121"/>
      <c r="B49" s="121"/>
      <c r="C49" s="126" t="s">
        <v>383</v>
      </c>
      <c r="D49" s="123" t="s">
        <v>407</v>
      </c>
      <c r="E49" s="124" t="s">
        <v>408</v>
      </c>
    </row>
    <row r="50" spans="1:5" ht="20.6" customHeight="1" outlineLevel="2">
      <c r="A50" s="121"/>
      <c r="B50" s="121"/>
      <c r="C50" s="126" t="s">
        <v>383</v>
      </c>
      <c r="D50" s="123" t="s">
        <v>384</v>
      </c>
      <c r="E50" s="127"/>
    </row>
    <row r="51" spans="1:5" ht="7" customHeight="1" outlineLevel="1"/>
    <row r="52" spans="1:5" ht="49.8" customHeight="1" outlineLevel="1">
      <c r="A52" s="116" t="s">
        <v>46</v>
      </c>
      <c r="B52" s="117">
        <v>9</v>
      </c>
      <c r="C52" s="118" t="s">
        <v>376</v>
      </c>
      <c r="D52" s="119" t="s">
        <v>409</v>
      </c>
      <c r="E52" s="120" t="s">
        <v>122</v>
      </c>
    </row>
    <row r="53" spans="1:5" ht="20.6" customHeight="1" outlineLevel="2">
      <c r="A53" s="121"/>
      <c r="B53" s="121"/>
      <c r="C53" s="122" t="s">
        <v>378</v>
      </c>
      <c r="D53" s="123" t="s">
        <v>388</v>
      </c>
      <c r="E53" s="124" t="s">
        <v>410</v>
      </c>
    </row>
    <row r="54" spans="1:5" ht="20.6" customHeight="1" outlineLevel="2">
      <c r="A54" s="121"/>
      <c r="B54" s="121"/>
      <c r="C54" s="125" t="s">
        <v>381</v>
      </c>
      <c r="D54" s="123" t="s">
        <v>382</v>
      </c>
      <c r="E54" s="124" t="s">
        <v>411</v>
      </c>
    </row>
    <row r="55" spans="1:5" ht="20.6" customHeight="1" outlineLevel="2">
      <c r="A55" s="121"/>
      <c r="B55" s="121"/>
      <c r="C55" s="126" t="s">
        <v>383</v>
      </c>
      <c r="D55" s="123" t="s">
        <v>412</v>
      </c>
      <c r="E55" s="124" t="s">
        <v>413</v>
      </c>
    </row>
    <row r="56" spans="1:5" ht="20.6" customHeight="1" outlineLevel="2">
      <c r="A56" s="121"/>
      <c r="B56" s="121"/>
      <c r="C56" s="126" t="s">
        <v>383</v>
      </c>
      <c r="D56" s="123" t="s">
        <v>384</v>
      </c>
      <c r="E56" s="127"/>
    </row>
    <row r="57" spans="1:5" ht="7" customHeight="1" outlineLevel="1"/>
    <row r="58" spans="1:5" ht="77" customHeight="1" outlineLevel="1">
      <c r="A58" s="116" t="s">
        <v>46</v>
      </c>
      <c r="B58" s="117">
        <v>10</v>
      </c>
      <c r="C58" s="118" t="s">
        <v>376</v>
      </c>
      <c r="D58" s="119" t="s">
        <v>414</v>
      </c>
      <c r="E58" s="120" t="s">
        <v>150</v>
      </c>
    </row>
    <row r="59" spans="1:5" ht="47.8" customHeight="1" outlineLevel="2">
      <c r="A59" s="121"/>
      <c r="B59" s="121"/>
      <c r="C59" s="122" t="s">
        <v>378</v>
      </c>
      <c r="D59" s="123" t="s">
        <v>386</v>
      </c>
      <c r="E59" s="124" t="s">
        <v>415</v>
      </c>
    </row>
    <row r="60" spans="1:5" ht="20.6" customHeight="1" outlineLevel="2">
      <c r="A60" s="121"/>
      <c r="B60" s="121"/>
      <c r="C60" s="122" t="s">
        <v>387</v>
      </c>
      <c r="D60" s="123" t="s">
        <v>416</v>
      </c>
      <c r="E60" s="124" t="s">
        <v>417</v>
      </c>
    </row>
    <row r="61" spans="1:5" ht="20.6" customHeight="1" outlineLevel="2">
      <c r="A61" s="121"/>
      <c r="B61" s="121"/>
      <c r="C61" s="125" t="s">
        <v>381</v>
      </c>
      <c r="D61" s="123" t="s">
        <v>382</v>
      </c>
      <c r="E61" s="124" t="s">
        <v>342</v>
      </c>
    </row>
    <row r="62" spans="1:5" ht="20.6" customHeight="1" outlineLevel="2">
      <c r="A62" s="121"/>
      <c r="B62" s="121"/>
      <c r="C62" s="126" t="s">
        <v>383</v>
      </c>
      <c r="D62" s="123" t="s">
        <v>418</v>
      </c>
      <c r="E62" s="124" t="s">
        <v>419</v>
      </c>
    </row>
    <row r="63" spans="1:5" ht="20.6" customHeight="1" outlineLevel="2">
      <c r="A63" s="121"/>
      <c r="B63" s="121"/>
      <c r="C63" s="126" t="s">
        <v>383</v>
      </c>
      <c r="D63" s="123" t="s">
        <v>384</v>
      </c>
      <c r="E63" s="127"/>
    </row>
    <row r="64" spans="1:5" ht="7" customHeight="1" outlineLevel="1"/>
    <row r="65" spans="1:5" ht="49.8" customHeight="1" outlineLevel="1">
      <c r="A65" s="116" t="s">
        <v>46</v>
      </c>
      <c r="B65" s="117">
        <v>11</v>
      </c>
      <c r="C65" s="118" t="s">
        <v>376</v>
      </c>
      <c r="D65" s="119" t="s">
        <v>420</v>
      </c>
      <c r="E65" s="120" t="s">
        <v>178</v>
      </c>
    </row>
    <row r="66" spans="1:5" ht="20.6" customHeight="1" outlineLevel="2">
      <c r="A66" s="121"/>
      <c r="B66" s="121"/>
      <c r="C66" s="122" t="s">
        <v>378</v>
      </c>
      <c r="D66" s="123" t="s">
        <v>386</v>
      </c>
      <c r="E66" s="124" t="s">
        <v>421</v>
      </c>
    </row>
    <row r="67" spans="1:5" ht="20.6" customHeight="1" outlineLevel="2">
      <c r="A67" s="121"/>
      <c r="B67" s="121"/>
      <c r="C67" s="122" t="s">
        <v>387</v>
      </c>
      <c r="D67" s="123" t="s">
        <v>422</v>
      </c>
      <c r="E67" s="127"/>
    </row>
    <row r="68" spans="1:5" ht="20.6" customHeight="1" outlineLevel="2">
      <c r="A68" s="121"/>
      <c r="B68" s="121"/>
      <c r="C68" s="125" t="s">
        <v>381</v>
      </c>
      <c r="D68" s="123" t="s">
        <v>382</v>
      </c>
      <c r="E68" s="124" t="s">
        <v>423</v>
      </c>
    </row>
    <row r="69" spans="1:5" ht="20.6" customHeight="1" outlineLevel="2">
      <c r="A69" s="121"/>
      <c r="B69" s="121"/>
      <c r="C69" s="126" t="s">
        <v>383</v>
      </c>
      <c r="D69" s="123" t="s">
        <v>412</v>
      </c>
      <c r="E69" s="124" t="s">
        <v>413</v>
      </c>
    </row>
    <row r="70" spans="1:5" ht="20.6" customHeight="1" outlineLevel="2">
      <c r="A70" s="121"/>
      <c r="B70" s="121"/>
      <c r="C70" s="126" t="s">
        <v>383</v>
      </c>
      <c r="D70" s="123" t="s">
        <v>384</v>
      </c>
      <c r="E70" s="127"/>
    </row>
    <row r="71" spans="1:5" ht="7" customHeight="1" outlineLevel="1"/>
    <row r="72" spans="1:5" ht="63.4" customHeight="1" outlineLevel="1">
      <c r="A72" s="116" t="s">
        <v>46</v>
      </c>
      <c r="B72" s="117">
        <v>12</v>
      </c>
      <c r="C72" s="118" t="s">
        <v>376</v>
      </c>
      <c r="D72" s="119" t="s">
        <v>424</v>
      </c>
      <c r="E72" s="120" t="s">
        <v>154</v>
      </c>
    </row>
    <row r="73" spans="1:5" ht="47.8" customHeight="1" outlineLevel="2">
      <c r="A73" s="121"/>
      <c r="B73" s="121"/>
      <c r="C73" s="122" t="s">
        <v>378</v>
      </c>
      <c r="D73" s="123" t="s">
        <v>386</v>
      </c>
      <c r="E73" s="124" t="s">
        <v>415</v>
      </c>
    </row>
    <row r="74" spans="1:5" ht="20.6" customHeight="1" outlineLevel="2">
      <c r="A74" s="121"/>
      <c r="B74" s="121"/>
      <c r="C74" s="125" t="s">
        <v>381</v>
      </c>
      <c r="D74" s="123" t="s">
        <v>382</v>
      </c>
      <c r="E74" s="124" t="s">
        <v>425</v>
      </c>
    </row>
    <row r="75" spans="1:5" ht="20.6" customHeight="1" outlineLevel="2">
      <c r="A75" s="121"/>
      <c r="B75" s="121"/>
      <c r="C75" s="126" t="s">
        <v>383</v>
      </c>
      <c r="D75" s="123" t="s">
        <v>412</v>
      </c>
      <c r="E75" s="124" t="s">
        <v>413</v>
      </c>
    </row>
    <row r="76" spans="1:5" ht="20.6" customHeight="1" outlineLevel="2">
      <c r="A76" s="121"/>
      <c r="B76" s="121"/>
      <c r="C76" s="126" t="s">
        <v>383</v>
      </c>
      <c r="D76" s="123" t="s">
        <v>384</v>
      </c>
      <c r="E76" s="127"/>
    </row>
    <row r="77" spans="1:5" ht="7" customHeight="1" outlineLevel="1"/>
    <row r="78" spans="1:5" ht="63.4" customHeight="1" outlineLevel="1">
      <c r="A78" s="116" t="s">
        <v>46</v>
      </c>
      <c r="B78" s="117">
        <v>13</v>
      </c>
      <c r="C78" s="118" t="s">
        <v>376</v>
      </c>
      <c r="D78" s="119" t="s">
        <v>426</v>
      </c>
      <c r="E78" s="120" t="s">
        <v>158</v>
      </c>
    </row>
    <row r="79" spans="1:5" ht="34.2" customHeight="1" outlineLevel="2">
      <c r="A79" s="121"/>
      <c r="B79" s="121"/>
      <c r="C79" s="122" t="s">
        <v>378</v>
      </c>
      <c r="D79" s="123" t="s">
        <v>386</v>
      </c>
      <c r="E79" s="124" t="s">
        <v>427</v>
      </c>
    </row>
    <row r="80" spans="1:5" ht="20.6" customHeight="1" outlineLevel="2">
      <c r="A80" s="121"/>
      <c r="B80" s="121"/>
      <c r="C80" s="125" t="s">
        <v>381</v>
      </c>
      <c r="D80" s="123" t="s">
        <v>382</v>
      </c>
      <c r="E80" s="124" t="s">
        <v>428</v>
      </c>
    </row>
    <row r="81" spans="1:5" ht="20.6" customHeight="1" outlineLevel="2">
      <c r="A81" s="121"/>
      <c r="B81" s="121"/>
      <c r="C81" s="126" t="s">
        <v>383</v>
      </c>
      <c r="D81" s="123" t="s">
        <v>412</v>
      </c>
      <c r="E81" s="124" t="s">
        <v>413</v>
      </c>
    </row>
    <row r="82" spans="1:5" ht="20.6" customHeight="1" outlineLevel="2">
      <c r="A82" s="121"/>
      <c r="B82" s="121"/>
      <c r="C82" s="126" t="s">
        <v>383</v>
      </c>
      <c r="D82" s="123" t="s">
        <v>384</v>
      </c>
      <c r="E82" s="127"/>
    </row>
    <row r="83" spans="1:5" ht="7" customHeight="1" outlineLevel="1"/>
    <row r="84" spans="1:5" ht="49.8" customHeight="1" outlineLevel="1">
      <c r="A84" s="116" t="s">
        <v>46</v>
      </c>
      <c r="B84" s="117">
        <v>14</v>
      </c>
      <c r="C84" s="118" t="s">
        <v>376</v>
      </c>
      <c r="D84" s="119" t="s">
        <v>429</v>
      </c>
      <c r="E84" s="120" t="s">
        <v>162</v>
      </c>
    </row>
    <row r="85" spans="1:5" ht="20.6" customHeight="1" outlineLevel="2">
      <c r="A85" s="121"/>
      <c r="B85" s="121"/>
      <c r="C85" s="122" t="s">
        <v>378</v>
      </c>
      <c r="D85" s="123" t="s">
        <v>388</v>
      </c>
      <c r="E85" s="124" t="s">
        <v>430</v>
      </c>
    </row>
    <row r="86" spans="1:5" ht="20.6" customHeight="1" outlineLevel="2">
      <c r="A86" s="121"/>
      <c r="B86" s="121"/>
      <c r="C86" s="125" t="s">
        <v>381</v>
      </c>
      <c r="D86" s="123" t="s">
        <v>382</v>
      </c>
      <c r="E86" s="124" t="s">
        <v>431</v>
      </c>
    </row>
    <row r="87" spans="1:5" ht="20.6" customHeight="1" outlineLevel="2">
      <c r="A87" s="121"/>
      <c r="B87" s="121"/>
      <c r="C87" s="126" t="s">
        <v>383</v>
      </c>
      <c r="D87" s="123" t="s">
        <v>412</v>
      </c>
      <c r="E87" s="124" t="s">
        <v>413</v>
      </c>
    </row>
    <row r="88" spans="1:5" ht="20.6" customHeight="1" outlineLevel="2">
      <c r="A88" s="121"/>
      <c r="B88" s="121"/>
      <c r="C88" s="126" t="s">
        <v>383</v>
      </c>
      <c r="D88" s="123" t="s">
        <v>384</v>
      </c>
      <c r="E88" s="127"/>
    </row>
    <row r="89" spans="1:5" ht="7" customHeight="1" outlineLevel="1"/>
    <row r="90" spans="1:5" ht="117.8" customHeight="1" outlineLevel="1">
      <c r="A90" s="116" t="s">
        <v>46</v>
      </c>
      <c r="B90" s="117">
        <v>15</v>
      </c>
      <c r="C90" s="118" t="s">
        <v>376</v>
      </c>
      <c r="D90" s="119" t="s">
        <v>432</v>
      </c>
      <c r="E90" s="120" t="s">
        <v>165</v>
      </c>
    </row>
    <row r="91" spans="1:5" ht="143" customHeight="1" outlineLevel="2">
      <c r="A91" s="121"/>
      <c r="B91" s="121"/>
      <c r="C91" s="122" t="s">
        <v>378</v>
      </c>
      <c r="D91" s="123" t="s">
        <v>386</v>
      </c>
      <c r="E91" s="124" t="s">
        <v>433</v>
      </c>
    </row>
    <row r="92" spans="1:5" ht="20.6" customHeight="1" outlineLevel="2">
      <c r="A92" s="121"/>
      <c r="B92" s="121"/>
      <c r="C92" s="122" t="s">
        <v>387</v>
      </c>
      <c r="D92" s="123" t="s">
        <v>388</v>
      </c>
      <c r="E92" s="124" t="s">
        <v>434</v>
      </c>
    </row>
    <row r="93" spans="1:5" ht="20.6" customHeight="1" outlineLevel="2">
      <c r="A93" s="121"/>
      <c r="B93" s="121"/>
      <c r="C93" s="128" t="s">
        <v>221</v>
      </c>
      <c r="D93" s="123" t="s">
        <v>386</v>
      </c>
      <c r="E93" s="124" t="s">
        <v>435</v>
      </c>
    </row>
    <row r="94" spans="1:5" ht="20.6" customHeight="1" outlineLevel="2">
      <c r="A94" s="121"/>
      <c r="B94" s="121"/>
      <c r="C94" s="125" t="s">
        <v>381</v>
      </c>
      <c r="D94" s="123" t="s">
        <v>382</v>
      </c>
      <c r="E94" s="124" t="s">
        <v>431</v>
      </c>
    </row>
    <row r="95" spans="1:5" ht="20.6" customHeight="1" outlineLevel="2">
      <c r="A95" s="121"/>
      <c r="B95" s="121"/>
      <c r="C95" s="126" t="s">
        <v>383</v>
      </c>
      <c r="D95" s="123" t="s">
        <v>412</v>
      </c>
      <c r="E95" s="124" t="s">
        <v>413</v>
      </c>
    </row>
    <row r="96" spans="1:5" ht="20.6" customHeight="1" outlineLevel="2">
      <c r="A96" s="121"/>
      <c r="B96" s="121"/>
      <c r="C96" s="126" t="s">
        <v>383</v>
      </c>
      <c r="D96" s="123" t="s">
        <v>384</v>
      </c>
      <c r="E96" s="127"/>
    </row>
    <row r="97" spans="1:5" ht="7" customHeight="1" outlineLevel="1"/>
    <row r="98" spans="1:5" ht="36.2" customHeight="1" outlineLevel="1">
      <c r="A98" s="116" t="s">
        <v>46</v>
      </c>
      <c r="B98" s="117">
        <v>16</v>
      </c>
      <c r="C98" s="118" t="s">
        <v>376</v>
      </c>
      <c r="D98" s="119" t="s">
        <v>436</v>
      </c>
      <c r="E98" s="120" t="s">
        <v>126</v>
      </c>
    </row>
    <row r="99" spans="1:5" ht="20.6" customHeight="1" outlineLevel="2">
      <c r="A99" s="121"/>
      <c r="B99" s="121"/>
      <c r="C99" s="122" t="s">
        <v>378</v>
      </c>
      <c r="D99" s="123" t="s">
        <v>388</v>
      </c>
      <c r="E99" s="124" t="s">
        <v>437</v>
      </c>
    </row>
    <row r="100" spans="1:5" ht="20.6" customHeight="1" outlineLevel="2">
      <c r="A100" s="121"/>
      <c r="B100" s="121"/>
      <c r="C100" s="125" t="s">
        <v>381</v>
      </c>
      <c r="D100" s="123" t="s">
        <v>382</v>
      </c>
      <c r="E100" s="124" t="s">
        <v>347</v>
      </c>
    </row>
    <row r="101" spans="1:5" ht="20.6" customHeight="1" outlineLevel="2">
      <c r="A101" s="121"/>
      <c r="B101" s="121"/>
      <c r="C101" s="126" t="s">
        <v>383</v>
      </c>
      <c r="D101" s="123" t="s">
        <v>418</v>
      </c>
      <c r="E101" s="124" t="s">
        <v>408</v>
      </c>
    </row>
    <row r="102" spans="1:5" ht="20.6" customHeight="1" outlineLevel="2">
      <c r="A102" s="121"/>
      <c r="B102" s="121"/>
      <c r="C102" s="126" t="s">
        <v>383</v>
      </c>
      <c r="D102" s="123" t="s">
        <v>384</v>
      </c>
      <c r="E102" s="127"/>
    </row>
    <row r="103" spans="1:5" ht="7" customHeight="1" outlineLevel="1"/>
    <row r="104" spans="1:5" ht="49.8" customHeight="1" outlineLevel="1">
      <c r="A104" s="116" t="s">
        <v>46</v>
      </c>
      <c r="B104" s="117">
        <v>17</v>
      </c>
      <c r="C104" s="118" t="s">
        <v>376</v>
      </c>
      <c r="D104" s="119" t="s">
        <v>438</v>
      </c>
      <c r="E104" s="120" t="s">
        <v>130</v>
      </c>
    </row>
    <row r="105" spans="1:5" ht="34.2" customHeight="1" outlineLevel="2">
      <c r="A105" s="121"/>
      <c r="B105" s="121"/>
      <c r="C105" s="122" t="s">
        <v>378</v>
      </c>
      <c r="D105" s="129" t="s">
        <v>439</v>
      </c>
      <c r="E105" s="124" t="s">
        <v>440</v>
      </c>
    </row>
    <row r="106" spans="1:5" ht="20.6" customHeight="1" outlineLevel="2">
      <c r="A106" s="121"/>
      <c r="B106" s="121"/>
      <c r="C106" s="125" t="s">
        <v>381</v>
      </c>
      <c r="D106" s="123" t="s">
        <v>382</v>
      </c>
      <c r="E106" s="124" t="s">
        <v>347</v>
      </c>
    </row>
    <row r="107" spans="1:5" ht="20.6" customHeight="1" outlineLevel="2">
      <c r="A107" s="121"/>
      <c r="B107" s="121"/>
      <c r="C107" s="126" t="s">
        <v>383</v>
      </c>
      <c r="D107" s="123" t="s">
        <v>407</v>
      </c>
      <c r="E107" s="124" t="s">
        <v>408</v>
      </c>
    </row>
    <row r="108" spans="1:5" ht="20.6" customHeight="1" outlineLevel="2">
      <c r="A108" s="121"/>
      <c r="B108" s="121"/>
      <c r="C108" s="126" t="s">
        <v>383</v>
      </c>
      <c r="D108" s="123" t="s">
        <v>384</v>
      </c>
      <c r="E108" s="127"/>
    </row>
    <row r="109" spans="1:5" ht="7" customHeight="1" outlineLevel="1"/>
    <row r="110" spans="1:5" ht="63.4" customHeight="1" outlineLevel="1">
      <c r="A110" s="130" t="s">
        <v>46</v>
      </c>
      <c r="B110" s="131">
        <v>18</v>
      </c>
      <c r="C110" s="132" t="s">
        <v>376</v>
      </c>
      <c r="D110" s="133" t="s">
        <v>441</v>
      </c>
      <c r="E110" s="134" t="s">
        <v>134</v>
      </c>
    </row>
    <row r="111" spans="1:5" ht="34.2" customHeight="1" outlineLevel="2">
      <c r="A111" s="121"/>
      <c r="B111" s="121"/>
      <c r="C111" s="135" t="s">
        <v>378</v>
      </c>
      <c r="D111" s="129" t="s">
        <v>439</v>
      </c>
      <c r="E111" s="136" t="s">
        <v>440</v>
      </c>
    </row>
    <row r="112" spans="1:5" ht="20.6" customHeight="1" outlineLevel="2">
      <c r="A112" s="121"/>
      <c r="B112" s="121"/>
      <c r="C112" s="135" t="s">
        <v>221</v>
      </c>
      <c r="D112" s="137" t="s">
        <v>386</v>
      </c>
      <c r="E112" s="136" t="s">
        <v>442</v>
      </c>
    </row>
    <row r="113" spans="1:5" ht="20.6" customHeight="1" outlineLevel="2">
      <c r="A113" s="121"/>
      <c r="B113" s="121"/>
      <c r="C113" s="135" t="s">
        <v>443</v>
      </c>
      <c r="D113" s="137" t="s">
        <v>388</v>
      </c>
      <c r="E113" s="136" t="s">
        <v>444</v>
      </c>
    </row>
    <row r="114" spans="1:5" ht="20.6" customHeight="1" outlineLevel="2">
      <c r="A114" s="121"/>
      <c r="B114" s="121"/>
      <c r="C114" s="135" t="s">
        <v>381</v>
      </c>
      <c r="D114" s="137" t="s">
        <v>382</v>
      </c>
      <c r="E114" s="136" t="s">
        <v>350</v>
      </c>
    </row>
    <row r="115" spans="1:5" ht="20.6" customHeight="1" outlineLevel="2">
      <c r="A115" s="121"/>
      <c r="B115" s="121"/>
      <c r="C115" s="135" t="s">
        <v>383</v>
      </c>
      <c r="D115" s="137" t="s">
        <v>407</v>
      </c>
      <c r="E115" s="136" t="s">
        <v>445</v>
      </c>
    </row>
    <row r="116" spans="1:5" ht="20.6" customHeight="1" outlineLevel="2">
      <c r="A116" s="121"/>
      <c r="B116" s="121"/>
      <c r="C116" s="135" t="s">
        <v>383</v>
      </c>
      <c r="D116" s="137" t="s">
        <v>384</v>
      </c>
      <c r="E116" s="127"/>
    </row>
    <row r="117" spans="1:5" ht="7" customHeight="1" outlineLevel="1"/>
    <row r="118" spans="1:5" ht="7" customHeight="1" outlineLevel="1"/>
    <row r="119" spans="1:5" ht="28" customHeight="1">
      <c r="A119" s="115" t="s">
        <v>446</v>
      </c>
      <c r="B119" s="115"/>
      <c r="C119" s="115"/>
      <c r="D119" s="115"/>
      <c r="E119" s="115"/>
    </row>
    <row r="120" spans="1:5" ht="36.2" customHeight="1" outlineLevel="1">
      <c r="A120" s="116" t="s">
        <v>47</v>
      </c>
      <c r="B120" s="117">
        <v>1</v>
      </c>
      <c r="C120" s="118" t="s">
        <v>376</v>
      </c>
      <c r="D120" s="119" t="s">
        <v>447</v>
      </c>
      <c r="E120" s="120" t="s">
        <v>139</v>
      </c>
    </row>
    <row r="121" spans="1:5" ht="20.6" customHeight="1" outlineLevel="2">
      <c r="A121" s="121"/>
      <c r="B121" s="121"/>
      <c r="C121" s="122" t="s">
        <v>378</v>
      </c>
      <c r="D121" s="123" t="s">
        <v>379</v>
      </c>
      <c r="E121" s="124" t="s">
        <v>380</v>
      </c>
    </row>
    <row r="122" spans="1:5" ht="20.6" customHeight="1" outlineLevel="2">
      <c r="A122" s="121"/>
      <c r="B122" s="121"/>
      <c r="C122" s="125" t="s">
        <v>381</v>
      </c>
      <c r="D122" s="123" t="s">
        <v>382</v>
      </c>
      <c r="E122" s="124" t="s">
        <v>333</v>
      </c>
    </row>
    <row r="123" spans="1:5" ht="20.6" customHeight="1" outlineLevel="2">
      <c r="A123" s="121"/>
      <c r="B123" s="121"/>
      <c r="C123" s="126" t="s">
        <v>383</v>
      </c>
      <c r="D123" s="123" t="s">
        <v>384</v>
      </c>
      <c r="E123" s="127"/>
    </row>
    <row r="124" spans="1:5" ht="7" customHeight="1" outlineLevel="1"/>
    <row r="125" spans="1:5" ht="36.2" customHeight="1" outlineLevel="1">
      <c r="A125" s="116" t="s">
        <v>47</v>
      </c>
      <c r="B125" s="117">
        <v>2</v>
      </c>
      <c r="C125" s="118" t="s">
        <v>376</v>
      </c>
      <c r="D125" s="119" t="s">
        <v>448</v>
      </c>
      <c r="E125" s="120" t="s">
        <v>182</v>
      </c>
    </row>
    <row r="126" spans="1:5" ht="20.6" customHeight="1" outlineLevel="2">
      <c r="A126" s="121"/>
      <c r="B126" s="121"/>
      <c r="C126" s="122" t="s">
        <v>378</v>
      </c>
      <c r="D126" s="123" t="s">
        <v>386</v>
      </c>
      <c r="E126" s="124" t="s">
        <v>449</v>
      </c>
    </row>
    <row r="127" spans="1:5" ht="20.6" customHeight="1" outlineLevel="2">
      <c r="A127" s="121"/>
      <c r="B127" s="121"/>
      <c r="C127" s="122" t="s">
        <v>387</v>
      </c>
      <c r="D127" s="123" t="s">
        <v>396</v>
      </c>
      <c r="E127" s="124" t="s">
        <v>450</v>
      </c>
    </row>
    <row r="128" spans="1:5" ht="20.6" customHeight="1" outlineLevel="2">
      <c r="A128" s="121"/>
      <c r="B128" s="121"/>
      <c r="C128" s="125" t="s">
        <v>381</v>
      </c>
      <c r="D128" s="123" t="s">
        <v>382</v>
      </c>
      <c r="E128" s="124" t="s">
        <v>333</v>
      </c>
    </row>
    <row r="129" spans="1:5" ht="20.6" customHeight="1" outlineLevel="2">
      <c r="A129" s="121"/>
      <c r="B129" s="121"/>
      <c r="C129" s="126" t="s">
        <v>383</v>
      </c>
      <c r="D129" s="123" t="s">
        <v>384</v>
      </c>
      <c r="E129" s="127"/>
    </row>
    <row r="130" spans="1:5" ht="7" customHeight="1" outlineLevel="1"/>
    <row r="131" spans="1:5" ht="49.8" customHeight="1" outlineLevel="1">
      <c r="A131" s="130" t="s">
        <v>47</v>
      </c>
      <c r="B131" s="131">
        <v>3</v>
      </c>
      <c r="C131" s="132" t="s">
        <v>376</v>
      </c>
      <c r="D131" s="133" t="s">
        <v>451</v>
      </c>
      <c r="E131" s="134" t="s">
        <v>115</v>
      </c>
    </row>
    <row r="132" spans="1:5" ht="34.2" customHeight="1" outlineLevel="2">
      <c r="A132" s="121"/>
      <c r="B132" s="121"/>
      <c r="C132" s="135" t="s">
        <v>378</v>
      </c>
      <c r="D132" s="137" t="s">
        <v>396</v>
      </c>
      <c r="E132" s="136" t="s">
        <v>397</v>
      </c>
    </row>
    <row r="133" spans="1:5" ht="20.6" customHeight="1" outlineLevel="2">
      <c r="A133" s="121"/>
      <c r="B133" s="121"/>
      <c r="C133" s="135" t="s">
        <v>381</v>
      </c>
      <c r="D133" s="137" t="s">
        <v>382</v>
      </c>
      <c r="E133" s="127"/>
    </row>
    <row r="134" spans="1:5" ht="20.6" customHeight="1" outlineLevel="2">
      <c r="A134" s="121"/>
      <c r="B134" s="121"/>
      <c r="C134" s="135" t="s">
        <v>383</v>
      </c>
      <c r="D134" s="137" t="s">
        <v>384</v>
      </c>
      <c r="E134" s="127"/>
    </row>
    <row r="135" spans="1:5" ht="7" customHeight="1" outlineLevel="1"/>
    <row r="136" spans="1:5" ht="49.8" customHeight="1" outlineLevel="1">
      <c r="A136" s="130" t="s">
        <v>47</v>
      </c>
      <c r="B136" s="131">
        <v>4</v>
      </c>
      <c r="C136" s="132" t="s">
        <v>376</v>
      </c>
      <c r="D136" s="133" t="s">
        <v>452</v>
      </c>
      <c r="E136" s="134" t="s">
        <v>185</v>
      </c>
    </row>
    <row r="137" spans="1:5" ht="20.6" customHeight="1" outlineLevel="2">
      <c r="A137" s="121"/>
      <c r="B137" s="121"/>
      <c r="C137" s="135" t="s">
        <v>378</v>
      </c>
      <c r="D137" s="137" t="s">
        <v>453</v>
      </c>
      <c r="E137" s="136" t="s">
        <v>454</v>
      </c>
    </row>
    <row r="138" spans="1:5" ht="20.6" customHeight="1" outlineLevel="2">
      <c r="A138" s="121"/>
      <c r="B138" s="121"/>
      <c r="C138" s="135" t="s">
        <v>381</v>
      </c>
      <c r="D138" s="137" t="s">
        <v>382</v>
      </c>
      <c r="E138" s="136" t="s">
        <v>351</v>
      </c>
    </row>
    <row r="139" spans="1:5" ht="20.6" customHeight="1" outlineLevel="2">
      <c r="A139" s="121"/>
      <c r="B139" s="121"/>
      <c r="C139" s="135" t="s">
        <v>383</v>
      </c>
      <c r="D139" s="137" t="s">
        <v>407</v>
      </c>
      <c r="E139" s="136" t="s">
        <v>445</v>
      </c>
    </row>
    <row r="140" spans="1:5" ht="20.6" customHeight="1" outlineLevel="2">
      <c r="A140" s="121"/>
      <c r="B140" s="121"/>
      <c r="C140" s="135" t="s">
        <v>383</v>
      </c>
      <c r="D140" s="137" t="s">
        <v>384</v>
      </c>
      <c r="E140" s="127"/>
    </row>
    <row r="141" spans="1:5" ht="7" customHeight="1" outlineLevel="1"/>
    <row r="142" spans="1:5" ht="36.2" customHeight="1" outlineLevel="1">
      <c r="A142" s="116" t="s">
        <v>47</v>
      </c>
      <c r="B142" s="117">
        <v>5</v>
      </c>
      <c r="C142" s="118" t="s">
        <v>376</v>
      </c>
      <c r="D142" s="119" t="s">
        <v>455</v>
      </c>
      <c r="E142" s="120" t="s">
        <v>119</v>
      </c>
    </row>
    <row r="143" spans="1:5" ht="20.6" customHeight="1" outlineLevel="2">
      <c r="A143" s="121"/>
      <c r="B143" s="121"/>
      <c r="C143" s="122" t="s">
        <v>378</v>
      </c>
      <c r="D143" s="123" t="s">
        <v>386</v>
      </c>
      <c r="E143" s="124" t="s">
        <v>456</v>
      </c>
    </row>
    <row r="144" spans="1:5" ht="20.6" customHeight="1" outlineLevel="2">
      <c r="A144" s="121"/>
      <c r="B144" s="121"/>
      <c r="C144" s="122" t="s">
        <v>387</v>
      </c>
      <c r="D144" s="123" t="s">
        <v>388</v>
      </c>
      <c r="E144" s="124" t="s">
        <v>457</v>
      </c>
    </row>
    <row r="145" spans="1:5" ht="20.6" customHeight="1" outlineLevel="2">
      <c r="A145" s="121"/>
      <c r="B145" s="121"/>
      <c r="C145" s="125" t="s">
        <v>381</v>
      </c>
      <c r="D145" s="123" t="s">
        <v>382</v>
      </c>
      <c r="E145" s="124" t="s">
        <v>352</v>
      </c>
    </row>
    <row r="146" spans="1:5" ht="20.6" customHeight="1" outlineLevel="2">
      <c r="A146" s="121"/>
      <c r="B146" s="121"/>
      <c r="C146" s="126" t="s">
        <v>383</v>
      </c>
      <c r="D146" s="123" t="s">
        <v>384</v>
      </c>
      <c r="E146" s="127"/>
    </row>
    <row r="147" spans="1:5" ht="7" customHeight="1" outlineLevel="1"/>
    <row r="148" spans="1:5" ht="36.2" customHeight="1" outlineLevel="1">
      <c r="A148" s="116" t="s">
        <v>47</v>
      </c>
      <c r="B148" s="117">
        <v>6</v>
      </c>
      <c r="C148" s="118" t="s">
        <v>376</v>
      </c>
      <c r="D148" s="119" t="s">
        <v>458</v>
      </c>
      <c r="E148" s="120" t="s">
        <v>143</v>
      </c>
    </row>
    <row r="149" spans="1:5" ht="20.6" customHeight="1" outlineLevel="2">
      <c r="A149" s="121"/>
      <c r="B149" s="121"/>
      <c r="C149" s="122" t="s">
        <v>378</v>
      </c>
      <c r="D149" s="123" t="s">
        <v>388</v>
      </c>
      <c r="E149" s="124" t="s">
        <v>401</v>
      </c>
    </row>
    <row r="150" spans="1:5" ht="20.6" customHeight="1" outlineLevel="2">
      <c r="A150" s="121"/>
      <c r="B150" s="121"/>
      <c r="C150" s="125" t="s">
        <v>381</v>
      </c>
      <c r="D150" s="123" t="s">
        <v>382</v>
      </c>
      <c r="E150" s="124" t="s">
        <v>353</v>
      </c>
    </row>
    <row r="151" spans="1:5" ht="20.6" customHeight="1" outlineLevel="2">
      <c r="A151" s="121"/>
      <c r="B151" s="121"/>
      <c r="C151" s="126" t="s">
        <v>383</v>
      </c>
      <c r="D151" s="123" t="s">
        <v>384</v>
      </c>
      <c r="E151" s="127"/>
    </row>
    <row r="152" spans="1:5" ht="7" customHeight="1" outlineLevel="1"/>
    <row r="153" spans="1:5" ht="90.6" customHeight="1" outlineLevel="1">
      <c r="A153" s="116" t="s">
        <v>47</v>
      </c>
      <c r="B153" s="117">
        <v>7</v>
      </c>
      <c r="C153" s="118" t="s">
        <v>376</v>
      </c>
      <c r="D153" s="119" t="s">
        <v>459</v>
      </c>
      <c r="E153" s="120" t="s">
        <v>147</v>
      </c>
    </row>
    <row r="154" spans="1:5" ht="20.6" customHeight="1" outlineLevel="2">
      <c r="A154" s="121"/>
      <c r="B154" s="121"/>
      <c r="C154" s="122" t="s">
        <v>378</v>
      </c>
      <c r="D154" s="123" t="s">
        <v>403</v>
      </c>
      <c r="E154" s="124" t="s">
        <v>404</v>
      </c>
    </row>
    <row r="155" spans="1:5" ht="20.6" customHeight="1" outlineLevel="2">
      <c r="A155" s="121"/>
      <c r="B155" s="121"/>
      <c r="C155" s="122" t="s">
        <v>387</v>
      </c>
      <c r="D155" s="123" t="s">
        <v>388</v>
      </c>
      <c r="E155" s="124" t="s">
        <v>405</v>
      </c>
    </row>
    <row r="156" spans="1:5" ht="34.2" customHeight="1" outlineLevel="2">
      <c r="A156" s="121"/>
      <c r="B156" s="121"/>
      <c r="C156" s="128" t="s">
        <v>221</v>
      </c>
      <c r="D156" s="123" t="s">
        <v>403</v>
      </c>
      <c r="E156" s="124" t="s">
        <v>406</v>
      </c>
    </row>
    <row r="157" spans="1:5" ht="20.6" customHeight="1" outlineLevel="2">
      <c r="A157" s="121"/>
      <c r="B157" s="121"/>
      <c r="C157" s="125" t="s">
        <v>381</v>
      </c>
      <c r="D157" s="123" t="s">
        <v>382</v>
      </c>
      <c r="E157" s="124" t="s">
        <v>354</v>
      </c>
    </row>
    <row r="158" spans="1:5" ht="20.6" customHeight="1" outlineLevel="2">
      <c r="A158" s="121"/>
      <c r="B158" s="121"/>
      <c r="C158" s="126" t="s">
        <v>383</v>
      </c>
      <c r="D158" s="123" t="s">
        <v>407</v>
      </c>
      <c r="E158" s="124" t="s">
        <v>408</v>
      </c>
    </row>
    <row r="159" spans="1:5" ht="20.6" customHeight="1" outlineLevel="2">
      <c r="A159" s="121"/>
      <c r="B159" s="121"/>
      <c r="C159" s="126" t="s">
        <v>383</v>
      </c>
      <c r="D159" s="123" t="s">
        <v>384</v>
      </c>
      <c r="E159" s="127"/>
    </row>
    <row r="160" spans="1:5" ht="7" customHeight="1" outlineLevel="1"/>
    <row r="161" spans="1:5" ht="49.8" customHeight="1" outlineLevel="1">
      <c r="A161" s="116" t="s">
        <v>47</v>
      </c>
      <c r="B161" s="117">
        <v>8</v>
      </c>
      <c r="C161" s="118" t="s">
        <v>376</v>
      </c>
      <c r="D161" s="119" t="s">
        <v>460</v>
      </c>
      <c r="E161" s="120" t="s">
        <v>187</v>
      </c>
    </row>
    <row r="162" spans="1:5" ht="20.6" customHeight="1" outlineLevel="2">
      <c r="A162" s="121"/>
      <c r="B162" s="121"/>
      <c r="C162" s="122" t="s">
        <v>378</v>
      </c>
      <c r="D162" s="123" t="s">
        <v>386</v>
      </c>
      <c r="E162" s="124" t="s">
        <v>461</v>
      </c>
    </row>
    <row r="163" spans="1:5" ht="20.6" customHeight="1" outlineLevel="2">
      <c r="A163" s="121"/>
      <c r="B163" s="121"/>
      <c r="C163" s="125" t="s">
        <v>381</v>
      </c>
      <c r="D163" s="123" t="s">
        <v>382</v>
      </c>
      <c r="E163" s="124" t="s">
        <v>462</v>
      </c>
    </row>
    <row r="164" spans="1:5" ht="20.6" customHeight="1" outlineLevel="2">
      <c r="A164" s="121"/>
      <c r="B164" s="121"/>
      <c r="C164" s="126" t="s">
        <v>383</v>
      </c>
      <c r="D164" s="123" t="s">
        <v>412</v>
      </c>
      <c r="E164" s="124" t="s">
        <v>463</v>
      </c>
    </row>
    <row r="165" spans="1:5" ht="20.6" customHeight="1" outlineLevel="2">
      <c r="A165" s="121"/>
      <c r="B165" s="121"/>
      <c r="C165" s="126" t="s">
        <v>383</v>
      </c>
      <c r="D165" s="123" t="s">
        <v>384</v>
      </c>
      <c r="E165" s="127"/>
    </row>
    <row r="166" spans="1:5" ht="7" customHeight="1" outlineLevel="1"/>
    <row r="167" spans="1:5" ht="49.8" customHeight="1" outlineLevel="1">
      <c r="A167" s="116" t="s">
        <v>47</v>
      </c>
      <c r="B167" s="117">
        <v>9</v>
      </c>
      <c r="C167" s="118" t="s">
        <v>376</v>
      </c>
      <c r="D167" s="119" t="s">
        <v>409</v>
      </c>
      <c r="E167" s="120" t="s">
        <v>123</v>
      </c>
    </row>
    <row r="168" spans="1:5" ht="20.6" customHeight="1" outlineLevel="2">
      <c r="A168" s="121"/>
      <c r="B168" s="121"/>
      <c r="C168" s="122" t="s">
        <v>378</v>
      </c>
      <c r="D168" s="123" t="s">
        <v>388</v>
      </c>
      <c r="E168" s="124" t="s">
        <v>464</v>
      </c>
    </row>
    <row r="169" spans="1:5" ht="20.6" customHeight="1" outlineLevel="2">
      <c r="A169" s="121"/>
      <c r="B169" s="121"/>
      <c r="C169" s="125" t="s">
        <v>381</v>
      </c>
      <c r="D169" s="123" t="s">
        <v>382</v>
      </c>
      <c r="E169" s="124" t="s">
        <v>462</v>
      </c>
    </row>
    <row r="170" spans="1:5" ht="20.6" customHeight="1" outlineLevel="2">
      <c r="A170" s="121"/>
      <c r="B170" s="121"/>
      <c r="C170" s="126" t="s">
        <v>383</v>
      </c>
      <c r="D170" s="123" t="s">
        <v>412</v>
      </c>
      <c r="E170" s="124" t="s">
        <v>463</v>
      </c>
    </row>
    <row r="171" spans="1:5" ht="20.6" customHeight="1" outlineLevel="2">
      <c r="A171" s="121"/>
      <c r="B171" s="121"/>
      <c r="C171" s="126" t="s">
        <v>383</v>
      </c>
      <c r="D171" s="123" t="s">
        <v>384</v>
      </c>
      <c r="E171" s="127"/>
    </row>
    <row r="172" spans="1:5" ht="7" customHeight="1" outlineLevel="1"/>
    <row r="173" spans="1:5" ht="77" customHeight="1" outlineLevel="1">
      <c r="A173" s="116" t="s">
        <v>47</v>
      </c>
      <c r="B173" s="117">
        <v>10</v>
      </c>
      <c r="C173" s="118" t="s">
        <v>376</v>
      </c>
      <c r="D173" s="119" t="s">
        <v>414</v>
      </c>
      <c r="E173" s="120" t="s">
        <v>151</v>
      </c>
    </row>
    <row r="174" spans="1:5" ht="47.8" customHeight="1" outlineLevel="2">
      <c r="A174" s="121"/>
      <c r="B174" s="121"/>
      <c r="C174" s="122" t="s">
        <v>378</v>
      </c>
      <c r="D174" s="123" t="s">
        <v>386</v>
      </c>
      <c r="E174" s="124" t="s">
        <v>415</v>
      </c>
    </row>
    <row r="175" spans="1:5" ht="20.6" customHeight="1" outlineLevel="2">
      <c r="A175" s="121"/>
      <c r="B175" s="121"/>
      <c r="C175" s="122" t="s">
        <v>387</v>
      </c>
      <c r="D175" s="123" t="s">
        <v>416</v>
      </c>
      <c r="E175" s="124" t="s">
        <v>417</v>
      </c>
    </row>
    <row r="176" spans="1:5" ht="20.6" customHeight="1" outlineLevel="2">
      <c r="A176" s="121"/>
      <c r="B176" s="121"/>
      <c r="C176" s="125" t="s">
        <v>381</v>
      </c>
      <c r="D176" s="123" t="s">
        <v>382</v>
      </c>
      <c r="E176" s="124" t="s">
        <v>356</v>
      </c>
    </row>
    <row r="177" spans="1:5" ht="20.6" customHeight="1" outlineLevel="2">
      <c r="A177" s="121"/>
      <c r="B177" s="121"/>
      <c r="C177" s="126" t="s">
        <v>383</v>
      </c>
      <c r="D177" s="123" t="s">
        <v>418</v>
      </c>
      <c r="E177" s="124" t="s">
        <v>419</v>
      </c>
    </row>
    <row r="178" spans="1:5" ht="20.6" customHeight="1" outlineLevel="2">
      <c r="A178" s="121"/>
      <c r="B178" s="121"/>
      <c r="C178" s="126" t="s">
        <v>383</v>
      </c>
      <c r="D178" s="123" t="s">
        <v>384</v>
      </c>
      <c r="E178" s="127"/>
    </row>
    <row r="179" spans="1:5" ht="7" customHeight="1" outlineLevel="1"/>
    <row r="180" spans="1:5" ht="36.2" customHeight="1" outlineLevel="1">
      <c r="A180" s="116" t="s">
        <v>47</v>
      </c>
      <c r="B180" s="117">
        <v>11</v>
      </c>
      <c r="C180" s="118" t="s">
        <v>376</v>
      </c>
      <c r="D180" s="119" t="s">
        <v>465</v>
      </c>
      <c r="E180" s="120" t="s">
        <v>189</v>
      </c>
    </row>
    <row r="181" spans="1:5" ht="20.6" customHeight="1" outlineLevel="2">
      <c r="A181" s="121"/>
      <c r="B181" s="121"/>
      <c r="C181" s="122" t="s">
        <v>378</v>
      </c>
      <c r="D181" s="123" t="s">
        <v>453</v>
      </c>
      <c r="E181" s="124" t="s">
        <v>466</v>
      </c>
    </row>
    <row r="182" spans="1:5" ht="20.6" customHeight="1" outlineLevel="2">
      <c r="A182" s="121"/>
      <c r="B182" s="121"/>
      <c r="C182" s="122" t="s">
        <v>387</v>
      </c>
      <c r="D182" s="123" t="s">
        <v>388</v>
      </c>
      <c r="E182" s="124" t="s">
        <v>467</v>
      </c>
    </row>
    <row r="183" spans="1:5" ht="20.6" customHeight="1" outlineLevel="2">
      <c r="A183" s="121"/>
      <c r="B183" s="121"/>
      <c r="C183" s="125" t="s">
        <v>381</v>
      </c>
      <c r="D183" s="123" t="s">
        <v>382</v>
      </c>
      <c r="E183" s="124" t="s">
        <v>357</v>
      </c>
    </row>
    <row r="184" spans="1:5" ht="20.6" customHeight="1" outlineLevel="2">
      <c r="A184" s="121"/>
      <c r="B184" s="121"/>
      <c r="C184" s="126" t="s">
        <v>383</v>
      </c>
      <c r="D184" s="123" t="s">
        <v>384</v>
      </c>
      <c r="E184" s="127"/>
    </row>
    <row r="185" spans="1:5" ht="7" customHeight="1" outlineLevel="1"/>
    <row r="186" spans="1:5" ht="36.2" customHeight="1" outlineLevel="1">
      <c r="A186" s="116" t="s">
        <v>47</v>
      </c>
      <c r="B186" s="117">
        <v>12</v>
      </c>
      <c r="C186" s="118" t="s">
        <v>376</v>
      </c>
      <c r="D186" s="119" t="s">
        <v>468</v>
      </c>
      <c r="E186" s="120" t="s">
        <v>191</v>
      </c>
    </row>
    <row r="187" spans="1:5" ht="20.6" customHeight="1" outlineLevel="2">
      <c r="A187" s="121"/>
      <c r="B187" s="121"/>
      <c r="C187" s="122" t="s">
        <v>378</v>
      </c>
      <c r="D187" s="123" t="s">
        <v>453</v>
      </c>
      <c r="E187" s="124" t="s">
        <v>469</v>
      </c>
    </row>
    <row r="188" spans="1:5" ht="20.6" customHeight="1" outlineLevel="2">
      <c r="A188" s="121"/>
      <c r="B188" s="121"/>
      <c r="C188" s="122" t="s">
        <v>387</v>
      </c>
      <c r="D188" s="123" t="s">
        <v>388</v>
      </c>
      <c r="E188" s="124" t="s">
        <v>467</v>
      </c>
    </row>
    <row r="189" spans="1:5" ht="20.6" customHeight="1" outlineLevel="2">
      <c r="A189" s="121"/>
      <c r="B189" s="121"/>
      <c r="C189" s="125" t="s">
        <v>381</v>
      </c>
      <c r="D189" s="123" t="s">
        <v>382</v>
      </c>
      <c r="E189" s="124" t="s">
        <v>358</v>
      </c>
    </row>
    <row r="190" spans="1:5" ht="20.6" customHeight="1" outlineLevel="2">
      <c r="A190" s="121"/>
      <c r="B190" s="121"/>
      <c r="C190" s="126" t="s">
        <v>383</v>
      </c>
      <c r="D190" s="123" t="s">
        <v>384</v>
      </c>
      <c r="E190" s="127"/>
    </row>
    <row r="191" spans="1:5" ht="7" customHeight="1" outlineLevel="1"/>
    <row r="192" spans="1:5" ht="36.2" customHeight="1" outlineLevel="1">
      <c r="A192" s="116" t="s">
        <v>47</v>
      </c>
      <c r="B192" s="117">
        <v>13</v>
      </c>
      <c r="C192" s="118" t="s">
        <v>376</v>
      </c>
      <c r="D192" s="119" t="s">
        <v>470</v>
      </c>
      <c r="E192" s="120" t="s">
        <v>193</v>
      </c>
    </row>
    <row r="193" spans="1:5" ht="20.6" customHeight="1" outlineLevel="2">
      <c r="A193" s="121"/>
      <c r="B193" s="121"/>
      <c r="C193" s="122" t="s">
        <v>378</v>
      </c>
      <c r="D193" s="123" t="s">
        <v>453</v>
      </c>
      <c r="E193" s="124" t="s">
        <v>471</v>
      </c>
    </row>
    <row r="194" spans="1:5" ht="20.6" customHeight="1" outlineLevel="2">
      <c r="A194" s="121"/>
      <c r="B194" s="121"/>
      <c r="C194" s="125" t="s">
        <v>381</v>
      </c>
      <c r="D194" s="123" t="s">
        <v>382</v>
      </c>
      <c r="E194" s="124" t="s">
        <v>359</v>
      </c>
    </row>
    <row r="195" spans="1:5" ht="20.6" customHeight="1" outlineLevel="2">
      <c r="A195" s="121"/>
      <c r="B195" s="121"/>
      <c r="C195" s="126" t="s">
        <v>383</v>
      </c>
      <c r="D195" s="123" t="s">
        <v>384</v>
      </c>
      <c r="E195" s="127"/>
    </row>
    <row r="196" spans="1:5" ht="7" customHeight="1" outlineLevel="1"/>
    <row r="197" spans="1:5" ht="36.2" customHeight="1" outlineLevel="1">
      <c r="A197" s="116" t="s">
        <v>47</v>
      </c>
      <c r="B197" s="117">
        <v>14</v>
      </c>
      <c r="C197" s="118" t="s">
        <v>376</v>
      </c>
      <c r="D197" s="119" t="s">
        <v>472</v>
      </c>
      <c r="E197" s="120" t="s">
        <v>195</v>
      </c>
    </row>
    <row r="198" spans="1:5" ht="20.6" customHeight="1" outlineLevel="2">
      <c r="A198" s="121"/>
      <c r="B198" s="121"/>
      <c r="C198" s="122" t="s">
        <v>378</v>
      </c>
      <c r="D198" s="123" t="s">
        <v>453</v>
      </c>
      <c r="E198" s="124" t="s">
        <v>473</v>
      </c>
    </row>
    <row r="199" spans="1:5" ht="20.6" customHeight="1" outlineLevel="2">
      <c r="A199" s="121"/>
      <c r="B199" s="121"/>
      <c r="C199" s="122" t="s">
        <v>387</v>
      </c>
      <c r="D199" s="123" t="s">
        <v>388</v>
      </c>
      <c r="E199" s="124" t="s">
        <v>467</v>
      </c>
    </row>
    <row r="200" spans="1:5" ht="20.6" customHeight="1" outlineLevel="2">
      <c r="A200" s="121"/>
      <c r="B200" s="121"/>
      <c r="C200" s="125" t="s">
        <v>381</v>
      </c>
      <c r="D200" s="123" t="s">
        <v>382</v>
      </c>
      <c r="E200" s="124" t="s">
        <v>360</v>
      </c>
    </row>
    <row r="201" spans="1:5" ht="20.6" customHeight="1" outlineLevel="2">
      <c r="A201" s="121"/>
      <c r="B201" s="121"/>
      <c r="C201" s="126" t="s">
        <v>383</v>
      </c>
      <c r="D201" s="123" t="s">
        <v>384</v>
      </c>
      <c r="E201" s="127"/>
    </row>
    <row r="202" spans="1:5" ht="7" customHeight="1" outlineLevel="1"/>
    <row r="203" spans="1:5" ht="49.8" customHeight="1" outlineLevel="1">
      <c r="A203" s="116" t="s">
        <v>47</v>
      </c>
      <c r="B203" s="117">
        <v>15</v>
      </c>
      <c r="C203" s="118" t="s">
        <v>376</v>
      </c>
      <c r="D203" s="119" t="s">
        <v>474</v>
      </c>
      <c r="E203" s="120" t="s">
        <v>198</v>
      </c>
    </row>
    <row r="204" spans="1:5" ht="20.6" customHeight="1" outlineLevel="2">
      <c r="A204" s="121"/>
      <c r="B204" s="121"/>
      <c r="C204" s="122" t="s">
        <v>378</v>
      </c>
      <c r="D204" s="123" t="s">
        <v>386</v>
      </c>
      <c r="E204" s="124" t="s">
        <v>421</v>
      </c>
    </row>
    <row r="205" spans="1:5" ht="20.6" customHeight="1" outlineLevel="2">
      <c r="A205" s="121"/>
      <c r="B205" s="121"/>
      <c r="C205" s="125" t="s">
        <v>381</v>
      </c>
      <c r="D205" s="123" t="s">
        <v>382</v>
      </c>
      <c r="E205" s="124" t="s">
        <v>361</v>
      </c>
    </row>
    <row r="206" spans="1:5" ht="20.6" customHeight="1" outlineLevel="2">
      <c r="A206" s="121"/>
      <c r="B206" s="121"/>
      <c r="C206" s="126" t="s">
        <v>383</v>
      </c>
      <c r="D206" s="123" t="s">
        <v>407</v>
      </c>
      <c r="E206" s="124" t="s">
        <v>167</v>
      </c>
    </row>
    <row r="207" spans="1:5" ht="20.6" customHeight="1" outlineLevel="2">
      <c r="A207" s="121"/>
      <c r="B207" s="121"/>
      <c r="C207" s="126" t="s">
        <v>383</v>
      </c>
      <c r="D207" s="123" t="s">
        <v>384</v>
      </c>
      <c r="E207" s="127"/>
    </row>
    <row r="208" spans="1:5" ht="7" customHeight="1" outlineLevel="1"/>
    <row r="209" spans="1:5" ht="90.6" customHeight="1" outlineLevel="1">
      <c r="A209" s="116" t="s">
        <v>47</v>
      </c>
      <c r="B209" s="117">
        <v>16</v>
      </c>
      <c r="C209" s="118" t="s">
        <v>376</v>
      </c>
      <c r="D209" s="119" t="s">
        <v>475</v>
      </c>
      <c r="E209" s="120" t="s">
        <v>201</v>
      </c>
    </row>
    <row r="210" spans="1:5" ht="47.8" customHeight="1" outlineLevel="2">
      <c r="A210" s="121"/>
      <c r="B210" s="121"/>
      <c r="C210" s="122" t="s">
        <v>378</v>
      </c>
      <c r="D210" s="123" t="s">
        <v>386</v>
      </c>
      <c r="E210" s="124" t="s">
        <v>415</v>
      </c>
    </row>
    <row r="211" spans="1:5" ht="20.6" customHeight="1" outlineLevel="2">
      <c r="A211" s="121"/>
      <c r="B211" s="121"/>
      <c r="C211" s="122" t="s">
        <v>387</v>
      </c>
      <c r="D211" s="123" t="s">
        <v>388</v>
      </c>
      <c r="E211" s="124" t="s">
        <v>476</v>
      </c>
    </row>
    <row r="212" spans="1:5" ht="20.6" customHeight="1" outlineLevel="2">
      <c r="A212" s="121"/>
      <c r="B212" s="121"/>
      <c r="C212" s="125" t="s">
        <v>381</v>
      </c>
      <c r="D212" s="123" t="s">
        <v>382</v>
      </c>
      <c r="E212" s="124" t="s">
        <v>362</v>
      </c>
    </row>
    <row r="213" spans="1:5" ht="20.6" customHeight="1" outlineLevel="2">
      <c r="A213" s="121"/>
      <c r="B213" s="121"/>
      <c r="C213" s="126" t="s">
        <v>383</v>
      </c>
      <c r="D213" s="123" t="s">
        <v>407</v>
      </c>
      <c r="E213" s="124" t="s">
        <v>167</v>
      </c>
    </row>
    <row r="214" spans="1:5" ht="20.6" customHeight="1" outlineLevel="2">
      <c r="A214" s="121"/>
      <c r="B214" s="121"/>
      <c r="C214" s="126" t="s">
        <v>383</v>
      </c>
      <c r="D214" s="123" t="s">
        <v>384</v>
      </c>
      <c r="E214" s="127"/>
    </row>
    <row r="215" spans="1:5" ht="7" customHeight="1" outlineLevel="1"/>
    <row r="216" spans="1:5" ht="63.4" customHeight="1" outlineLevel="1">
      <c r="A216" s="116" t="s">
        <v>47</v>
      </c>
      <c r="B216" s="117">
        <v>17</v>
      </c>
      <c r="C216" s="118" t="s">
        <v>376</v>
      </c>
      <c r="D216" s="119" t="s">
        <v>477</v>
      </c>
      <c r="E216" s="120" t="s">
        <v>155</v>
      </c>
    </row>
    <row r="217" spans="1:5" ht="47.8" customHeight="1" outlineLevel="2">
      <c r="A217" s="121"/>
      <c r="B217" s="121"/>
      <c r="C217" s="122" t="s">
        <v>378</v>
      </c>
      <c r="D217" s="123" t="s">
        <v>386</v>
      </c>
      <c r="E217" s="124" t="s">
        <v>415</v>
      </c>
    </row>
    <row r="218" spans="1:5" ht="20.6" customHeight="1" outlineLevel="2">
      <c r="A218" s="121"/>
      <c r="B218" s="121"/>
      <c r="C218" s="125" t="s">
        <v>381</v>
      </c>
      <c r="D218" s="123" t="s">
        <v>382</v>
      </c>
      <c r="E218" s="124" t="s">
        <v>478</v>
      </c>
    </row>
    <row r="219" spans="1:5" ht="20.6" customHeight="1" outlineLevel="2">
      <c r="A219" s="121"/>
      <c r="B219" s="121"/>
      <c r="C219" s="126" t="s">
        <v>383</v>
      </c>
      <c r="D219" s="123" t="s">
        <v>412</v>
      </c>
      <c r="E219" s="124" t="s">
        <v>362</v>
      </c>
    </row>
    <row r="220" spans="1:5" ht="20.6" customHeight="1" outlineLevel="2">
      <c r="A220" s="121"/>
      <c r="B220" s="121"/>
      <c r="C220" s="126" t="s">
        <v>383</v>
      </c>
      <c r="D220" s="123" t="s">
        <v>384</v>
      </c>
      <c r="E220" s="127"/>
    </row>
    <row r="221" spans="1:5" ht="7" customHeight="1" outlineLevel="1"/>
    <row r="222" spans="1:5" ht="77" customHeight="1" outlineLevel="1">
      <c r="A222" s="116" t="s">
        <v>47</v>
      </c>
      <c r="B222" s="117">
        <v>18</v>
      </c>
      <c r="C222" s="118" t="s">
        <v>376</v>
      </c>
      <c r="D222" s="119" t="s">
        <v>479</v>
      </c>
      <c r="E222" s="120" t="s">
        <v>159</v>
      </c>
    </row>
    <row r="223" spans="1:5" ht="34.2" customHeight="1" outlineLevel="2">
      <c r="A223" s="121"/>
      <c r="B223" s="121"/>
      <c r="C223" s="122" t="s">
        <v>378</v>
      </c>
      <c r="D223" s="123" t="s">
        <v>386</v>
      </c>
      <c r="E223" s="124" t="s">
        <v>427</v>
      </c>
    </row>
    <row r="224" spans="1:5" ht="20.6" customHeight="1" outlineLevel="2">
      <c r="A224" s="121"/>
      <c r="B224" s="121"/>
      <c r="C224" s="125" t="s">
        <v>381</v>
      </c>
      <c r="D224" s="123" t="s">
        <v>382</v>
      </c>
      <c r="E224" s="124" t="s">
        <v>356</v>
      </c>
    </row>
    <row r="225" spans="1:5" ht="20.6" customHeight="1" outlineLevel="2">
      <c r="A225" s="121"/>
      <c r="B225" s="121"/>
      <c r="C225" s="126" t="s">
        <v>383</v>
      </c>
      <c r="D225" s="123" t="s">
        <v>412</v>
      </c>
      <c r="E225" s="124" t="s">
        <v>480</v>
      </c>
    </row>
    <row r="226" spans="1:5" ht="20.6" customHeight="1" outlineLevel="2">
      <c r="A226" s="121"/>
      <c r="B226" s="121"/>
      <c r="C226" s="126" t="s">
        <v>383</v>
      </c>
      <c r="D226" s="123" t="s">
        <v>384</v>
      </c>
      <c r="E226" s="127"/>
    </row>
    <row r="227" spans="1:5" ht="7" customHeight="1" outlineLevel="1"/>
    <row r="228" spans="1:5" ht="49.8" customHeight="1" outlineLevel="1">
      <c r="A228" s="116" t="s">
        <v>47</v>
      </c>
      <c r="B228" s="117">
        <v>19</v>
      </c>
      <c r="C228" s="118" t="s">
        <v>376</v>
      </c>
      <c r="D228" s="119" t="s">
        <v>481</v>
      </c>
      <c r="E228" s="120" t="s">
        <v>163</v>
      </c>
    </row>
    <row r="229" spans="1:5" ht="20.6" customHeight="1" outlineLevel="2">
      <c r="A229" s="121"/>
      <c r="B229" s="121"/>
      <c r="C229" s="122" t="s">
        <v>378</v>
      </c>
      <c r="D229" s="123" t="s">
        <v>388</v>
      </c>
      <c r="E229" s="124" t="s">
        <v>430</v>
      </c>
    </row>
    <row r="230" spans="1:5" ht="20.6" customHeight="1" outlineLevel="2">
      <c r="A230" s="121"/>
      <c r="B230" s="121"/>
      <c r="C230" s="125" t="s">
        <v>381</v>
      </c>
      <c r="D230" s="123" t="s">
        <v>382</v>
      </c>
      <c r="E230" s="124" t="s">
        <v>482</v>
      </c>
    </row>
    <row r="231" spans="1:5" ht="20.6" customHeight="1" outlineLevel="2">
      <c r="A231" s="121"/>
      <c r="B231" s="121"/>
      <c r="C231" s="126" t="s">
        <v>383</v>
      </c>
      <c r="D231" s="123" t="s">
        <v>412</v>
      </c>
      <c r="E231" s="124" t="s">
        <v>483</v>
      </c>
    </row>
    <row r="232" spans="1:5" ht="20.6" customHeight="1" outlineLevel="2">
      <c r="A232" s="121"/>
      <c r="B232" s="121"/>
      <c r="C232" s="126" t="s">
        <v>383</v>
      </c>
      <c r="D232" s="123" t="s">
        <v>384</v>
      </c>
      <c r="E232" s="127"/>
    </row>
    <row r="233" spans="1:5" ht="7" customHeight="1" outlineLevel="1"/>
    <row r="234" spans="1:5" ht="117.8" customHeight="1" outlineLevel="1">
      <c r="A234" s="116" t="s">
        <v>47</v>
      </c>
      <c r="B234" s="117">
        <v>20</v>
      </c>
      <c r="C234" s="118" t="s">
        <v>376</v>
      </c>
      <c r="D234" s="119" t="s">
        <v>484</v>
      </c>
      <c r="E234" s="120" t="s">
        <v>165</v>
      </c>
    </row>
    <row r="235" spans="1:5" ht="143" customHeight="1" outlineLevel="2">
      <c r="A235" s="121"/>
      <c r="B235" s="121"/>
      <c r="C235" s="122" t="s">
        <v>378</v>
      </c>
      <c r="D235" s="123" t="s">
        <v>386</v>
      </c>
      <c r="E235" s="124" t="s">
        <v>433</v>
      </c>
    </row>
    <row r="236" spans="1:5" ht="20.6" customHeight="1" outlineLevel="2">
      <c r="A236" s="121"/>
      <c r="B236" s="121"/>
      <c r="C236" s="122" t="s">
        <v>387</v>
      </c>
      <c r="D236" s="123" t="s">
        <v>388</v>
      </c>
      <c r="E236" s="124" t="s">
        <v>434</v>
      </c>
    </row>
    <row r="237" spans="1:5" ht="20.6" customHeight="1" outlineLevel="2">
      <c r="A237" s="121"/>
      <c r="B237" s="121"/>
      <c r="C237" s="128" t="s">
        <v>221</v>
      </c>
      <c r="D237" s="123" t="s">
        <v>386</v>
      </c>
      <c r="E237" s="124" t="s">
        <v>435</v>
      </c>
    </row>
    <row r="238" spans="1:5" ht="20.6" customHeight="1" outlineLevel="2">
      <c r="A238" s="121"/>
      <c r="B238" s="121"/>
      <c r="C238" s="125" t="s">
        <v>381</v>
      </c>
      <c r="D238" s="123" t="s">
        <v>382</v>
      </c>
      <c r="E238" s="124" t="s">
        <v>482</v>
      </c>
    </row>
    <row r="239" spans="1:5" ht="20.6" customHeight="1" outlineLevel="2">
      <c r="A239" s="121"/>
      <c r="B239" s="121"/>
      <c r="C239" s="126" t="s">
        <v>383</v>
      </c>
      <c r="D239" s="123" t="s">
        <v>412</v>
      </c>
      <c r="E239" s="124" t="s">
        <v>483</v>
      </c>
    </row>
    <row r="240" spans="1:5" ht="20.6" customHeight="1" outlineLevel="2">
      <c r="A240" s="121"/>
      <c r="B240" s="121"/>
      <c r="C240" s="126" t="s">
        <v>383</v>
      </c>
      <c r="D240" s="123" t="s">
        <v>384</v>
      </c>
      <c r="E240" s="127"/>
    </row>
    <row r="241" spans="1:5" ht="7" customHeight="1" outlineLevel="1"/>
    <row r="242" spans="1:5" ht="117.8" customHeight="1" outlineLevel="1">
      <c r="A242" s="116" t="s">
        <v>47</v>
      </c>
      <c r="B242" s="117">
        <v>21</v>
      </c>
      <c r="C242" s="118" t="s">
        <v>376</v>
      </c>
      <c r="D242" s="119" t="s">
        <v>485</v>
      </c>
      <c r="E242" s="120" t="s">
        <v>127</v>
      </c>
    </row>
    <row r="243" spans="1:5" ht="20.6" customHeight="1" outlineLevel="2">
      <c r="A243" s="121"/>
      <c r="B243" s="121"/>
      <c r="C243" s="122" t="s">
        <v>378</v>
      </c>
      <c r="D243" s="123" t="s">
        <v>388</v>
      </c>
      <c r="E243" s="124" t="s">
        <v>486</v>
      </c>
    </row>
    <row r="244" spans="1:5" ht="170.2" customHeight="1" outlineLevel="2">
      <c r="A244" s="121"/>
      <c r="B244" s="121"/>
      <c r="C244" s="128" t="s">
        <v>221</v>
      </c>
      <c r="D244" s="123" t="s">
        <v>386</v>
      </c>
      <c r="E244" s="124" t="s">
        <v>487</v>
      </c>
    </row>
    <row r="245" spans="1:5" ht="20.6" customHeight="1" outlineLevel="2">
      <c r="A245" s="121"/>
      <c r="B245" s="121"/>
      <c r="C245" s="128" t="s">
        <v>443</v>
      </c>
      <c r="D245" s="123" t="s">
        <v>388</v>
      </c>
      <c r="E245" s="124" t="s">
        <v>488</v>
      </c>
    </row>
    <row r="246" spans="1:5" ht="20.6" customHeight="1" outlineLevel="2">
      <c r="A246" s="121"/>
      <c r="B246" s="121"/>
      <c r="C246" s="125" t="s">
        <v>381</v>
      </c>
      <c r="D246" s="123" t="s">
        <v>382</v>
      </c>
      <c r="E246" s="124" t="s">
        <v>366</v>
      </c>
    </row>
    <row r="247" spans="1:5" ht="20.6" customHeight="1" outlineLevel="2">
      <c r="A247" s="121"/>
      <c r="B247" s="121"/>
      <c r="C247" s="126" t="s">
        <v>383</v>
      </c>
      <c r="D247" s="123" t="s">
        <v>407</v>
      </c>
      <c r="E247" s="124" t="s">
        <v>408</v>
      </c>
    </row>
    <row r="248" spans="1:5" ht="20.6" customHeight="1" outlineLevel="2">
      <c r="A248" s="121"/>
      <c r="B248" s="121"/>
      <c r="C248" s="126" t="s">
        <v>383</v>
      </c>
      <c r="D248" s="123" t="s">
        <v>384</v>
      </c>
      <c r="E248" s="127"/>
    </row>
    <row r="249" spans="1:5" ht="7" customHeight="1" outlineLevel="1"/>
    <row r="250" spans="1:5" ht="63.4" customHeight="1" outlineLevel="1">
      <c r="A250" s="116" t="s">
        <v>47</v>
      </c>
      <c r="B250" s="117">
        <v>22</v>
      </c>
      <c r="C250" s="118" t="s">
        <v>376</v>
      </c>
      <c r="D250" s="119" t="s">
        <v>489</v>
      </c>
      <c r="E250" s="120" t="s">
        <v>203</v>
      </c>
    </row>
    <row r="251" spans="1:5" ht="34.2" customHeight="1" outlineLevel="2">
      <c r="A251" s="121"/>
      <c r="B251" s="121"/>
      <c r="C251" s="122" t="s">
        <v>378</v>
      </c>
      <c r="D251" s="123" t="s">
        <v>388</v>
      </c>
      <c r="E251" s="124" t="s">
        <v>490</v>
      </c>
    </row>
    <row r="252" spans="1:5" ht="20.6" customHeight="1" outlineLevel="2">
      <c r="A252" s="121"/>
      <c r="B252" s="121"/>
      <c r="C252" s="125" t="s">
        <v>381</v>
      </c>
      <c r="D252" s="123" t="s">
        <v>382</v>
      </c>
      <c r="E252" s="124" t="s">
        <v>367</v>
      </c>
    </row>
    <row r="253" spans="1:5" ht="20.6" customHeight="1" outlineLevel="2">
      <c r="A253" s="121"/>
      <c r="B253" s="121"/>
      <c r="C253" s="126" t="s">
        <v>383</v>
      </c>
      <c r="D253" s="123" t="s">
        <v>407</v>
      </c>
      <c r="E253" s="124" t="s">
        <v>167</v>
      </c>
    </row>
    <row r="254" spans="1:5" ht="20.6" customHeight="1" outlineLevel="2">
      <c r="A254" s="121"/>
      <c r="B254" s="121"/>
      <c r="C254" s="126" t="s">
        <v>383</v>
      </c>
      <c r="D254" s="123" t="s">
        <v>384</v>
      </c>
      <c r="E254" s="127"/>
    </row>
    <row r="255" spans="1:5" ht="7" customHeight="1" outlineLevel="1"/>
    <row r="256" spans="1:5" ht="63.4" customHeight="1" outlineLevel="1">
      <c r="A256" s="116" t="s">
        <v>47</v>
      </c>
      <c r="B256" s="117">
        <v>23</v>
      </c>
      <c r="C256" s="118" t="s">
        <v>376</v>
      </c>
      <c r="D256" s="119" t="s">
        <v>491</v>
      </c>
      <c r="E256" s="120" t="s">
        <v>131</v>
      </c>
    </row>
    <row r="257" spans="1:5" ht="34.2" customHeight="1" outlineLevel="2">
      <c r="A257" s="121"/>
      <c r="B257" s="121"/>
      <c r="C257" s="122" t="s">
        <v>378</v>
      </c>
      <c r="D257" s="129" t="s">
        <v>439</v>
      </c>
      <c r="E257" s="124" t="s">
        <v>440</v>
      </c>
    </row>
    <row r="258" spans="1:5" ht="20.6" customHeight="1" outlineLevel="2">
      <c r="A258" s="121"/>
      <c r="B258" s="121"/>
      <c r="C258" s="128" t="s">
        <v>221</v>
      </c>
      <c r="D258" s="123" t="s">
        <v>386</v>
      </c>
      <c r="E258" s="124" t="s">
        <v>442</v>
      </c>
    </row>
    <row r="259" spans="1:5" ht="20.6" customHeight="1" outlineLevel="2">
      <c r="A259" s="121"/>
      <c r="B259" s="121"/>
      <c r="C259" s="128" t="s">
        <v>443</v>
      </c>
      <c r="D259" s="123" t="s">
        <v>388</v>
      </c>
      <c r="E259" s="124" t="s">
        <v>444</v>
      </c>
    </row>
    <row r="260" spans="1:5" ht="20.6" customHeight="1" outlineLevel="2">
      <c r="A260" s="121"/>
      <c r="B260" s="121"/>
      <c r="C260" s="125" t="s">
        <v>381</v>
      </c>
      <c r="D260" s="123" t="s">
        <v>382</v>
      </c>
      <c r="E260" s="124" t="s">
        <v>366</v>
      </c>
    </row>
    <row r="261" spans="1:5" ht="20.6" customHeight="1" outlineLevel="2">
      <c r="A261" s="121"/>
      <c r="B261" s="121"/>
      <c r="C261" s="126" t="s">
        <v>383</v>
      </c>
      <c r="D261" s="123" t="s">
        <v>407</v>
      </c>
      <c r="E261" s="124" t="s">
        <v>408</v>
      </c>
    </row>
    <row r="262" spans="1:5" ht="20.6" customHeight="1" outlineLevel="2">
      <c r="A262" s="121"/>
      <c r="B262" s="121"/>
      <c r="C262" s="126" t="s">
        <v>383</v>
      </c>
      <c r="D262" s="123" t="s">
        <v>384</v>
      </c>
      <c r="E262" s="127"/>
    </row>
    <row r="263" spans="1:5" ht="7" customHeight="1" outlineLevel="1"/>
    <row r="264" spans="1:5" ht="77" customHeight="1" outlineLevel="1">
      <c r="A264" s="130" t="s">
        <v>47</v>
      </c>
      <c r="B264" s="131">
        <v>24</v>
      </c>
      <c r="C264" s="132" t="s">
        <v>376</v>
      </c>
      <c r="D264" s="133" t="s">
        <v>492</v>
      </c>
      <c r="E264" s="134" t="s">
        <v>135</v>
      </c>
    </row>
    <row r="265" spans="1:5" ht="34.2" customHeight="1" outlineLevel="2">
      <c r="A265" s="121"/>
      <c r="B265" s="121"/>
      <c r="C265" s="135" t="s">
        <v>378</v>
      </c>
      <c r="D265" s="129" t="s">
        <v>439</v>
      </c>
      <c r="E265" s="136" t="s">
        <v>440</v>
      </c>
    </row>
    <row r="266" spans="1:5" ht="20.6" customHeight="1" outlineLevel="2">
      <c r="A266" s="121"/>
      <c r="B266" s="121"/>
      <c r="C266" s="135" t="s">
        <v>221</v>
      </c>
      <c r="D266" s="137" t="s">
        <v>386</v>
      </c>
      <c r="E266" s="136" t="s">
        <v>442</v>
      </c>
    </row>
    <row r="267" spans="1:5" ht="20.6" customHeight="1" outlineLevel="2">
      <c r="A267" s="121"/>
      <c r="B267" s="121"/>
      <c r="C267" s="135" t="s">
        <v>443</v>
      </c>
      <c r="D267" s="137" t="s">
        <v>388</v>
      </c>
      <c r="E267" s="136" t="s">
        <v>444</v>
      </c>
    </row>
    <row r="268" spans="1:5" ht="20.6" customHeight="1" outlineLevel="2">
      <c r="A268" s="121"/>
      <c r="B268" s="121"/>
      <c r="C268" s="135" t="s">
        <v>381</v>
      </c>
      <c r="D268" s="137" t="s">
        <v>382</v>
      </c>
      <c r="E268" s="136" t="s">
        <v>351</v>
      </c>
    </row>
    <row r="269" spans="1:5" ht="20.6" customHeight="1" outlineLevel="2">
      <c r="A269" s="121"/>
      <c r="B269" s="121"/>
      <c r="C269" s="135" t="s">
        <v>383</v>
      </c>
      <c r="D269" s="137" t="s">
        <v>407</v>
      </c>
      <c r="E269" s="136" t="s">
        <v>493</v>
      </c>
    </row>
    <row r="270" spans="1:5" ht="20.6" customHeight="1" outlineLevel="2">
      <c r="A270" s="121"/>
      <c r="B270" s="121"/>
      <c r="C270" s="135" t="s">
        <v>383</v>
      </c>
      <c r="D270" s="137" t="s">
        <v>384</v>
      </c>
      <c r="E270" s="127"/>
    </row>
    <row r="271" spans="1:5" ht="7" customHeight="1" outlineLevel="1"/>
    <row r="272" spans="1:5" ht="63.4" customHeight="1" outlineLevel="1">
      <c r="A272" s="130" t="s">
        <v>47</v>
      </c>
      <c r="B272" s="131">
        <v>25</v>
      </c>
      <c r="C272" s="132" t="s">
        <v>376</v>
      </c>
      <c r="D272" s="133" t="s">
        <v>494</v>
      </c>
      <c r="E272" s="134" t="s">
        <v>205</v>
      </c>
    </row>
    <row r="273" spans="1:5" ht="34.2" customHeight="1" outlineLevel="2">
      <c r="A273" s="121"/>
      <c r="B273" s="121"/>
      <c r="C273" s="135" t="s">
        <v>378</v>
      </c>
      <c r="D273" s="129" t="s">
        <v>439</v>
      </c>
      <c r="E273" s="136" t="s">
        <v>440</v>
      </c>
    </row>
    <row r="274" spans="1:5" ht="20.6" customHeight="1" outlineLevel="2">
      <c r="A274" s="121"/>
      <c r="B274" s="121"/>
      <c r="C274" s="135" t="s">
        <v>221</v>
      </c>
      <c r="D274" s="137" t="s">
        <v>386</v>
      </c>
      <c r="E274" s="136" t="s">
        <v>442</v>
      </c>
    </row>
    <row r="275" spans="1:5" ht="20.6" customHeight="1" outlineLevel="2">
      <c r="A275" s="121"/>
      <c r="B275" s="121"/>
      <c r="C275" s="135" t="s">
        <v>443</v>
      </c>
      <c r="D275" s="137" t="s">
        <v>388</v>
      </c>
      <c r="E275" s="136" t="s">
        <v>444</v>
      </c>
    </row>
    <row r="276" spans="1:5" ht="20.6" customHeight="1" outlineLevel="2">
      <c r="A276" s="121"/>
      <c r="B276" s="121"/>
      <c r="C276" s="135" t="s">
        <v>381</v>
      </c>
      <c r="D276" s="137" t="s">
        <v>382</v>
      </c>
      <c r="E276" s="136" t="s">
        <v>366</v>
      </c>
    </row>
    <row r="277" spans="1:5" ht="20.6" customHeight="1" outlineLevel="2">
      <c r="A277" s="121"/>
      <c r="B277" s="121"/>
      <c r="C277" s="135" t="s">
        <v>383</v>
      </c>
      <c r="D277" s="137" t="s">
        <v>418</v>
      </c>
      <c r="E277" s="136" t="s">
        <v>408</v>
      </c>
    </row>
    <row r="278" spans="1:5" ht="20.6" customHeight="1" outlineLevel="2">
      <c r="A278" s="121"/>
      <c r="B278" s="121"/>
      <c r="C278" s="135" t="s">
        <v>383</v>
      </c>
      <c r="D278" s="137" t="s">
        <v>384</v>
      </c>
      <c r="E278" s="127"/>
    </row>
  </sheetData>
  <mergeCells count="1">
    <mergeCell ref="B2:E2"/>
  </mergeCells>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7.xml><?xml version="1.0" encoding="utf-8"?>
<worksheet xmlns="http://schemas.openxmlformats.org/spreadsheetml/2006/main" xmlns:r="http://schemas.openxmlformats.org/officeDocument/2006/relationships">
  <sheetPr codeName="shElemente">
    <tabColor rgb="FF6B7685"/>
    <pageSetUpPr fitToPage="1"/>
  </sheetPr>
  <dimension ref="A1:G187"/>
  <sheetViews>
    <sheetView showGridLines="0" workbookViewId="0">
      <pane ySplit="1" topLeftCell="A2" activePane="bottomLeft" state="frozen"/>
      <selection pane="bottomLeft"/>
    </sheetView>
  </sheetViews>
  <sheetFormatPr defaultRowHeight="15"/>
  <cols>
    <col min="1" max="1" width="29.7109375" customWidth="1"/>
    <col min="2" max="2" width="9.7109375" customWidth="1"/>
    <col min="3" max="3" width="40.7109375" customWidth="1"/>
    <col min="4" max="4" width="8.7109375" customWidth="1"/>
    <col min="5" max="5" width="11.7109375" customWidth="1"/>
    <col min="6" max="6" width="34.7109375" customWidth="1"/>
    <col min="7" max="7" width="80.7109375" customWidth="1"/>
  </cols>
  <sheetData>
    <row r="1" spans="1:7" ht="30" customHeight="1">
      <c r="A1" s="12" t="s">
        <v>42</v>
      </c>
      <c r="B1" s="13" t="s">
        <v>319</v>
      </c>
      <c r="C1" s="12" t="s">
        <v>320</v>
      </c>
      <c r="D1" s="13" t="s">
        <v>102</v>
      </c>
      <c r="E1" s="13" t="s">
        <v>495</v>
      </c>
      <c r="F1" s="12" t="s">
        <v>373</v>
      </c>
      <c r="G1" s="12" t="s">
        <v>374</v>
      </c>
    </row>
    <row r="2" spans="1:7" ht="20.6" customHeight="1">
      <c r="A2" s="16" t="s">
        <v>47</v>
      </c>
      <c r="B2" s="104">
        <v>1</v>
      </c>
      <c r="C2" s="73" t="s">
        <v>137</v>
      </c>
      <c r="D2" s="107" t="s">
        <v>330</v>
      </c>
      <c r="E2" s="107" t="s">
        <v>103</v>
      </c>
      <c r="F2" s="73" t="s">
        <v>379</v>
      </c>
      <c r="G2" s="73" t="s">
        <v>380</v>
      </c>
    </row>
    <row r="3" spans="1:7" ht="20.6" customHeight="1">
      <c r="A3" s="16" t="s">
        <v>47</v>
      </c>
      <c r="B3" s="104">
        <v>1</v>
      </c>
      <c r="C3" s="73" t="s">
        <v>137</v>
      </c>
      <c r="D3" s="107" t="s">
        <v>330</v>
      </c>
      <c r="E3" s="107" t="s">
        <v>104</v>
      </c>
      <c r="F3" s="73" t="s">
        <v>382</v>
      </c>
      <c r="G3" s="73" t="s">
        <v>333</v>
      </c>
    </row>
    <row r="4" spans="1:7" ht="20.6" customHeight="1">
      <c r="A4" s="16" t="s">
        <v>47</v>
      </c>
      <c r="B4" s="104">
        <v>1</v>
      </c>
      <c r="C4" s="73" t="s">
        <v>137</v>
      </c>
      <c r="D4" s="107" t="s">
        <v>330</v>
      </c>
      <c r="E4" s="107" t="s">
        <v>104</v>
      </c>
      <c r="F4" s="73" t="s">
        <v>384</v>
      </c>
      <c r="G4" s="73"/>
    </row>
    <row r="5" spans="1:7" ht="20.6" customHeight="1">
      <c r="A5" s="138" t="s">
        <v>47</v>
      </c>
      <c r="B5" s="139">
        <v>2</v>
      </c>
      <c r="C5" s="140" t="s">
        <v>180</v>
      </c>
      <c r="D5" s="141" t="s">
        <v>330</v>
      </c>
      <c r="E5" s="141" t="s">
        <v>103</v>
      </c>
      <c r="F5" s="140" t="s">
        <v>386</v>
      </c>
      <c r="G5" s="140" t="s">
        <v>449</v>
      </c>
    </row>
    <row r="6" spans="1:7" ht="20.6" customHeight="1">
      <c r="A6" s="16" t="s">
        <v>47</v>
      </c>
      <c r="B6" s="104">
        <v>2</v>
      </c>
      <c r="C6" s="73" t="s">
        <v>180</v>
      </c>
      <c r="D6" s="107" t="s">
        <v>330</v>
      </c>
      <c r="E6" s="107" t="s">
        <v>103</v>
      </c>
      <c r="F6" s="73" t="s">
        <v>396</v>
      </c>
      <c r="G6" s="73" t="s">
        <v>450</v>
      </c>
    </row>
    <row r="7" spans="1:7" ht="20.6" customHeight="1">
      <c r="A7" s="16" t="s">
        <v>47</v>
      </c>
      <c r="B7" s="104">
        <v>2</v>
      </c>
      <c r="C7" s="73" t="s">
        <v>180</v>
      </c>
      <c r="D7" s="107" t="s">
        <v>330</v>
      </c>
      <c r="E7" s="107" t="s">
        <v>104</v>
      </c>
      <c r="F7" s="73" t="s">
        <v>382</v>
      </c>
      <c r="G7" s="73" t="s">
        <v>333</v>
      </c>
    </row>
    <row r="8" spans="1:7" ht="20.6" customHeight="1">
      <c r="A8" s="16" t="s">
        <v>47</v>
      </c>
      <c r="B8" s="104">
        <v>2</v>
      </c>
      <c r="C8" s="73" t="s">
        <v>180</v>
      </c>
      <c r="D8" s="107" t="s">
        <v>330</v>
      </c>
      <c r="E8" s="107" t="s">
        <v>104</v>
      </c>
      <c r="F8" s="73" t="s">
        <v>384</v>
      </c>
      <c r="G8" s="73"/>
    </row>
    <row r="9" spans="1:7" ht="47.8" customHeight="1">
      <c r="A9" s="138" t="s">
        <v>47</v>
      </c>
      <c r="B9" s="139">
        <v>3</v>
      </c>
      <c r="C9" s="140" t="s">
        <v>110</v>
      </c>
      <c r="D9" s="141" t="s">
        <v>349</v>
      </c>
      <c r="E9" s="141" t="s">
        <v>103</v>
      </c>
      <c r="F9" s="140" t="s">
        <v>396</v>
      </c>
      <c r="G9" s="140" t="s">
        <v>397</v>
      </c>
    </row>
    <row r="10" spans="1:7" ht="20.6" customHeight="1">
      <c r="A10" s="16" t="s">
        <v>47</v>
      </c>
      <c r="B10" s="104">
        <v>3</v>
      </c>
      <c r="C10" s="73" t="s">
        <v>110</v>
      </c>
      <c r="D10" s="107" t="s">
        <v>349</v>
      </c>
      <c r="E10" s="107" t="s">
        <v>104</v>
      </c>
      <c r="F10" s="73" t="s">
        <v>382</v>
      </c>
      <c r="G10" s="73"/>
    </row>
    <row r="11" spans="1:7" ht="20.6" customHeight="1">
      <c r="A11" s="16" t="s">
        <v>47</v>
      </c>
      <c r="B11" s="104">
        <v>3</v>
      </c>
      <c r="C11" s="73" t="s">
        <v>110</v>
      </c>
      <c r="D11" s="107" t="s">
        <v>349</v>
      </c>
      <c r="E11" s="107" t="s">
        <v>104</v>
      </c>
      <c r="F11" s="73" t="s">
        <v>384</v>
      </c>
      <c r="G11" s="73"/>
    </row>
    <row r="12" spans="1:7" ht="20.6" customHeight="1">
      <c r="A12" s="138" t="s">
        <v>47</v>
      </c>
      <c r="B12" s="139">
        <v>4</v>
      </c>
      <c r="C12" s="140" t="s">
        <v>183</v>
      </c>
      <c r="D12" s="141" t="s">
        <v>349</v>
      </c>
      <c r="E12" s="141" t="s">
        <v>103</v>
      </c>
      <c r="F12" s="140" t="s">
        <v>453</v>
      </c>
      <c r="G12" s="140" t="s">
        <v>454</v>
      </c>
    </row>
    <row r="13" spans="1:7" ht="20.6" customHeight="1">
      <c r="A13" s="16" t="s">
        <v>47</v>
      </c>
      <c r="B13" s="104">
        <v>4</v>
      </c>
      <c r="C13" s="73" t="s">
        <v>183</v>
      </c>
      <c r="D13" s="107" t="s">
        <v>349</v>
      </c>
      <c r="E13" s="107" t="s">
        <v>104</v>
      </c>
      <c r="F13" s="73" t="s">
        <v>382</v>
      </c>
      <c r="G13" s="73" t="s">
        <v>351</v>
      </c>
    </row>
    <row r="14" spans="1:7" ht="20.6" customHeight="1">
      <c r="A14" s="16" t="s">
        <v>47</v>
      </c>
      <c r="B14" s="104">
        <v>4</v>
      </c>
      <c r="C14" s="73" t="s">
        <v>183</v>
      </c>
      <c r="D14" s="107" t="s">
        <v>349</v>
      </c>
      <c r="E14" s="107" t="s">
        <v>104</v>
      </c>
      <c r="F14" s="73" t="s">
        <v>407</v>
      </c>
      <c r="G14" s="73" t="s">
        <v>445</v>
      </c>
    </row>
    <row r="15" spans="1:7" ht="20.6" customHeight="1">
      <c r="A15" s="16" t="s">
        <v>47</v>
      </c>
      <c r="B15" s="104">
        <v>4</v>
      </c>
      <c r="C15" s="73" t="s">
        <v>183</v>
      </c>
      <c r="D15" s="107" t="s">
        <v>349</v>
      </c>
      <c r="E15" s="107" t="s">
        <v>104</v>
      </c>
      <c r="F15" s="73" t="s">
        <v>384</v>
      </c>
      <c r="G15" s="73"/>
    </row>
    <row r="16" spans="1:7" ht="34.2" customHeight="1">
      <c r="A16" s="138" t="s">
        <v>47</v>
      </c>
      <c r="B16" s="139">
        <v>5</v>
      </c>
      <c r="C16" s="140" t="s">
        <v>116</v>
      </c>
      <c r="D16" s="141" t="s">
        <v>330</v>
      </c>
      <c r="E16" s="141" t="s">
        <v>103</v>
      </c>
      <c r="F16" s="140" t="s">
        <v>386</v>
      </c>
      <c r="G16" s="140" t="s">
        <v>456</v>
      </c>
    </row>
    <row r="17" spans="1:7" ht="34.2" customHeight="1">
      <c r="A17" s="16" t="s">
        <v>47</v>
      </c>
      <c r="B17" s="104">
        <v>5</v>
      </c>
      <c r="C17" s="73" t="s">
        <v>116</v>
      </c>
      <c r="D17" s="107" t="s">
        <v>330</v>
      </c>
      <c r="E17" s="107" t="s">
        <v>103</v>
      </c>
      <c r="F17" s="73" t="s">
        <v>388</v>
      </c>
      <c r="G17" s="73" t="s">
        <v>457</v>
      </c>
    </row>
    <row r="18" spans="1:7" ht="34.2" customHeight="1">
      <c r="A18" s="16" t="s">
        <v>47</v>
      </c>
      <c r="B18" s="104">
        <v>5</v>
      </c>
      <c r="C18" s="73" t="s">
        <v>116</v>
      </c>
      <c r="D18" s="107" t="s">
        <v>330</v>
      </c>
      <c r="E18" s="107" t="s">
        <v>104</v>
      </c>
      <c r="F18" s="73" t="s">
        <v>382</v>
      </c>
      <c r="G18" s="73" t="s">
        <v>352</v>
      </c>
    </row>
    <row r="19" spans="1:7" ht="34.2" customHeight="1">
      <c r="A19" s="16" t="s">
        <v>47</v>
      </c>
      <c r="B19" s="104">
        <v>5</v>
      </c>
      <c r="C19" s="73" t="s">
        <v>116</v>
      </c>
      <c r="D19" s="107" t="s">
        <v>330</v>
      </c>
      <c r="E19" s="107" t="s">
        <v>104</v>
      </c>
      <c r="F19" s="73" t="s">
        <v>384</v>
      </c>
      <c r="G19" s="73"/>
    </row>
    <row r="20" spans="1:7" ht="34.2" customHeight="1">
      <c r="A20" s="138" t="s">
        <v>47</v>
      </c>
      <c r="B20" s="139">
        <v>6</v>
      </c>
      <c r="C20" s="140" t="s">
        <v>140</v>
      </c>
      <c r="D20" s="141" t="s">
        <v>330</v>
      </c>
      <c r="E20" s="141" t="s">
        <v>103</v>
      </c>
      <c r="F20" s="140" t="s">
        <v>388</v>
      </c>
      <c r="G20" s="140" t="s">
        <v>401</v>
      </c>
    </row>
    <row r="21" spans="1:7" ht="34.2" customHeight="1">
      <c r="A21" s="16" t="s">
        <v>47</v>
      </c>
      <c r="B21" s="104">
        <v>6</v>
      </c>
      <c r="C21" s="73" t="s">
        <v>140</v>
      </c>
      <c r="D21" s="107" t="s">
        <v>330</v>
      </c>
      <c r="E21" s="107" t="s">
        <v>104</v>
      </c>
      <c r="F21" s="73" t="s">
        <v>382</v>
      </c>
      <c r="G21" s="73" t="s">
        <v>353</v>
      </c>
    </row>
    <row r="22" spans="1:7" ht="34.2" customHeight="1">
      <c r="A22" s="16" t="s">
        <v>47</v>
      </c>
      <c r="B22" s="104">
        <v>6</v>
      </c>
      <c r="C22" s="73" t="s">
        <v>140</v>
      </c>
      <c r="D22" s="107" t="s">
        <v>330</v>
      </c>
      <c r="E22" s="107" t="s">
        <v>104</v>
      </c>
      <c r="F22" s="73" t="s">
        <v>384</v>
      </c>
      <c r="G22" s="73"/>
    </row>
    <row r="23" spans="1:7" ht="34.2" customHeight="1">
      <c r="A23" s="138" t="s">
        <v>47</v>
      </c>
      <c r="B23" s="139">
        <v>7</v>
      </c>
      <c r="C23" s="140" t="s">
        <v>144</v>
      </c>
      <c r="D23" s="141" t="s">
        <v>330</v>
      </c>
      <c r="E23" s="141" t="s">
        <v>103</v>
      </c>
      <c r="F23" s="140" t="s">
        <v>403</v>
      </c>
      <c r="G23" s="140" t="s">
        <v>404</v>
      </c>
    </row>
    <row r="24" spans="1:7" ht="34.2" customHeight="1">
      <c r="A24" s="16" t="s">
        <v>47</v>
      </c>
      <c r="B24" s="104">
        <v>7</v>
      </c>
      <c r="C24" s="73" t="s">
        <v>144</v>
      </c>
      <c r="D24" s="107" t="s">
        <v>330</v>
      </c>
      <c r="E24" s="107" t="s">
        <v>103</v>
      </c>
      <c r="F24" s="73" t="s">
        <v>388</v>
      </c>
      <c r="G24" s="73" t="s">
        <v>405</v>
      </c>
    </row>
    <row r="25" spans="1:7" ht="47.8" customHeight="1">
      <c r="A25" s="16" t="s">
        <v>47</v>
      </c>
      <c r="B25" s="104">
        <v>7</v>
      </c>
      <c r="C25" s="73" t="s">
        <v>144</v>
      </c>
      <c r="D25" s="107" t="s">
        <v>330</v>
      </c>
      <c r="E25" s="107" t="s">
        <v>496</v>
      </c>
      <c r="F25" s="73" t="s">
        <v>403</v>
      </c>
      <c r="G25" s="73" t="s">
        <v>406</v>
      </c>
    </row>
    <row r="26" spans="1:7" ht="34.2" customHeight="1">
      <c r="A26" s="16" t="s">
        <v>47</v>
      </c>
      <c r="B26" s="104">
        <v>7</v>
      </c>
      <c r="C26" s="73" t="s">
        <v>144</v>
      </c>
      <c r="D26" s="107" t="s">
        <v>330</v>
      </c>
      <c r="E26" s="107" t="s">
        <v>104</v>
      </c>
      <c r="F26" s="73" t="s">
        <v>382</v>
      </c>
      <c r="G26" s="73" t="s">
        <v>354</v>
      </c>
    </row>
    <row r="27" spans="1:7" ht="34.2" customHeight="1">
      <c r="A27" s="16" t="s">
        <v>47</v>
      </c>
      <c r="B27" s="104">
        <v>7</v>
      </c>
      <c r="C27" s="73" t="s">
        <v>144</v>
      </c>
      <c r="D27" s="107" t="s">
        <v>330</v>
      </c>
      <c r="E27" s="107" t="s">
        <v>104</v>
      </c>
      <c r="F27" s="73" t="s">
        <v>407</v>
      </c>
      <c r="G27" s="73" t="s">
        <v>408</v>
      </c>
    </row>
    <row r="28" spans="1:7" ht="34.2" customHeight="1">
      <c r="A28" s="16" t="s">
        <v>47</v>
      </c>
      <c r="B28" s="104">
        <v>7</v>
      </c>
      <c r="C28" s="73" t="s">
        <v>144</v>
      </c>
      <c r="D28" s="107" t="s">
        <v>330</v>
      </c>
      <c r="E28" s="107" t="s">
        <v>104</v>
      </c>
      <c r="F28" s="73" t="s">
        <v>384</v>
      </c>
      <c r="G28" s="73"/>
    </row>
    <row r="29" spans="1:7" ht="20.6" customHeight="1">
      <c r="A29" s="138" t="s">
        <v>47</v>
      </c>
      <c r="B29" s="139">
        <v>8</v>
      </c>
      <c r="C29" s="140" t="s">
        <v>186</v>
      </c>
      <c r="D29" s="141" t="s">
        <v>330</v>
      </c>
      <c r="E29" s="141" t="s">
        <v>103</v>
      </c>
      <c r="F29" s="140" t="s">
        <v>386</v>
      </c>
      <c r="G29" s="140" t="s">
        <v>461</v>
      </c>
    </row>
    <row r="30" spans="1:7" ht="20.6" customHeight="1">
      <c r="A30" s="16" t="s">
        <v>47</v>
      </c>
      <c r="B30" s="104">
        <v>8</v>
      </c>
      <c r="C30" s="73" t="s">
        <v>186</v>
      </c>
      <c r="D30" s="107" t="s">
        <v>330</v>
      </c>
      <c r="E30" s="107" t="s">
        <v>104</v>
      </c>
      <c r="F30" s="73" t="s">
        <v>382</v>
      </c>
      <c r="G30" s="73" t="s">
        <v>462</v>
      </c>
    </row>
    <row r="31" spans="1:7" ht="34.2" customHeight="1">
      <c r="A31" s="16" t="s">
        <v>47</v>
      </c>
      <c r="B31" s="104">
        <v>8</v>
      </c>
      <c r="C31" s="73" t="s">
        <v>186</v>
      </c>
      <c r="D31" s="107" t="s">
        <v>330</v>
      </c>
      <c r="E31" s="107" t="s">
        <v>104</v>
      </c>
      <c r="F31" s="73" t="s">
        <v>412</v>
      </c>
      <c r="G31" s="73" t="s">
        <v>463</v>
      </c>
    </row>
    <row r="32" spans="1:7" ht="20.6" customHeight="1">
      <c r="A32" s="16" t="s">
        <v>47</v>
      </c>
      <c r="B32" s="104">
        <v>8</v>
      </c>
      <c r="C32" s="73" t="s">
        <v>186</v>
      </c>
      <c r="D32" s="107" t="s">
        <v>330</v>
      </c>
      <c r="E32" s="107" t="s">
        <v>104</v>
      </c>
      <c r="F32" s="73" t="s">
        <v>384</v>
      </c>
      <c r="G32" s="73"/>
    </row>
    <row r="33" spans="1:7" ht="20.6" customHeight="1">
      <c r="A33" s="138" t="s">
        <v>47</v>
      </c>
      <c r="B33" s="139">
        <v>9</v>
      </c>
      <c r="C33" s="140" t="s">
        <v>120</v>
      </c>
      <c r="D33" s="141" t="s">
        <v>330</v>
      </c>
      <c r="E33" s="141" t="s">
        <v>103</v>
      </c>
      <c r="F33" s="140" t="s">
        <v>388</v>
      </c>
      <c r="G33" s="140" t="s">
        <v>464</v>
      </c>
    </row>
    <row r="34" spans="1:7" ht="20.6" customHeight="1">
      <c r="A34" s="16" t="s">
        <v>47</v>
      </c>
      <c r="B34" s="104">
        <v>9</v>
      </c>
      <c r="C34" s="73" t="s">
        <v>120</v>
      </c>
      <c r="D34" s="107" t="s">
        <v>330</v>
      </c>
      <c r="E34" s="107" t="s">
        <v>104</v>
      </c>
      <c r="F34" s="73" t="s">
        <v>382</v>
      </c>
      <c r="G34" s="73" t="s">
        <v>462</v>
      </c>
    </row>
    <row r="35" spans="1:7" ht="34.2" customHeight="1">
      <c r="A35" s="16" t="s">
        <v>47</v>
      </c>
      <c r="B35" s="104">
        <v>9</v>
      </c>
      <c r="C35" s="73" t="s">
        <v>120</v>
      </c>
      <c r="D35" s="107" t="s">
        <v>330</v>
      </c>
      <c r="E35" s="107" t="s">
        <v>104</v>
      </c>
      <c r="F35" s="73" t="s">
        <v>412</v>
      </c>
      <c r="G35" s="73" t="s">
        <v>463</v>
      </c>
    </row>
    <row r="36" spans="1:7" ht="20.6" customHeight="1">
      <c r="A36" s="16" t="s">
        <v>47</v>
      </c>
      <c r="B36" s="104">
        <v>9</v>
      </c>
      <c r="C36" s="73" t="s">
        <v>120</v>
      </c>
      <c r="D36" s="107" t="s">
        <v>330</v>
      </c>
      <c r="E36" s="107" t="s">
        <v>104</v>
      </c>
      <c r="F36" s="73" t="s">
        <v>384</v>
      </c>
      <c r="G36" s="73"/>
    </row>
    <row r="37" spans="1:7" ht="47.8" customHeight="1">
      <c r="A37" s="138" t="s">
        <v>47</v>
      </c>
      <c r="B37" s="139">
        <v>10</v>
      </c>
      <c r="C37" s="140" t="s">
        <v>148</v>
      </c>
      <c r="D37" s="141" t="s">
        <v>330</v>
      </c>
      <c r="E37" s="141" t="s">
        <v>103</v>
      </c>
      <c r="F37" s="140" t="s">
        <v>386</v>
      </c>
      <c r="G37" s="140" t="s">
        <v>415</v>
      </c>
    </row>
    <row r="38" spans="1:7" ht="20.6" customHeight="1">
      <c r="A38" s="16" t="s">
        <v>47</v>
      </c>
      <c r="B38" s="104">
        <v>10</v>
      </c>
      <c r="C38" s="73" t="s">
        <v>148</v>
      </c>
      <c r="D38" s="107" t="s">
        <v>330</v>
      </c>
      <c r="E38" s="107" t="s">
        <v>103</v>
      </c>
      <c r="F38" s="73" t="s">
        <v>416</v>
      </c>
      <c r="G38" s="73" t="s">
        <v>417</v>
      </c>
    </row>
    <row r="39" spans="1:7" ht="20.6" customHeight="1">
      <c r="A39" s="16" t="s">
        <v>47</v>
      </c>
      <c r="B39" s="104">
        <v>10</v>
      </c>
      <c r="C39" s="73" t="s">
        <v>148</v>
      </c>
      <c r="D39" s="107" t="s">
        <v>330</v>
      </c>
      <c r="E39" s="107" t="s">
        <v>104</v>
      </c>
      <c r="F39" s="73" t="s">
        <v>382</v>
      </c>
      <c r="G39" s="73" t="s">
        <v>356</v>
      </c>
    </row>
    <row r="40" spans="1:7" ht="20.6" customHeight="1">
      <c r="A40" s="16" t="s">
        <v>47</v>
      </c>
      <c r="B40" s="104">
        <v>10</v>
      </c>
      <c r="C40" s="73" t="s">
        <v>148</v>
      </c>
      <c r="D40" s="107" t="s">
        <v>330</v>
      </c>
      <c r="E40" s="107" t="s">
        <v>104</v>
      </c>
      <c r="F40" s="73" t="s">
        <v>418</v>
      </c>
      <c r="G40" s="73" t="s">
        <v>419</v>
      </c>
    </row>
    <row r="41" spans="1:7" ht="20.6" customHeight="1">
      <c r="A41" s="16" t="s">
        <v>47</v>
      </c>
      <c r="B41" s="104">
        <v>10</v>
      </c>
      <c r="C41" s="73" t="s">
        <v>148</v>
      </c>
      <c r="D41" s="107" t="s">
        <v>330</v>
      </c>
      <c r="E41" s="107" t="s">
        <v>104</v>
      </c>
      <c r="F41" s="73" t="s">
        <v>384</v>
      </c>
      <c r="G41" s="73"/>
    </row>
    <row r="42" spans="1:7" ht="20.6" customHeight="1">
      <c r="A42" s="138" t="s">
        <v>47</v>
      </c>
      <c r="B42" s="139">
        <v>11</v>
      </c>
      <c r="C42" s="140" t="s">
        <v>188</v>
      </c>
      <c r="D42" s="141" t="s">
        <v>330</v>
      </c>
      <c r="E42" s="141" t="s">
        <v>103</v>
      </c>
      <c r="F42" s="140" t="s">
        <v>453</v>
      </c>
      <c r="G42" s="140" t="s">
        <v>466</v>
      </c>
    </row>
    <row r="43" spans="1:7" ht="20.6" customHeight="1">
      <c r="A43" s="16" t="s">
        <v>47</v>
      </c>
      <c r="B43" s="104">
        <v>11</v>
      </c>
      <c r="C43" s="73" t="s">
        <v>188</v>
      </c>
      <c r="D43" s="107" t="s">
        <v>330</v>
      </c>
      <c r="E43" s="107" t="s">
        <v>103</v>
      </c>
      <c r="F43" s="73" t="s">
        <v>388</v>
      </c>
      <c r="G43" s="73" t="s">
        <v>467</v>
      </c>
    </row>
    <row r="44" spans="1:7" ht="20.6" customHeight="1">
      <c r="A44" s="16" t="s">
        <v>47</v>
      </c>
      <c r="B44" s="104">
        <v>11</v>
      </c>
      <c r="C44" s="73" t="s">
        <v>188</v>
      </c>
      <c r="D44" s="107" t="s">
        <v>330</v>
      </c>
      <c r="E44" s="107" t="s">
        <v>104</v>
      </c>
      <c r="F44" s="73" t="s">
        <v>382</v>
      </c>
      <c r="G44" s="73" t="s">
        <v>357</v>
      </c>
    </row>
    <row r="45" spans="1:7" ht="20.6" customHeight="1">
      <c r="A45" s="16" t="s">
        <v>47</v>
      </c>
      <c r="B45" s="104">
        <v>11</v>
      </c>
      <c r="C45" s="73" t="s">
        <v>188</v>
      </c>
      <c r="D45" s="107" t="s">
        <v>330</v>
      </c>
      <c r="E45" s="107" t="s">
        <v>104</v>
      </c>
      <c r="F45" s="73" t="s">
        <v>384</v>
      </c>
      <c r="G45" s="73"/>
    </row>
    <row r="46" spans="1:7" ht="34.2" customHeight="1">
      <c r="A46" s="138" t="s">
        <v>47</v>
      </c>
      <c r="B46" s="139">
        <v>12</v>
      </c>
      <c r="C46" s="140" t="s">
        <v>190</v>
      </c>
      <c r="D46" s="141" t="s">
        <v>330</v>
      </c>
      <c r="E46" s="141" t="s">
        <v>103</v>
      </c>
      <c r="F46" s="140" t="s">
        <v>453</v>
      </c>
      <c r="G46" s="140" t="s">
        <v>469</v>
      </c>
    </row>
    <row r="47" spans="1:7" ht="34.2" customHeight="1">
      <c r="A47" s="16" t="s">
        <v>47</v>
      </c>
      <c r="B47" s="104">
        <v>12</v>
      </c>
      <c r="C47" s="73" t="s">
        <v>190</v>
      </c>
      <c r="D47" s="107" t="s">
        <v>330</v>
      </c>
      <c r="E47" s="107" t="s">
        <v>103</v>
      </c>
      <c r="F47" s="73" t="s">
        <v>388</v>
      </c>
      <c r="G47" s="73" t="s">
        <v>467</v>
      </c>
    </row>
    <row r="48" spans="1:7" ht="34.2" customHeight="1">
      <c r="A48" s="16" t="s">
        <v>47</v>
      </c>
      <c r="B48" s="104">
        <v>12</v>
      </c>
      <c r="C48" s="73" t="s">
        <v>190</v>
      </c>
      <c r="D48" s="107" t="s">
        <v>330</v>
      </c>
      <c r="E48" s="107" t="s">
        <v>104</v>
      </c>
      <c r="F48" s="73" t="s">
        <v>382</v>
      </c>
      <c r="G48" s="73" t="s">
        <v>358</v>
      </c>
    </row>
    <row r="49" spans="1:7" ht="34.2" customHeight="1">
      <c r="A49" s="16" t="s">
        <v>47</v>
      </c>
      <c r="B49" s="104">
        <v>12</v>
      </c>
      <c r="C49" s="73" t="s">
        <v>190</v>
      </c>
      <c r="D49" s="107" t="s">
        <v>330</v>
      </c>
      <c r="E49" s="107" t="s">
        <v>104</v>
      </c>
      <c r="F49" s="73" t="s">
        <v>384</v>
      </c>
      <c r="G49" s="73"/>
    </row>
    <row r="50" spans="1:7" ht="20.6" customHeight="1">
      <c r="A50" s="138" t="s">
        <v>47</v>
      </c>
      <c r="B50" s="139">
        <v>13</v>
      </c>
      <c r="C50" s="140" t="s">
        <v>192</v>
      </c>
      <c r="D50" s="141" t="s">
        <v>330</v>
      </c>
      <c r="E50" s="141" t="s">
        <v>103</v>
      </c>
      <c r="F50" s="140" t="s">
        <v>453</v>
      </c>
      <c r="G50" s="140" t="s">
        <v>471</v>
      </c>
    </row>
    <row r="51" spans="1:7" ht="20.6" customHeight="1">
      <c r="A51" s="16" t="s">
        <v>47</v>
      </c>
      <c r="B51" s="104">
        <v>13</v>
      </c>
      <c r="C51" s="73" t="s">
        <v>192</v>
      </c>
      <c r="D51" s="107" t="s">
        <v>330</v>
      </c>
      <c r="E51" s="107" t="s">
        <v>104</v>
      </c>
      <c r="F51" s="73" t="s">
        <v>382</v>
      </c>
      <c r="G51" s="73" t="s">
        <v>359</v>
      </c>
    </row>
    <row r="52" spans="1:7" ht="20.6" customHeight="1">
      <c r="A52" s="16" t="s">
        <v>47</v>
      </c>
      <c r="B52" s="104">
        <v>13</v>
      </c>
      <c r="C52" s="73" t="s">
        <v>192</v>
      </c>
      <c r="D52" s="107" t="s">
        <v>330</v>
      </c>
      <c r="E52" s="107" t="s">
        <v>104</v>
      </c>
      <c r="F52" s="73" t="s">
        <v>384</v>
      </c>
      <c r="G52" s="73"/>
    </row>
    <row r="53" spans="1:7" ht="34.2" customHeight="1">
      <c r="A53" s="138" t="s">
        <v>47</v>
      </c>
      <c r="B53" s="139">
        <v>14</v>
      </c>
      <c r="C53" s="140" t="s">
        <v>194</v>
      </c>
      <c r="D53" s="141" t="s">
        <v>330</v>
      </c>
      <c r="E53" s="141" t="s">
        <v>103</v>
      </c>
      <c r="F53" s="140" t="s">
        <v>453</v>
      </c>
      <c r="G53" s="140" t="s">
        <v>473</v>
      </c>
    </row>
    <row r="54" spans="1:7" ht="34.2" customHeight="1">
      <c r="A54" s="16" t="s">
        <v>47</v>
      </c>
      <c r="B54" s="104">
        <v>14</v>
      </c>
      <c r="C54" s="73" t="s">
        <v>194</v>
      </c>
      <c r="D54" s="107" t="s">
        <v>330</v>
      </c>
      <c r="E54" s="107" t="s">
        <v>103</v>
      </c>
      <c r="F54" s="73" t="s">
        <v>388</v>
      </c>
      <c r="G54" s="73" t="s">
        <v>467</v>
      </c>
    </row>
    <row r="55" spans="1:7" ht="34.2" customHeight="1">
      <c r="A55" s="16" t="s">
        <v>47</v>
      </c>
      <c r="B55" s="104">
        <v>14</v>
      </c>
      <c r="C55" s="73" t="s">
        <v>194</v>
      </c>
      <c r="D55" s="107" t="s">
        <v>330</v>
      </c>
      <c r="E55" s="107" t="s">
        <v>104</v>
      </c>
      <c r="F55" s="73" t="s">
        <v>382</v>
      </c>
      <c r="G55" s="73" t="s">
        <v>360</v>
      </c>
    </row>
    <row r="56" spans="1:7" ht="34.2" customHeight="1">
      <c r="A56" s="16" t="s">
        <v>47</v>
      </c>
      <c r="B56" s="104">
        <v>14</v>
      </c>
      <c r="C56" s="73" t="s">
        <v>194</v>
      </c>
      <c r="D56" s="107" t="s">
        <v>330</v>
      </c>
      <c r="E56" s="107" t="s">
        <v>104</v>
      </c>
      <c r="F56" s="73" t="s">
        <v>384</v>
      </c>
      <c r="G56" s="73"/>
    </row>
    <row r="57" spans="1:7" ht="47.8" customHeight="1">
      <c r="A57" s="138" t="s">
        <v>47</v>
      </c>
      <c r="B57" s="139">
        <v>15</v>
      </c>
      <c r="C57" s="140" t="s">
        <v>196</v>
      </c>
      <c r="D57" s="141" t="s">
        <v>330</v>
      </c>
      <c r="E57" s="141" t="s">
        <v>103</v>
      </c>
      <c r="F57" s="140" t="s">
        <v>386</v>
      </c>
      <c r="G57" s="140" t="s">
        <v>421</v>
      </c>
    </row>
    <row r="58" spans="1:7" ht="47.8" customHeight="1">
      <c r="A58" s="16" t="s">
        <v>47</v>
      </c>
      <c r="B58" s="104">
        <v>15</v>
      </c>
      <c r="C58" s="73" t="s">
        <v>196</v>
      </c>
      <c r="D58" s="107" t="s">
        <v>330</v>
      </c>
      <c r="E58" s="107" t="s">
        <v>104</v>
      </c>
      <c r="F58" s="73" t="s">
        <v>382</v>
      </c>
      <c r="G58" s="73" t="s">
        <v>361</v>
      </c>
    </row>
    <row r="59" spans="1:7" ht="47.8" customHeight="1">
      <c r="A59" s="16" t="s">
        <v>47</v>
      </c>
      <c r="B59" s="104">
        <v>15</v>
      </c>
      <c r="C59" s="73" t="s">
        <v>196</v>
      </c>
      <c r="D59" s="107" t="s">
        <v>330</v>
      </c>
      <c r="E59" s="107" t="s">
        <v>104</v>
      </c>
      <c r="F59" s="73" t="s">
        <v>407</v>
      </c>
      <c r="G59" s="73" t="s">
        <v>167</v>
      </c>
    </row>
    <row r="60" spans="1:7" ht="47.8" customHeight="1">
      <c r="A60" s="16" t="s">
        <v>47</v>
      </c>
      <c r="B60" s="104">
        <v>15</v>
      </c>
      <c r="C60" s="73" t="s">
        <v>196</v>
      </c>
      <c r="D60" s="107" t="s">
        <v>330</v>
      </c>
      <c r="E60" s="107" t="s">
        <v>104</v>
      </c>
      <c r="F60" s="73" t="s">
        <v>384</v>
      </c>
      <c r="G60" s="73"/>
    </row>
    <row r="61" spans="1:7" ht="47.8" customHeight="1">
      <c r="A61" s="138" t="s">
        <v>47</v>
      </c>
      <c r="B61" s="139">
        <v>16</v>
      </c>
      <c r="C61" s="140" t="s">
        <v>199</v>
      </c>
      <c r="D61" s="141" t="s">
        <v>330</v>
      </c>
      <c r="E61" s="141" t="s">
        <v>103</v>
      </c>
      <c r="F61" s="140" t="s">
        <v>386</v>
      </c>
      <c r="G61" s="140" t="s">
        <v>415</v>
      </c>
    </row>
    <row r="62" spans="1:7" ht="34.2" customHeight="1">
      <c r="A62" s="16" t="s">
        <v>47</v>
      </c>
      <c r="B62" s="104">
        <v>16</v>
      </c>
      <c r="C62" s="73" t="s">
        <v>199</v>
      </c>
      <c r="D62" s="107" t="s">
        <v>330</v>
      </c>
      <c r="E62" s="107" t="s">
        <v>103</v>
      </c>
      <c r="F62" s="73" t="s">
        <v>388</v>
      </c>
      <c r="G62" s="73" t="s">
        <v>476</v>
      </c>
    </row>
    <row r="63" spans="1:7" ht="34.2" customHeight="1">
      <c r="A63" s="16" t="s">
        <v>47</v>
      </c>
      <c r="B63" s="104">
        <v>16</v>
      </c>
      <c r="C63" s="73" t="s">
        <v>199</v>
      </c>
      <c r="D63" s="107" t="s">
        <v>330</v>
      </c>
      <c r="E63" s="107" t="s">
        <v>104</v>
      </c>
      <c r="F63" s="73" t="s">
        <v>382</v>
      </c>
      <c r="G63" s="73" t="s">
        <v>362</v>
      </c>
    </row>
    <row r="64" spans="1:7" ht="34.2" customHeight="1">
      <c r="A64" s="16" t="s">
        <v>47</v>
      </c>
      <c r="B64" s="104">
        <v>16</v>
      </c>
      <c r="C64" s="73" t="s">
        <v>199</v>
      </c>
      <c r="D64" s="107" t="s">
        <v>330</v>
      </c>
      <c r="E64" s="107" t="s">
        <v>104</v>
      </c>
      <c r="F64" s="73" t="s">
        <v>407</v>
      </c>
      <c r="G64" s="73" t="s">
        <v>167</v>
      </c>
    </row>
    <row r="65" spans="1:7" ht="34.2" customHeight="1">
      <c r="A65" s="16" t="s">
        <v>47</v>
      </c>
      <c r="B65" s="104">
        <v>16</v>
      </c>
      <c r="C65" s="73" t="s">
        <v>199</v>
      </c>
      <c r="D65" s="107" t="s">
        <v>330</v>
      </c>
      <c r="E65" s="107" t="s">
        <v>104</v>
      </c>
      <c r="F65" s="73" t="s">
        <v>384</v>
      </c>
      <c r="G65" s="73"/>
    </row>
    <row r="66" spans="1:7" ht="47.8" customHeight="1">
      <c r="A66" s="138" t="s">
        <v>47</v>
      </c>
      <c r="B66" s="139">
        <v>17</v>
      </c>
      <c r="C66" s="140" t="s">
        <v>152</v>
      </c>
      <c r="D66" s="141" t="s">
        <v>330</v>
      </c>
      <c r="E66" s="141" t="s">
        <v>103</v>
      </c>
      <c r="F66" s="140" t="s">
        <v>386</v>
      </c>
      <c r="G66" s="140" t="s">
        <v>415</v>
      </c>
    </row>
    <row r="67" spans="1:7" ht="34.2" customHeight="1">
      <c r="A67" s="16" t="s">
        <v>47</v>
      </c>
      <c r="B67" s="104">
        <v>17</v>
      </c>
      <c r="C67" s="73" t="s">
        <v>152</v>
      </c>
      <c r="D67" s="107" t="s">
        <v>330</v>
      </c>
      <c r="E67" s="107" t="s">
        <v>104</v>
      </c>
      <c r="F67" s="73" t="s">
        <v>382</v>
      </c>
      <c r="G67" s="73" t="s">
        <v>478</v>
      </c>
    </row>
    <row r="68" spans="1:7" ht="34.2" customHeight="1">
      <c r="A68" s="16" t="s">
        <v>47</v>
      </c>
      <c r="B68" s="104">
        <v>17</v>
      </c>
      <c r="C68" s="73" t="s">
        <v>152</v>
      </c>
      <c r="D68" s="107" t="s">
        <v>330</v>
      </c>
      <c r="E68" s="107" t="s">
        <v>104</v>
      </c>
      <c r="F68" s="73" t="s">
        <v>412</v>
      </c>
      <c r="G68" s="73" t="s">
        <v>362</v>
      </c>
    </row>
    <row r="69" spans="1:7" ht="34.2" customHeight="1">
      <c r="A69" s="16" t="s">
        <v>47</v>
      </c>
      <c r="B69" s="104">
        <v>17</v>
      </c>
      <c r="C69" s="73" t="s">
        <v>152</v>
      </c>
      <c r="D69" s="107" t="s">
        <v>330</v>
      </c>
      <c r="E69" s="107" t="s">
        <v>104</v>
      </c>
      <c r="F69" s="73" t="s">
        <v>384</v>
      </c>
      <c r="G69" s="73"/>
    </row>
    <row r="70" spans="1:7" ht="47.8" customHeight="1">
      <c r="A70" s="138" t="s">
        <v>47</v>
      </c>
      <c r="B70" s="139">
        <v>18</v>
      </c>
      <c r="C70" s="140" t="s">
        <v>156</v>
      </c>
      <c r="D70" s="141" t="s">
        <v>330</v>
      </c>
      <c r="E70" s="141" t="s">
        <v>103</v>
      </c>
      <c r="F70" s="140" t="s">
        <v>386</v>
      </c>
      <c r="G70" s="140" t="s">
        <v>427</v>
      </c>
    </row>
    <row r="71" spans="1:7" ht="34.2" customHeight="1">
      <c r="A71" s="16" t="s">
        <v>47</v>
      </c>
      <c r="B71" s="104">
        <v>18</v>
      </c>
      <c r="C71" s="73" t="s">
        <v>156</v>
      </c>
      <c r="D71" s="107" t="s">
        <v>330</v>
      </c>
      <c r="E71" s="107" t="s">
        <v>104</v>
      </c>
      <c r="F71" s="73" t="s">
        <v>382</v>
      </c>
      <c r="G71" s="73" t="s">
        <v>356</v>
      </c>
    </row>
    <row r="72" spans="1:7" ht="34.2" customHeight="1">
      <c r="A72" s="16" t="s">
        <v>47</v>
      </c>
      <c r="B72" s="104">
        <v>18</v>
      </c>
      <c r="C72" s="73" t="s">
        <v>156</v>
      </c>
      <c r="D72" s="107" t="s">
        <v>330</v>
      </c>
      <c r="E72" s="107" t="s">
        <v>104</v>
      </c>
      <c r="F72" s="73" t="s">
        <v>412</v>
      </c>
      <c r="G72" s="73" t="s">
        <v>480</v>
      </c>
    </row>
    <row r="73" spans="1:7" ht="34.2" customHeight="1">
      <c r="A73" s="16" t="s">
        <v>47</v>
      </c>
      <c r="B73" s="104">
        <v>18</v>
      </c>
      <c r="C73" s="73" t="s">
        <v>156</v>
      </c>
      <c r="D73" s="107" t="s">
        <v>330</v>
      </c>
      <c r="E73" s="107" t="s">
        <v>104</v>
      </c>
      <c r="F73" s="73" t="s">
        <v>384</v>
      </c>
      <c r="G73" s="73"/>
    </row>
    <row r="74" spans="1:7" ht="34.2" customHeight="1">
      <c r="A74" s="138" t="s">
        <v>47</v>
      </c>
      <c r="B74" s="139">
        <v>19</v>
      </c>
      <c r="C74" s="140" t="s">
        <v>160</v>
      </c>
      <c r="D74" s="141" t="s">
        <v>330</v>
      </c>
      <c r="E74" s="141" t="s">
        <v>103</v>
      </c>
      <c r="F74" s="140" t="s">
        <v>388</v>
      </c>
      <c r="G74" s="140" t="s">
        <v>430</v>
      </c>
    </row>
    <row r="75" spans="1:7" ht="20.6" customHeight="1">
      <c r="A75" s="16" t="s">
        <v>47</v>
      </c>
      <c r="B75" s="104">
        <v>19</v>
      </c>
      <c r="C75" s="73" t="s">
        <v>160</v>
      </c>
      <c r="D75" s="107" t="s">
        <v>330</v>
      </c>
      <c r="E75" s="107" t="s">
        <v>104</v>
      </c>
      <c r="F75" s="73" t="s">
        <v>382</v>
      </c>
      <c r="G75" s="73" t="s">
        <v>482</v>
      </c>
    </row>
    <row r="76" spans="1:7" ht="20.6" customHeight="1">
      <c r="A76" s="16" t="s">
        <v>47</v>
      </c>
      <c r="B76" s="104">
        <v>19</v>
      </c>
      <c r="C76" s="73" t="s">
        <v>160</v>
      </c>
      <c r="D76" s="107" t="s">
        <v>330</v>
      </c>
      <c r="E76" s="107" t="s">
        <v>104</v>
      </c>
      <c r="F76" s="73" t="s">
        <v>412</v>
      </c>
      <c r="G76" s="73" t="s">
        <v>483</v>
      </c>
    </row>
    <row r="77" spans="1:7" ht="20.6" customHeight="1">
      <c r="A77" s="16" t="s">
        <v>47</v>
      </c>
      <c r="B77" s="104">
        <v>19</v>
      </c>
      <c r="C77" s="73" t="s">
        <v>160</v>
      </c>
      <c r="D77" s="107" t="s">
        <v>330</v>
      </c>
      <c r="E77" s="107" t="s">
        <v>104</v>
      </c>
      <c r="F77" s="73" t="s">
        <v>384</v>
      </c>
      <c r="G77" s="73"/>
    </row>
    <row r="78" spans="1:7" ht="183.8" customHeight="1">
      <c r="A78" s="138" t="s">
        <v>47</v>
      </c>
      <c r="B78" s="139">
        <v>20</v>
      </c>
      <c r="C78" s="140" t="s">
        <v>164</v>
      </c>
      <c r="D78" s="141" t="s">
        <v>330</v>
      </c>
      <c r="E78" s="141" t="s">
        <v>103</v>
      </c>
      <c r="F78" s="140" t="s">
        <v>386</v>
      </c>
      <c r="G78" s="140" t="s">
        <v>433</v>
      </c>
    </row>
    <row r="79" spans="1:7" ht="34.2" customHeight="1">
      <c r="A79" s="16" t="s">
        <v>47</v>
      </c>
      <c r="B79" s="104">
        <v>20</v>
      </c>
      <c r="C79" s="73" t="s">
        <v>164</v>
      </c>
      <c r="D79" s="107" t="s">
        <v>330</v>
      </c>
      <c r="E79" s="107" t="s">
        <v>103</v>
      </c>
      <c r="F79" s="73" t="s">
        <v>388</v>
      </c>
      <c r="G79" s="73" t="s">
        <v>434</v>
      </c>
    </row>
    <row r="80" spans="1:7" ht="34.2" customHeight="1">
      <c r="A80" s="16" t="s">
        <v>47</v>
      </c>
      <c r="B80" s="104">
        <v>20</v>
      </c>
      <c r="C80" s="73" t="s">
        <v>164</v>
      </c>
      <c r="D80" s="107" t="s">
        <v>330</v>
      </c>
      <c r="E80" s="107" t="s">
        <v>496</v>
      </c>
      <c r="F80" s="73" t="s">
        <v>386</v>
      </c>
      <c r="G80" s="73" t="s">
        <v>435</v>
      </c>
    </row>
    <row r="81" spans="1:7" ht="34.2" customHeight="1">
      <c r="A81" s="16" t="s">
        <v>47</v>
      </c>
      <c r="B81" s="104">
        <v>20</v>
      </c>
      <c r="C81" s="73" t="s">
        <v>164</v>
      </c>
      <c r="D81" s="107" t="s">
        <v>330</v>
      </c>
      <c r="E81" s="107" t="s">
        <v>104</v>
      </c>
      <c r="F81" s="73" t="s">
        <v>382</v>
      </c>
      <c r="G81" s="73" t="s">
        <v>482</v>
      </c>
    </row>
    <row r="82" spans="1:7" ht="34.2" customHeight="1">
      <c r="A82" s="16" t="s">
        <v>47</v>
      </c>
      <c r="B82" s="104">
        <v>20</v>
      </c>
      <c r="C82" s="73" t="s">
        <v>164</v>
      </c>
      <c r="D82" s="107" t="s">
        <v>330</v>
      </c>
      <c r="E82" s="107" t="s">
        <v>104</v>
      </c>
      <c r="F82" s="73" t="s">
        <v>412</v>
      </c>
      <c r="G82" s="73" t="s">
        <v>483</v>
      </c>
    </row>
    <row r="83" spans="1:7" ht="34.2" customHeight="1">
      <c r="A83" s="16" t="s">
        <v>47</v>
      </c>
      <c r="B83" s="104">
        <v>20</v>
      </c>
      <c r="C83" s="73" t="s">
        <v>164</v>
      </c>
      <c r="D83" s="107" t="s">
        <v>330</v>
      </c>
      <c r="E83" s="107" t="s">
        <v>104</v>
      </c>
      <c r="F83" s="73" t="s">
        <v>384</v>
      </c>
      <c r="G83" s="73"/>
    </row>
    <row r="84" spans="1:7" ht="20.6" customHeight="1">
      <c r="A84" s="138" t="s">
        <v>47</v>
      </c>
      <c r="B84" s="139">
        <v>21</v>
      </c>
      <c r="C84" s="140" t="s">
        <v>124</v>
      </c>
      <c r="D84" s="141" t="s">
        <v>330</v>
      </c>
      <c r="E84" s="141" t="s">
        <v>103</v>
      </c>
      <c r="F84" s="140" t="s">
        <v>388</v>
      </c>
      <c r="G84" s="140" t="s">
        <v>486</v>
      </c>
    </row>
    <row r="85" spans="1:7" ht="211" customHeight="1">
      <c r="A85" s="16" t="s">
        <v>47</v>
      </c>
      <c r="B85" s="104">
        <v>21</v>
      </c>
      <c r="C85" s="73" t="s">
        <v>124</v>
      </c>
      <c r="D85" s="107" t="s">
        <v>330</v>
      </c>
      <c r="E85" s="107" t="s">
        <v>496</v>
      </c>
      <c r="F85" s="73" t="s">
        <v>386</v>
      </c>
      <c r="G85" s="73" t="s">
        <v>487</v>
      </c>
    </row>
    <row r="86" spans="1:7" ht="20.6" customHeight="1">
      <c r="A86" s="16" t="s">
        <v>47</v>
      </c>
      <c r="B86" s="104">
        <v>21</v>
      </c>
      <c r="C86" s="73" t="s">
        <v>124</v>
      </c>
      <c r="D86" s="107" t="s">
        <v>330</v>
      </c>
      <c r="E86" s="107" t="s">
        <v>496</v>
      </c>
      <c r="F86" s="73" t="s">
        <v>388</v>
      </c>
      <c r="G86" s="73" t="s">
        <v>488</v>
      </c>
    </row>
    <row r="87" spans="1:7" ht="20.6" customHeight="1">
      <c r="A87" s="16" t="s">
        <v>47</v>
      </c>
      <c r="B87" s="104">
        <v>21</v>
      </c>
      <c r="C87" s="73" t="s">
        <v>124</v>
      </c>
      <c r="D87" s="107" t="s">
        <v>330</v>
      </c>
      <c r="E87" s="107" t="s">
        <v>104</v>
      </c>
      <c r="F87" s="73" t="s">
        <v>382</v>
      </c>
      <c r="G87" s="73" t="s">
        <v>366</v>
      </c>
    </row>
    <row r="88" spans="1:7" ht="20.6" customHeight="1">
      <c r="A88" s="16" t="s">
        <v>47</v>
      </c>
      <c r="B88" s="104">
        <v>21</v>
      </c>
      <c r="C88" s="73" t="s">
        <v>124</v>
      </c>
      <c r="D88" s="107" t="s">
        <v>330</v>
      </c>
      <c r="E88" s="107" t="s">
        <v>104</v>
      </c>
      <c r="F88" s="73" t="s">
        <v>407</v>
      </c>
      <c r="G88" s="73" t="s">
        <v>408</v>
      </c>
    </row>
    <row r="89" spans="1:7" ht="20.6" customHeight="1">
      <c r="A89" s="16" t="s">
        <v>47</v>
      </c>
      <c r="B89" s="104">
        <v>21</v>
      </c>
      <c r="C89" s="73" t="s">
        <v>124</v>
      </c>
      <c r="D89" s="107" t="s">
        <v>330</v>
      </c>
      <c r="E89" s="107" t="s">
        <v>104</v>
      </c>
      <c r="F89" s="73" t="s">
        <v>384</v>
      </c>
      <c r="G89" s="73"/>
    </row>
    <row r="90" spans="1:7" ht="34.2" customHeight="1">
      <c r="A90" s="138" t="s">
        <v>47</v>
      </c>
      <c r="B90" s="139">
        <v>22</v>
      </c>
      <c r="C90" s="140" t="s">
        <v>202</v>
      </c>
      <c r="D90" s="141" t="s">
        <v>330</v>
      </c>
      <c r="E90" s="141" t="s">
        <v>103</v>
      </c>
      <c r="F90" s="140" t="s">
        <v>388</v>
      </c>
      <c r="G90" s="140" t="s">
        <v>490</v>
      </c>
    </row>
    <row r="91" spans="1:7" ht="34.2" customHeight="1">
      <c r="A91" s="16" t="s">
        <v>47</v>
      </c>
      <c r="B91" s="104">
        <v>22</v>
      </c>
      <c r="C91" s="73" t="s">
        <v>202</v>
      </c>
      <c r="D91" s="107" t="s">
        <v>330</v>
      </c>
      <c r="E91" s="107" t="s">
        <v>104</v>
      </c>
      <c r="F91" s="73" t="s">
        <v>382</v>
      </c>
      <c r="G91" s="73" t="s">
        <v>367</v>
      </c>
    </row>
    <row r="92" spans="1:7" ht="20.6" customHeight="1">
      <c r="A92" s="16" t="s">
        <v>47</v>
      </c>
      <c r="B92" s="104">
        <v>22</v>
      </c>
      <c r="C92" s="73" t="s">
        <v>202</v>
      </c>
      <c r="D92" s="107" t="s">
        <v>330</v>
      </c>
      <c r="E92" s="107" t="s">
        <v>104</v>
      </c>
      <c r="F92" s="73" t="s">
        <v>407</v>
      </c>
      <c r="G92" s="73" t="s">
        <v>167</v>
      </c>
    </row>
    <row r="93" spans="1:7" ht="20.6" customHeight="1">
      <c r="A93" s="16" t="s">
        <v>47</v>
      </c>
      <c r="B93" s="104">
        <v>22</v>
      </c>
      <c r="C93" s="73" t="s">
        <v>202</v>
      </c>
      <c r="D93" s="107" t="s">
        <v>330</v>
      </c>
      <c r="E93" s="107" t="s">
        <v>104</v>
      </c>
      <c r="F93" s="73" t="s">
        <v>384</v>
      </c>
      <c r="G93" s="73"/>
    </row>
    <row r="94" spans="1:7" ht="34.2" customHeight="1">
      <c r="A94" s="138" t="s">
        <v>47</v>
      </c>
      <c r="B94" s="139">
        <v>23</v>
      </c>
      <c r="C94" s="140" t="s">
        <v>128</v>
      </c>
      <c r="D94" s="141" t="s">
        <v>330</v>
      </c>
      <c r="E94" s="141" t="s">
        <v>103</v>
      </c>
      <c r="F94" s="140" t="s">
        <v>439</v>
      </c>
      <c r="G94" s="140" t="s">
        <v>497</v>
      </c>
    </row>
    <row r="95" spans="1:7" ht="20.6" customHeight="1">
      <c r="A95" s="16" t="s">
        <v>47</v>
      </c>
      <c r="B95" s="104">
        <v>23</v>
      </c>
      <c r="C95" s="73" t="s">
        <v>128</v>
      </c>
      <c r="D95" s="107" t="s">
        <v>330</v>
      </c>
      <c r="E95" s="107" t="s">
        <v>496</v>
      </c>
      <c r="F95" s="73" t="s">
        <v>386</v>
      </c>
      <c r="G95" s="73" t="s">
        <v>442</v>
      </c>
    </row>
    <row r="96" spans="1:7" ht="34.2" customHeight="1">
      <c r="A96" s="16" t="s">
        <v>47</v>
      </c>
      <c r="B96" s="104">
        <v>23</v>
      </c>
      <c r="C96" s="73" t="s">
        <v>128</v>
      </c>
      <c r="D96" s="107" t="s">
        <v>330</v>
      </c>
      <c r="E96" s="107" t="s">
        <v>496</v>
      </c>
      <c r="F96" s="73" t="s">
        <v>388</v>
      </c>
      <c r="G96" s="73" t="s">
        <v>444</v>
      </c>
    </row>
    <row r="97" spans="1:7" ht="20.6" customHeight="1">
      <c r="A97" s="16" t="s">
        <v>47</v>
      </c>
      <c r="B97" s="104">
        <v>23</v>
      </c>
      <c r="C97" s="73" t="s">
        <v>128</v>
      </c>
      <c r="D97" s="107" t="s">
        <v>330</v>
      </c>
      <c r="E97" s="107" t="s">
        <v>104</v>
      </c>
      <c r="F97" s="73" t="s">
        <v>382</v>
      </c>
      <c r="G97" s="73" t="s">
        <v>366</v>
      </c>
    </row>
    <row r="98" spans="1:7" ht="20.6" customHeight="1">
      <c r="A98" s="16" t="s">
        <v>47</v>
      </c>
      <c r="B98" s="104">
        <v>23</v>
      </c>
      <c r="C98" s="73" t="s">
        <v>128</v>
      </c>
      <c r="D98" s="107" t="s">
        <v>330</v>
      </c>
      <c r="E98" s="107" t="s">
        <v>104</v>
      </c>
      <c r="F98" s="73" t="s">
        <v>407</v>
      </c>
      <c r="G98" s="73" t="s">
        <v>408</v>
      </c>
    </row>
    <row r="99" spans="1:7" ht="20.6" customHeight="1">
      <c r="A99" s="16" t="s">
        <v>47</v>
      </c>
      <c r="B99" s="104">
        <v>23</v>
      </c>
      <c r="C99" s="73" t="s">
        <v>128</v>
      </c>
      <c r="D99" s="107" t="s">
        <v>330</v>
      </c>
      <c r="E99" s="107" t="s">
        <v>104</v>
      </c>
      <c r="F99" s="73" t="s">
        <v>384</v>
      </c>
      <c r="G99" s="73"/>
    </row>
    <row r="100" spans="1:7" ht="34.2" customHeight="1">
      <c r="A100" s="138" t="s">
        <v>47</v>
      </c>
      <c r="B100" s="139">
        <v>24</v>
      </c>
      <c r="C100" s="140" t="s">
        <v>132</v>
      </c>
      <c r="D100" s="141" t="s">
        <v>349</v>
      </c>
      <c r="E100" s="141" t="s">
        <v>103</v>
      </c>
      <c r="F100" s="140" t="s">
        <v>439</v>
      </c>
      <c r="G100" s="140" t="s">
        <v>497</v>
      </c>
    </row>
    <row r="101" spans="1:7" ht="20.6" customHeight="1">
      <c r="A101" s="16" t="s">
        <v>47</v>
      </c>
      <c r="B101" s="104">
        <v>24</v>
      </c>
      <c r="C101" s="73" t="s">
        <v>132</v>
      </c>
      <c r="D101" s="107" t="s">
        <v>349</v>
      </c>
      <c r="E101" s="107" t="s">
        <v>496</v>
      </c>
      <c r="F101" s="73" t="s">
        <v>386</v>
      </c>
      <c r="G101" s="73" t="s">
        <v>442</v>
      </c>
    </row>
    <row r="102" spans="1:7" ht="34.2" customHeight="1">
      <c r="A102" s="16" t="s">
        <v>47</v>
      </c>
      <c r="B102" s="104">
        <v>24</v>
      </c>
      <c r="C102" s="73" t="s">
        <v>132</v>
      </c>
      <c r="D102" s="107" t="s">
        <v>349</v>
      </c>
      <c r="E102" s="107" t="s">
        <v>496</v>
      </c>
      <c r="F102" s="73" t="s">
        <v>388</v>
      </c>
      <c r="G102" s="73" t="s">
        <v>444</v>
      </c>
    </row>
    <row r="103" spans="1:7" ht="20.6" customHeight="1">
      <c r="A103" s="16" t="s">
        <v>47</v>
      </c>
      <c r="B103" s="104">
        <v>24</v>
      </c>
      <c r="C103" s="73" t="s">
        <v>132</v>
      </c>
      <c r="D103" s="107" t="s">
        <v>349</v>
      </c>
      <c r="E103" s="107" t="s">
        <v>104</v>
      </c>
      <c r="F103" s="73" t="s">
        <v>382</v>
      </c>
      <c r="G103" s="73" t="s">
        <v>351</v>
      </c>
    </row>
    <row r="104" spans="1:7" ht="20.6" customHeight="1">
      <c r="A104" s="16" t="s">
        <v>47</v>
      </c>
      <c r="B104" s="104">
        <v>24</v>
      </c>
      <c r="C104" s="73" t="s">
        <v>132</v>
      </c>
      <c r="D104" s="107" t="s">
        <v>349</v>
      </c>
      <c r="E104" s="107" t="s">
        <v>104</v>
      </c>
      <c r="F104" s="73" t="s">
        <v>407</v>
      </c>
      <c r="G104" s="73" t="s">
        <v>493</v>
      </c>
    </row>
    <row r="105" spans="1:7" ht="20.6" customHeight="1">
      <c r="A105" s="16" t="s">
        <v>47</v>
      </c>
      <c r="B105" s="104">
        <v>24</v>
      </c>
      <c r="C105" s="73" t="s">
        <v>132</v>
      </c>
      <c r="D105" s="107" t="s">
        <v>349</v>
      </c>
      <c r="E105" s="107" t="s">
        <v>104</v>
      </c>
      <c r="F105" s="73" t="s">
        <v>384</v>
      </c>
      <c r="G105" s="73"/>
    </row>
    <row r="106" spans="1:7" ht="34.2" customHeight="1">
      <c r="A106" s="138" t="s">
        <v>47</v>
      </c>
      <c r="B106" s="139">
        <v>25</v>
      </c>
      <c r="C106" s="140" t="s">
        <v>204</v>
      </c>
      <c r="D106" s="141" t="s">
        <v>349</v>
      </c>
      <c r="E106" s="141" t="s">
        <v>103</v>
      </c>
      <c r="F106" s="140" t="s">
        <v>439</v>
      </c>
      <c r="G106" s="140" t="s">
        <v>497</v>
      </c>
    </row>
    <row r="107" spans="1:7" ht="34.2" customHeight="1">
      <c r="A107" s="16" t="s">
        <v>47</v>
      </c>
      <c r="B107" s="104">
        <v>25</v>
      </c>
      <c r="C107" s="73" t="s">
        <v>204</v>
      </c>
      <c r="D107" s="107" t="s">
        <v>349</v>
      </c>
      <c r="E107" s="107" t="s">
        <v>496</v>
      </c>
      <c r="F107" s="73" t="s">
        <v>386</v>
      </c>
      <c r="G107" s="73" t="s">
        <v>442</v>
      </c>
    </row>
    <row r="108" spans="1:7" ht="34.2" customHeight="1">
      <c r="A108" s="16" t="s">
        <v>47</v>
      </c>
      <c r="B108" s="104">
        <v>25</v>
      </c>
      <c r="C108" s="73" t="s">
        <v>204</v>
      </c>
      <c r="D108" s="107" t="s">
        <v>349</v>
      </c>
      <c r="E108" s="107" t="s">
        <v>496</v>
      </c>
      <c r="F108" s="73" t="s">
        <v>388</v>
      </c>
      <c r="G108" s="73" t="s">
        <v>444</v>
      </c>
    </row>
    <row r="109" spans="1:7" ht="34.2" customHeight="1">
      <c r="A109" s="16" t="s">
        <v>47</v>
      </c>
      <c r="B109" s="104">
        <v>25</v>
      </c>
      <c r="C109" s="73" t="s">
        <v>204</v>
      </c>
      <c r="D109" s="107" t="s">
        <v>349</v>
      </c>
      <c r="E109" s="107" t="s">
        <v>104</v>
      </c>
      <c r="F109" s="73" t="s">
        <v>382</v>
      </c>
      <c r="G109" s="73" t="s">
        <v>366</v>
      </c>
    </row>
    <row r="110" spans="1:7" ht="34.2" customHeight="1">
      <c r="A110" s="16" t="s">
        <v>47</v>
      </c>
      <c r="B110" s="104">
        <v>25</v>
      </c>
      <c r="C110" s="73" t="s">
        <v>204</v>
      </c>
      <c r="D110" s="107" t="s">
        <v>349</v>
      </c>
      <c r="E110" s="107" t="s">
        <v>104</v>
      </c>
      <c r="F110" s="73" t="s">
        <v>418</v>
      </c>
      <c r="G110" s="73" t="s">
        <v>408</v>
      </c>
    </row>
    <row r="111" spans="1:7" ht="34.2" customHeight="1">
      <c r="A111" s="16" t="s">
        <v>47</v>
      </c>
      <c r="B111" s="104">
        <v>25</v>
      </c>
      <c r="C111" s="73" t="s">
        <v>204</v>
      </c>
      <c r="D111" s="107" t="s">
        <v>349</v>
      </c>
      <c r="E111" s="107" t="s">
        <v>104</v>
      </c>
      <c r="F111" s="73" t="s">
        <v>384</v>
      </c>
      <c r="G111" s="73"/>
    </row>
    <row r="112" spans="1:7" ht="34.2" customHeight="1">
      <c r="A112" s="109" t="s">
        <v>46</v>
      </c>
      <c r="B112" s="108">
        <v>1</v>
      </c>
      <c r="C112" s="112" t="s">
        <v>329</v>
      </c>
      <c r="D112" s="111" t="s">
        <v>330</v>
      </c>
      <c r="E112" s="111" t="s">
        <v>103</v>
      </c>
      <c r="F112" s="112" t="s">
        <v>379</v>
      </c>
      <c r="G112" s="112" t="s">
        <v>380</v>
      </c>
    </row>
    <row r="113" spans="1:7" ht="34.2" customHeight="1">
      <c r="A113" s="16" t="s">
        <v>46</v>
      </c>
      <c r="B113" s="104">
        <v>1</v>
      </c>
      <c r="C113" s="73" t="s">
        <v>329</v>
      </c>
      <c r="D113" s="107" t="s">
        <v>330</v>
      </c>
      <c r="E113" s="107" t="s">
        <v>104</v>
      </c>
      <c r="F113" s="73" t="s">
        <v>382</v>
      </c>
      <c r="G113" s="73" t="s">
        <v>333</v>
      </c>
    </row>
    <row r="114" spans="1:7" ht="34.2" customHeight="1">
      <c r="A114" s="16" t="s">
        <v>46</v>
      </c>
      <c r="B114" s="104">
        <v>1</v>
      </c>
      <c r="C114" s="73" t="s">
        <v>329</v>
      </c>
      <c r="D114" s="107" t="s">
        <v>330</v>
      </c>
      <c r="E114" s="107" t="s">
        <v>104</v>
      </c>
      <c r="F114" s="73" t="s">
        <v>384</v>
      </c>
      <c r="G114" s="73"/>
    </row>
    <row r="115" spans="1:7" ht="34.2" customHeight="1">
      <c r="A115" s="138" t="s">
        <v>46</v>
      </c>
      <c r="B115" s="139">
        <v>2</v>
      </c>
      <c r="C115" s="140" t="s">
        <v>167</v>
      </c>
      <c r="D115" s="141" t="s">
        <v>330</v>
      </c>
      <c r="E115" s="141" t="s">
        <v>103</v>
      </c>
      <c r="F115" s="140" t="s">
        <v>386</v>
      </c>
      <c r="G115" s="140" t="s">
        <v>167</v>
      </c>
    </row>
    <row r="116" spans="1:7" ht="34.2" customHeight="1">
      <c r="A116" s="16" t="s">
        <v>46</v>
      </c>
      <c r="B116" s="104">
        <v>2</v>
      </c>
      <c r="C116" s="73" t="s">
        <v>167</v>
      </c>
      <c r="D116" s="107" t="s">
        <v>330</v>
      </c>
      <c r="E116" s="107" t="s">
        <v>103</v>
      </c>
      <c r="F116" s="73" t="s">
        <v>388</v>
      </c>
      <c r="G116" s="73" t="s">
        <v>389</v>
      </c>
    </row>
    <row r="117" spans="1:7" ht="34.2" customHeight="1">
      <c r="A117" s="16" t="s">
        <v>46</v>
      </c>
      <c r="B117" s="104">
        <v>2</v>
      </c>
      <c r="C117" s="73" t="s">
        <v>167</v>
      </c>
      <c r="D117" s="107" t="s">
        <v>330</v>
      </c>
      <c r="E117" s="107" t="s">
        <v>104</v>
      </c>
      <c r="F117" s="73" t="s">
        <v>382</v>
      </c>
      <c r="G117" s="73" t="s">
        <v>334</v>
      </c>
    </row>
    <row r="118" spans="1:7" ht="34.2" customHeight="1">
      <c r="A118" s="16" t="s">
        <v>46</v>
      </c>
      <c r="B118" s="104">
        <v>2</v>
      </c>
      <c r="C118" s="73" t="s">
        <v>167</v>
      </c>
      <c r="D118" s="107" t="s">
        <v>330</v>
      </c>
      <c r="E118" s="107" t="s">
        <v>104</v>
      </c>
      <c r="F118" s="73" t="s">
        <v>384</v>
      </c>
      <c r="G118" s="73"/>
    </row>
    <row r="119" spans="1:7" ht="20.6" customHeight="1">
      <c r="A119" s="138" t="s">
        <v>46</v>
      </c>
      <c r="B119" s="139">
        <v>3</v>
      </c>
      <c r="C119" s="140" t="s">
        <v>171</v>
      </c>
      <c r="D119" s="141" t="s">
        <v>330</v>
      </c>
      <c r="E119" s="141" t="s">
        <v>103</v>
      </c>
      <c r="F119" s="140" t="s">
        <v>386</v>
      </c>
      <c r="G119" s="140" t="s">
        <v>171</v>
      </c>
    </row>
    <row r="120" spans="1:7" ht="20.6" customHeight="1">
      <c r="A120" s="16" t="s">
        <v>46</v>
      </c>
      <c r="B120" s="104">
        <v>3</v>
      </c>
      <c r="C120" s="73" t="s">
        <v>171</v>
      </c>
      <c r="D120" s="107" t="s">
        <v>330</v>
      </c>
      <c r="E120" s="107" t="s">
        <v>103</v>
      </c>
      <c r="F120" s="73" t="s">
        <v>388</v>
      </c>
      <c r="G120" s="73" t="s">
        <v>391</v>
      </c>
    </row>
    <row r="121" spans="1:7" ht="20.6" customHeight="1">
      <c r="A121" s="16" t="s">
        <v>46</v>
      </c>
      <c r="B121" s="104">
        <v>3</v>
      </c>
      <c r="C121" s="73" t="s">
        <v>171</v>
      </c>
      <c r="D121" s="107" t="s">
        <v>330</v>
      </c>
      <c r="E121" s="107" t="s">
        <v>104</v>
      </c>
      <c r="F121" s="73" t="s">
        <v>382</v>
      </c>
      <c r="G121" s="73" t="s">
        <v>335</v>
      </c>
    </row>
    <row r="122" spans="1:7" ht="20.6" customHeight="1">
      <c r="A122" s="16" t="s">
        <v>46</v>
      </c>
      <c r="B122" s="104">
        <v>3</v>
      </c>
      <c r="C122" s="73" t="s">
        <v>171</v>
      </c>
      <c r="D122" s="107" t="s">
        <v>330</v>
      </c>
      <c r="E122" s="107" t="s">
        <v>104</v>
      </c>
      <c r="F122" s="73" t="s">
        <v>384</v>
      </c>
      <c r="G122" s="73"/>
    </row>
    <row r="123" spans="1:7" ht="20.6" customHeight="1">
      <c r="A123" s="138" t="s">
        <v>46</v>
      </c>
      <c r="B123" s="139">
        <v>4</v>
      </c>
      <c r="C123" s="140" t="s">
        <v>173</v>
      </c>
      <c r="D123" s="141" t="s">
        <v>330</v>
      </c>
      <c r="E123" s="141" t="s">
        <v>103</v>
      </c>
      <c r="F123" s="140" t="s">
        <v>388</v>
      </c>
      <c r="G123" s="140" t="s">
        <v>393</v>
      </c>
    </row>
    <row r="124" spans="1:7" ht="20.6" customHeight="1">
      <c r="A124" s="16" t="s">
        <v>46</v>
      </c>
      <c r="B124" s="104">
        <v>4</v>
      </c>
      <c r="C124" s="73" t="s">
        <v>173</v>
      </c>
      <c r="D124" s="107" t="s">
        <v>330</v>
      </c>
      <c r="E124" s="107" t="s">
        <v>496</v>
      </c>
      <c r="F124" s="73" t="s">
        <v>388</v>
      </c>
      <c r="G124" s="73" t="s">
        <v>394</v>
      </c>
    </row>
    <row r="125" spans="1:7" ht="20.6" customHeight="1">
      <c r="A125" s="16" t="s">
        <v>46</v>
      </c>
      <c r="B125" s="104">
        <v>4</v>
      </c>
      <c r="C125" s="73" t="s">
        <v>173</v>
      </c>
      <c r="D125" s="107" t="s">
        <v>330</v>
      </c>
      <c r="E125" s="107" t="s">
        <v>104</v>
      </c>
      <c r="F125" s="73" t="s">
        <v>382</v>
      </c>
      <c r="G125" s="73" t="s">
        <v>336</v>
      </c>
    </row>
    <row r="126" spans="1:7" ht="20.6" customHeight="1">
      <c r="A126" s="16" t="s">
        <v>46</v>
      </c>
      <c r="B126" s="104">
        <v>4</v>
      </c>
      <c r="C126" s="73" t="s">
        <v>173</v>
      </c>
      <c r="D126" s="107" t="s">
        <v>330</v>
      </c>
      <c r="E126" s="107" t="s">
        <v>104</v>
      </c>
      <c r="F126" s="73" t="s">
        <v>384</v>
      </c>
      <c r="G126" s="73"/>
    </row>
    <row r="127" spans="1:7" ht="47.8" customHeight="1">
      <c r="A127" s="138" t="s">
        <v>46</v>
      </c>
      <c r="B127" s="139">
        <v>5</v>
      </c>
      <c r="C127" s="140" t="s">
        <v>110</v>
      </c>
      <c r="D127" s="141" t="s">
        <v>330</v>
      </c>
      <c r="E127" s="141" t="s">
        <v>103</v>
      </c>
      <c r="F127" s="140" t="s">
        <v>396</v>
      </c>
      <c r="G127" s="140" t="s">
        <v>397</v>
      </c>
    </row>
    <row r="128" spans="1:7" ht="20.6" customHeight="1">
      <c r="A128" s="16" t="s">
        <v>46</v>
      </c>
      <c r="B128" s="104">
        <v>5</v>
      </c>
      <c r="C128" s="73" t="s">
        <v>110</v>
      </c>
      <c r="D128" s="107" t="s">
        <v>330</v>
      </c>
      <c r="E128" s="107" t="s">
        <v>104</v>
      </c>
      <c r="F128" s="73" t="s">
        <v>382</v>
      </c>
      <c r="G128" s="73" t="s">
        <v>337</v>
      </c>
    </row>
    <row r="129" spans="1:7" ht="20.6" customHeight="1">
      <c r="A129" s="16" t="s">
        <v>46</v>
      </c>
      <c r="B129" s="104">
        <v>5</v>
      </c>
      <c r="C129" s="73" t="s">
        <v>110</v>
      </c>
      <c r="D129" s="107" t="s">
        <v>330</v>
      </c>
      <c r="E129" s="107" t="s">
        <v>104</v>
      </c>
      <c r="F129" s="73" t="s">
        <v>384</v>
      </c>
      <c r="G129" s="73"/>
    </row>
    <row r="130" spans="1:7" ht="34.2" customHeight="1">
      <c r="A130" s="138" t="s">
        <v>46</v>
      </c>
      <c r="B130" s="139">
        <v>6</v>
      </c>
      <c r="C130" s="140" t="s">
        <v>116</v>
      </c>
      <c r="D130" s="141" t="s">
        <v>330</v>
      </c>
      <c r="E130" s="141" t="s">
        <v>103</v>
      </c>
      <c r="F130" s="140" t="s">
        <v>386</v>
      </c>
      <c r="G130" s="140" t="s">
        <v>399</v>
      </c>
    </row>
    <row r="131" spans="1:7" ht="34.2" customHeight="1">
      <c r="A131" s="16" t="s">
        <v>46</v>
      </c>
      <c r="B131" s="104">
        <v>6</v>
      </c>
      <c r="C131" s="73" t="s">
        <v>116</v>
      </c>
      <c r="D131" s="107" t="s">
        <v>330</v>
      </c>
      <c r="E131" s="107" t="s">
        <v>104</v>
      </c>
      <c r="F131" s="73" t="s">
        <v>382</v>
      </c>
      <c r="G131" s="73" t="s">
        <v>338</v>
      </c>
    </row>
    <row r="132" spans="1:7" ht="34.2" customHeight="1">
      <c r="A132" s="16" t="s">
        <v>46</v>
      </c>
      <c r="B132" s="104">
        <v>6</v>
      </c>
      <c r="C132" s="73" t="s">
        <v>116</v>
      </c>
      <c r="D132" s="107" t="s">
        <v>330</v>
      </c>
      <c r="E132" s="107" t="s">
        <v>104</v>
      </c>
      <c r="F132" s="73" t="s">
        <v>384</v>
      </c>
      <c r="G132" s="73"/>
    </row>
    <row r="133" spans="1:7" ht="34.2" customHeight="1">
      <c r="A133" s="138" t="s">
        <v>46</v>
      </c>
      <c r="B133" s="139">
        <v>7</v>
      </c>
      <c r="C133" s="140" t="s">
        <v>140</v>
      </c>
      <c r="D133" s="141" t="s">
        <v>330</v>
      </c>
      <c r="E133" s="141" t="s">
        <v>103</v>
      </c>
      <c r="F133" s="140" t="s">
        <v>388</v>
      </c>
      <c r="G133" s="140" t="s">
        <v>401</v>
      </c>
    </row>
    <row r="134" spans="1:7" ht="34.2" customHeight="1">
      <c r="A134" s="16" t="s">
        <v>46</v>
      </c>
      <c r="B134" s="104">
        <v>7</v>
      </c>
      <c r="C134" s="73" t="s">
        <v>140</v>
      </c>
      <c r="D134" s="107" t="s">
        <v>330</v>
      </c>
      <c r="E134" s="107" t="s">
        <v>104</v>
      </c>
      <c r="F134" s="73" t="s">
        <v>382</v>
      </c>
      <c r="G134" s="73" t="s">
        <v>339</v>
      </c>
    </row>
    <row r="135" spans="1:7" ht="34.2" customHeight="1">
      <c r="A135" s="16" t="s">
        <v>46</v>
      </c>
      <c r="B135" s="104">
        <v>7</v>
      </c>
      <c r="C135" s="73" t="s">
        <v>140</v>
      </c>
      <c r="D135" s="107" t="s">
        <v>330</v>
      </c>
      <c r="E135" s="107" t="s">
        <v>104</v>
      </c>
      <c r="F135" s="73" t="s">
        <v>384</v>
      </c>
      <c r="G135" s="73"/>
    </row>
    <row r="136" spans="1:7" ht="34.2" customHeight="1">
      <c r="A136" s="138" t="s">
        <v>46</v>
      </c>
      <c r="B136" s="139">
        <v>8</v>
      </c>
      <c r="C136" s="140" t="s">
        <v>144</v>
      </c>
      <c r="D136" s="141" t="s">
        <v>330</v>
      </c>
      <c r="E136" s="141" t="s">
        <v>103</v>
      </c>
      <c r="F136" s="140" t="s">
        <v>403</v>
      </c>
      <c r="G136" s="140" t="s">
        <v>404</v>
      </c>
    </row>
    <row r="137" spans="1:7" ht="34.2" customHeight="1">
      <c r="A137" s="16" t="s">
        <v>46</v>
      </c>
      <c r="B137" s="104">
        <v>8</v>
      </c>
      <c r="C137" s="73" t="s">
        <v>144</v>
      </c>
      <c r="D137" s="107" t="s">
        <v>330</v>
      </c>
      <c r="E137" s="107" t="s">
        <v>103</v>
      </c>
      <c r="F137" s="73" t="s">
        <v>388</v>
      </c>
      <c r="G137" s="73" t="s">
        <v>405</v>
      </c>
    </row>
    <row r="138" spans="1:7" ht="47.8" customHeight="1">
      <c r="A138" s="16" t="s">
        <v>46</v>
      </c>
      <c r="B138" s="104">
        <v>8</v>
      </c>
      <c r="C138" s="73" t="s">
        <v>144</v>
      </c>
      <c r="D138" s="107" t="s">
        <v>330</v>
      </c>
      <c r="E138" s="107" t="s">
        <v>496</v>
      </c>
      <c r="F138" s="73" t="s">
        <v>403</v>
      </c>
      <c r="G138" s="73" t="s">
        <v>406</v>
      </c>
    </row>
    <row r="139" spans="1:7" ht="34.2" customHeight="1">
      <c r="A139" s="16" t="s">
        <v>46</v>
      </c>
      <c r="B139" s="104">
        <v>8</v>
      </c>
      <c r="C139" s="73" t="s">
        <v>144</v>
      </c>
      <c r="D139" s="107" t="s">
        <v>330</v>
      </c>
      <c r="E139" s="107" t="s">
        <v>104</v>
      </c>
      <c r="F139" s="73" t="s">
        <v>382</v>
      </c>
      <c r="G139" s="73" t="s">
        <v>340</v>
      </c>
    </row>
    <row r="140" spans="1:7" ht="34.2" customHeight="1">
      <c r="A140" s="16" t="s">
        <v>46</v>
      </c>
      <c r="B140" s="104">
        <v>8</v>
      </c>
      <c r="C140" s="73" t="s">
        <v>144</v>
      </c>
      <c r="D140" s="107" t="s">
        <v>330</v>
      </c>
      <c r="E140" s="107" t="s">
        <v>104</v>
      </c>
      <c r="F140" s="73" t="s">
        <v>407</v>
      </c>
      <c r="G140" s="73" t="s">
        <v>408</v>
      </c>
    </row>
    <row r="141" spans="1:7" ht="34.2" customHeight="1">
      <c r="A141" s="16" t="s">
        <v>46</v>
      </c>
      <c r="B141" s="104">
        <v>8</v>
      </c>
      <c r="C141" s="73" t="s">
        <v>144</v>
      </c>
      <c r="D141" s="107" t="s">
        <v>330</v>
      </c>
      <c r="E141" s="107" t="s">
        <v>104</v>
      </c>
      <c r="F141" s="73" t="s">
        <v>384</v>
      </c>
      <c r="G141" s="73"/>
    </row>
    <row r="142" spans="1:7" ht="20.6" customHeight="1">
      <c r="A142" s="138" t="s">
        <v>46</v>
      </c>
      <c r="B142" s="139">
        <v>9</v>
      </c>
      <c r="C142" s="140" t="s">
        <v>120</v>
      </c>
      <c r="D142" s="141" t="s">
        <v>330</v>
      </c>
      <c r="E142" s="141" t="s">
        <v>103</v>
      </c>
      <c r="F142" s="140" t="s">
        <v>388</v>
      </c>
      <c r="G142" s="140" t="s">
        <v>410</v>
      </c>
    </row>
    <row r="143" spans="1:7" ht="20.6" customHeight="1">
      <c r="A143" s="16" t="s">
        <v>46</v>
      </c>
      <c r="B143" s="104">
        <v>9</v>
      </c>
      <c r="C143" s="73" t="s">
        <v>120</v>
      </c>
      <c r="D143" s="107" t="s">
        <v>330</v>
      </c>
      <c r="E143" s="107" t="s">
        <v>104</v>
      </c>
      <c r="F143" s="73" t="s">
        <v>382</v>
      </c>
      <c r="G143" s="73" t="s">
        <v>411</v>
      </c>
    </row>
    <row r="144" spans="1:7" ht="20.6" customHeight="1">
      <c r="A144" s="16" t="s">
        <v>46</v>
      </c>
      <c r="B144" s="104">
        <v>9</v>
      </c>
      <c r="C144" s="73" t="s">
        <v>120</v>
      </c>
      <c r="D144" s="107" t="s">
        <v>330</v>
      </c>
      <c r="E144" s="107" t="s">
        <v>104</v>
      </c>
      <c r="F144" s="73" t="s">
        <v>412</v>
      </c>
      <c r="G144" s="73" t="s">
        <v>413</v>
      </c>
    </row>
    <row r="145" spans="1:7" ht="20.6" customHeight="1">
      <c r="A145" s="16" t="s">
        <v>46</v>
      </c>
      <c r="B145" s="104">
        <v>9</v>
      </c>
      <c r="C145" s="73" t="s">
        <v>120</v>
      </c>
      <c r="D145" s="107" t="s">
        <v>330</v>
      </c>
      <c r="E145" s="107" t="s">
        <v>104</v>
      </c>
      <c r="F145" s="73" t="s">
        <v>384</v>
      </c>
      <c r="G145" s="73"/>
    </row>
    <row r="146" spans="1:7" ht="47.8" customHeight="1">
      <c r="A146" s="138" t="s">
        <v>46</v>
      </c>
      <c r="B146" s="139">
        <v>10</v>
      </c>
      <c r="C146" s="140" t="s">
        <v>148</v>
      </c>
      <c r="D146" s="141" t="s">
        <v>330</v>
      </c>
      <c r="E146" s="141" t="s">
        <v>103</v>
      </c>
      <c r="F146" s="140" t="s">
        <v>386</v>
      </c>
      <c r="G146" s="140" t="s">
        <v>415</v>
      </c>
    </row>
    <row r="147" spans="1:7" ht="20.6" customHeight="1">
      <c r="A147" s="16" t="s">
        <v>46</v>
      </c>
      <c r="B147" s="104">
        <v>10</v>
      </c>
      <c r="C147" s="73" t="s">
        <v>148</v>
      </c>
      <c r="D147" s="107" t="s">
        <v>330</v>
      </c>
      <c r="E147" s="107" t="s">
        <v>103</v>
      </c>
      <c r="F147" s="73" t="s">
        <v>416</v>
      </c>
      <c r="G147" s="73" t="s">
        <v>417</v>
      </c>
    </row>
    <row r="148" spans="1:7" ht="20.6" customHeight="1">
      <c r="A148" s="16" t="s">
        <v>46</v>
      </c>
      <c r="B148" s="104">
        <v>10</v>
      </c>
      <c r="C148" s="73" t="s">
        <v>148</v>
      </c>
      <c r="D148" s="107" t="s">
        <v>330</v>
      </c>
      <c r="E148" s="107" t="s">
        <v>104</v>
      </c>
      <c r="F148" s="73" t="s">
        <v>382</v>
      </c>
      <c r="G148" s="73" t="s">
        <v>342</v>
      </c>
    </row>
    <row r="149" spans="1:7" ht="20.6" customHeight="1">
      <c r="A149" s="16" t="s">
        <v>46</v>
      </c>
      <c r="B149" s="104">
        <v>10</v>
      </c>
      <c r="C149" s="73" t="s">
        <v>148</v>
      </c>
      <c r="D149" s="107" t="s">
        <v>330</v>
      </c>
      <c r="E149" s="107" t="s">
        <v>104</v>
      </c>
      <c r="F149" s="73" t="s">
        <v>418</v>
      </c>
      <c r="G149" s="73" t="s">
        <v>419</v>
      </c>
    </row>
    <row r="150" spans="1:7" ht="20.6" customHeight="1">
      <c r="A150" s="16" t="s">
        <v>46</v>
      </c>
      <c r="B150" s="104">
        <v>10</v>
      </c>
      <c r="C150" s="73" t="s">
        <v>148</v>
      </c>
      <c r="D150" s="107" t="s">
        <v>330</v>
      </c>
      <c r="E150" s="107" t="s">
        <v>104</v>
      </c>
      <c r="F150" s="73" t="s">
        <v>384</v>
      </c>
      <c r="G150" s="73"/>
    </row>
    <row r="151" spans="1:7" ht="20.6" customHeight="1">
      <c r="A151" s="138" t="s">
        <v>46</v>
      </c>
      <c r="B151" s="139">
        <v>11</v>
      </c>
      <c r="C151" s="140" t="s">
        <v>176</v>
      </c>
      <c r="D151" s="141" t="s">
        <v>330</v>
      </c>
      <c r="E151" s="141" t="s">
        <v>103</v>
      </c>
      <c r="F151" s="140" t="s">
        <v>386</v>
      </c>
      <c r="G151" s="140" t="s">
        <v>421</v>
      </c>
    </row>
    <row r="152" spans="1:7" ht="20.6" customHeight="1">
      <c r="A152" s="16" t="s">
        <v>46</v>
      </c>
      <c r="B152" s="104">
        <v>11</v>
      </c>
      <c r="C152" s="73" t="s">
        <v>176</v>
      </c>
      <c r="D152" s="107" t="s">
        <v>330</v>
      </c>
      <c r="E152" s="107" t="s">
        <v>103</v>
      </c>
      <c r="F152" s="73" t="s">
        <v>422</v>
      </c>
      <c r="G152" s="73"/>
    </row>
    <row r="153" spans="1:7" ht="20.6" customHeight="1">
      <c r="A153" s="16" t="s">
        <v>46</v>
      </c>
      <c r="B153" s="104">
        <v>11</v>
      </c>
      <c r="C153" s="73" t="s">
        <v>176</v>
      </c>
      <c r="D153" s="107" t="s">
        <v>330</v>
      </c>
      <c r="E153" s="107" t="s">
        <v>104</v>
      </c>
      <c r="F153" s="73" t="s">
        <v>382</v>
      </c>
      <c r="G153" s="73" t="s">
        <v>423</v>
      </c>
    </row>
    <row r="154" spans="1:7" ht="20.6" customHeight="1">
      <c r="A154" s="16" t="s">
        <v>46</v>
      </c>
      <c r="B154" s="104">
        <v>11</v>
      </c>
      <c r="C154" s="73" t="s">
        <v>176</v>
      </c>
      <c r="D154" s="107" t="s">
        <v>330</v>
      </c>
      <c r="E154" s="107" t="s">
        <v>104</v>
      </c>
      <c r="F154" s="73" t="s">
        <v>412</v>
      </c>
      <c r="G154" s="73" t="s">
        <v>413</v>
      </c>
    </row>
    <row r="155" spans="1:7" ht="20.6" customHeight="1">
      <c r="A155" s="16" t="s">
        <v>46</v>
      </c>
      <c r="B155" s="104">
        <v>11</v>
      </c>
      <c r="C155" s="73" t="s">
        <v>176</v>
      </c>
      <c r="D155" s="107" t="s">
        <v>330</v>
      </c>
      <c r="E155" s="107" t="s">
        <v>104</v>
      </c>
      <c r="F155" s="73" t="s">
        <v>384</v>
      </c>
      <c r="G155" s="73"/>
    </row>
    <row r="156" spans="1:7" ht="47.8" customHeight="1">
      <c r="A156" s="138" t="s">
        <v>46</v>
      </c>
      <c r="B156" s="139">
        <v>12</v>
      </c>
      <c r="C156" s="140" t="s">
        <v>152</v>
      </c>
      <c r="D156" s="141" t="s">
        <v>330</v>
      </c>
      <c r="E156" s="141" t="s">
        <v>103</v>
      </c>
      <c r="F156" s="140" t="s">
        <v>386</v>
      </c>
      <c r="G156" s="140" t="s">
        <v>415</v>
      </c>
    </row>
    <row r="157" spans="1:7" ht="34.2" customHeight="1">
      <c r="A157" s="16" t="s">
        <v>46</v>
      </c>
      <c r="B157" s="104">
        <v>12</v>
      </c>
      <c r="C157" s="73" t="s">
        <v>152</v>
      </c>
      <c r="D157" s="107" t="s">
        <v>330</v>
      </c>
      <c r="E157" s="107" t="s">
        <v>104</v>
      </c>
      <c r="F157" s="73" t="s">
        <v>382</v>
      </c>
      <c r="G157" s="73" t="s">
        <v>425</v>
      </c>
    </row>
    <row r="158" spans="1:7" ht="34.2" customHeight="1">
      <c r="A158" s="16" t="s">
        <v>46</v>
      </c>
      <c r="B158" s="104">
        <v>12</v>
      </c>
      <c r="C158" s="73" t="s">
        <v>152</v>
      </c>
      <c r="D158" s="107" t="s">
        <v>330</v>
      </c>
      <c r="E158" s="107" t="s">
        <v>104</v>
      </c>
      <c r="F158" s="73" t="s">
        <v>412</v>
      </c>
      <c r="G158" s="73" t="s">
        <v>413</v>
      </c>
    </row>
    <row r="159" spans="1:7" ht="34.2" customHeight="1">
      <c r="A159" s="16" t="s">
        <v>46</v>
      </c>
      <c r="B159" s="104">
        <v>12</v>
      </c>
      <c r="C159" s="73" t="s">
        <v>152</v>
      </c>
      <c r="D159" s="107" t="s">
        <v>330</v>
      </c>
      <c r="E159" s="107" t="s">
        <v>104</v>
      </c>
      <c r="F159" s="73" t="s">
        <v>384</v>
      </c>
      <c r="G159" s="73"/>
    </row>
    <row r="160" spans="1:7" ht="47.8" customHeight="1">
      <c r="A160" s="138" t="s">
        <v>46</v>
      </c>
      <c r="B160" s="139">
        <v>13</v>
      </c>
      <c r="C160" s="140" t="s">
        <v>156</v>
      </c>
      <c r="D160" s="141" t="s">
        <v>330</v>
      </c>
      <c r="E160" s="141" t="s">
        <v>103</v>
      </c>
      <c r="F160" s="140" t="s">
        <v>386</v>
      </c>
      <c r="G160" s="140" t="s">
        <v>427</v>
      </c>
    </row>
    <row r="161" spans="1:7" ht="34.2" customHeight="1">
      <c r="A161" s="16" t="s">
        <v>46</v>
      </c>
      <c r="B161" s="104">
        <v>13</v>
      </c>
      <c r="C161" s="73" t="s">
        <v>156</v>
      </c>
      <c r="D161" s="107" t="s">
        <v>330</v>
      </c>
      <c r="E161" s="107" t="s">
        <v>104</v>
      </c>
      <c r="F161" s="73" t="s">
        <v>382</v>
      </c>
      <c r="G161" s="73" t="s">
        <v>428</v>
      </c>
    </row>
    <row r="162" spans="1:7" ht="34.2" customHeight="1">
      <c r="A162" s="16" t="s">
        <v>46</v>
      </c>
      <c r="B162" s="104">
        <v>13</v>
      </c>
      <c r="C162" s="73" t="s">
        <v>156</v>
      </c>
      <c r="D162" s="107" t="s">
        <v>330</v>
      </c>
      <c r="E162" s="107" t="s">
        <v>104</v>
      </c>
      <c r="F162" s="73" t="s">
        <v>412</v>
      </c>
      <c r="G162" s="73" t="s">
        <v>413</v>
      </c>
    </row>
    <row r="163" spans="1:7" ht="34.2" customHeight="1">
      <c r="A163" s="16" t="s">
        <v>46</v>
      </c>
      <c r="B163" s="104">
        <v>13</v>
      </c>
      <c r="C163" s="73" t="s">
        <v>156</v>
      </c>
      <c r="D163" s="107" t="s">
        <v>330</v>
      </c>
      <c r="E163" s="107" t="s">
        <v>104</v>
      </c>
      <c r="F163" s="73" t="s">
        <v>384</v>
      </c>
      <c r="G163" s="73"/>
    </row>
    <row r="164" spans="1:7" ht="34.2" customHeight="1">
      <c r="A164" s="138" t="s">
        <v>46</v>
      </c>
      <c r="B164" s="139">
        <v>14</v>
      </c>
      <c r="C164" s="140" t="s">
        <v>160</v>
      </c>
      <c r="D164" s="141" t="s">
        <v>330</v>
      </c>
      <c r="E164" s="141" t="s">
        <v>103</v>
      </c>
      <c r="F164" s="140" t="s">
        <v>388</v>
      </c>
      <c r="G164" s="140" t="s">
        <v>430</v>
      </c>
    </row>
    <row r="165" spans="1:7" ht="20.6" customHeight="1">
      <c r="A165" s="16" t="s">
        <v>46</v>
      </c>
      <c r="B165" s="104">
        <v>14</v>
      </c>
      <c r="C165" s="73" t="s">
        <v>160</v>
      </c>
      <c r="D165" s="107" t="s">
        <v>330</v>
      </c>
      <c r="E165" s="107" t="s">
        <v>104</v>
      </c>
      <c r="F165" s="73" t="s">
        <v>382</v>
      </c>
      <c r="G165" s="73" t="s">
        <v>431</v>
      </c>
    </row>
    <row r="166" spans="1:7" ht="20.6" customHeight="1">
      <c r="A166" s="16" t="s">
        <v>46</v>
      </c>
      <c r="B166" s="104">
        <v>14</v>
      </c>
      <c r="C166" s="73" t="s">
        <v>160</v>
      </c>
      <c r="D166" s="107" t="s">
        <v>330</v>
      </c>
      <c r="E166" s="107" t="s">
        <v>104</v>
      </c>
      <c r="F166" s="73" t="s">
        <v>412</v>
      </c>
      <c r="G166" s="73" t="s">
        <v>413</v>
      </c>
    </row>
    <row r="167" spans="1:7" ht="20.6" customHeight="1">
      <c r="A167" s="16" t="s">
        <v>46</v>
      </c>
      <c r="B167" s="104">
        <v>14</v>
      </c>
      <c r="C167" s="73" t="s">
        <v>160</v>
      </c>
      <c r="D167" s="107" t="s">
        <v>330</v>
      </c>
      <c r="E167" s="107" t="s">
        <v>104</v>
      </c>
      <c r="F167" s="73" t="s">
        <v>384</v>
      </c>
      <c r="G167" s="73"/>
    </row>
    <row r="168" spans="1:7" ht="183.8" customHeight="1">
      <c r="A168" s="138" t="s">
        <v>46</v>
      </c>
      <c r="B168" s="139">
        <v>15</v>
      </c>
      <c r="C168" s="140" t="s">
        <v>164</v>
      </c>
      <c r="D168" s="141" t="s">
        <v>330</v>
      </c>
      <c r="E168" s="141" t="s">
        <v>103</v>
      </c>
      <c r="F168" s="140" t="s">
        <v>386</v>
      </c>
      <c r="G168" s="140" t="s">
        <v>433</v>
      </c>
    </row>
    <row r="169" spans="1:7" ht="34.2" customHeight="1">
      <c r="A169" s="16" t="s">
        <v>46</v>
      </c>
      <c r="B169" s="104">
        <v>15</v>
      </c>
      <c r="C169" s="73" t="s">
        <v>164</v>
      </c>
      <c r="D169" s="107" t="s">
        <v>330</v>
      </c>
      <c r="E169" s="107" t="s">
        <v>103</v>
      </c>
      <c r="F169" s="73" t="s">
        <v>388</v>
      </c>
      <c r="G169" s="73" t="s">
        <v>434</v>
      </c>
    </row>
    <row r="170" spans="1:7" ht="34.2" customHeight="1">
      <c r="A170" s="16" t="s">
        <v>46</v>
      </c>
      <c r="B170" s="104">
        <v>15</v>
      </c>
      <c r="C170" s="73" t="s">
        <v>164</v>
      </c>
      <c r="D170" s="107" t="s">
        <v>330</v>
      </c>
      <c r="E170" s="107" t="s">
        <v>496</v>
      </c>
      <c r="F170" s="73" t="s">
        <v>386</v>
      </c>
      <c r="G170" s="73" t="s">
        <v>435</v>
      </c>
    </row>
    <row r="171" spans="1:7" ht="34.2" customHeight="1">
      <c r="A171" s="16" t="s">
        <v>46</v>
      </c>
      <c r="B171" s="104">
        <v>15</v>
      </c>
      <c r="C171" s="73" t="s">
        <v>164</v>
      </c>
      <c r="D171" s="107" t="s">
        <v>330</v>
      </c>
      <c r="E171" s="107" t="s">
        <v>104</v>
      </c>
      <c r="F171" s="73" t="s">
        <v>382</v>
      </c>
      <c r="G171" s="73" t="s">
        <v>431</v>
      </c>
    </row>
    <row r="172" spans="1:7" ht="34.2" customHeight="1">
      <c r="A172" s="16" t="s">
        <v>46</v>
      </c>
      <c r="B172" s="104">
        <v>15</v>
      </c>
      <c r="C172" s="73" t="s">
        <v>164</v>
      </c>
      <c r="D172" s="107" t="s">
        <v>330</v>
      </c>
      <c r="E172" s="107" t="s">
        <v>104</v>
      </c>
      <c r="F172" s="73" t="s">
        <v>412</v>
      </c>
      <c r="G172" s="73" t="s">
        <v>413</v>
      </c>
    </row>
    <row r="173" spans="1:7" ht="34.2" customHeight="1">
      <c r="A173" s="16" t="s">
        <v>46</v>
      </c>
      <c r="B173" s="104">
        <v>15</v>
      </c>
      <c r="C173" s="73" t="s">
        <v>164</v>
      </c>
      <c r="D173" s="107" t="s">
        <v>330</v>
      </c>
      <c r="E173" s="107" t="s">
        <v>104</v>
      </c>
      <c r="F173" s="73" t="s">
        <v>384</v>
      </c>
      <c r="G173" s="73"/>
    </row>
    <row r="174" spans="1:7" ht="20.6" customHeight="1">
      <c r="A174" s="138" t="s">
        <v>46</v>
      </c>
      <c r="B174" s="139">
        <v>16</v>
      </c>
      <c r="C174" s="140" t="s">
        <v>124</v>
      </c>
      <c r="D174" s="141" t="s">
        <v>330</v>
      </c>
      <c r="E174" s="141" t="s">
        <v>103</v>
      </c>
      <c r="F174" s="140" t="s">
        <v>388</v>
      </c>
      <c r="G174" s="140" t="s">
        <v>437</v>
      </c>
    </row>
    <row r="175" spans="1:7" ht="20.6" customHeight="1">
      <c r="A175" s="16" t="s">
        <v>46</v>
      </c>
      <c r="B175" s="104">
        <v>16</v>
      </c>
      <c r="C175" s="73" t="s">
        <v>124</v>
      </c>
      <c r="D175" s="107" t="s">
        <v>330</v>
      </c>
      <c r="E175" s="107" t="s">
        <v>104</v>
      </c>
      <c r="F175" s="73" t="s">
        <v>382</v>
      </c>
      <c r="G175" s="73" t="s">
        <v>347</v>
      </c>
    </row>
    <row r="176" spans="1:7" ht="20.6" customHeight="1">
      <c r="A176" s="16" t="s">
        <v>46</v>
      </c>
      <c r="B176" s="104">
        <v>16</v>
      </c>
      <c r="C176" s="73" t="s">
        <v>124</v>
      </c>
      <c r="D176" s="107" t="s">
        <v>330</v>
      </c>
      <c r="E176" s="107" t="s">
        <v>104</v>
      </c>
      <c r="F176" s="73" t="s">
        <v>418</v>
      </c>
      <c r="G176" s="73" t="s">
        <v>408</v>
      </c>
    </row>
    <row r="177" spans="1:7" ht="20.6" customHeight="1">
      <c r="A177" s="16" t="s">
        <v>46</v>
      </c>
      <c r="B177" s="104">
        <v>16</v>
      </c>
      <c r="C177" s="73" t="s">
        <v>124</v>
      </c>
      <c r="D177" s="107" t="s">
        <v>330</v>
      </c>
      <c r="E177" s="107" t="s">
        <v>104</v>
      </c>
      <c r="F177" s="73" t="s">
        <v>384</v>
      </c>
      <c r="G177" s="73"/>
    </row>
    <row r="178" spans="1:7" ht="34.2" customHeight="1">
      <c r="A178" s="138" t="s">
        <v>46</v>
      </c>
      <c r="B178" s="139">
        <v>17</v>
      </c>
      <c r="C178" s="140" t="s">
        <v>128</v>
      </c>
      <c r="D178" s="141" t="s">
        <v>330</v>
      </c>
      <c r="E178" s="141" t="s">
        <v>103</v>
      </c>
      <c r="F178" s="140" t="s">
        <v>439</v>
      </c>
      <c r="G178" s="140" t="s">
        <v>497</v>
      </c>
    </row>
    <row r="179" spans="1:7" ht="20.6" customHeight="1">
      <c r="A179" s="16" t="s">
        <v>46</v>
      </c>
      <c r="B179" s="104">
        <v>17</v>
      </c>
      <c r="C179" s="73" t="s">
        <v>128</v>
      </c>
      <c r="D179" s="107" t="s">
        <v>330</v>
      </c>
      <c r="E179" s="107" t="s">
        <v>104</v>
      </c>
      <c r="F179" s="73" t="s">
        <v>382</v>
      </c>
      <c r="G179" s="73" t="s">
        <v>347</v>
      </c>
    </row>
    <row r="180" spans="1:7" ht="20.6" customHeight="1">
      <c r="A180" s="16" t="s">
        <v>46</v>
      </c>
      <c r="B180" s="104">
        <v>17</v>
      </c>
      <c r="C180" s="73" t="s">
        <v>128</v>
      </c>
      <c r="D180" s="107" t="s">
        <v>330</v>
      </c>
      <c r="E180" s="107" t="s">
        <v>104</v>
      </c>
      <c r="F180" s="73" t="s">
        <v>407</v>
      </c>
      <c r="G180" s="73" t="s">
        <v>408</v>
      </c>
    </row>
    <row r="181" spans="1:7" ht="20.6" customHeight="1">
      <c r="A181" s="16" t="s">
        <v>46</v>
      </c>
      <c r="B181" s="104">
        <v>17</v>
      </c>
      <c r="C181" s="73" t="s">
        <v>128</v>
      </c>
      <c r="D181" s="107" t="s">
        <v>330</v>
      </c>
      <c r="E181" s="107" t="s">
        <v>104</v>
      </c>
      <c r="F181" s="73" t="s">
        <v>384</v>
      </c>
      <c r="G181" s="73"/>
    </row>
    <row r="182" spans="1:7" ht="34.2" customHeight="1">
      <c r="A182" s="138" t="s">
        <v>46</v>
      </c>
      <c r="B182" s="139">
        <v>18</v>
      </c>
      <c r="C182" s="140" t="s">
        <v>132</v>
      </c>
      <c r="D182" s="141" t="s">
        <v>349</v>
      </c>
      <c r="E182" s="141" t="s">
        <v>103</v>
      </c>
      <c r="F182" s="140" t="s">
        <v>439</v>
      </c>
      <c r="G182" s="140" t="s">
        <v>497</v>
      </c>
    </row>
    <row r="183" spans="1:7" ht="20.6" customHeight="1">
      <c r="A183" s="16" t="s">
        <v>46</v>
      </c>
      <c r="B183" s="104">
        <v>18</v>
      </c>
      <c r="C183" s="73" t="s">
        <v>132</v>
      </c>
      <c r="D183" s="107" t="s">
        <v>349</v>
      </c>
      <c r="E183" s="107" t="s">
        <v>496</v>
      </c>
      <c r="F183" s="73" t="s">
        <v>386</v>
      </c>
      <c r="G183" s="73" t="s">
        <v>442</v>
      </c>
    </row>
    <row r="184" spans="1:7" ht="34.2" customHeight="1">
      <c r="A184" s="16" t="s">
        <v>46</v>
      </c>
      <c r="B184" s="104">
        <v>18</v>
      </c>
      <c r="C184" s="73" t="s">
        <v>132</v>
      </c>
      <c r="D184" s="107" t="s">
        <v>349</v>
      </c>
      <c r="E184" s="107" t="s">
        <v>496</v>
      </c>
      <c r="F184" s="73" t="s">
        <v>388</v>
      </c>
      <c r="G184" s="73" t="s">
        <v>444</v>
      </c>
    </row>
    <row r="185" spans="1:7" ht="20.6" customHeight="1">
      <c r="A185" s="16" t="s">
        <v>46</v>
      </c>
      <c r="B185" s="104">
        <v>18</v>
      </c>
      <c r="C185" s="73" t="s">
        <v>132</v>
      </c>
      <c r="D185" s="107" t="s">
        <v>349</v>
      </c>
      <c r="E185" s="107" t="s">
        <v>104</v>
      </c>
      <c r="F185" s="73" t="s">
        <v>382</v>
      </c>
      <c r="G185" s="73" t="s">
        <v>350</v>
      </c>
    </row>
    <row r="186" spans="1:7" ht="20.6" customHeight="1">
      <c r="A186" s="16" t="s">
        <v>46</v>
      </c>
      <c r="B186" s="104">
        <v>18</v>
      </c>
      <c r="C186" s="73" t="s">
        <v>132</v>
      </c>
      <c r="D186" s="107" t="s">
        <v>349</v>
      </c>
      <c r="E186" s="107" t="s">
        <v>104</v>
      </c>
      <c r="F186" s="73" t="s">
        <v>407</v>
      </c>
      <c r="G186" s="73" t="s">
        <v>445</v>
      </c>
    </row>
    <row r="187" spans="1:7" ht="20.6" customHeight="1">
      <c r="A187" s="16" t="s">
        <v>46</v>
      </c>
      <c r="B187" s="104">
        <v>18</v>
      </c>
      <c r="C187" s="73" t="s">
        <v>132</v>
      </c>
      <c r="D187" s="107" t="s">
        <v>349</v>
      </c>
      <c r="E187" s="107" t="s">
        <v>104</v>
      </c>
      <c r="F187" s="73" t="s">
        <v>384</v>
      </c>
      <c r="G187" s="73"/>
    </row>
  </sheetData>
  <autoFilter ref="A1:G187"/>
  <conditionalFormatting sqref="A2:G187">
    <cfRule type="expression" dxfId="10" priority="6">
      <formula>$D2="Nein"</formula>
    </cfRule>
  </conditionalFormatting>
  <conditionalFormatting sqref="D2:D187">
    <cfRule type="cellIs" dxfId="3" priority="4" operator="equal">
      <formula>"Ja"</formula>
    </cfRule>
    <cfRule type="cellIs" dxfId="4" priority="5" operator="equal">
      <formula>"Nein"</formula>
    </cfRule>
  </conditionalFormatting>
  <conditionalFormatting sqref="E2:E187">
    <cfRule type="cellIs" dxfId="11" priority="1" operator="equal">
      <formula>"Bedingung"</formula>
    </cfRule>
    <cfRule type="cellIs" dxfId="12" priority="2" operator="equal">
      <formula>"Aktion"</formula>
    </cfRule>
    <cfRule type="cellIs" dxfId="5" priority="3" operator="equal">
      <formula>"Ausnahme"</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Zielordner">
    <tabColor rgb="FF0F94A7"/>
    <pageSetUpPr fitToPage="1"/>
  </sheetPr>
  <dimension ref="A1:E42"/>
  <sheetViews>
    <sheetView showGridLines="0" workbookViewId="0">
      <pane ySplit="4" topLeftCell="A5" activePane="bottomLeft" state="frozen"/>
      <selection pane="bottomLeft"/>
    </sheetView>
  </sheetViews>
  <sheetFormatPr defaultRowHeight="15" x14ac:dyDescent="0.25"/>
  <cols>
    <col min="1" max="1" width="29.7109375" customWidth="1"/>
    <col min="2" max="2" width="72.7109375" customWidth="1"/>
    <col min="3" max="3" width="12.7109375" customWidth="1"/>
    <col min="4" max="4" width="11.7109375" customWidth="1"/>
    <col min="5" max="5" width="80.7109375" customWidth="1"/>
  </cols>
  <sheetData>
    <row r="1" spans="1:5" ht="36" customHeight="1" x14ac:dyDescent="0.25">
      <c r="A1" s="36" t="s">
        <v>498</v>
      </c>
    </row>
    <row r="2" spans="1:5" ht="18" customHeight="1" x14ac:dyDescent="0.25">
      <c r="A2" s="65" t="s">
        <v>499</v>
      </c>
    </row>
    <row r="3" spans="1:5" ht="18" customHeight="1" x14ac:dyDescent="0.25">
      <c r="A3" s="65" t="s">
        <v>500</v>
      </c>
    </row>
    <row r="4" spans="1:5" ht="30" customHeight="1" x14ac:dyDescent="0.25">
      <c r="A4" s="12" t="s">
        <v>42</v>
      </c>
      <c r="B4" s="12" t="s">
        <v>77</v>
      </c>
      <c r="C4" s="13" t="s">
        <v>501</v>
      </c>
      <c r="D4" s="13" t="s">
        <v>502</v>
      </c>
      <c r="E4" s="12" t="s">
        <v>12</v>
      </c>
    </row>
    <row r="5" spans="1:5" ht="47.8" customHeight="1" x14ac:dyDescent="0.25">
      <c r="A5" s="16" t="s">
        <v>46</v>
      </c>
      <c r="B5" s="73" t="s">
        <v>413</v>
      </c>
      <c r="C5" s="107">
        <v>6</v>
      </c>
      <c r="D5" s="107">
        <v>6</v>
      </c>
      <c r="E5" s="73" t="s">
        <v>503</v>
      </c>
    </row>
    <row r="6" spans="1:5" ht="20.6" customHeight="1" x14ac:dyDescent="0.25">
      <c r="A6" s="16" t="s">
        <v>46</v>
      </c>
      <c r="B6" s="73" t="s">
        <v>347</v>
      </c>
      <c r="C6" s="107">
        <v>2</v>
      </c>
      <c r="D6" s="107">
        <v>2</v>
      </c>
      <c r="E6" s="73" t="s">
        <v>504</v>
      </c>
    </row>
    <row r="7" spans="1:5" ht="20.6" customHeight="1" x14ac:dyDescent="0.25">
      <c r="A7" s="16" t="s">
        <v>46</v>
      </c>
      <c r="B7" s="73" t="s">
        <v>431</v>
      </c>
      <c r="C7" s="107">
        <v>2</v>
      </c>
      <c r="D7" s="107">
        <v>2</v>
      </c>
      <c r="E7" s="73" t="s">
        <v>505</v>
      </c>
    </row>
    <row r="8" spans="1:5" ht="20.6" customHeight="1" x14ac:dyDescent="0.25">
      <c r="A8" s="16" t="s">
        <v>46</v>
      </c>
      <c r="B8" s="73" t="s">
        <v>334</v>
      </c>
      <c r="C8" s="107">
        <v>1</v>
      </c>
      <c r="D8" s="107">
        <v>1</v>
      </c>
      <c r="E8" s="73" t="s">
        <v>167</v>
      </c>
    </row>
    <row r="9" spans="1:5" ht="20.6" customHeight="1" x14ac:dyDescent="0.25">
      <c r="A9" s="16" t="s">
        <v>46</v>
      </c>
      <c r="B9" s="73" t="s">
        <v>340</v>
      </c>
      <c r="C9" s="107">
        <v>1</v>
      </c>
      <c r="D9" s="107">
        <v>1</v>
      </c>
      <c r="E9" s="73" t="s">
        <v>144</v>
      </c>
    </row>
    <row r="10" spans="1:5" ht="34.2" customHeight="1" x14ac:dyDescent="0.25">
      <c r="A10" s="16" t="s">
        <v>46</v>
      </c>
      <c r="B10" s="73" t="s">
        <v>339</v>
      </c>
      <c r="C10" s="107">
        <v>1</v>
      </c>
      <c r="D10" s="107">
        <v>1</v>
      </c>
      <c r="E10" s="73" t="s">
        <v>140</v>
      </c>
    </row>
    <row r="11" spans="1:5" ht="20.6" customHeight="1" x14ac:dyDescent="0.25">
      <c r="A11" s="16" t="s">
        <v>46</v>
      </c>
      <c r="B11" s="73" t="s">
        <v>335</v>
      </c>
      <c r="C11" s="107">
        <v>1</v>
      </c>
      <c r="D11" s="107">
        <v>1</v>
      </c>
      <c r="E11" s="73" t="s">
        <v>171</v>
      </c>
    </row>
    <row r="12" spans="1:5" ht="34.2" customHeight="1" x14ac:dyDescent="0.25">
      <c r="A12" s="16" t="s">
        <v>46</v>
      </c>
      <c r="B12" s="73" t="s">
        <v>342</v>
      </c>
      <c r="C12" s="107">
        <v>1</v>
      </c>
      <c r="D12" s="107">
        <v>1</v>
      </c>
      <c r="E12" s="73" t="s">
        <v>148</v>
      </c>
    </row>
    <row r="13" spans="1:5" ht="20.6" customHeight="1" x14ac:dyDescent="0.25">
      <c r="A13" s="16" t="s">
        <v>46</v>
      </c>
      <c r="B13" s="73" t="s">
        <v>336</v>
      </c>
      <c r="C13" s="107">
        <v>1</v>
      </c>
      <c r="D13" s="107">
        <v>1</v>
      </c>
      <c r="E13" s="73" t="s">
        <v>173</v>
      </c>
    </row>
    <row r="14" spans="1:5" ht="20.6" customHeight="1" x14ac:dyDescent="0.25">
      <c r="A14" s="16" t="s">
        <v>46</v>
      </c>
      <c r="B14" s="73" t="s">
        <v>350</v>
      </c>
      <c r="C14" s="107">
        <v>1</v>
      </c>
      <c r="D14" s="107">
        <v>0</v>
      </c>
      <c r="E14" s="73" t="s">
        <v>506</v>
      </c>
    </row>
    <row r="15" spans="1:5" ht="20.6" customHeight="1" x14ac:dyDescent="0.25">
      <c r="A15" s="16" t="s">
        <v>46</v>
      </c>
      <c r="B15" s="73" t="s">
        <v>338</v>
      </c>
      <c r="C15" s="107">
        <v>1</v>
      </c>
      <c r="D15" s="107">
        <v>1</v>
      </c>
      <c r="E15" s="73" t="s">
        <v>116</v>
      </c>
    </row>
    <row r="16" spans="1:5" ht="20.6" customHeight="1" x14ac:dyDescent="0.25">
      <c r="A16" s="16" t="s">
        <v>46</v>
      </c>
      <c r="B16" s="73" t="s">
        <v>423</v>
      </c>
      <c r="C16" s="107">
        <v>1</v>
      </c>
      <c r="D16" s="107">
        <v>1</v>
      </c>
      <c r="E16" s="73" t="s">
        <v>176</v>
      </c>
    </row>
    <row r="17" spans="1:5" ht="20.6" customHeight="1" x14ac:dyDescent="0.25">
      <c r="A17" s="16" t="s">
        <v>46</v>
      </c>
      <c r="B17" s="73" t="s">
        <v>425</v>
      </c>
      <c r="C17" s="107">
        <v>1</v>
      </c>
      <c r="D17" s="107">
        <v>1</v>
      </c>
      <c r="E17" s="73" t="s">
        <v>152</v>
      </c>
    </row>
    <row r="18" spans="1:5" ht="20.6" customHeight="1" x14ac:dyDescent="0.25">
      <c r="A18" s="16" t="s">
        <v>46</v>
      </c>
      <c r="B18" s="73" t="s">
        <v>411</v>
      </c>
      <c r="C18" s="107">
        <v>1</v>
      </c>
      <c r="D18" s="107">
        <v>1</v>
      </c>
      <c r="E18" s="73" t="s">
        <v>120</v>
      </c>
    </row>
    <row r="19" spans="1:5" ht="20.6" customHeight="1" x14ac:dyDescent="0.25">
      <c r="A19" s="16" t="s">
        <v>46</v>
      </c>
      <c r="B19" s="73" t="s">
        <v>428</v>
      </c>
      <c r="C19" s="107">
        <v>1</v>
      </c>
      <c r="D19" s="107">
        <v>1</v>
      </c>
      <c r="E19" s="73" t="s">
        <v>156</v>
      </c>
    </row>
    <row r="20" spans="1:5" ht="20.6" customHeight="1" x14ac:dyDescent="0.25">
      <c r="A20" s="16" t="s">
        <v>46</v>
      </c>
      <c r="B20" s="73" t="s">
        <v>337</v>
      </c>
      <c r="C20" s="107">
        <v>1</v>
      </c>
      <c r="D20" s="107">
        <v>1</v>
      </c>
      <c r="E20" s="73" t="s">
        <v>110</v>
      </c>
    </row>
    <row r="21" spans="1:5" ht="20.6" customHeight="1" x14ac:dyDescent="0.25">
      <c r="A21" s="16" t="s">
        <v>46</v>
      </c>
      <c r="B21" s="73" t="s">
        <v>333</v>
      </c>
      <c r="C21" s="107">
        <v>1</v>
      </c>
      <c r="D21" s="107">
        <v>1</v>
      </c>
      <c r="E21" s="73" t="s">
        <v>329</v>
      </c>
    </row>
    <row r="22" spans="1:5" ht="34.2" customHeight="1" x14ac:dyDescent="0.25">
      <c r="A22" s="109" t="s">
        <v>47</v>
      </c>
      <c r="B22" s="112" t="s">
        <v>366</v>
      </c>
      <c r="C22" s="111">
        <v>3</v>
      </c>
      <c r="D22" s="111">
        <v>2</v>
      </c>
      <c r="E22" s="112" t="s">
        <v>507</v>
      </c>
    </row>
    <row r="23" spans="1:5" ht="34.2" customHeight="1" x14ac:dyDescent="0.25">
      <c r="A23" s="16" t="s">
        <v>47</v>
      </c>
      <c r="B23" s="73" t="s">
        <v>463</v>
      </c>
      <c r="C23" s="107">
        <v>2</v>
      </c>
      <c r="D23" s="107">
        <v>2</v>
      </c>
      <c r="E23" s="73" t="s">
        <v>508</v>
      </c>
    </row>
    <row r="24" spans="1:5" ht="34.2" customHeight="1" x14ac:dyDescent="0.25">
      <c r="A24" s="16" t="s">
        <v>47</v>
      </c>
      <c r="B24" s="73" t="s">
        <v>362</v>
      </c>
      <c r="C24" s="107">
        <v>2</v>
      </c>
      <c r="D24" s="107">
        <v>2</v>
      </c>
      <c r="E24" s="73" t="s">
        <v>509</v>
      </c>
    </row>
    <row r="25" spans="1:5" ht="34.2" customHeight="1" x14ac:dyDescent="0.25">
      <c r="A25" s="16" t="s">
        <v>47</v>
      </c>
      <c r="B25" s="73" t="s">
        <v>483</v>
      </c>
      <c r="C25" s="107">
        <v>2</v>
      </c>
      <c r="D25" s="107">
        <v>2</v>
      </c>
      <c r="E25" s="73" t="s">
        <v>505</v>
      </c>
    </row>
    <row r="26" spans="1:5" ht="34.2" customHeight="1" x14ac:dyDescent="0.25">
      <c r="A26" s="16" t="s">
        <v>47</v>
      </c>
      <c r="B26" s="73" t="s">
        <v>351</v>
      </c>
      <c r="C26" s="107">
        <v>2</v>
      </c>
      <c r="D26" s="107">
        <v>0</v>
      </c>
      <c r="E26" s="73" t="s">
        <v>510</v>
      </c>
    </row>
    <row r="27" spans="1:5" ht="20.6" customHeight="1" x14ac:dyDescent="0.25">
      <c r="A27" s="16" t="s">
        <v>47</v>
      </c>
      <c r="B27" s="73" t="s">
        <v>333</v>
      </c>
      <c r="C27" s="107">
        <v>2</v>
      </c>
      <c r="D27" s="107">
        <v>2</v>
      </c>
      <c r="E27" s="73" t="s">
        <v>511</v>
      </c>
    </row>
    <row r="28" spans="1:5" ht="20.6" customHeight="1" x14ac:dyDescent="0.25">
      <c r="A28" s="16" t="s">
        <v>47</v>
      </c>
      <c r="B28" s="73" t="s">
        <v>482</v>
      </c>
      <c r="C28" s="107">
        <v>2</v>
      </c>
      <c r="D28" s="107">
        <v>2</v>
      </c>
      <c r="E28" s="73" t="s">
        <v>505</v>
      </c>
    </row>
    <row r="29" spans="1:5" ht="20.6" customHeight="1" x14ac:dyDescent="0.25">
      <c r="A29" s="16" t="s">
        <v>47</v>
      </c>
      <c r="B29" s="73" t="s">
        <v>462</v>
      </c>
      <c r="C29" s="107">
        <v>2</v>
      </c>
      <c r="D29" s="107">
        <v>2</v>
      </c>
      <c r="E29" s="73" t="s">
        <v>508</v>
      </c>
    </row>
    <row r="30" spans="1:5" ht="34.2" customHeight="1" x14ac:dyDescent="0.25">
      <c r="A30" s="16" t="s">
        <v>47</v>
      </c>
      <c r="B30" s="73" t="s">
        <v>356</v>
      </c>
      <c r="C30" s="107">
        <v>2</v>
      </c>
      <c r="D30" s="107">
        <v>2</v>
      </c>
      <c r="E30" s="73" t="s">
        <v>512</v>
      </c>
    </row>
    <row r="31" spans="1:5" ht="34.2" customHeight="1" x14ac:dyDescent="0.25">
      <c r="A31" s="16" t="s">
        <v>47</v>
      </c>
      <c r="B31" s="73" t="s">
        <v>361</v>
      </c>
      <c r="C31" s="107">
        <v>1</v>
      </c>
      <c r="D31" s="107">
        <v>1</v>
      </c>
      <c r="E31" s="73" t="s">
        <v>196</v>
      </c>
    </row>
    <row r="32" spans="1:5" ht="34.2" customHeight="1" x14ac:dyDescent="0.25">
      <c r="A32" s="16" t="s">
        <v>47</v>
      </c>
      <c r="B32" s="73" t="s">
        <v>480</v>
      </c>
      <c r="C32" s="107">
        <v>1</v>
      </c>
      <c r="D32" s="107">
        <v>1</v>
      </c>
      <c r="E32" s="73" t="s">
        <v>156</v>
      </c>
    </row>
    <row r="33" spans="1:5" ht="20.6" customHeight="1" x14ac:dyDescent="0.25">
      <c r="A33" s="16" t="s">
        <v>47</v>
      </c>
      <c r="B33" s="73" t="s">
        <v>354</v>
      </c>
      <c r="C33" s="107">
        <v>1</v>
      </c>
      <c r="D33" s="107">
        <v>1</v>
      </c>
      <c r="E33" s="73" t="s">
        <v>144</v>
      </c>
    </row>
    <row r="34" spans="1:5" ht="20.6" customHeight="1" x14ac:dyDescent="0.25">
      <c r="A34" s="16" t="s">
        <v>47</v>
      </c>
      <c r="B34" s="73" t="s">
        <v>353</v>
      </c>
      <c r="C34" s="107">
        <v>1</v>
      </c>
      <c r="D34" s="107">
        <v>1</v>
      </c>
      <c r="E34" s="73" t="s">
        <v>140</v>
      </c>
    </row>
    <row r="35" spans="1:5" ht="20.6" customHeight="1" x14ac:dyDescent="0.25">
      <c r="A35" s="16" t="s">
        <v>47</v>
      </c>
      <c r="B35" s="73" t="s">
        <v>357</v>
      </c>
      <c r="C35" s="107">
        <v>1</v>
      </c>
      <c r="D35" s="107">
        <v>1</v>
      </c>
      <c r="E35" s="73" t="s">
        <v>188</v>
      </c>
    </row>
    <row r="36" spans="1:5" ht="20.6" customHeight="1" x14ac:dyDescent="0.25">
      <c r="A36" s="16" t="s">
        <v>47</v>
      </c>
      <c r="B36" s="73" t="s">
        <v>360</v>
      </c>
      <c r="C36" s="107">
        <v>1</v>
      </c>
      <c r="D36" s="107">
        <v>1</v>
      </c>
      <c r="E36" s="73" t="s">
        <v>194</v>
      </c>
    </row>
    <row r="37" spans="1:5" ht="20.6" customHeight="1" x14ac:dyDescent="0.25">
      <c r="A37" s="16" t="s">
        <v>47</v>
      </c>
      <c r="B37" s="73" t="s">
        <v>358</v>
      </c>
      <c r="C37" s="107">
        <v>1</v>
      </c>
      <c r="D37" s="107">
        <v>1</v>
      </c>
      <c r="E37" s="73" t="s">
        <v>190</v>
      </c>
    </row>
    <row r="38" spans="1:5" ht="20.6" customHeight="1" x14ac:dyDescent="0.25">
      <c r="A38" s="16" t="s">
        <v>47</v>
      </c>
      <c r="B38" s="73" t="s">
        <v>359</v>
      </c>
      <c r="C38" s="107">
        <v>1</v>
      </c>
      <c r="D38" s="107">
        <v>1</v>
      </c>
      <c r="E38" s="73" t="s">
        <v>192</v>
      </c>
    </row>
    <row r="39" spans="1:5" ht="34.2" customHeight="1" x14ac:dyDescent="0.25">
      <c r="A39" s="16" t="s">
        <v>47</v>
      </c>
      <c r="B39" s="73" t="s">
        <v>367</v>
      </c>
      <c r="C39" s="107">
        <v>1</v>
      </c>
      <c r="D39" s="107">
        <v>1</v>
      </c>
      <c r="E39" s="73" t="s">
        <v>202</v>
      </c>
    </row>
    <row r="40" spans="1:5" ht="20.6" customHeight="1" x14ac:dyDescent="0.25">
      <c r="A40" s="16" t="s">
        <v>47</v>
      </c>
      <c r="B40" s="73" t="s">
        <v>478</v>
      </c>
      <c r="C40" s="107">
        <v>1</v>
      </c>
      <c r="D40" s="107">
        <v>1</v>
      </c>
      <c r="E40" s="73" t="s">
        <v>152</v>
      </c>
    </row>
    <row r="41" spans="1:5" ht="20.6" customHeight="1" x14ac:dyDescent="0.25">
      <c r="A41" s="16" t="s">
        <v>47</v>
      </c>
      <c r="B41" s="73" t="s">
        <v>352</v>
      </c>
      <c r="C41" s="107">
        <v>1</v>
      </c>
      <c r="D41" s="107">
        <v>1</v>
      </c>
      <c r="E41" s="73" t="s">
        <v>116</v>
      </c>
    </row>
    <row r="42" spans="1:5" ht="24" customHeight="1" x14ac:dyDescent="0.25">
      <c r="A42" s="142" t="s">
        <v>513</v>
      </c>
      <c r="B42" s="142"/>
      <c r="C42" s="143">
        <f>SUBTOTAL(109,C5:C41)</f>
        <v>54</v>
      </c>
      <c r="D42" s="143">
        <f>SUBTOTAL(109,D5:D41)</f>
        <v>50</v>
      </c>
      <c r="E42" s="142"/>
    </row>
  </sheetData>
  <autoFilter ref="A4:E41"/>
  <conditionalFormatting sqref="C5:C41">
    <cfRule type="dataBar" priority="1">
      <dataBar>
        <cfvo type="num" val="0"/>
        <cfvo type="max"/>
        <color rgb="FF7FCBD4"/>
      </dataBar>
      <extLst>
        <ext xmlns:x14="http://schemas.microsoft.com/office/spreadsheetml/2009/9/main" uri="{B025F937-C7B1-47D3-B67F-A62EFF666E3E}">
          <x14:id>{DA7ABA51-AAAA-BBBB-0008-000000000001}</x14:id>
        </ext>
      </extLst>
    </cfRule>
  </conditionalFormatting>
  <conditionalFormatting sqref="D5:D41">
    <cfRule type="expression" dxfId="5" priority="2">
      <formula>$D5&lt;$C5</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extLst>
    <ext xmlns:x14="http://schemas.microsoft.com/office/spreadsheetml/2009/9/main" uri="{78C0D931-6437-407d-A8EE-F0AAD7539E65}">
      <x14:conditionalFormattings>
        <x14:conditionalFormatting xmlns:xm="http://schemas.microsoft.com/office/excel/2006/main">
          <x14:cfRule type="dataBar" id="{DA7ABA51-AAAA-BBBB-0008-000000000001}">
            <x14:dataBar minLength="0" maxLength="100" border="1" gradient="0" direction="leftToRight" negativeBarBorderColorSameAsPositive="0">
              <x14:cfvo type="num">
                <xm:f>0</xm:f>
              </x14:cfvo>
              <x14:cfvo type="autoMax"/>
              <x14:borderColor rgb="FF7FCBD4"/>
              <x14:negativeFillColor rgb="FFFF0000"/>
              <x14:negativeBorderColor rgb="FFFF0000"/>
              <x14:axisColor rgb="FF000000"/>
            </x14:dataBar>
          </x14:cfRule>
          <xm:sqref>C5:C41</xm:sqref>
        </x14:conditionalFormatting>
      </x14:conditionalFormattings>
    </ext>
  </extLst>
</worksheet>
</file>

<file path=xl/worksheets/sheet9.xml><?xml version="1.0" encoding="utf-8"?>
<worksheet xmlns="http://schemas.openxmlformats.org/spreadsheetml/2006/main" xmlns:r="http://schemas.openxmlformats.org/officeDocument/2006/relationships">
  <sheetPr codeName="shHinweise">
    <tabColor rgb="FFE07000"/>
    <pageSetUpPr fitToPage="1"/>
  </sheetPr>
  <dimension ref="A1:D42"/>
  <sheetViews>
    <sheetView showGridLines="0" workbookViewId="0">
      <pane ySplit="4" topLeftCell="A5" activePane="bottomLeft" state="frozen"/>
      <selection pane="bottomLeft"/>
    </sheetView>
  </sheetViews>
  <sheetFormatPr defaultRowHeight="15"/>
  <cols>
    <col min="1" max="1" width="22.7109375" customWidth="1"/>
    <col min="2" max="2" width="29.7109375" customWidth="1"/>
    <col min="3" max="3" width="42.7109375" customWidth="1"/>
    <col min="4" max="4" width="100.7109375" customWidth="1"/>
  </cols>
  <sheetData>
    <row r="1" spans="1:4" ht="36" customHeight="1">
      <c r="A1" s="36" t="s">
        <v>514</v>
      </c>
    </row>
    <row r="2" spans="1:4" ht="18" customHeight="1">
      <c r="A2" s="65" t="s">
        <v>515</v>
      </c>
    </row>
    <row r="3" spans="1:4" ht="12" customHeight="1"/>
    <row r="4" spans="1:4" ht="30" customHeight="1">
      <c r="A4" s="12" t="s">
        <v>50</v>
      </c>
      <c r="B4" s="12" t="s">
        <v>42</v>
      </c>
      <c r="C4" s="12" t="s">
        <v>99</v>
      </c>
      <c r="D4" s="12" t="s">
        <v>516</v>
      </c>
    </row>
    <row r="5" spans="1:4" ht="20.6" customHeight="1">
      <c r="A5" s="26" t="s">
        <v>61</v>
      </c>
      <c r="B5" s="16" t="s">
        <v>47</v>
      </c>
      <c r="C5" s="73" t="s">
        <v>110</v>
      </c>
      <c r="D5" s="73" t="s">
        <v>62</v>
      </c>
    </row>
    <row r="6" spans="1:4" ht="34.2" customHeight="1">
      <c r="A6" s="26" t="s">
        <v>55</v>
      </c>
      <c r="B6" s="16" t="s">
        <v>47</v>
      </c>
      <c r="C6" s="73" t="s">
        <v>110</v>
      </c>
      <c r="D6" s="73" t="s">
        <v>517</v>
      </c>
    </row>
    <row r="7" spans="1:4" ht="20.6" customHeight="1">
      <c r="A7" s="144" t="s">
        <v>61</v>
      </c>
      <c r="B7" s="138" t="s">
        <v>47</v>
      </c>
      <c r="C7" s="140" t="s">
        <v>183</v>
      </c>
      <c r="D7" s="140" t="s">
        <v>62</v>
      </c>
    </row>
    <row r="8" spans="1:4" ht="34.2" customHeight="1">
      <c r="A8" s="26" t="s">
        <v>53</v>
      </c>
      <c r="B8" s="16" t="s">
        <v>47</v>
      </c>
      <c r="C8" s="73" t="s">
        <v>183</v>
      </c>
      <c r="D8" s="73" t="s">
        <v>518</v>
      </c>
    </row>
    <row r="9" spans="1:4" ht="34.2" customHeight="1">
      <c r="A9" s="144" t="s">
        <v>53</v>
      </c>
      <c r="B9" s="138" t="s">
        <v>47</v>
      </c>
      <c r="C9" s="140" t="s">
        <v>144</v>
      </c>
      <c r="D9" s="140" t="s">
        <v>519</v>
      </c>
    </row>
    <row r="10" spans="1:4" ht="34.2" customHeight="1">
      <c r="A10" s="144" t="s">
        <v>59</v>
      </c>
      <c r="B10" s="138" t="s">
        <v>47</v>
      </c>
      <c r="C10" s="140" t="s">
        <v>186</v>
      </c>
      <c r="D10" s="140" t="s">
        <v>520</v>
      </c>
    </row>
    <row r="11" spans="1:4" ht="34.2" customHeight="1">
      <c r="A11" s="144" t="s">
        <v>59</v>
      </c>
      <c r="B11" s="138" t="s">
        <v>47</v>
      </c>
      <c r="C11" s="140" t="s">
        <v>120</v>
      </c>
      <c r="D11" s="140" t="s">
        <v>520</v>
      </c>
    </row>
    <row r="12" spans="1:4" ht="20.6" customHeight="1">
      <c r="A12" s="144" t="s">
        <v>53</v>
      </c>
      <c r="B12" s="138" t="s">
        <v>47</v>
      </c>
      <c r="C12" s="140" t="s">
        <v>148</v>
      </c>
      <c r="D12" s="140" t="s">
        <v>521</v>
      </c>
    </row>
    <row r="13" spans="1:4" ht="34.2" customHeight="1">
      <c r="A13" s="144" t="s">
        <v>53</v>
      </c>
      <c r="B13" s="138" t="s">
        <v>47</v>
      </c>
      <c r="C13" s="140" t="s">
        <v>196</v>
      </c>
      <c r="D13" s="140" t="s">
        <v>522</v>
      </c>
    </row>
    <row r="14" spans="1:4" ht="34.2" customHeight="1">
      <c r="A14" s="144" t="s">
        <v>53</v>
      </c>
      <c r="B14" s="138" t="s">
        <v>47</v>
      </c>
      <c r="C14" s="140" t="s">
        <v>199</v>
      </c>
      <c r="D14" s="140" t="s">
        <v>522</v>
      </c>
    </row>
    <row r="15" spans="1:4" ht="34.2" customHeight="1">
      <c r="A15" s="144" t="s">
        <v>59</v>
      </c>
      <c r="B15" s="138" t="s">
        <v>47</v>
      </c>
      <c r="C15" s="140" t="s">
        <v>152</v>
      </c>
      <c r="D15" s="140" t="s">
        <v>523</v>
      </c>
    </row>
    <row r="16" spans="1:4" ht="34.2" customHeight="1">
      <c r="A16" s="144" t="s">
        <v>59</v>
      </c>
      <c r="B16" s="138" t="s">
        <v>47</v>
      </c>
      <c r="C16" s="140" t="s">
        <v>156</v>
      </c>
      <c r="D16" s="140" t="s">
        <v>524</v>
      </c>
    </row>
    <row r="17" spans="1:4" ht="34.2" customHeight="1">
      <c r="A17" s="144" t="s">
        <v>59</v>
      </c>
      <c r="B17" s="138" t="s">
        <v>47</v>
      </c>
      <c r="C17" s="140" t="s">
        <v>160</v>
      </c>
      <c r="D17" s="140" t="s">
        <v>525</v>
      </c>
    </row>
    <row r="18" spans="1:4" ht="34.2" customHeight="1">
      <c r="A18" s="144" t="s">
        <v>59</v>
      </c>
      <c r="B18" s="138" t="s">
        <v>47</v>
      </c>
      <c r="C18" s="140" t="s">
        <v>164</v>
      </c>
      <c r="D18" s="140" t="s">
        <v>525</v>
      </c>
    </row>
    <row r="19" spans="1:4" ht="20.6" customHeight="1">
      <c r="A19" s="144" t="s">
        <v>53</v>
      </c>
      <c r="B19" s="138" t="s">
        <v>47</v>
      </c>
      <c r="C19" s="140" t="s">
        <v>124</v>
      </c>
      <c r="D19" s="140" t="s">
        <v>519</v>
      </c>
    </row>
    <row r="20" spans="1:4" ht="34.2" customHeight="1">
      <c r="A20" s="144" t="s">
        <v>53</v>
      </c>
      <c r="B20" s="138" t="s">
        <v>47</v>
      </c>
      <c r="C20" s="140" t="s">
        <v>202</v>
      </c>
      <c r="D20" s="140" t="s">
        <v>522</v>
      </c>
    </row>
    <row r="21" spans="1:4" ht="47.8" customHeight="1">
      <c r="A21" s="144" t="s">
        <v>57</v>
      </c>
      <c r="B21" s="138" t="s">
        <v>47</v>
      </c>
      <c r="C21" s="140" t="s">
        <v>128</v>
      </c>
      <c r="D21" s="140" t="s">
        <v>526</v>
      </c>
    </row>
    <row r="22" spans="1:4" ht="20.6" customHeight="1">
      <c r="A22" s="26" t="s">
        <v>53</v>
      </c>
      <c r="B22" s="16" t="s">
        <v>47</v>
      </c>
      <c r="C22" s="73" t="s">
        <v>128</v>
      </c>
      <c r="D22" s="73" t="s">
        <v>519</v>
      </c>
    </row>
    <row r="23" spans="1:4" ht="20.6" customHeight="1">
      <c r="A23" s="144" t="s">
        <v>61</v>
      </c>
      <c r="B23" s="138" t="s">
        <v>47</v>
      </c>
      <c r="C23" s="140" t="s">
        <v>132</v>
      </c>
      <c r="D23" s="140" t="s">
        <v>62</v>
      </c>
    </row>
    <row r="24" spans="1:4" ht="47.8" customHeight="1">
      <c r="A24" s="26" t="s">
        <v>57</v>
      </c>
      <c r="B24" s="16" t="s">
        <v>47</v>
      </c>
      <c r="C24" s="73" t="s">
        <v>132</v>
      </c>
      <c r="D24" s="73" t="s">
        <v>526</v>
      </c>
    </row>
    <row r="25" spans="1:4" ht="34.2" customHeight="1">
      <c r="A25" s="26" t="s">
        <v>53</v>
      </c>
      <c r="B25" s="16" t="s">
        <v>47</v>
      </c>
      <c r="C25" s="73" t="s">
        <v>132</v>
      </c>
      <c r="D25" s="73" t="s">
        <v>527</v>
      </c>
    </row>
    <row r="26" spans="1:4" ht="34.2" customHeight="1">
      <c r="A26" s="144" t="s">
        <v>61</v>
      </c>
      <c r="B26" s="138" t="s">
        <v>47</v>
      </c>
      <c r="C26" s="140" t="s">
        <v>204</v>
      </c>
      <c r="D26" s="140" t="s">
        <v>62</v>
      </c>
    </row>
    <row r="27" spans="1:4" ht="47.8" customHeight="1">
      <c r="A27" s="26" t="s">
        <v>57</v>
      </c>
      <c r="B27" s="16" t="s">
        <v>47</v>
      </c>
      <c r="C27" s="73" t="s">
        <v>204</v>
      </c>
      <c r="D27" s="73" t="s">
        <v>526</v>
      </c>
    </row>
    <row r="28" spans="1:4" ht="34.2" customHeight="1">
      <c r="A28" s="26" t="s">
        <v>53</v>
      </c>
      <c r="B28" s="16" t="s">
        <v>47</v>
      </c>
      <c r="C28" s="73" t="s">
        <v>204</v>
      </c>
      <c r="D28" s="73" t="s">
        <v>528</v>
      </c>
    </row>
    <row r="29" spans="1:4" ht="34.2" customHeight="1">
      <c r="A29" s="145" t="s">
        <v>53</v>
      </c>
      <c r="B29" s="109" t="s">
        <v>46</v>
      </c>
      <c r="C29" s="112" t="s">
        <v>144</v>
      </c>
      <c r="D29" s="112" t="s">
        <v>519</v>
      </c>
    </row>
    <row r="30" spans="1:4" ht="34.2" customHeight="1">
      <c r="A30" s="144" t="s">
        <v>59</v>
      </c>
      <c r="B30" s="138" t="s">
        <v>46</v>
      </c>
      <c r="C30" s="140" t="s">
        <v>120</v>
      </c>
      <c r="D30" s="140" t="s">
        <v>529</v>
      </c>
    </row>
    <row r="31" spans="1:4" ht="20.6" customHeight="1">
      <c r="A31" s="144" t="s">
        <v>53</v>
      </c>
      <c r="B31" s="138" t="s">
        <v>46</v>
      </c>
      <c r="C31" s="140" t="s">
        <v>148</v>
      </c>
      <c r="D31" s="140" t="s">
        <v>521</v>
      </c>
    </row>
    <row r="32" spans="1:4" ht="34.2" customHeight="1">
      <c r="A32" s="144" t="s">
        <v>59</v>
      </c>
      <c r="B32" s="138" t="s">
        <v>46</v>
      </c>
      <c r="C32" s="140" t="s">
        <v>176</v>
      </c>
      <c r="D32" s="140" t="s">
        <v>530</v>
      </c>
    </row>
    <row r="33" spans="1:4" ht="34.2" customHeight="1">
      <c r="A33" s="144" t="s">
        <v>59</v>
      </c>
      <c r="B33" s="138" t="s">
        <v>46</v>
      </c>
      <c r="C33" s="140" t="s">
        <v>152</v>
      </c>
      <c r="D33" s="140" t="s">
        <v>531</v>
      </c>
    </row>
    <row r="34" spans="1:4" ht="34.2" customHeight="1">
      <c r="A34" s="144" t="s">
        <v>59</v>
      </c>
      <c r="B34" s="138" t="s">
        <v>46</v>
      </c>
      <c r="C34" s="140" t="s">
        <v>156</v>
      </c>
      <c r="D34" s="140" t="s">
        <v>532</v>
      </c>
    </row>
    <row r="35" spans="1:4" ht="34.2" customHeight="1">
      <c r="A35" s="144" t="s">
        <v>59</v>
      </c>
      <c r="B35" s="138" t="s">
        <v>46</v>
      </c>
      <c r="C35" s="140" t="s">
        <v>160</v>
      </c>
      <c r="D35" s="140" t="s">
        <v>533</v>
      </c>
    </row>
    <row r="36" spans="1:4" ht="34.2" customHeight="1">
      <c r="A36" s="144" t="s">
        <v>59</v>
      </c>
      <c r="B36" s="138" t="s">
        <v>46</v>
      </c>
      <c r="C36" s="140" t="s">
        <v>164</v>
      </c>
      <c r="D36" s="140" t="s">
        <v>533</v>
      </c>
    </row>
    <row r="37" spans="1:4" ht="20.6" customHeight="1">
      <c r="A37" s="144" t="s">
        <v>53</v>
      </c>
      <c r="B37" s="138" t="s">
        <v>46</v>
      </c>
      <c r="C37" s="140" t="s">
        <v>124</v>
      </c>
      <c r="D37" s="140" t="s">
        <v>528</v>
      </c>
    </row>
    <row r="38" spans="1:4" ht="47.8" customHeight="1">
      <c r="A38" s="144" t="s">
        <v>57</v>
      </c>
      <c r="B38" s="138" t="s">
        <v>46</v>
      </c>
      <c r="C38" s="140" t="s">
        <v>128</v>
      </c>
      <c r="D38" s="140" t="s">
        <v>526</v>
      </c>
    </row>
    <row r="39" spans="1:4" ht="20.6" customHeight="1">
      <c r="A39" s="26" t="s">
        <v>53</v>
      </c>
      <c r="B39" s="16" t="s">
        <v>46</v>
      </c>
      <c r="C39" s="73" t="s">
        <v>128</v>
      </c>
      <c r="D39" s="73" t="s">
        <v>519</v>
      </c>
    </row>
    <row r="40" spans="1:4" ht="20.6" customHeight="1">
      <c r="A40" s="144" t="s">
        <v>61</v>
      </c>
      <c r="B40" s="138" t="s">
        <v>46</v>
      </c>
      <c r="C40" s="140" t="s">
        <v>132</v>
      </c>
      <c r="D40" s="140" t="s">
        <v>62</v>
      </c>
    </row>
    <row r="41" spans="1:4" ht="47.8" customHeight="1">
      <c r="A41" s="26" t="s">
        <v>57</v>
      </c>
      <c r="B41" s="16" t="s">
        <v>46</v>
      </c>
      <c r="C41" s="73" t="s">
        <v>132</v>
      </c>
      <c r="D41" s="73" t="s">
        <v>526</v>
      </c>
    </row>
    <row r="42" spans="1:4" ht="34.2" customHeight="1">
      <c r="A42" s="26" t="s">
        <v>53</v>
      </c>
      <c r="B42" s="16" t="s">
        <v>46</v>
      </c>
      <c r="C42" s="73" t="s">
        <v>132</v>
      </c>
      <c r="D42" s="73" t="s">
        <v>518</v>
      </c>
    </row>
  </sheetData>
  <autoFilter ref="A4:D42"/>
  <conditionalFormatting sqref="A5:A42">
    <cfRule type="cellIs" dxfId="9" priority="1" operator="equal">
      <formula>"Datenabfluss prüfen"</formula>
    </cfRule>
    <cfRule type="cellIs" dxfId="5" priority="2" operator="equal">
      <formula>"Nur-lokale Regel"</formula>
    </cfRule>
    <cfRule type="cellIs" dxfId="8" priority="3" operator="equal">
      <formula>"Sehr breit"</formula>
    </cfRule>
    <cfRule type="cellIs" dxfId="8" priority="4" operator="equal">
      <formula>"Keine Bedingung sichtbar"</formula>
    </cfRule>
    <cfRule type="cellIs" dxfId="9" priority="5" operator="equal">
      <formula>"Bedingung nicht lesbar"</formula>
    </cfRule>
    <cfRule type="cellIs" dxfId="11" priority="6" operator="equal">
      <formula>"Mehrfachziel"</formula>
    </cfRule>
    <cfRule type="cellIs" dxfId="4" priority="7" operator="equal">
      <formula>"Inaktiv"</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0.xml><?xml version="1.0" encoding="utf-8"?>
<worksheet xmlns="http://schemas.openxmlformats.org/spreadsheetml/2006/main" xmlns:r="http://schemas.openxmlformats.org/officeDocument/2006/relationships">
  <sheetPr codeName="shDiagnose">
    <tabColor rgb="FF8A5A00"/>
    <pageSetUpPr fitToPage="1"/>
  </sheetPr>
  <dimension ref="A1:M47"/>
  <sheetViews>
    <sheetView showGridLines="0" workbookViewId="0">
      <pane ySplit="4" topLeftCell="A5" activePane="bottomLeft" state="frozen"/>
      <selection pane="bottomLeft"/>
    </sheetView>
  </sheetViews>
  <sheetFormatPr defaultRowHeight="15"/>
  <cols>
    <col min="1" max="1" width="28.7109375" customWidth="1"/>
    <col min="2" max="2" width="10.7109375" customWidth="1"/>
    <col min="3" max="3" width="40.7109375" customWidth="1"/>
    <col min="4" max="4" width="7.7109375" customWidth="1"/>
    <col min="5" max="5" width="8.7109375" customWidth="1"/>
    <col min="6" max="6" width="24.7109375" customWidth="1"/>
    <col min="7" max="7" width="12.7109375" customWidth="1"/>
    <col min="8" max="9" width="34.7109375" customWidth="1"/>
    <col min="10" max="10" width="12.7109375" customWidth="1"/>
    <col min="11" max="12" width="34.7109375" customWidth="1"/>
    <col min="13" max="13" width="40.7109375" customWidth="1"/>
  </cols>
  <sheetData>
    <row r="1" spans="1:13" ht="36" customHeight="1">
      <c r="A1" s="36" t="s">
        <v>534</v>
      </c>
    </row>
    <row r="2" spans="1:13" ht="29.8" customHeight="1">
      <c r="A2" s="114" t="s">
        <v>535</v>
      </c>
      <c r="B2" s="114"/>
      <c r="C2" s="114"/>
      <c r="D2" s="114"/>
      <c r="E2" s="114"/>
      <c r="F2" s="114"/>
      <c r="G2" s="114"/>
      <c r="H2" s="114"/>
      <c r="I2" s="114"/>
      <c r="J2" s="114"/>
      <c r="K2" s="114"/>
      <c r="L2" s="114"/>
      <c r="M2" s="114"/>
    </row>
    <row r="3" spans="1:13" ht="8" customHeight="1"/>
    <row r="4" spans="1:13" ht="30" customHeight="1">
      <c r="A4" s="12" t="s">
        <v>42</v>
      </c>
      <c r="B4" s="13" t="s">
        <v>319</v>
      </c>
      <c r="C4" s="12" t="s">
        <v>320</v>
      </c>
      <c r="D4" s="13" t="s">
        <v>102</v>
      </c>
      <c r="E4" s="13" t="s">
        <v>536</v>
      </c>
      <c r="F4" s="12" t="s">
        <v>537</v>
      </c>
      <c r="G4" s="13" t="s">
        <v>538</v>
      </c>
      <c r="H4" s="12" t="s">
        <v>539</v>
      </c>
      <c r="I4" s="12" t="s">
        <v>540</v>
      </c>
      <c r="J4" s="13" t="s">
        <v>541</v>
      </c>
      <c r="K4" s="12" t="s">
        <v>542</v>
      </c>
      <c r="L4" s="12" t="s">
        <v>543</v>
      </c>
      <c r="M4" s="12" t="s">
        <v>544</v>
      </c>
    </row>
    <row r="5" spans="1:13" ht="31.5" customHeight="1">
      <c r="A5" s="55" t="s">
        <v>46</v>
      </c>
      <c r="B5" s="146">
        <v>1</v>
      </c>
      <c r="C5" s="147" t="s">
        <v>329</v>
      </c>
      <c r="D5" s="148" t="s">
        <v>330</v>
      </c>
      <c r="E5" s="148" t="s">
        <v>349</v>
      </c>
      <c r="F5" s="147" t="s">
        <v>545</v>
      </c>
      <c r="G5" s="148">
        <v>31</v>
      </c>
      <c r="H5" s="147" t="s">
        <v>546</v>
      </c>
      <c r="I5" s="147" t="s">
        <v>547</v>
      </c>
      <c r="J5" s="148">
        <v>31</v>
      </c>
      <c r="K5" s="147"/>
      <c r="L5" s="147" t="s">
        <v>548</v>
      </c>
      <c r="M5" s="147"/>
    </row>
    <row r="6" spans="1:13" ht="31.5" customHeight="1">
      <c r="A6" s="55" t="s">
        <v>46</v>
      </c>
      <c r="B6" s="146">
        <v>2</v>
      </c>
      <c r="C6" s="147" t="s">
        <v>167</v>
      </c>
      <c r="D6" s="148" t="s">
        <v>330</v>
      </c>
      <c r="E6" s="148" t="s">
        <v>349</v>
      </c>
      <c r="F6" s="147" t="s">
        <v>545</v>
      </c>
      <c r="G6" s="148">
        <v>31</v>
      </c>
      <c r="H6" s="147" t="s">
        <v>549</v>
      </c>
      <c r="I6" s="147" t="s">
        <v>550</v>
      </c>
      <c r="J6" s="148">
        <v>31</v>
      </c>
      <c r="K6" s="147"/>
      <c r="L6" s="147" t="s">
        <v>548</v>
      </c>
      <c r="M6" s="147"/>
    </row>
    <row r="7" spans="1:13" ht="31.5" customHeight="1">
      <c r="A7" s="55" t="s">
        <v>46</v>
      </c>
      <c r="B7" s="146">
        <v>3</v>
      </c>
      <c r="C7" s="147" t="s">
        <v>171</v>
      </c>
      <c r="D7" s="148" t="s">
        <v>330</v>
      </c>
      <c r="E7" s="148" t="s">
        <v>349</v>
      </c>
      <c r="F7" s="147" t="s">
        <v>545</v>
      </c>
      <c r="G7" s="148">
        <v>31</v>
      </c>
      <c r="H7" s="147" t="s">
        <v>549</v>
      </c>
      <c r="I7" s="147" t="s">
        <v>550</v>
      </c>
      <c r="J7" s="148">
        <v>31</v>
      </c>
      <c r="K7" s="147"/>
      <c r="L7" s="147" t="s">
        <v>548</v>
      </c>
      <c r="M7" s="147"/>
    </row>
    <row r="8" spans="1:13" ht="31.5" customHeight="1">
      <c r="A8" s="55" t="s">
        <v>46</v>
      </c>
      <c r="B8" s="146">
        <v>4</v>
      </c>
      <c r="C8" s="147" t="s">
        <v>173</v>
      </c>
      <c r="D8" s="148" t="s">
        <v>330</v>
      </c>
      <c r="E8" s="148" t="s">
        <v>349</v>
      </c>
      <c r="F8" s="147" t="s">
        <v>545</v>
      </c>
      <c r="G8" s="148">
        <v>31</v>
      </c>
      <c r="H8" s="147" t="s">
        <v>551</v>
      </c>
      <c r="I8" s="147" t="s">
        <v>552</v>
      </c>
      <c r="J8" s="148">
        <v>31</v>
      </c>
      <c r="K8" s="147" t="s">
        <v>551</v>
      </c>
      <c r="L8" s="147" t="s">
        <v>552</v>
      </c>
      <c r="M8" s="147"/>
    </row>
    <row r="9" spans="1:13" ht="31.5" customHeight="1">
      <c r="A9" s="55" t="s">
        <v>46</v>
      </c>
      <c r="B9" s="146">
        <v>5</v>
      </c>
      <c r="C9" s="147" t="s">
        <v>110</v>
      </c>
      <c r="D9" s="148" t="s">
        <v>330</v>
      </c>
      <c r="E9" s="148" t="s">
        <v>349</v>
      </c>
      <c r="F9" s="147" t="s">
        <v>545</v>
      </c>
      <c r="G9" s="148">
        <v>31</v>
      </c>
      <c r="H9" s="147" t="s">
        <v>553</v>
      </c>
      <c r="I9" s="147" t="s">
        <v>554</v>
      </c>
      <c r="J9" s="148">
        <v>31</v>
      </c>
      <c r="K9" s="147"/>
      <c r="L9" s="147" t="s">
        <v>548</v>
      </c>
      <c r="M9" s="147"/>
    </row>
    <row r="10" spans="1:13" ht="31.5" customHeight="1">
      <c r="A10" s="55" t="s">
        <v>46</v>
      </c>
      <c r="B10" s="146">
        <v>6</v>
      </c>
      <c r="C10" s="147" t="s">
        <v>116</v>
      </c>
      <c r="D10" s="148" t="s">
        <v>330</v>
      </c>
      <c r="E10" s="148" t="s">
        <v>349</v>
      </c>
      <c r="F10" s="147" t="s">
        <v>545</v>
      </c>
      <c r="G10" s="148">
        <v>31</v>
      </c>
      <c r="H10" s="147" t="s">
        <v>555</v>
      </c>
      <c r="I10" s="147" t="s">
        <v>556</v>
      </c>
      <c r="J10" s="148">
        <v>31</v>
      </c>
      <c r="K10" s="147"/>
      <c r="L10" s="147" t="s">
        <v>548</v>
      </c>
      <c r="M10" s="147"/>
    </row>
    <row r="11" spans="1:13" ht="31.5" customHeight="1">
      <c r="A11" s="55" t="s">
        <v>46</v>
      </c>
      <c r="B11" s="146">
        <v>7</v>
      </c>
      <c r="C11" s="147" t="s">
        <v>140</v>
      </c>
      <c r="D11" s="148" t="s">
        <v>330</v>
      </c>
      <c r="E11" s="148" t="s">
        <v>349</v>
      </c>
      <c r="F11" s="147" t="s">
        <v>545</v>
      </c>
      <c r="G11" s="148">
        <v>31</v>
      </c>
      <c r="H11" s="147" t="s">
        <v>551</v>
      </c>
      <c r="I11" s="147" t="s">
        <v>552</v>
      </c>
      <c r="J11" s="148">
        <v>31</v>
      </c>
      <c r="K11" s="147"/>
      <c r="L11" s="147" t="s">
        <v>548</v>
      </c>
      <c r="M11" s="147"/>
    </row>
    <row r="12" spans="1:13" ht="31.5" customHeight="1">
      <c r="A12" s="55" t="s">
        <v>46</v>
      </c>
      <c r="B12" s="146">
        <v>8</v>
      </c>
      <c r="C12" s="147" t="s">
        <v>144</v>
      </c>
      <c r="D12" s="148" t="s">
        <v>330</v>
      </c>
      <c r="E12" s="148" t="s">
        <v>349</v>
      </c>
      <c r="F12" s="147" t="s">
        <v>545</v>
      </c>
      <c r="G12" s="148">
        <v>31</v>
      </c>
      <c r="H12" s="147" t="s">
        <v>557</v>
      </c>
      <c r="I12" s="147" t="s">
        <v>558</v>
      </c>
      <c r="J12" s="148">
        <v>31</v>
      </c>
      <c r="K12" s="147" t="s">
        <v>559</v>
      </c>
      <c r="L12" s="147" t="s">
        <v>560</v>
      </c>
      <c r="M12" s="147"/>
    </row>
    <row r="13" spans="1:13" ht="31.5" customHeight="1">
      <c r="A13" s="55" t="s">
        <v>46</v>
      </c>
      <c r="B13" s="146">
        <v>9</v>
      </c>
      <c r="C13" s="147" t="s">
        <v>120</v>
      </c>
      <c r="D13" s="148" t="s">
        <v>330</v>
      </c>
      <c r="E13" s="148" t="s">
        <v>349</v>
      </c>
      <c r="F13" s="147" t="s">
        <v>545</v>
      </c>
      <c r="G13" s="148">
        <v>31</v>
      </c>
      <c r="H13" s="147" t="s">
        <v>551</v>
      </c>
      <c r="I13" s="147" t="s">
        <v>552</v>
      </c>
      <c r="J13" s="148">
        <v>31</v>
      </c>
      <c r="K13" s="147"/>
      <c r="L13" s="147" t="s">
        <v>548</v>
      </c>
      <c r="M13" s="147"/>
    </row>
    <row r="14" spans="1:13" ht="31.5" customHeight="1">
      <c r="A14" s="55" t="s">
        <v>46</v>
      </c>
      <c r="B14" s="146">
        <v>10</v>
      </c>
      <c r="C14" s="147" t="s">
        <v>148</v>
      </c>
      <c r="D14" s="148" t="s">
        <v>330</v>
      </c>
      <c r="E14" s="148" t="s">
        <v>349</v>
      </c>
      <c r="F14" s="147" t="s">
        <v>545</v>
      </c>
      <c r="G14" s="148">
        <v>31</v>
      </c>
      <c r="H14" s="147" t="s">
        <v>561</v>
      </c>
      <c r="I14" s="147" t="s">
        <v>562</v>
      </c>
      <c r="J14" s="148">
        <v>31</v>
      </c>
      <c r="K14" s="147"/>
      <c r="L14" s="147" t="s">
        <v>548</v>
      </c>
      <c r="M14" s="147"/>
    </row>
    <row r="15" spans="1:13" ht="31.5" customHeight="1">
      <c r="A15" s="55" t="s">
        <v>46</v>
      </c>
      <c r="B15" s="146">
        <v>11</v>
      </c>
      <c r="C15" s="147" t="s">
        <v>176</v>
      </c>
      <c r="D15" s="148" t="s">
        <v>330</v>
      </c>
      <c r="E15" s="148" t="s">
        <v>349</v>
      </c>
      <c r="F15" s="147" t="s">
        <v>545</v>
      </c>
      <c r="G15" s="148">
        <v>31</v>
      </c>
      <c r="H15" s="147" t="s">
        <v>563</v>
      </c>
      <c r="I15" s="147" t="s">
        <v>564</v>
      </c>
      <c r="J15" s="148">
        <v>31</v>
      </c>
      <c r="K15" s="147"/>
      <c r="L15" s="147" t="s">
        <v>548</v>
      </c>
      <c r="M15" s="147"/>
    </row>
    <row r="16" spans="1:13" ht="31.5" customHeight="1">
      <c r="A16" s="55" t="s">
        <v>46</v>
      </c>
      <c r="B16" s="146">
        <v>12</v>
      </c>
      <c r="C16" s="147" t="s">
        <v>152</v>
      </c>
      <c r="D16" s="148" t="s">
        <v>330</v>
      </c>
      <c r="E16" s="148" t="s">
        <v>349</v>
      </c>
      <c r="F16" s="147" t="s">
        <v>545</v>
      </c>
      <c r="G16" s="148">
        <v>31</v>
      </c>
      <c r="H16" s="147" t="s">
        <v>555</v>
      </c>
      <c r="I16" s="147" t="s">
        <v>556</v>
      </c>
      <c r="J16" s="148">
        <v>31</v>
      </c>
      <c r="K16" s="147"/>
      <c r="L16" s="147" t="s">
        <v>548</v>
      </c>
      <c r="M16" s="147"/>
    </row>
    <row r="17" spans="1:13" ht="31.5" customHeight="1">
      <c r="A17" s="55" t="s">
        <v>46</v>
      </c>
      <c r="B17" s="146">
        <v>13</v>
      </c>
      <c r="C17" s="147" t="s">
        <v>156</v>
      </c>
      <c r="D17" s="148" t="s">
        <v>330</v>
      </c>
      <c r="E17" s="148" t="s">
        <v>349</v>
      </c>
      <c r="F17" s="147" t="s">
        <v>545</v>
      </c>
      <c r="G17" s="148">
        <v>31</v>
      </c>
      <c r="H17" s="147" t="s">
        <v>555</v>
      </c>
      <c r="I17" s="147" t="s">
        <v>556</v>
      </c>
      <c r="J17" s="148">
        <v>31</v>
      </c>
      <c r="K17" s="147"/>
      <c r="L17" s="147" t="s">
        <v>548</v>
      </c>
      <c r="M17" s="147"/>
    </row>
    <row r="18" spans="1:13" ht="31.5" customHeight="1">
      <c r="A18" s="55" t="s">
        <v>46</v>
      </c>
      <c r="B18" s="146">
        <v>14</v>
      </c>
      <c r="C18" s="147" t="s">
        <v>160</v>
      </c>
      <c r="D18" s="148" t="s">
        <v>330</v>
      </c>
      <c r="E18" s="148" t="s">
        <v>349</v>
      </c>
      <c r="F18" s="147" t="s">
        <v>545</v>
      </c>
      <c r="G18" s="148">
        <v>31</v>
      </c>
      <c r="H18" s="147" t="s">
        <v>551</v>
      </c>
      <c r="I18" s="147" t="s">
        <v>552</v>
      </c>
      <c r="J18" s="148">
        <v>31</v>
      </c>
      <c r="K18" s="147"/>
      <c r="L18" s="147" t="s">
        <v>548</v>
      </c>
      <c r="M18" s="147"/>
    </row>
    <row r="19" spans="1:13" ht="31.5" customHeight="1">
      <c r="A19" s="55" t="s">
        <v>46</v>
      </c>
      <c r="B19" s="146">
        <v>15</v>
      </c>
      <c r="C19" s="147" t="s">
        <v>164</v>
      </c>
      <c r="D19" s="148" t="s">
        <v>330</v>
      </c>
      <c r="E19" s="148" t="s">
        <v>349</v>
      </c>
      <c r="F19" s="147" t="s">
        <v>545</v>
      </c>
      <c r="G19" s="148">
        <v>31</v>
      </c>
      <c r="H19" s="147" t="s">
        <v>549</v>
      </c>
      <c r="I19" s="147" t="s">
        <v>550</v>
      </c>
      <c r="J19" s="148">
        <v>31</v>
      </c>
      <c r="K19" s="147" t="s">
        <v>555</v>
      </c>
      <c r="L19" s="147" t="s">
        <v>556</v>
      </c>
      <c r="M19" s="147"/>
    </row>
    <row r="20" spans="1:13" ht="31.5" customHeight="1">
      <c r="A20" s="55" t="s">
        <v>46</v>
      </c>
      <c r="B20" s="146">
        <v>16</v>
      </c>
      <c r="C20" s="147" t="s">
        <v>124</v>
      </c>
      <c r="D20" s="148" t="s">
        <v>330</v>
      </c>
      <c r="E20" s="148" t="s">
        <v>349</v>
      </c>
      <c r="F20" s="147" t="s">
        <v>545</v>
      </c>
      <c r="G20" s="148">
        <v>31</v>
      </c>
      <c r="H20" s="147" t="s">
        <v>551</v>
      </c>
      <c r="I20" s="147" t="s">
        <v>552</v>
      </c>
      <c r="J20" s="148">
        <v>31</v>
      </c>
      <c r="K20" s="147"/>
      <c r="L20" s="147" t="s">
        <v>548</v>
      </c>
      <c r="M20" s="147"/>
    </row>
    <row r="21" spans="1:13" ht="31.5" customHeight="1">
      <c r="A21" s="55" t="s">
        <v>46</v>
      </c>
      <c r="B21" s="146">
        <v>17</v>
      </c>
      <c r="C21" s="147" t="s">
        <v>128</v>
      </c>
      <c r="D21" s="148" t="s">
        <v>330</v>
      </c>
      <c r="E21" s="148" t="s">
        <v>349</v>
      </c>
      <c r="F21" s="147" t="s">
        <v>565</v>
      </c>
      <c r="G21" s="148">
        <v>31</v>
      </c>
      <c r="H21" s="147"/>
      <c r="I21" s="147" t="s">
        <v>548</v>
      </c>
      <c r="J21" s="148">
        <v>31</v>
      </c>
      <c r="K21" s="147"/>
      <c r="L21" s="147" t="s">
        <v>548</v>
      </c>
      <c r="M21" s="147"/>
    </row>
    <row r="22" spans="1:13" ht="31.5" customHeight="1">
      <c r="A22" s="55" t="s">
        <v>46</v>
      </c>
      <c r="B22" s="146">
        <v>18</v>
      </c>
      <c r="C22" s="147" t="s">
        <v>132</v>
      </c>
      <c r="D22" s="148" t="s">
        <v>349</v>
      </c>
      <c r="E22" s="148" t="s">
        <v>349</v>
      </c>
      <c r="F22" s="147" t="s">
        <v>565</v>
      </c>
      <c r="G22" s="148">
        <v>31</v>
      </c>
      <c r="H22" s="147"/>
      <c r="I22" s="147" t="s">
        <v>548</v>
      </c>
      <c r="J22" s="148">
        <v>31</v>
      </c>
      <c r="K22" s="147" t="s">
        <v>549</v>
      </c>
      <c r="L22" s="147" t="s">
        <v>550</v>
      </c>
      <c r="M22" s="147"/>
    </row>
    <row r="23" spans="1:13" ht="19.2" customHeight="1">
      <c r="A23" s="149" t="s">
        <v>47</v>
      </c>
      <c r="B23" s="150">
        <v>1</v>
      </c>
      <c r="C23" s="151" t="s">
        <v>137</v>
      </c>
      <c r="D23" s="152" t="s">
        <v>330</v>
      </c>
      <c r="E23" s="152" t="s">
        <v>349</v>
      </c>
      <c r="F23" s="151" t="s">
        <v>545</v>
      </c>
      <c r="G23" s="152">
        <v>31</v>
      </c>
      <c r="H23" s="151" t="s">
        <v>546</v>
      </c>
      <c r="I23" s="151" t="s">
        <v>547</v>
      </c>
      <c r="J23" s="152">
        <v>31</v>
      </c>
      <c r="K23" s="151"/>
      <c r="L23" s="151" t="s">
        <v>548</v>
      </c>
      <c r="M23" s="151"/>
    </row>
    <row r="24" spans="1:13" ht="19.2" customHeight="1">
      <c r="A24" s="55" t="s">
        <v>47</v>
      </c>
      <c r="B24" s="146">
        <v>2</v>
      </c>
      <c r="C24" s="147" t="s">
        <v>180</v>
      </c>
      <c r="D24" s="148" t="s">
        <v>330</v>
      </c>
      <c r="E24" s="148" t="s">
        <v>349</v>
      </c>
      <c r="F24" s="147" t="s">
        <v>545</v>
      </c>
      <c r="G24" s="148">
        <v>31</v>
      </c>
      <c r="H24" s="147" t="s">
        <v>566</v>
      </c>
      <c r="I24" s="147" t="s">
        <v>567</v>
      </c>
      <c r="J24" s="148">
        <v>31</v>
      </c>
      <c r="K24" s="147"/>
      <c r="L24" s="147" t="s">
        <v>548</v>
      </c>
      <c r="M24" s="147"/>
    </row>
    <row r="25" spans="1:13" ht="19.2" customHeight="1">
      <c r="A25" s="55" t="s">
        <v>47</v>
      </c>
      <c r="B25" s="146">
        <v>3</v>
      </c>
      <c r="C25" s="147" t="s">
        <v>110</v>
      </c>
      <c r="D25" s="148" t="s">
        <v>349</v>
      </c>
      <c r="E25" s="148" t="s">
        <v>330</v>
      </c>
      <c r="F25" s="147" t="s">
        <v>545</v>
      </c>
      <c r="G25" s="148">
        <v>31</v>
      </c>
      <c r="H25" s="147" t="s">
        <v>553</v>
      </c>
      <c r="I25" s="147" t="s">
        <v>554</v>
      </c>
      <c r="J25" s="148">
        <v>31</v>
      </c>
      <c r="K25" s="147"/>
      <c r="L25" s="147" t="s">
        <v>548</v>
      </c>
      <c r="M25" s="147"/>
    </row>
    <row r="26" spans="1:13" ht="19.2" customHeight="1">
      <c r="A26" s="55" t="s">
        <v>47</v>
      </c>
      <c r="B26" s="146">
        <v>4</v>
      </c>
      <c r="C26" s="147" t="s">
        <v>183</v>
      </c>
      <c r="D26" s="148" t="s">
        <v>349</v>
      </c>
      <c r="E26" s="148" t="s">
        <v>349</v>
      </c>
      <c r="F26" s="147" t="s">
        <v>545</v>
      </c>
      <c r="G26" s="148">
        <v>31</v>
      </c>
      <c r="H26" s="147" t="s">
        <v>568</v>
      </c>
      <c r="I26" s="147" t="s">
        <v>569</v>
      </c>
      <c r="J26" s="148">
        <v>31</v>
      </c>
      <c r="K26" s="147"/>
      <c r="L26" s="147" t="s">
        <v>548</v>
      </c>
      <c r="M26" s="147"/>
    </row>
    <row r="27" spans="1:13" ht="19.2" customHeight="1">
      <c r="A27" s="55" t="s">
        <v>47</v>
      </c>
      <c r="B27" s="146">
        <v>5</v>
      </c>
      <c r="C27" s="147" t="s">
        <v>116</v>
      </c>
      <c r="D27" s="148" t="s">
        <v>330</v>
      </c>
      <c r="E27" s="148" t="s">
        <v>349</v>
      </c>
      <c r="F27" s="147" t="s">
        <v>545</v>
      </c>
      <c r="G27" s="148">
        <v>31</v>
      </c>
      <c r="H27" s="147" t="s">
        <v>549</v>
      </c>
      <c r="I27" s="147" t="s">
        <v>550</v>
      </c>
      <c r="J27" s="148">
        <v>31</v>
      </c>
      <c r="K27" s="147"/>
      <c r="L27" s="147" t="s">
        <v>548</v>
      </c>
      <c r="M27" s="147"/>
    </row>
    <row r="28" spans="1:13" ht="31.5" customHeight="1">
      <c r="A28" s="55" t="s">
        <v>47</v>
      </c>
      <c r="B28" s="146">
        <v>6</v>
      </c>
      <c r="C28" s="147" t="s">
        <v>140</v>
      </c>
      <c r="D28" s="148" t="s">
        <v>330</v>
      </c>
      <c r="E28" s="148" t="s">
        <v>349</v>
      </c>
      <c r="F28" s="147" t="s">
        <v>545</v>
      </c>
      <c r="G28" s="148">
        <v>31</v>
      </c>
      <c r="H28" s="147" t="s">
        <v>551</v>
      </c>
      <c r="I28" s="147" t="s">
        <v>552</v>
      </c>
      <c r="J28" s="148">
        <v>31</v>
      </c>
      <c r="K28" s="147"/>
      <c r="L28" s="147" t="s">
        <v>548</v>
      </c>
      <c r="M28" s="147"/>
    </row>
    <row r="29" spans="1:13" ht="31.5" customHeight="1">
      <c r="A29" s="55" t="s">
        <v>47</v>
      </c>
      <c r="B29" s="146">
        <v>7</v>
      </c>
      <c r="C29" s="147" t="s">
        <v>144</v>
      </c>
      <c r="D29" s="148" t="s">
        <v>330</v>
      </c>
      <c r="E29" s="148" t="s">
        <v>349</v>
      </c>
      <c r="F29" s="147" t="s">
        <v>545</v>
      </c>
      <c r="G29" s="148">
        <v>31</v>
      </c>
      <c r="H29" s="147" t="s">
        <v>557</v>
      </c>
      <c r="I29" s="147" t="s">
        <v>558</v>
      </c>
      <c r="J29" s="148">
        <v>31</v>
      </c>
      <c r="K29" s="147" t="s">
        <v>559</v>
      </c>
      <c r="L29" s="147" t="s">
        <v>560</v>
      </c>
      <c r="M29" s="147"/>
    </row>
    <row r="30" spans="1:13" ht="19.2" customHeight="1">
      <c r="A30" s="55" t="s">
        <v>47</v>
      </c>
      <c r="B30" s="146">
        <v>8</v>
      </c>
      <c r="C30" s="147" t="s">
        <v>186</v>
      </c>
      <c r="D30" s="148" t="s">
        <v>330</v>
      </c>
      <c r="E30" s="148" t="s">
        <v>349</v>
      </c>
      <c r="F30" s="147" t="s">
        <v>545</v>
      </c>
      <c r="G30" s="148">
        <v>31</v>
      </c>
      <c r="H30" s="147" t="s">
        <v>555</v>
      </c>
      <c r="I30" s="147" t="s">
        <v>556</v>
      </c>
      <c r="J30" s="148">
        <v>31</v>
      </c>
      <c r="K30" s="147"/>
      <c r="L30" s="147" t="s">
        <v>548</v>
      </c>
      <c r="M30" s="147"/>
    </row>
    <row r="31" spans="1:13" ht="19.2" customHeight="1">
      <c r="A31" s="55" t="s">
        <v>47</v>
      </c>
      <c r="B31" s="146">
        <v>9</v>
      </c>
      <c r="C31" s="147" t="s">
        <v>120</v>
      </c>
      <c r="D31" s="148" t="s">
        <v>330</v>
      </c>
      <c r="E31" s="148" t="s">
        <v>349</v>
      </c>
      <c r="F31" s="147" t="s">
        <v>545</v>
      </c>
      <c r="G31" s="148">
        <v>31</v>
      </c>
      <c r="H31" s="147" t="s">
        <v>551</v>
      </c>
      <c r="I31" s="147" t="s">
        <v>552</v>
      </c>
      <c r="J31" s="148">
        <v>31</v>
      </c>
      <c r="K31" s="147"/>
      <c r="L31" s="147" t="s">
        <v>548</v>
      </c>
      <c r="M31" s="147"/>
    </row>
    <row r="32" spans="1:13" ht="31.5" customHeight="1">
      <c r="A32" s="55" t="s">
        <v>47</v>
      </c>
      <c r="B32" s="146">
        <v>10</v>
      </c>
      <c r="C32" s="147" t="s">
        <v>148</v>
      </c>
      <c r="D32" s="148" t="s">
        <v>330</v>
      </c>
      <c r="E32" s="148" t="s">
        <v>349</v>
      </c>
      <c r="F32" s="147" t="s">
        <v>545</v>
      </c>
      <c r="G32" s="148">
        <v>31</v>
      </c>
      <c r="H32" s="147" t="s">
        <v>561</v>
      </c>
      <c r="I32" s="147" t="s">
        <v>562</v>
      </c>
      <c r="J32" s="148">
        <v>31</v>
      </c>
      <c r="K32" s="147"/>
      <c r="L32" s="147" t="s">
        <v>548</v>
      </c>
      <c r="M32" s="147"/>
    </row>
    <row r="33" spans="1:13" ht="31.5" customHeight="1">
      <c r="A33" s="55" t="s">
        <v>47</v>
      </c>
      <c r="B33" s="146">
        <v>11</v>
      </c>
      <c r="C33" s="147" t="s">
        <v>188</v>
      </c>
      <c r="D33" s="148" t="s">
        <v>330</v>
      </c>
      <c r="E33" s="148" t="s">
        <v>349</v>
      </c>
      <c r="F33" s="147" t="s">
        <v>545</v>
      </c>
      <c r="G33" s="148">
        <v>31</v>
      </c>
      <c r="H33" s="147" t="s">
        <v>570</v>
      </c>
      <c r="I33" s="147" t="s">
        <v>571</v>
      </c>
      <c r="J33" s="148">
        <v>31</v>
      </c>
      <c r="K33" s="147"/>
      <c r="L33" s="147" t="s">
        <v>548</v>
      </c>
      <c r="M33" s="147"/>
    </row>
    <row r="34" spans="1:13" ht="31.5" customHeight="1">
      <c r="A34" s="55" t="s">
        <v>47</v>
      </c>
      <c r="B34" s="146">
        <v>12</v>
      </c>
      <c r="C34" s="147" t="s">
        <v>190</v>
      </c>
      <c r="D34" s="148" t="s">
        <v>330</v>
      </c>
      <c r="E34" s="148" t="s">
        <v>349</v>
      </c>
      <c r="F34" s="147" t="s">
        <v>545</v>
      </c>
      <c r="G34" s="148">
        <v>31</v>
      </c>
      <c r="H34" s="147" t="s">
        <v>570</v>
      </c>
      <c r="I34" s="147" t="s">
        <v>571</v>
      </c>
      <c r="J34" s="148">
        <v>31</v>
      </c>
      <c r="K34" s="147"/>
      <c r="L34" s="147" t="s">
        <v>548</v>
      </c>
      <c r="M34" s="147"/>
    </row>
    <row r="35" spans="1:13" ht="19.2" customHeight="1">
      <c r="A35" s="55" t="s">
        <v>47</v>
      </c>
      <c r="B35" s="146">
        <v>13</v>
      </c>
      <c r="C35" s="147" t="s">
        <v>192</v>
      </c>
      <c r="D35" s="148" t="s">
        <v>330</v>
      </c>
      <c r="E35" s="148" t="s">
        <v>349</v>
      </c>
      <c r="F35" s="147" t="s">
        <v>545</v>
      </c>
      <c r="G35" s="148">
        <v>31</v>
      </c>
      <c r="H35" s="147" t="s">
        <v>568</v>
      </c>
      <c r="I35" s="147" t="s">
        <v>569</v>
      </c>
      <c r="J35" s="148">
        <v>31</v>
      </c>
      <c r="K35" s="147"/>
      <c r="L35" s="147" t="s">
        <v>548</v>
      </c>
      <c r="M35" s="147"/>
    </row>
    <row r="36" spans="1:13" ht="31.5" customHeight="1">
      <c r="A36" s="55" t="s">
        <v>47</v>
      </c>
      <c r="B36" s="146">
        <v>14</v>
      </c>
      <c r="C36" s="147" t="s">
        <v>194</v>
      </c>
      <c r="D36" s="148" t="s">
        <v>330</v>
      </c>
      <c r="E36" s="148" t="s">
        <v>349</v>
      </c>
      <c r="F36" s="147" t="s">
        <v>545</v>
      </c>
      <c r="G36" s="148">
        <v>31</v>
      </c>
      <c r="H36" s="147" t="s">
        <v>570</v>
      </c>
      <c r="I36" s="147" t="s">
        <v>571</v>
      </c>
      <c r="J36" s="148">
        <v>31</v>
      </c>
      <c r="K36" s="147"/>
      <c r="L36" s="147" t="s">
        <v>548</v>
      </c>
      <c r="M36" s="147"/>
    </row>
    <row r="37" spans="1:13" ht="31.5" customHeight="1">
      <c r="A37" s="55" t="s">
        <v>47</v>
      </c>
      <c r="B37" s="146">
        <v>15</v>
      </c>
      <c r="C37" s="147" t="s">
        <v>196</v>
      </c>
      <c r="D37" s="148" t="s">
        <v>330</v>
      </c>
      <c r="E37" s="148" t="s">
        <v>349</v>
      </c>
      <c r="F37" s="147" t="s">
        <v>545</v>
      </c>
      <c r="G37" s="148">
        <v>31</v>
      </c>
      <c r="H37" s="147" t="s">
        <v>555</v>
      </c>
      <c r="I37" s="147" t="s">
        <v>556</v>
      </c>
      <c r="J37" s="148">
        <v>31</v>
      </c>
      <c r="K37" s="147"/>
      <c r="L37" s="147" t="s">
        <v>548</v>
      </c>
      <c r="M37" s="147"/>
    </row>
    <row r="38" spans="1:13" ht="31.5" customHeight="1">
      <c r="A38" s="55" t="s">
        <v>47</v>
      </c>
      <c r="B38" s="146">
        <v>16</v>
      </c>
      <c r="C38" s="147" t="s">
        <v>199</v>
      </c>
      <c r="D38" s="148" t="s">
        <v>330</v>
      </c>
      <c r="E38" s="148" t="s">
        <v>349</v>
      </c>
      <c r="F38" s="147" t="s">
        <v>545</v>
      </c>
      <c r="G38" s="148">
        <v>31</v>
      </c>
      <c r="H38" s="147" t="s">
        <v>549</v>
      </c>
      <c r="I38" s="147" t="s">
        <v>550</v>
      </c>
      <c r="J38" s="148">
        <v>31</v>
      </c>
      <c r="K38" s="147"/>
      <c r="L38" s="147" t="s">
        <v>548</v>
      </c>
      <c r="M38" s="147"/>
    </row>
    <row r="39" spans="1:13" ht="19.2" customHeight="1">
      <c r="A39" s="55" t="s">
        <v>47</v>
      </c>
      <c r="B39" s="146">
        <v>17</v>
      </c>
      <c r="C39" s="147" t="s">
        <v>152</v>
      </c>
      <c r="D39" s="148" t="s">
        <v>330</v>
      </c>
      <c r="E39" s="148" t="s">
        <v>349</v>
      </c>
      <c r="F39" s="147" t="s">
        <v>545</v>
      </c>
      <c r="G39" s="148">
        <v>31</v>
      </c>
      <c r="H39" s="147" t="s">
        <v>555</v>
      </c>
      <c r="I39" s="147" t="s">
        <v>556</v>
      </c>
      <c r="J39" s="148">
        <v>31</v>
      </c>
      <c r="K39" s="147"/>
      <c r="L39" s="147" t="s">
        <v>548</v>
      </c>
      <c r="M39" s="147"/>
    </row>
    <row r="40" spans="1:13" ht="31.5" customHeight="1">
      <c r="A40" s="55" t="s">
        <v>47</v>
      </c>
      <c r="B40" s="146">
        <v>18</v>
      </c>
      <c r="C40" s="147" t="s">
        <v>156</v>
      </c>
      <c r="D40" s="148" t="s">
        <v>330</v>
      </c>
      <c r="E40" s="148" t="s">
        <v>349</v>
      </c>
      <c r="F40" s="147" t="s">
        <v>545</v>
      </c>
      <c r="G40" s="148">
        <v>31</v>
      </c>
      <c r="H40" s="147" t="s">
        <v>555</v>
      </c>
      <c r="I40" s="147" t="s">
        <v>556</v>
      </c>
      <c r="J40" s="148">
        <v>31</v>
      </c>
      <c r="K40" s="147"/>
      <c r="L40" s="147" t="s">
        <v>548</v>
      </c>
      <c r="M40" s="147"/>
    </row>
    <row r="41" spans="1:13" ht="19.2" customHeight="1">
      <c r="A41" s="55" t="s">
        <v>47</v>
      </c>
      <c r="B41" s="146">
        <v>19</v>
      </c>
      <c r="C41" s="147" t="s">
        <v>160</v>
      </c>
      <c r="D41" s="148" t="s">
        <v>330</v>
      </c>
      <c r="E41" s="148" t="s">
        <v>349</v>
      </c>
      <c r="F41" s="147" t="s">
        <v>545</v>
      </c>
      <c r="G41" s="148">
        <v>31</v>
      </c>
      <c r="H41" s="147" t="s">
        <v>551</v>
      </c>
      <c r="I41" s="147" t="s">
        <v>552</v>
      </c>
      <c r="J41" s="148">
        <v>31</v>
      </c>
      <c r="K41" s="147"/>
      <c r="L41" s="147" t="s">
        <v>548</v>
      </c>
      <c r="M41" s="147"/>
    </row>
    <row r="42" spans="1:13" ht="31.5" customHeight="1">
      <c r="A42" s="55" t="s">
        <v>47</v>
      </c>
      <c r="B42" s="146">
        <v>20</v>
      </c>
      <c r="C42" s="147" t="s">
        <v>164</v>
      </c>
      <c r="D42" s="148" t="s">
        <v>330</v>
      </c>
      <c r="E42" s="148" t="s">
        <v>349</v>
      </c>
      <c r="F42" s="147" t="s">
        <v>545</v>
      </c>
      <c r="G42" s="148">
        <v>31</v>
      </c>
      <c r="H42" s="147" t="s">
        <v>549</v>
      </c>
      <c r="I42" s="147" t="s">
        <v>550</v>
      </c>
      <c r="J42" s="148">
        <v>31</v>
      </c>
      <c r="K42" s="147" t="s">
        <v>555</v>
      </c>
      <c r="L42" s="147" t="s">
        <v>556</v>
      </c>
      <c r="M42" s="147"/>
    </row>
    <row r="43" spans="1:13" ht="19.2" customHeight="1">
      <c r="A43" s="55" t="s">
        <v>47</v>
      </c>
      <c r="B43" s="146">
        <v>21</v>
      </c>
      <c r="C43" s="147" t="s">
        <v>124</v>
      </c>
      <c r="D43" s="148" t="s">
        <v>330</v>
      </c>
      <c r="E43" s="148" t="s">
        <v>349</v>
      </c>
      <c r="F43" s="147" t="s">
        <v>545</v>
      </c>
      <c r="G43" s="148">
        <v>31</v>
      </c>
      <c r="H43" s="147" t="s">
        <v>551</v>
      </c>
      <c r="I43" s="147" t="s">
        <v>552</v>
      </c>
      <c r="J43" s="148">
        <v>31</v>
      </c>
      <c r="K43" s="147" t="s">
        <v>549</v>
      </c>
      <c r="L43" s="147" t="s">
        <v>550</v>
      </c>
      <c r="M43" s="147"/>
    </row>
    <row r="44" spans="1:13" ht="19.2" customHeight="1">
      <c r="A44" s="55" t="s">
        <v>47</v>
      </c>
      <c r="B44" s="146">
        <v>22</v>
      </c>
      <c r="C44" s="147" t="s">
        <v>202</v>
      </c>
      <c r="D44" s="148" t="s">
        <v>330</v>
      </c>
      <c r="E44" s="148" t="s">
        <v>349</v>
      </c>
      <c r="F44" s="147" t="s">
        <v>545</v>
      </c>
      <c r="G44" s="148">
        <v>31</v>
      </c>
      <c r="H44" s="147" t="s">
        <v>551</v>
      </c>
      <c r="I44" s="147" t="s">
        <v>552</v>
      </c>
      <c r="J44" s="148">
        <v>31</v>
      </c>
      <c r="K44" s="147"/>
      <c r="L44" s="147" t="s">
        <v>548</v>
      </c>
      <c r="M44" s="147"/>
    </row>
    <row r="45" spans="1:13" ht="19.2" customHeight="1">
      <c r="A45" s="55" t="s">
        <v>47</v>
      </c>
      <c r="B45" s="146">
        <v>23</v>
      </c>
      <c r="C45" s="147" t="s">
        <v>128</v>
      </c>
      <c r="D45" s="148" t="s">
        <v>330</v>
      </c>
      <c r="E45" s="148" t="s">
        <v>349</v>
      </c>
      <c r="F45" s="147" t="s">
        <v>565</v>
      </c>
      <c r="G45" s="148">
        <v>31</v>
      </c>
      <c r="H45" s="147"/>
      <c r="I45" s="147" t="s">
        <v>548</v>
      </c>
      <c r="J45" s="148">
        <v>31</v>
      </c>
      <c r="K45" s="147" t="s">
        <v>549</v>
      </c>
      <c r="L45" s="147" t="s">
        <v>550</v>
      </c>
      <c r="M45" s="147"/>
    </row>
    <row r="46" spans="1:13" ht="19.2" customHeight="1">
      <c r="A46" s="55" t="s">
        <v>47</v>
      </c>
      <c r="B46" s="146">
        <v>24</v>
      </c>
      <c r="C46" s="147" t="s">
        <v>132</v>
      </c>
      <c r="D46" s="148" t="s">
        <v>349</v>
      </c>
      <c r="E46" s="148" t="s">
        <v>349</v>
      </c>
      <c r="F46" s="147" t="s">
        <v>565</v>
      </c>
      <c r="G46" s="148">
        <v>31</v>
      </c>
      <c r="H46" s="147"/>
      <c r="I46" s="147" t="s">
        <v>548</v>
      </c>
      <c r="J46" s="148">
        <v>31</v>
      </c>
      <c r="K46" s="147" t="s">
        <v>549</v>
      </c>
      <c r="L46" s="147" t="s">
        <v>550</v>
      </c>
      <c r="M46" s="147"/>
    </row>
    <row r="47" spans="1:13" ht="31.5" customHeight="1">
      <c r="A47" s="55" t="s">
        <v>47</v>
      </c>
      <c r="B47" s="146">
        <v>25</v>
      </c>
      <c r="C47" s="147" t="s">
        <v>204</v>
      </c>
      <c r="D47" s="148" t="s">
        <v>349</v>
      </c>
      <c r="E47" s="148" t="s">
        <v>349</v>
      </c>
      <c r="F47" s="147" t="s">
        <v>565</v>
      </c>
      <c r="G47" s="148">
        <v>31</v>
      </c>
      <c r="H47" s="147"/>
      <c r="I47" s="147" t="s">
        <v>548</v>
      </c>
      <c r="J47" s="148">
        <v>31</v>
      </c>
      <c r="K47" s="147" t="s">
        <v>549</v>
      </c>
      <c r="L47" s="147" t="s">
        <v>550</v>
      </c>
      <c r="M47" s="147"/>
    </row>
  </sheetData>
  <autoFilter ref="A4:M47"/>
  <mergeCells count="1">
    <mergeCell ref="A2:M2"/>
  </mergeCells>
  <conditionalFormatting sqref="F5:F47">
    <cfRule type="beginsWith" dxfId="0" priority="1" operator="beginsWith" text="a ">
      <formula>LEFT(F5,2)="a "</formula>
    </cfRule>
    <cfRule type="beginsWith" dxfId="8" priority="2" operator="beginsWith" text="b ">
      <formula>LEFT(F5,2)="b "</formula>
    </cfRule>
    <cfRule type="beginsWith" dxfId="9" priority="3" operator="beginsWith" text="c ">
      <formula>LEFT(F5,2)="c "</formula>
    </cfRule>
    <cfRule type="containsText" dxfId="9" priority="4" operator="containsText" text="teilweise">
      <formula>NOT(ISERROR(SEARCH("teilweise",F5)))</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1.xml><?xml version="1.0" encoding="utf-8"?>
<worksheet xmlns="http://schemas.openxmlformats.org/spreadsheetml/2006/main" xmlns:r="http://schemas.openxmlformats.org/officeDocument/2006/relationships">
  <sheetPr codeName="shLive">
    <tabColor rgb="FF0F94A7"/>
    <pageSetUpPr fitToPage="1"/>
  </sheetPr>
  <dimension ref="A1:N4"/>
  <sheetViews>
    <sheetView showGridLines="0" workbookViewId="0">
      <pane ySplit="4" topLeftCell="A5" activePane="bottomLeft" state="frozen"/>
      <selection pane="bottomLeft"/>
    </sheetView>
  </sheetViews>
  <sheetFormatPr defaultRowHeight="15"/>
  <cols>
    <col min="1" max="1" width="26.7109375" style="153" customWidth="1"/>
    <col min="2" max="2" width="6.7109375" style="153" customWidth="1"/>
    <col min="3" max="3" width="40.7109375" style="153" customWidth="1"/>
    <col min="4" max="4" width="7.7109375" style="153" customWidth="1"/>
    <col min="5" max="5" width="8.7109375" style="153" customWidth="1"/>
    <col min="6" max="6" width="44.7109375" style="153" customWidth="1"/>
    <col min="7" max="7" width="30.7109375" style="153" customWidth="1"/>
    <col min="8" max="8" width="56.7109375" style="153" customWidth="1"/>
    <col min="9" max="10" width="40.7109375" style="153" customWidth="1"/>
    <col min="11" max="11" width="10.7109375" style="153" customWidth="1"/>
    <col min="12" max="12" width="12.7109375" style="153" customWidth="1"/>
    <col min="13" max="13" width="8.7109375" style="153" customWidth="1"/>
    <col min="14" max="14" width="44.7109375" style="153" customWidth="1"/>
  </cols>
  <sheetData>
    <row r="1" spans="1:14" ht="36" customHeight="1">
      <c r="A1" s="36" t="s">
        <v>656</v>
      </c>
    </row>
    <row r="2" spans="1:14" ht="18" customHeight="1">
      <c r="A2" s="65" t="s">
        <v>657</v>
      </c>
    </row>
    <row r="3" spans="1:14" ht="8" customHeight="1"/>
    <row r="4" spans="1:14" ht="30" customHeight="1">
      <c r="A4" s="12" t="s">
        <v>42</v>
      </c>
      <c r="B4" s="12" t="s">
        <v>658</v>
      </c>
      <c r="C4" s="12" t="s">
        <v>99</v>
      </c>
      <c r="D4" s="12" t="s">
        <v>102</v>
      </c>
      <c r="E4" s="12" t="s">
        <v>536</v>
      </c>
      <c r="F4" s="12" t="s">
        <v>659</v>
      </c>
      <c r="G4" s="12" t="s">
        <v>660</v>
      </c>
      <c r="H4" s="12" t="s">
        <v>326</v>
      </c>
      <c r="I4" s="12" t="s">
        <v>661</v>
      </c>
      <c r="J4" s="12" t="s">
        <v>662</v>
      </c>
      <c r="K4" s="12" t="s">
        <v>663</v>
      </c>
      <c r="L4" s="12" t="s">
        <v>664</v>
      </c>
      <c r="M4" s="12" t="s">
        <v>665</v>
      </c>
      <c r="N4" s="12" t="s">
        <v>80</v>
      </c>
    </row>
  </sheetData>
  <autoFilter ref="A4:N2004"/>
  <conditionalFormatting sqref="D5:D2005">
    <cfRule type="cellIs" dxfId="14" priority="3" operator="equal">
      <formula>"Nein"</formula>
    </cfRule>
  </conditionalFormatting>
  <conditionalFormatting sqref="M5:M2005">
    <cfRule type="cellIs" dxfId="9" priority="1" operator="equal">
      <formula>"Nein"</formula>
    </cfRule>
  </conditionalFormatting>
  <conditionalFormatting sqref="N5:N2005">
    <cfRule type="beginsWith" dxfId="16" priority="2" operator="beginsWith" text="keine sichtbare">
      <formula>LEFT(N5,15)="keine sichtbare"</formula>
    </cfRule>
  </conditionalFormatting>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2.xml><?xml version="1.0" encoding="utf-8"?>
<worksheet xmlns="http://schemas.openxmlformats.org/spreadsheetml/2006/main" xmlns:r="http://schemas.openxmlformats.org/officeDocument/2006/relationships">
  <sheetPr codeName="shSicherung">
    <tabColor rgb="FF4A5360"/>
    <pageSetUpPr fitToPage="1"/>
  </sheetPr>
  <dimension ref="A1:L4"/>
  <sheetViews>
    <sheetView showGridLines="0" workbookViewId="0">
      <pane ySplit="4" topLeftCell="A5" activePane="bottomLeft" state="frozen"/>
      <selection pane="bottomLeft"/>
    </sheetView>
  </sheetViews>
  <sheetFormatPr defaultRowHeight="15"/>
  <cols>
    <col min="1" max="1" width="16.7109375" style="153" customWidth="1"/>
    <col min="2" max="2" width="26.7109375" style="153" customWidth="1"/>
    <col min="3" max="3" width="6.7109375" style="153" customWidth="1"/>
    <col min="4" max="4" width="40.7109375" style="153" customWidth="1"/>
    <col min="5" max="5" width="7.7109375" style="153" customWidth="1"/>
    <col min="6" max="6" width="8.7109375" style="153" customWidth="1"/>
    <col min="7" max="7" width="44.7109375" style="153" customWidth="1"/>
    <col min="8" max="8" width="30.7109375" style="153" customWidth="1"/>
    <col min="9" max="9" width="56.7109375" style="153" customWidth="1"/>
    <col min="10" max="11" width="40.7109375" style="153" customWidth="1"/>
    <col min="12" max="12" width="8.7109375" style="153" customWidth="1"/>
  </cols>
  <sheetData>
    <row r="1" spans="1:12" ht="36" customHeight="1">
      <c r="A1" s="36" t="s">
        <v>666</v>
      </c>
    </row>
    <row r="2" spans="1:12" ht="18" customHeight="1">
      <c r="A2" s="65" t="s">
        <v>667</v>
      </c>
    </row>
    <row r="3" spans="1:12" ht="8" customHeight="1"/>
    <row r="4" spans="1:12" ht="30" customHeight="1">
      <c r="A4" s="12" t="s">
        <v>668</v>
      </c>
      <c r="B4" s="12" t="s">
        <v>42</v>
      </c>
      <c r="C4" s="12" t="s">
        <v>658</v>
      </c>
      <c r="D4" s="12" t="s">
        <v>99</v>
      </c>
      <c r="E4" s="12" t="s">
        <v>102</v>
      </c>
      <c r="F4" s="12" t="s">
        <v>536</v>
      </c>
      <c r="G4" s="12" t="s">
        <v>659</v>
      </c>
      <c r="H4" s="12" t="s">
        <v>660</v>
      </c>
      <c r="I4" s="12" t="s">
        <v>326</v>
      </c>
      <c r="J4" s="12" t="s">
        <v>661</v>
      </c>
      <c r="K4" s="12" t="s">
        <v>662</v>
      </c>
      <c r="L4" s="12" t="s">
        <v>665</v>
      </c>
    </row>
  </sheetData>
  <autoFilter ref="A4:L2004"/>
  <pageMargins left="0.4" right="0.4" top="0.5" bottom="0.6" header="0.3" footer="0.3"/>
  <pageSetup paperSize="9" fitToHeight="0" orientation="landscape"/>
  <headerFooter>
    <oddFooter>&amp;L&amp;"Aptos,Regular"&amp;8Outlook-Regeln – &amp;A&amp;R&amp;"Aptos,Regular"&amp;8Seite &amp;P von &amp;N</oddFooter>
  </headerFooter>
</worksheet>
</file>

<file path=xl/worksheets/sheet13.xml><?xml version="1.0" encoding="utf-8"?>
<worksheet xmlns="http://schemas.openxmlformats.org/spreadsheetml/2006/main" xmlns:r="http://schemas.openxmlformats.org/officeDocument/2006/relationships">
  <sheetPr codeName="shProtokoll">
    <tabColor rgb="FF1F2933"/>
    <pageSetUpPr fitToPage="1"/>
  </sheetPr>
  <dimension ref="A1:G4"/>
  <sheetViews>
    <sheetView showGridLines="0" workbookViewId="0">
      <pane ySplit="4" topLeftCell="A5" activePane="bottomLeft" state="frozen"/>
      <selection pane="bottomLeft"/>
    </sheetView>
  </sheetViews>
  <sheetFormatPr defaultRowHeight="15"/>
  <cols>
    <col min="1" max="1" width="16.7109375" style="153" customWidth="1"/>
    <col min="2" max="2" width="24.7109375" style="153" customWidth="1"/>
    <col min="3" max="3" width="30.7109375" style="153" customWidth="1"/>
    <col min="4" max="4" width="6.7109375" style="153" customWidth="1"/>
    <col min="5" max="5" width="30.7109375" style="153" customWidth="1"/>
    <col min="6" max="6" width="40.7109375" style="153" customWidth="1"/>
    <col min="7" max="7" width="100.7109375" style="153" customWidth="1"/>
  </cols>
  <sheetData>
    <row r="1" spans="1:7" ht="36" customHeight="1">
      <c r="A1" s="36" t="s">
        <v>86</v>
      </c>
    </row>
    <row r="2" spans="1:7" ht="18" customHeight="1">
      <c r="A2" s="65" t="s">
        <v>669</v>
      </c>
    </row>
    <row r="3" spans="1:7" ht="8" customHeight="1"/>
    <row r="4" spans="1:7" ht="30" customHeight="1">
      <c r="A4" s="12" t="s">
        <v>668</v>
      </c>
      <c r="B4" s="12" t="s">
        <v>670</v>
      </c>
      <c r="C4" s="12" t="s">
        <v>42</v>
      </c>
      <c r="D4" s="12" t="s">
        <v>671</v>
      </c>
      <c r="E4" s="12" t="s">
        <v>104</v>
      </c>
      <c r="F4" s="12" t="s">
        <v>99</v>
      </c>
      <c r="G4" s="12" t="s">
        <v>672</v>
      </c>
    </row>
  </sheetData>
  <autoFilter ref="A4:G2004"/>
  <pageMargins left="0.4" right="0.4" top="0.5" bottom="0.6" header="0.3" footer="0.3"/>
  <pageSetup paperSize="9" fitToHeight="0" orientation="landscape"/>
  <headerFooter>
    <oddFooter>&amp;L&amp;"Aptos,Regular"&amp;8Outlook-Regeln – &amp;A&amp;R&amp;"Aptos,Regular"&amp;8Seite &amp;P von &amp;N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24</vt:i4>
      </vt:variant>
    </vt:vector>
  </HeadingPairs>
  <TitlesOfParts>
    <vt:vector size="37" baseType="lpstr">
      <vt:lpstr>Auf einen Blick</vt:lpstr>
      <vt:lpstr>Umsetzung</vt:lpstr>
      <vt:lpstr>Vergleich</vt:lpstr>
      <vt:lpstr>Anlegen</vt:lpstr>
      <vt:lpstr>Übersicht</vt:lpstr>
      <vt:lpstr>Regel-Logik</vt:lpstr>
      <vt:lpstr>Elemente</vt:lpstr>
      <vt:lpstr>Zielordner</vt:lpstr>
      <vt:lpstr>Prüfhinweise</vt:lpstr>
      <vt:lpstr>Diagnose</vt:lpstr>
      <vt:lpstr>Live</vt:lpstr>
      <vt:lpstr>Sicherung</vt:lpstr>
      <vt:lpstr>Protokoll</vt:lpstr>
      <vt:lpstr>'Auf einen Blick'!Print_Area</vt:lpstr>
      <vt:lpstr>Umsetzung!Print_Area</vt:lpstr>
      <vt:lpstr>Anlegen!Print_Titles</vt:lpstr>
      <vt:lpstr>Diagnose!Print_Titles</vt:lpstr>
      <vt:lpstr>Elemente!Print_Titles</vt:lpstr>
      <vt:lpstr>Live!Print_Titles</vt:lpstr>
      <vt:lpstr>Protokoll!Print_Titles</vt:lpstr>
      <vt:lpstr>Prüfhinweise!Print_Titles</vt:lpstr>
      <vt:lpstr>'Regel-Logik'!Print_Titles</vt:lpstr>
      <vt:lpstr>Sicherung!Print_Titles</vt:lpstr>
      <vt:lpstr>Umsetzung!Print_Titles</vt:lpstr>
      <vt:lpstr>Vergleich!Print_Titles</vt:lpstr>
      <vt:lpstr>Zielordner!Print_Titles</vt:lpstr>
      <vt:lpstr>Übersicht!Print_Titles</vt:lpstr>
      <vt:lpstr>UM_AUSF_ZEIT</vt:lpstr>
      <vt:lpstr>UM_LIVE_ZEIT</vt:lpstr>
      <vt:lpstr>UM_PLAN</vt:lpstr>
      <vt:lpstr>UM_PLANKOPF</vt:lpstr>
      <vt:lpstr>UM_PRUEFWERT</vt:lpstr>
      <vt:lpstr>UM_QUELLE</vt:lpstr>
      <vt:lpstr>UM_STATUS</vt:lpstr>
      <vt:lpstr>UM_TROTZ</vt:lpstr>
      <vt:lpstr>UM_VORSCHAU_ZEIT</vt:lpstr>
      <vt:lpstr>UM_ZIEL</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Brenneisen, Eike (HSB4K-EXTERN)</dc:creator>
  <cp:lastModifiedBy>Brenneisen, Eike (HSB4K-EXTERN)</cp:lastModifiedBy>
  <dcterms:created xsi:type="dcterms:W3CDTF">2026-10-08T18:28:43Z</dcterms:created>
  <dcterms:modified xsi:type="dcterms:W3CDTF">2026-10-08T18:29:34Z</dcterms:modified>
</cp:coreProperties>
</file>