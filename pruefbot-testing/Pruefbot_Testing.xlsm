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Metadata/LabelInfo.xml" ContentType="application/vnd.ms-office.classificationlabel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Label1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 &amp; Übersicht" sheetId="1" r:id="rId1"/>
    <sheet name="Stammdaten" sheetId="2" r:id="rId2"/>
    <sheet name="To-do Vertragsmapping" sheetId="3" r:id="rId3"/>
    <sheet name="To-do Mailerstellung" sheetId="4" r:id="rId4"/>
    <sheet name="Testmail-Generator" sheetId="5" r:id="rId5"/>
    <sheet name="Testfall-Tracking" sheetId="6" r:id="rId6"/>
    <sheet name="BE Übersicht" sheetId="7" r:id="rId7"/>
    <sheet name="Testfall-Matrix" sheetId="8" r:id="rId8"/>
    <sheet name="Agenturkonstellationen" sheetId="9" r:id="rId9"/>
    <sheet name="Vertragskonstellationen" sheetId="10" r:id="rId10"/>
    <sheet name="Mailanforderungen" sheetId="11" r:id="rId11"/>
    <sheet name="Listen &amp; Parameter" sheetId="12" state="hidden" r:id="rId12"/>
  </sheets>
  <definedNames>
    <definedName name="cfg_AbsenderAdresse">'Testmail-Generator'!$E$14</definedName>
    <definedName name="cfg_Datum">'Testmail-Generator'!$E$22</definedName>
    <definedName name="cfg_EmpfaengerAdresse">'Testmail-Generator'!$E$13</definedName>
    <definedName name="cfg_Ordner">'Testmail-Generator'!$E$24</definedName>
    <definedName name="cfg_Ort">'Testmail-Generator'!$E$21</definedName>
    <definedName name="cfg_P01Adresse">'Testmail-Generator'!$E$15</definedName>
    <definedName name="cfg_P02Adresse">'Testmail-Generator'!$E$16</definedName>
    <definedName name="cfg_P03Adresse">'Testmail-Generator'!$E$17</definedName>
    <definedName name="cfg_P03Name">'Testmail-Generator'!$E$18</definedName>
    <definedName name="cfg_P04Adresse">'Testmail-Generator'!$E$19</definedName>
    <definedName name="cfg_P04Name">'Testmail-Generator'!$E$20</definedName>
    <definedName name="cfg_Testvermerk">'Testmail-Generator'!$E$23</definedName>
    <definedName name="Kompakthoehe" localSheetId="1">35.25</definedName>
    <definedName name="Kompakthoehe" localSheetId="2">46.5</definedName>
    <definedName name="Kompakthoehe" localSheetId="5">46.5</definedName>
    <definedName name="Kompakthoehe" localSheetId="6">46.5</definedName>
    <definedName name="Kompakthoehe" localSheetId="3">57.75</definedName>
    <definedName name="Kompakthoehe" localSheetId="7">69.0</definedName>
    <definedName name="Kompakthoehe" localSheetId="8">80.25</definedName>
    <definedName name="Kompakthoehe" localSheetId="9">80.25</definedName>
    <definedName name="Kompakthoehe" localSheetId="10">80.25</definedName>
    <definedName name="_xlnm.Print_Titles" localSheetId="8">Agenturkonstellationen!$1:$4</definedName>
    <definedName name="_xlnm.Print_Titles" localSheetId="6">'BE Übersicht'!$1:$4</definedName>
    <definedName name="_xlnm.Print_Titles" localSheetId="10">Mailanforderungen!$1:$4</definedName>
    <definedName name="_xlnm.Print_Titles" localSheetId="1">Stammdaten!$1:$4</definedName>
    <definedName name="_xlnm.Print_Titles" localSheetId="7">'Testfall-Matrix'!$1:$4</definedName>
    <definedName name="_xlnm.Print_Titles" localSheetId="5">'Testfall-Tracking'!$1:$4</definedName>
    <definedName name="_xlnm.Print_Titles" localSheetId="3">'To-do Mailerstellung'!$1:$4</definedName>
    <definedName name="_xlnm.Print_Titles" localSheetId="2">'To-do Vertragsmapping'!$1:$4</definedName>
    <definedName name="_xlnm.Print_Titles" localSheetId="9">Vertragskonstellationen!$1:$4</definedName>
  </definedNames>
  <calcPr calcId="124519" fullCalcOnLoad="1"/>
</workbook>
</file>

<file path=xl/comments1.xml><?xml version="1.0" encoding="utf-8"?>
<comments xmlns="http://schemas.openxmlformats.org/spreadsheetml/2006/main">
  <authors>
    <author>Jeglorz, Marco</author>
  </authors>
  <commentList>
    <comment ref="E9" authorId="0">
      <text>
        <r>
          <rPr>
            <sz val="9"/>
            <color indexed="81"/>
            <rFont val="Liberation Sans"/>
            <family val="2"/>
          </rPr>
          <t>KI-Deckblattzuordnung: BUE_VERMITTLER_NAME</t>
        </r>
      </text>
    </comment>
    <comment ref="F9" authorId="0">
      <text>
        <r>
          <rPr>
            <sz val="9"/>
            <color indexed="81"/>
            <rFont val="Liberation Sans"/>
            <family val="2"/>
          </rPr>
          <t>KI-Deckblattzuordnung: BUE_AGENTUR_NR</t>
        </r>
      </text>
    </comment>
    <comment ref="G9" authorId="0">
      <text>
        <r>
          <rPr>
            <sz val="9"/>
            <color indexed="81"/>
            <rFont val="Liberation Sans"/>
            <family val="2"/>
          </rPr>
          <t>KI-Deckblattzuordnung: BUE_VERMITTLER_NR</t>
        </r>
      </text>
    </comment>
    <comment ref="H9" authorId="0">
      <text>
        <r>
          <rPr>
            <sz val="9"/>
            <color indexed="81"/>
            <rFont val="Liberation Sans"/>
            <family val="2"/>
          </rPr>
          <t>KI-Deckblattzuordnung: BUE_VERMITTLER_TYP</t>
        </r>
      </text>
    </comment>
    <comment ref="I9" authorId="0">
      <text>
        <r>
          <rPr>
            <sz val="9"/>
            <color indexed="81"/>
            <rFont val="Liberation Sans"/>
            <family val="2"/>
          </rPr>
          <t>KI-Deckblattzuordnung: BUE_CLASSIFICATION beziehungsweise BUE_KLASSIFIKATION</t>
        </r>
      </text>
    </comment>
    <comment ref="J9" authorId="0">
      <text>
        <r>
          <rPr>
            <sz val="9"/>
            <color indexed="81"/>
            <rFont val="Liberation Sans"/>
            <family val="2"/>
          </rPr>
          <t>KI-Deckblattzuordnung: BUE_MAKLER_EMAIL</t>
        </r>
      </text>
    </comment>
    <comment ref="F20" authorId="0">
      <text>
        <r>
          <rPr>
            <sz val="9"/>
            <color indexed="81"/>
            <rFont val="Liberation Sans"/>
            <family val="2"/>
          </rPr>
          <t>KI-Deckblattzuordnung: BUE_SPARTE</t>
        </r>
      </text>
    </comment>
    <comment ref="H20" authorId="0">
      <text>
        <r>
          <rPr>
            <sz val="9"/>
            <color indexed="81"/>
            <rFont val="Liberation Sans"/>
            <family val="2"/>
          </rPr>
          <t>KI-Deckblattzuordnung: BUE_VNR; eine zweite relevante VNR wird testfallspezifisch als BUE_VNR_2 aus einem weiteren Vertragsdatensatz übernommen.</t>
        </r>
      </text>
    </comment>
    <comment ref="I20" authorId="0">
      <text>
        <r>
          <rPr>
            <sz val="9"/>
            <color indexed="81"/>
            <rFont val="Liberation Sans"/>
            <family val="2"/>
          </rPr>
          <t>KI-Deckblattzuordnung: BUE_KUNDE_NACHNAME beziehungsweise Firmenname</t>
        </r>
      </text>
    </comment>
    <comment ref="J20" authorId="0">
      <text>
        <r>
          <rPr>
            <sz val="9"/>
            <color indexed="81"/>
            <rFont val="Liberation Sans"/>
            <family val="2"/>
          </rPr>
          <t>KI-Deckblattzuordnung: BUE_KUNDE_VORNAME</t>
        </r>
      </text>
    </comment>
    <comment ref="K20" authorId="0">
      <text>
        <r>
          <rPr>
            <sz val="9"/>
            <color indexed="81"/>
            <rFont val="Liberation Sans"/>
            <family val="2"/>
          </rPr>
          <t>KI-Deckblattzuordnung: BUE_KUNDE_GEBDAT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<sst xmlns="http://schemas.openxmlformats.org/spreadsheetml/2006/main" count="2200" uniqueCount="1009">
  <si>
    <t>Status</t>
  </si>
  <si>
    <t>JaNeinNA</t>
  </si>
  <si>
    <t>Priorität</t>
  </si>
  <si>
    <t>Sparte</t>
  </si>
  <si>
    <t>Owner</t>
  </si>
  <si>
    <t>Auftragsart</t>
  </si>
  <si>
    <t>Abgebender Agenturtyp</t>
  </si>
  <si>
    <t>Abgeberstatus</t>
  </si>
  <si>
    <t>Abgeberzuordnung bestätigt</t>
  </si>
  <si>
    <t>offen</t>
  </si>
  <si>
    <t>ja</t>
  </si>
  <si>
    <t>Muss</t>
  </si>
  <si>
    <t>KV</t>
  </si>
  <si>
    <t>Pauline</t>
  </si>
  <si>
    <t>Testmail</t>
  </si>
  <si>
    <t>AO</t>
  </si>
  <si>
    <t>aktiv</t>
  </si>
  <si>
    <t>bereit</t>
  </si>
  <si>
    <t>nein</t>
  </si>
  <si>
    <t>Soll</t>
  </si>
  <si>
    <t>Komposit</t>
  </si>
  <si>
    <t>Tanja</t>
  </si>
  <si>
    <t>technischer Datensatz</t>
  </si>
  <si>
    <t>Makler</t>
  </si>
  <si>
    <t>nicht aktiv</t>
  </si>
  <si>
    <t>in Durchführung</t>
  </si>
  <si>
    <t>nicht erforderlich</t>
  </si>
  <si>
    <t>Kann</t>
  </si>
  <si>
    <t>Leben</t>
  </si>
  <si>
    <t>Robotics</t>
  </si>
  <si>
    <t>kein Bestandsinhaber ermittelbar</t>
  </si>
  <si>
    <t>nicht ermittelbar</t>
  </si>
  <si>
    <t>erledigt</t>
  </si>
  <si>
    <t>blockiert</t>
  </si>
  <si>
    <t>Testkoordination</t>
  </si>
  <si>
    <t>anhand Produktivvertrag zu bestimmen</t>
  </si>
  <si>
    <t>gemäß Hostzustand</t>
  </si>
  <si>
    <t>Fachbereich</t>
  </si>
  <si>
    <t>fachlich zu bestätigen</t>
  </si>
  <si>
    <t>EMMA-Owner</t>
  </si>
  <si>
    <t>nicht anwendbar</t>
  </si>
  <si>
    <t>Sachbearbeitung</t>
  </si>
  <si>
    <t>Unterlagenlücke PN-01 (Generator)</t>
  </si>
  <si>
    <t>Datum fehlt</t>
  </si>
  <si>
    <t>Vollmachtsumfang fehlt</t>
  </si>
  <si>
    <t>Anschrift fehlt</t>
  </si>
  <si>
    <t>keine</t>
  </si>
  <si>
    <t>SCHRITT A  ·  OPERATIV</t>
  </si>
  <si>
    <t>Stammdaten | zentrale Pflege realer Agentur- und Vertragsdaten</t>
  </si>
  <si>
    <t>Gelbe Zellen werden einmalig manuell befüllt. Die realen Agentur- und Vertragsdaten werden anschließend automatisch in Vertragsmapping, Mailerstellung und Testfall-Tracking verwendet.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</si>
  <si>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8.5"/>
        <color rgb="FF7B8794"/>
        <rFont val="Liberation Sans"/>
        <family val="2"/>
      </rPr>
      <t>Doppelklick auf eine Zeile zeigt den vollständigen Text (Knopf „Volltext“: alle Zeilen).</t>
    </r>
  </si>
  <si>
    <t>Aufnehmende Agentur-ID</t>
  </si>
  <si>
    <t>Aufnehmende Agenturkonstellation</t>
  </si>
  <si>
    <t>Pflichtgrad</t>
  </si>
  <si>
    <t>Aufnehmender Agenturname</t>
  </si>
  <si>
    <t>Aufnehmende Agenturnummer / OE</t>
  </si>
  <si>
    <t>Aufnehmende Vermittlernummer / PNR</t>
  </si>
  <si>
    <t>Aufnehmender Vermittlertyp</t>
  </si>
  <si>
    <t>Aufnehmende Klassifikation</t>
  </si>
  <si>
    <t>Aufnehmende Makler-E-Mail</t>
  </si>
  <si>
    <t>IMSI / EMMA bestätigt</t>
  </si>
  <si>
    <t>Kommentar / Blocker</t>
  </si>
  <si>
    <t>A-01</t>
  </si>
  <si>
    <t>Akkurat UV Kuhnapfel, Henrik</t>
  </si>
  <si>
    <t>akkurat.financial@mail.de</t>
  </si>
  <si>
    <t>A-02</t>
  </si>
  <si>
    <t>A-03</t>
  </si>
  <si>
    <t>A-04</t>
  </si>
  <si>
    <t>A-05</t>
  </si>
  <si>
    <t>A-06</t>
  </si>
  <si>
    <t>A-07</t>
  </si>
  <si>
    <t>Datensatz-ID</t>
  </si>
  <si>
    <t>Vertrag-ID</t>
  </si>
  <si>
    <t>Vertragskonstellation</t>
  </si>
  <si>
    <t>Produktiv-VNR</t>
  </si>
  <si>
    <t>IMSI-VNR</t>
  </si>
  <si>
    <t>Anonymisierter VN-/Firmenname</t>
  </si>
  <si>
    <t>Vorname, sofern relevant</t>
  </si>
  <si>
    <t>Geburtsdatum, sofern relevant</t>
  </si>
  <si>
    <t>Produktart / Versicherungsart</t>
  </si>
  <si>
    <t>IMSI-Hostzustand bestätigt</t>
  </si>
  <si>
    <t>Abgeber-ID</t>
  </si>
  <si>
    <t>Konkreter abgebender Agenturname</t>
  </si>
  <si>
    <t>Abgebende Agenturnummer / OE</t>
  </si>
  <si>
    <t>Abgebende Vermittlernummer / PNR</t>
  </si>
  <si>
    <t>V01-01</t>
  </si>
  <si>
    <t>V-01</t>
  </si>
  <si>
    <t>Mustermann</t>
  </si>
  <si>
    <t>Max</t>
  </si>
  <si>
    <t>TF-VP-01 umfasst zwei EMMA-Ausprägungen, verwendet jedoch dieselbe gültige KV-Vertragsbasis.</t>
  </si>
  <si>
    <t>AB-01</t>
  </si>
  <si>
    <t>V02-01</t>
  </si>
  <si>
    <t>V-02</t>
  </si>
  <si>
    <t>gemäß ausgewähltem Produktivvertrag beziehungsweise Hostzustand bestätigen</t>
  </si>
  <si>
    <t>V03-K01</t>
  </si>
  <si>
    <t>V-03</t>
  </si>
  <si>
    <t>Komposit aktiv, Makler-Bestandsinhaber</t>
  </si>
  <si>
    <t>Pflicht</t>
  </si>
  <si>
    <t>AB-02</t>
  </si>
  <si>
    <t>V04-01</t>
  </si>
  <si>
    <t>V-04</t>
  </si>
  <si>
    <t>V05-01</t>
  </si>
  <si>
    <t>V-05</t>
  </si>
  <si>
    <t>V06-01</t>
  </si>
  <si>
    <t>V-06</t>
  </si>
  <si>
    <t>AB-00</t>
  </si>
  <si>
    <t>V07-01</t>
  </si>
  <si>
    <t>V-07</t>
  </si>
  <si>
    <t>Abgebertyp AO oder Makler für den ausgeschiedenen Bestandsinhaber fachlich bestätigen.</t>
  </si>
  <si>
    <t>V08-01</t>
  </si>
  <si>
    <t>V-08</t>
  </si>
  <si>
    <t>Abgeber-ID nach Auswahl und Hostprüfung des Produktivvertrags ergänzen.</t>
  </si>
  <si>
    <t>anhand des konkreten Produktivvertrags bestimmen</t>
  </si>
  <si>
    <t>V09-01</t>
  </si>
  <si>
    <t>V-09</t>
  </si>
  <si>
    <t>V03-L01</t>
  </si>
  <si>
    <t>Leben aktiv, Makler-Bestandsinhaber</t>
  </si>
  <si>
    <t>Abgebende Agenturkonstellation</t>
  </si>
  <si>
    <t>Art</t>
  </si>
  <si>
    <t>OB726-Klassifizierung</t>
  </si>
  <si>
    <t>GH040-Status</t>
  </si>
  <si>
    <t>Hostzustand bestätigt</t>
  </si>
  <si>
    <t>Abgebende AO</t>
  </si>
  <si>
    <t>Ecclesia Gruppe Assekuranz-</t>
  </si>
  <si>
    <t>Abgebender Makler</t>
  </si>
  <si>
    <t>Aufnehmende Agenturstammdaten</t>
  </si>
  <si>
    <t>Vertragsstammdaten</t>
  </si>
  <si>
    <t>Abgebende Agenturstammdaten</t>
  </si>
  <si>
    <t>SCHRITT B  ·  OPERATIV</t>
  </si>
  <si>
    <t>To-do Vertragsmapping</t>
  </si>
  <si>
    <t>Konkrete Vertrag-Zuordnungen zwischen abgebendem Bestandsinhaber und aufnehmender Agentur; Stammdaten werden automatisch übernommen.</t>
  </si>
  <si>
    <t>Mapping-ID</t>
  </si>
  <si>
    <t>Relevante Testfälle</t>
  </si>
  <si>
    <t>Konkreter Arbeitsauftrag</t>
  </si>
  <si>
    <t>Erfüllt</t>
  </si>
  <si>
    <t>Geprüft</t>
  </si>
  <si>
    <t>Abgebender Agenturname</t>
  </si>
  <si>
    <t>MAP-001</t>
  </si>
  <si>
    <t>• TF-GL-01
• TF-KU-01
• TF-KU-02
• TF-KU-04
• TF-VM-01</t>
  </si>
  <si>
    <t>MAP-002</t>
  </si>
  <si>
    <t>• TF-VT-01</t>
  </si>
  <si>
    <t>MAP-003</t>
  </si>
  <si>
    <t>• TF-VP-06
• TF-KU-04</t>
  </si>
  <si>
    <t>MAP-004</t>
  </si>
  <si>
    <t>• TF-VT-02</t>
  </si>
  <si>
    <t>MAP-005</t>
  </si>
  <si>
    <t>• TF-KU-03</t>
  </si>
  <si>
    <t>MAP-006</t>
  </si>
  <si>
    <t>• TF-KU-05</t>
  </si>
  <si>
    <t>MAP-007</t>
  </si>
  <si>
    <t>• TF-GL-04</t>
  </si>
  <si>
    <t>MAP-008</t>
  </si>
  <si>
    <t>• TF-BH-02</t>
  </si>
  <si>
    <t>MAP-009</t>
  </si>
  <si>
    <t>• TF-BH-01</t>
  </si>
  <si>
    <t>MAP-010</t>
  </si>
  <si>
    <t>• TF-GL-03</t>
  </si>
  <si>
    <t>MAP-011</t>
  </si>
  <si>
    <t>• TF-GL-02
• TF-VP-04
• TF-VP-05</t>
  </si>
  <si>
    <t>MAP-012</t>
  </si>
  <si>
    <t>• TF-VP-01</t>
  </si>
  <si>
    <t>MAP-013</t>
  </si>
  <si>
    <t>• TF-VM-02</t>
  </si>
  <si>
    <t>MAP-014</t>
  </si>
  <si>
    <t>• TF-VM-03</t>
  </si>
  <si>
    <t>MAP-015</t>
  </si>
  <si>
    <t>ohne Agentur</t>
  </si>
  <si>
    <t>• TF-VP-03</t>
  </si>
  <si>
    <t>MAP-016</t>
  </si>
  <si>
    <t>MAP-017</t>
  </si>
  <si>
    <t>MAP-018</t>
  </si>
  <si>
    <t>SCHRITT C  ·  OPERATIV</t>
  </si>
  <si>
    <t>To-do Mailerstellung</t>
  </si>
  <si>
    <t>Eine operative Auftragszeile je Ausführung; reale Daten werden ausschließlich aus Stammdaten übernommen.</t>
  </si>
  <si>
    <t>Mail-Auftrags-ID</t>
  </si>
  <si>
    <t>Testfall-ID</t>
  </si>
  <si>
    <t>Testfallname</t>
  </si>
  <si>
    <t>Mail-ID / Zustand</t>
  </si>
  <si>
    <t>Absenderpostfach</t>
  </si>
  <si>
    <t>Betreff konkret</t>
  </si>
  <si>
    <t>Mailtext / konkrete Inhaltsvorgabe</t>
  </si>
  <si>
    <t>Erforderliche Anhänge</t>
  </si>
  <si>
    <t>Maklervollmacht / Betreuungswunsch</t>
  </si>
  <si>
    <t>Zu beachtende Besonderheit</t>
  </si>
  <si>
    <t>Deckblatt-Sollausprägungen</t>
  </si>
  <si>
    <t>E-Mail-Checkliste</t>
  </si>
  <si>
    <t>Mail vorbereitet</t>
  </si>
  <si>
    <t>Mail versendet</t>
  </si>
  <si>
    <t>Ausführung</t>
  </si>
  <si>
    <t>Abgeberprüfung erforderlich</t>
  </si>
  <si>
    <t>MAIL-001</t>
  </si>
  <si>
    <t>TF-GL-01</t>
  </si>
  <si>
    <t>Glattfall KV: Makler</t>
  </si>
  <si>
    <t>M-01</t>
  </si>
  <si>
    <t>MAIL-002</t>
  </si>
  <si>
    <t>TF-GL-02</t>
  </si>
  <si>
    <t>Glattfall KV: Mehrfachagent</t>
  </si>
  <si>
    <t>M-02</t>
  </si>
  <si>
    <t>MAIL-003</t>
  </si>
  <si>
    <t>TF-GL-03</t>
  </si>
  <si>
    <t>Glattfall Komposit: Firmenkunde, Pool mit Untervollmacht</t>
  </si>
  <si>
    <t>M-03</t>
  </si>
  <si>
    <t>MAIL-004</t>
  </si>
  <si>
    <t>TF-GL-04</t>
  </si>
  <si>
    <t>Glattfall Komposit und Leben: Pool ohne Untervollmacht</t>
  </si>
  <si>
    <t>M-04</t>
  </si>
  <si>
    <t>MAIL-005</t>
  </si>
  <si>
    <t>TF-VP-01</t>
  </si>
  <si>
    <t>Keine BÜ möglich: Courtagefortzahler / Kontaktgeber</t>
  </si>
  <si>
    <t>M-08</t>
  </si>
  <si>
    <t>MAIL-006</t>
  </si>
  <si>
    <t>TF-VP-03</t>
  </si>
  <si>
    <t>Agenturnummer fehlt</t>
  </si>
  <si>
    <t>M-12</t>
  </si>
  <si>
    <t>MAIL-007</t>
  </si>
  <si>
    <t>TF-VP-04</t>
  </si>
  <si>
    <t>MFA ohne BÜ-Wunsch</t>
  </si>
  <si>
    <t>M-06</t>
  </si>
  <si>
    <t>MAIL-008</t>
  </si>
  <si>
    <t>TF-VP-05</t>
  </si>
  <si>
    <t>Betreuungswunsch auf anderen Vermittler</t>
  </si>
  <si>
    <t>M-07</t>
  </si>
  <si>
    <t>MAIL-009</t>
  </si>
  <si>
    <t>TF-VP-06</t>
  </si>
  <si>
    <t>Maklervollmacht ohne VN-Unterschrift</t>
  </si>
  <si>
    <t>M-05</t>
  </si>
  <si>
    <t>MAIL-010</t>
  </si>
  <si>
    <t>TF-KU-01</t>
  </si>
  <si>
    <t>Unbekannte VNR</t>
  </si>
  <si>
    <t>Weg B</t>
  </si>
  <si>
    <t>MAIL-011</t>
  </si>
  <si>
    <t>TF-KU-02</t>
  </si>
  <si>
    <t>Unbekannte Person</t>
  </si>
  <si>
    <t>M-11</t>
  </si>
  <si>
    <t>MAIL-012</t>
  </si>
  <si>
    <t>TF-KU-03</t>
  </si>
  <si>
    <t>Versicherte Person statt VN</t>
  </si>
  <si>
    <t>M-10</t>
  </si>
  <si>
    <t>MAIL-013</t>
  </si>
  <si>
    <t>TF-KU-04</t>
  </si>
  <si>
    <t>Fremde vorhandene Person</t>
  </si>
  <si>
    <t>MAIL-014</t>
  </si>
  <si>
    <t>TF-VM-01</t>
  </si>
  <si>
    <t>Fiktive Agenturnummer</t>
  </si>
  <si>
    <t>MAIL-015</t>
  </si>
  <si>
    <t>TF-VM-02</t>
  </si>
  <si>
    <t>INAKTIV im OB726-Namen</t>
  </si>
  <si>
    <t>M-09</t>
  </si>
  <si>
    <t>MAIL-016</t>
  </si>
  <si>
    <t>TF-VM-03</t>
  </si>
  <si>
    <t>Vermittler in GH040 nicht aktiv</t>
  </si>
  <si>
    <t>MAIL-017</t>
  </si>
  <si>
    <t>TF-VT-01</t>
  </si>
  <si>
    <t>Nicht aktueller Kompositvertrag</t>
  </si>
  <si>
    <t>MAIL-018</t>
  </si>
  <si>
    <t>TF-VT-02</t>
  </si>
  <si>
    <t>KR-Flottenvertrag FK</t>
  </si>
  <si>
    <t>MAIL-019</t>
  </si>
  <si>
    <t>TF-BH-01</t>
  </si>
  <si>
    <t>Sammeltest A mit vier Prüfnotizen</t>
  </si>
  <si>
    <t>M-13</t>
  </si>
  <si>
    <t>MAIL-020</t>
  </si>
  <si>
    <t>TF-BH-02</t>
  </si>
  <si>
    <t>Sammeltest B mit drei Prüfnotizen</t>
  </si>
  <si>
    <t>MAIL-021</t>
  </si>
  <si>
    <t>TF-KU-05</t>
  </si>
  <si>
    <t>Mehrseitige IS011-Trefferliste</t>
  </si>
  <si>
    <t>MAIL-025</t>
  </si>
  <si>
    <t>MAIL-026</t>
  </si>
  <si>
    <t>MAIL-027</t>
  </si>
  <si>
    <t>SCHRITT D  ·  OPERATIV</t>
  </si>
  <si>
    <t>Testfall-Tracking</t>
  </si>
  <si>
    <t>Eine Zeile je operativer Ausführung; das fachliche Ergebnis wird ausschließlich manuell gepflegt.</t>
  </si>
  <si>
    <t>Vertragsmapping erfüllt</t>
  </si>
  <si>
    <t>Mail / Datensatz vorbereitet</t>
  </si>
  <si>
    <t>An Celonis übergeben</t>
  </si>
  <si>
    <t>Test durchgeführt</t>
  </si>
  <si>
    <t>Ergebnis wie erwartet</t>
  </si>
  <si>
    <t>Vorgang-Lfd-Nr.</t>
  </si>
  <si>
    <t>Nachweis / Ablageort</t>
  </si>
  <si>
    <t>PN-01 nachgewiesen</t>
  </si>
  <si>
    <t>PN-02 nachgewiesen</t>
  </si>
  <si>
    <t>PN-03 nachgewiesen</t>
  </si>
  <si>
    <t>PN-04 nachgewiesen</t>
  </si>
  <si>
    <t>PN-05 nachgewiesen</t>
  </si>
  <si>
    <t>PN-06 nachgewiesen</t>
  </si>
  <si>
    <t>PN-07 nachgewiesen</t>
  </si>
  <si>
    <t>vollständige Fehlerliste ausgegeben</t>
  </si>
  <si>
    <t>BE „Nachprüfung erforderlich“ ausgegeben</t>
  </si>
  <si>
    <t>Soll-Abgeberstatus</t>
  </si>
  <si>
    <t>Ist-Abgeberstatus</t>
  </si>
  <si>
    <t>Abgeberzuordnung geprüft</t>
  </si>
  <si>
    <t>Abgebernachweis / Hostmaske</t>
  </si>
  <si>
    <t>Beide EMMA-Ausprägungen separat durchführen und nachweisen. Nach Abschluss den ursprünglichen EMMA-Zustand wiederherstellen.</t>
  </si>
  <si>
    <t>HERLEITUNG  ·  FACHLICH</t>
  </si>
  <si>
    <t>BE Übersicht | Business Exceptions und Prüfnotizen</t>
  </si>
  <si>
    <t>Welche Business Exceptions und Prüfnotizen der Prüfbot kennt, wie viele Testfälle sie abdecken und welche Nachweise je Prüfnotiz nötig sind.</t>
  </si>
  <si>
    <t>Doppelklick auf eine Zeile zeigt den vollständigen Text (Knopf „Volltext“: alle Zeilen).</t>
  </si>
  <si>
    <t>Sortierung</t>
  </si>
  <si>
    <t>PDD-Logik</t>
  </si>
  <si>
    <t>Prüfziel / BE</t>
  </si>
  <si>
    <t>Prüfphase / System</t>
  </si>
  <si>
    <t>zugeordnete Testfälle</t>
  </si>
  <si>
    <t>Anzahl</t>
  </si>
  <si>
    <t>Warum diese Anzahl?</t>
  </si>
  <si>
    <t>Prozess</t>
  </si>
  <si>
    <t>Besonderheit</t>
  </si>
  <si>
    <t>00</t>
  </si>
  <si>
    <t>keine BE</t>
  </si>
  <si>
    <t>Keine BE / keine Prüfnotiz</t>
  </si>
  <si>
    <t>Übergreifende Systeme</t>
  </si>
  <si>
    <t>• TF-GL-01
• TF-GL-02
• TF-GL-03
• TF-GL-04</t>
  </si>
  <si>
    <t>Vier positive Prozessvarianten: KV Makler, KV MFA, Komposit-Firmen-/Poolpfad sowie Komposit-/Leben-Basispfad.</t>
  </si>
  <si>
    <t>Keine BE und keine Prüfnotiz erwartet.</t>
  </si>
  <si>
    <t>01</t>
  </si>
  <si>
    <t>BE-01</t>
  </si>
  <si>
    <t>Keine BÜ möglich</t>
  </si>
  <si>
    <t>Vorprüfung / Datenpool</t>
  </si>
  <si>
    <t>Ein gemeinsamer fachlicher Testfall mit zwei verpflichtenden Ausprägungen: Courtagefortzahler und Kontaktgeber.</t>
  </si>
  <si>
    <t>Sofortiger Abbruch.</t>
  </si>
  <si>
    <t>Beide EMMA-Ausprägungen und beide konkreten BE-Ausprägungen müssen separat innerhalb von TF-VP-01 nachgewiesen werden.</t>
  </si>
  <si>
    <t>02</t>
  </si>
  <si>
    <t>BE-02</t>
  </si>
  <si>
    <t>Agenturnummer nicht vorhanden</t>
  </si>
  <si>
    <t>Ein eindeutiger Auslöser.</t>
  </si>
  <si>
    <t>03</t>
  </si>
  <si>
    <t>BE-03</t>
  </si>
  <si>
    <t>BÜ-Wunsch nicht vorhanden</t>
  </si>
  <si>
    <t>• TF-VP-04</t>
  </si>
  <si>
    <t>Ein eindeutiger MFA-Auslöser.</t>
  </si>
  <si>
    <t>04</t>
  </si>
  <si>
    <t>BE-04</t>
  </si>
  <si>
    <t>Betreuungswunsch nicht auf MFA ausgestellt</t>
  </si>
  <si>
    <t>• TF-VP-05</t>
  </si>
  <si>
    <t>05</t>
  </si>
  <si>
    <t>BE-05</t>
  </si>
  <si>
    <t>Unterschrift VN fehlt</t>
  </si>
  <si>
    <t>• TF-VP-06</t>
  </si>
  <si>
    <t>Ein eindeutiger Makler-Auslöser.</t>
  </si>
  <si>
    <t>06</t>
  </si>
  <si>
    <t>BE-06</t>
  </si>
  <si>
    <t>Vertrag zur VNR nicht gefunden</t>
  </si>
  <si>
    <t>VN-Prüfung / IS011</t>
  </si>
  <si>
    <t>• TF-KU-01</t>
  </si>
  <si>
    <t>Technisch über unbekannte VNR herstellbar.</t>
  </si>
  <si>
    <t>07</t>
  </si>
  <si>
    <t>BE-07</t>
  </si>
  <si>
    <t>Kunde in IS011 nicht gefunden</t>
  </si>
  <si>
    <t>• TF-KU-02</t>
  </si>
  <si>
    <t>Ein unbekannter Kundenfall.</t>
  </si>
  <si>
    <t>08</t>
  </si>
  <si>
    <t>BE-08</t>
  </si>
  <si>
    <t>Kunde ist nicht Versicherungsnehmer</t>
  </si>
  <si>
    <t>VN-Prüfung / IS011 und Scout-Service</t>
  </si>
  <si>
    <t>Person ist am Vertrag beteiligt, aber nicht VN.</t>
  </si>
  <si>
    <t>09</t>
  </si>
  <si>
    <t>BE-09</t>
  </si>
  <si>
    <t>Vertrag gehört nicht zum Kunden</t>
  </si>
  <si>
    <t>• TF-KU-04</t>
  </si>
  <si>
    <t>Vorhandene Person hat keinen Vertragsbezug.</t>
  </si>
  <si>
    <t>10</t>
  </si>
  <si>
    <t>BE-10</t>
  </si>
  <si>
    <t>Agenturnummer in OB726 unbekannt</t>
  </si>
  <si>
    <t>Vermittlerprüfung / OB726</t>
  </si>
  <si>
    <t>• TF-VM-01</t>
  </si>
  <si>
    <t>Technisch über unbekannte Agenturnummer herstellbar.</t>
  </si>
  <si>
    <t>11</t>
  </si>
  <si>
    <t>BE-11</t>
  </si>
  <si>
    <t>Keine Zusammenarbeit</t>
  </si>
  <si>
    <t>Vermittlerprüfung / OB726 und GH040</t>
  </si>
  <si>
    <t>• TF-VM-02
• TF-VM-03</t>
  </si>
  <si>
    <t>Zwei technisch unterschiedliche Auslöser: INAKTIV im Namen und GH040 nicht aktiv.</t>
  </si>
  <si>
    <t>TF-VM-02 enthält zusätzlich PN-02 vor der harten BE.</t>
  </si>
  <si>
    <t>12</t>
  </si>
  <si>
    <t>BE-12</t>
  </si>
  <si>
    <t>Vertrag nicht aktuell</t>
  </si>
  <si>
    <t>Vertragsprüfung / VA230</t>
  </si>
  <si>
    <t>Ein Vertragsstatusfall; gelesener Status wird mitgeführt.</t>
  </si>
  <si>
    <t>13</t>
  </si>
  <si>
    <t>BE-13</t>
  </si>
  <si>
    <t>KR-Flottenvertrag</t>
  </si>
  <si>
    <t>Vertragsprüfung / Datenpool und VA230</t>
  </si>
  <si>
    <t>Ein spartenspezifischer Komposit-Fall.</t>
  </si>
  <si>
    <t>14</t>
  </si>
  <si>
    <t>BE-14</t>
  </si>
  <si>
    <t>Nachprüfung erforderlich</t>
  </si>
  <si>
    <t>Abschlussprüfung / Fehlerliste und Prüfnotiz</t>
  </si>
  <si>
    <t>• TF-BH-01
• TF-BH-02</t>
  </si>
  <si>
    <t>Zwei Sammeltests, weil alle sieben Prüfnotizen nicht in einem einzigen technisch konsistenten Vorgang kombinierbar sind.</t>
  </si>
  <si>
    <t>gebündelte Nachprüfung nach vollständigem Prüflauf</t>
  </si>
  <si>
    <t>TF-BH-01: PN-01, PN-02, PN-04, PN-07. TF-BH-02: PN-03, PN-05, PN-06.</t>
  </si>
  <si>
    <t>90</t>
  </si>
  <si>
    <t>Sonderkontrolle</t>
  </si>
  <si>
    <t>Keine BE erwartet</t>
  </si>
  <si>
    <t>Positiver PF2-/Folgeseitentest.</t>
  </si>
  <si>
    <t>Kein Abbruch, vollständiger Prüflauf</t>
  </si>
  <si>
    <t>Prüfnotiz-ID</t>
  </si>
  <si>
    <t>Bezeichnung</t>
  </si>
  <si>
    <t>konkreter Auslöser</t>
  </si>
  <si>
    <t>relevantes Feld</t>
  </si>
  <si>
    <t>Prüfsystem</t>
  </si>
  <si>
    <t>zugeordneter Testfall</t>
  </si>
  <si>
    <t>erforderlicher Nachweis</t>
  </si>
  <si>
    <t>PN-01</t>
  </si>
  <si>
    <t>Unterlagen nicht vollständig</t>
  </si>
  <si>
    <t>Im Makler-Zweig ist BUE_PRUEFUNG_UNTERLAGEN weder „Vollständig“ noch leer.</t>
  </si>
  <si>
    <t>BUE_PRUEFUNG_UNTERLAGEN</t>
  </si>
  <si>
    <t>Bei einem Reminder erfolgt keine Vollständigkeitsprüfung.</t>
  </si>
  <si>
    <t>Datenpoolwert und Nicht-Reminder-Eingang dokumentieren; PN-01 in der vollständigen Fehlerliste nachweisen.</t>
  </si>
  <si>
    <t>PN-02</t>
  </si>
  <si>
    <t>Geburtsdatum abweichend</t>
  </si>
  <si>
    <t>IS011-Gebdat ist ungleich BUE_KUNDE_GEBDAT, sofern BUE_KUNDE_GEBDAT gefüllt ist.</t>
  </si>
  <si>
    <t>IS011-Gebdat; BUE_KUNDE_GEBDAT</t>
  </si>
  <si>
    <t>BUE_KUNDE_GEBDAT muss gefüllt sein.</t>
  </si>
  <si>
    <t>Beide Geburtsdatumswerte und PN-02 in der vollständigen Fehlerliste dokumentieren.</t>
  </si>
  <si>
    <t>PN-03</t>
  </si>
  <si>
    <t>Bestandsinhaber nicht ermittelbar</t>
  </si>
  <si>
    <t>Betreuung in VA230 ist leer oder beim Aufruf des Bestandsinhabers in OB726 tritt IS0042 auf.</t>
  </si>
  <si>
    <t>Betreuung; IS0042</t>
  </si>
  <si>
    <t>Bestandsinhaber / VA230 und OB726</t>
  </si>
  <si>
    <t>Verwendete Ausprägung dokumentieren: A. Betreuung leer oder B. IS0042. Abgebender Bestandsinhaber nicht ermittelbar; Abgeber-ID AB-00.</t>
  </si>
  <si>
    <t>Ausprägung A oder B samt VA230-/OB726-Nachweis und PN-03 in der vollständigen Fehlerliste dokumentieren. AB-00 als fachlichen Negativzustand nachweisen.</t>
  </si>
  <si>
    <t>PN-04</t>
  </si>
  <si>
    <t>Anbindung Bestandsinhaber nicht aktiv</t>
  </si>
  <si>
    <t>Der Beschäftigungsstatus des Bestandsinhabers in GH040 ist ungleich „aktiv“.</t>
  </si>
  <si>
    <t>Beschäftigungsstatus des Bestandsinhabers</t>
  </si>
  <si>
    <t>Bestandsinhaber / GH040</t>
  </si>
  <si>
    <t>Der Bestandsinhaber muss ermittelbar sein. Abgebender Bestandsinhaber ist ermittelbar, aber nicht aktiv; Abgebertyp aus V07-01 fachlich zu bestätigen.</t>
  </si>
  <si>
    <t>Ermittelten Bestandsinhaber, GH040-Status und PN-04 in der vollständigen Fehlerliste dokumentieren. Abgebertyp und Status nicht aktiv dokumentieren.</t>
  </si>
  <si>
    <t>PN-05</t>
  </si>
  <si>
    <t>Vermittlertyp abweichend</t>
  </si>
  <si>
    <t>BUE_VERMITTLER_TYP und OB726-Klassifizierung stimmen für MFA beziehungsweise Mehrfachagent nicht überein.</t>
  </si>
  <si>
    <t>BUE_VERMITTLER_TYP; OB726-Klassifizierung</t>
  </si>
  <si>
    <t>Vermittler / Datenpool und OB726</t>
  </si>
  <si>
    <t>Datenpoolwert und OB726-Klassifizierung dokumentieren.</t>
  </si>
  <si>
    <t>Beide Vergleichswerte und PN-05 in der vollständigen Fehlerliste dokumentieren.</t>
  </si>
  <si>
    <t>PN-06</t>
  </si>
  <si>
    <t>E-Mail-Adresse des Vermittlers fehlt</t>
  </si>
  <si>
    <t>Makler-Email bleibt nach der festgelegten Quellenreihenfolge leer.</t>
  </si>
  <si>
    <t>Makler-Email</t>
  </si>
  <si>
    <t>Vermittler / Sonderliste, OB729 und Datenpool</t>
  </si>
  <si>
    <t>Geprüfte Quellen und leeres Endergebnis dokumentieren.</t>
  </si>
  <si>
    <t>Quellenprüfung, leeres Endergebnis und PN-06 in der vollständigen Fehlerliste dokumentieren.</t>
  </si>
  <si>
    <t>PN-07</t>
  </si>
  <si>
    <t>Absender ist eine interne ERGO-Adresse</t>
  </si>
  <si>
    <t>MaklerEmail enthält „@ergo“.</t>
  </si>
  <si>
    <t>Vermittler / OB729 und Datenpool</t>
  </si>
  <si>
    <t>Interne ERGO-Adresse muss im ermittelten Feld enthalten sein.</t>
  </si>
  <si>
    <t>MaklerEmail mit „@ergo“ und PN-07 in der vollständigen Fehlerliste dokumentieren.</t>
  </si>
  <si>
    <t>BE-14 | Verbindlicher Prüfnotizenkatalog nach PDD</t>
  </si>
  <si>
    <t>Testfall-Matrix | 21 fachliche Testfälle</t>
  </si>
  <si>
    <t>Alle fachlichen Testfälle mit Vertrag, aufnehmender Agentur, Mailvariante, Absenderpostfach und erwartetem Ergebnis.</t>
  </si>
  <si>
    <t>Testausprägungen</t>
  </si>
  <si>
    <t>BE / Prüfziel</t>
  </si>
  <si>
    <t>Weg</t>
  </si>
  <si>
    <t>Host-/Vorbereitungsanforderung</t>
  </si>
  <si>
    <t>erwartetes Ergebnis</t>
  </si>
  <si>
    <t>Routing</t>
  </si>
  <si>
    <t>BE-14-Teilabdeckung</t>
  </si>
  <si>
    <t>Erforderlicher Abgeberstatus</t>
  </si>
  <si>
    <t>Abgeber-Prüfanforderung</t>
  </si>
  <si>
    <t>A</t>
  </si>
  <si>
    <t>P-01</t>
  </si>
  <si>
    <t>• Aktiver KV-Vertrag
• natürliche Person
• eindeutiger IS011-Treffer
• aktiver AO-Bestandsinhaber.</t>
  </si>
  <si>
    <t>• Completed
• BOT2011
• keine BE/PN</t>
  </si>
  <si>
    <t>HSB4 K 72 - Erstinformation</t>
  </si>
  <si>
    <t>Negativkontrolle für den regulären KV-Maklerpfad.</t>
  </si>
  <si>
    <t>Abgebende AO sowie Aktivstatus im Host dokumentieren.</t>
  </si>
  <si>
    <t>• Aktiver KV-Vertrag
• MFA aktiv
• Betreuungswunsch korrekt auf MFA
• BÜ-Wunsch vorhanden.</t>
  </si>
  <si>
    <t>Negativkontrolle für den regulären MFA-Pfad.</t>
  </si>
  <si>
    <t>P-02</t>
  </si>
  <si>
    <t>• Aktueller normaler KR-Vertrag einer Firma
• kein FK
• TOP-Makler
• Pool mit Untervollmacht
• Umfang Gesamt.</t>
  </si>
  <si>
    <t>• Completed
• Notiz 1515
• Folgearbeit</t>
  </si>
  <si>
    <t>Negativkontrolle für komplexen Komposit-Pfad.</t>
  </si>
  <si>
    <t>AO-Bestandsinhaber und Aktivstatus dokumentieren.</t>
  </si>
  <si>
    <t>Operative Ausführungen:
A. Komposit mit V03-K01
B. Leben mit V03-L01</t>
  </si>
  <si>
    <t>Komposit und Leben</t>
  </si>
  <si>
    <t>• Aktiver Vertrag der jeweiligen Ausführung Komposit beziehungsweise Leben mit Makler-Bestandsinhaber
• Agentur ohne OB729-Mail
• kurze PNR.</t>
  </si>
  <si>
    <t>• Completed
• Notiz 1515
• keine BE/PN</t>
  </si>
  <si>
    <t>Prüft Rückfall auf Absender und PNR-Auffüllung ohne BE.</t>
  </si>
  <si>
    <t>Makler-/Kooperationsbestand und Aktivstatus dokumentieren.</t>
  </si>
  <si>
    <t>A: Courtagefortzahler; B: Kontaktgeber</t>
  </si>
  <si>
    <t>Keine BÜ möglich: Courtagefortzahler oder Kontaktgeber</t>
  </si>
  <si>
    <t>A oder B</t>
  </si>
  <si>
    <t>• Gültige KV-VNR verwenden
• Innerhalb desselben fachlichen Testfalls zuerst den EMMA-Vermittlertyp Courtagefortzahler und anschließend den EMMA-Vermittlertyp Kontaktgeber verwenden
• Beide Ausprägungen getrennt durchführen und dokumentieren
• Nach Abschluss den ursprünglichen EMMA-Zustand wiederherstellen.</t>
  </si>
  <si>
    <t>• BE „Keine Bestandsübertragung möglich“ wird abhängig vom verwendeten EMMA-Typ mit der Ausprägung Courtagefortzahler beziehungsweise Kontaktgeber ausgegeben
• Beide BE-Ausprägungen sind separat nachzuweisen.</t>
  </si>
  <si>
    <t>HSB4 K MV Gesundheit Posteingang</t>
  </si>
  <si>
    <t>Ein gemeinsamer fachlicher Testfall für BE-01 mit zwei verpflichtenden Ausprägungen. Ausprägung A prüft Courtagefortzahler, Ausprägung B prüft Kontaktgeber. Beide EMMA-Zustände und beide konkreten BE-Ausprägungen müssen separat nachgewiesen werden.</t>
  </si>
  <si>
    <t>P-04</t>
  </si>
  <si>
    <t>• Unbekannter Absender ohne EMMA-Treffer
• Mail/Signatur ohne Agenturnummer.</t>
  </si>
  <si>
    <t>• BE Agenturnummer nicht vorhanden</t>
  </si>
  <si>
    <t>Nachweis der Vorprüfungs-BE bei leerer Agenturnummer.</t>
  </si>
  <si>
    <t>• Aktiver MFA
• kein ausformulierter Übertragungswunsch.</t>
  </si>
  <si>
    <t>• BE BÜ-Wunsch nicht vorhanden</t>
  </si>
  <si>
    <t>Nachweis des MFA-Ausschlusskriteriums.</t>
  </si>
  <si>
    <t>• Aktiver MFA
• Betreuungswunsch nennt anderen Vermittler.</t>
  </si>
  <si>
    <t>• BE Betreuungswunsch nicht auf MFA ausgestellt</t>
  </si>
  <si>
    <t>Nachweis der Betreuungswunschprüfung.</t>
  </si>
  <si>
    <t>• Gültige VNR der jeweiligen Ausführung Komposit beziehungsweise Leben
• vollständige Maklervollmacht, Unterschriftsfeld VN leer.</t>
  </si>
  <si>
    <t>• BE Unterschrift VN fehlt</t>
  </si>
  <si>
    <t>HSB4 K KO Komposit und Leben Posteingang</t>
  </si>
  <si>
    <t>Nachweis der Unterschriftsprüfung im Makler-Zweig.</t>
  </si>
  <si>
    <t>B</t>
  </si>
  <si>
    <t>V-01 Basis</t>
  </si>
  <si>
    <t>• Formell gültige, in IMSI nicht vorhandene VNR in Vorgang und Datenpool setzen.</t>
  </si>
  <si>
    <t>• BE Vertrag zur VNR nicht gefunden</t>
  </si>
  <si>
    <t>Kein seltener Produktivfall nötig; Zustand wird technisch erzeugt.</t>
  </si>
  <si>
    <t>• V-01 verwenden
• Mail/Vollmacht nennen fiktive Person ohne IS011-Treffer.</t>
  </si>
  <si>
    <t>• BE Kunde in IS011 nicht gefunden</t>
  </si>
  <si>
    <t>Nachweis der erfolglosen Matchcodesuche.</t>
  </si>
  <si>
    <t>• KV-Vertrag mit verschiedenen Personen für VN und versicherte Person
• beide mit Partnerbezug.</t>
  </si>
  <si>
    <t>• BE Kunde ist nicht Versicherungsnehmer</t>
  </si>
  <si>
    <t>Grenzt Rollenabweichung von fehlendem Vertragsbezug ab.</t>
  </si>
  <si>
    <t>anhand Produktivvertrag</t>
  </si>
  <si>
    <t>Aktuellen Bestandsinhaber anhand des Produktivvertrags dokumentieren.</t>
  </si>
  <si>
    <t>V-01 + V-03-Hilfsperson</t>
  </si>
  <si>
    <t>• Mail nennt vorhandene fremde Person
• deren Scout-Übersicht enthält V-01 nicht.</t>
  </si>
  <si>
    <t>• BE Vertrag gehört nicht zum Kunden</t>
  </si>
  <si>
    <t>Nachweis fehlenden Vertragsbezugs einer vorhandenen Person. Hauptvertrag V-01 verwendet AB-01; die V-03-Hilfskonstellation verwendet AB-02.</t>
  </si>
  <si>
    <t>AB-01 / AB-02</t>
  </si>
  <si>
    <t>AO / Makler</t>
  </si>
  <si>
    <t>AB-01 aktiv / AB-02 aktiv</t>
  </si>
  <si>
    <t>Hauptvertrag V-01: AB-01 und aktiven AO-Bestandsinhaber nachweisen. Hilfskonstellation V-03: AB-02 und aktiven Makler-/Kooperationsbestand nachweisen.</t>
  </si>
  <si>
    <t>A-01 Basis</t>
  </si>
  <si>
    <t>• Fiktive 9-stellige, in OB726 unbekannte Agenturnummer im Datensatz setzen.</t>
  </si>
  <si>
    <t>• BE Agenturnummer in OB726 unbekannt</t>
  </si>
  <si>
    <t>Technisch erzeugter OB726-Negativfall.</t>
  </si>
  <si>
    <t>Keine Zusammenarbeit: INAKTIV im Namen</t>
  </si>
  <si>
    <t>• Aktiver Vertrag der jeweiligen Ausführung Komposit beziehungsweise Leben mit Makler-Bestandsinhaber
• übernehmende Agentur mit INAKTIV im OB726-Namen
• zusätzlich falsches Geburtsdatum.</t>
  </si>
  <si>
    <t>• BE Keine Zusammenarbeit + PN-02 bleibt erhalten</t>
  </si>
  <si>
    <t>ODPP1 D - Ma/Ma Bestandsübertragungen</t>
  </si>
  <si>
    <t>Erster BE-11-Auslöser; prüft zusätzlich Persistenz einer vorherigen Prüfnotiz.</t>
  </si>
  <si>
    <t>Keine Zusammenarbeit: GH040 nicht aktiv</t>
  </si>
  <si>
    <t>• OB726-Name normal
• GH040-Beschäftigungsstatus des übernehmenden Maklers ungleich aktiv.</t>
  </si>
  <si>
    <t>• BE Keine Zusammenarbeit</t>
  </si>
  <si>
    <t>Zweiter technisch unterschiedlicher BE-11-Auslöser.</t>
  </si>
  <si>
    <t>• Kompositvertrag mit VA230-Status ungleich aktuell
• Status exakt dokumentieren.</t>
  </si>
  <si>
    <t>• BE Vertrag nicht aktuell: &lt;Status&gt;</t>
  </si>
  <si>
    <t>Nachweis der Vertragsstatusprüfung.</t>
  </si>
  <si>
    <t>Status gemäß V-02-Hostzustand bestätigen</t>
  </si>
  <si>
    <t>Aktuelle Betreuung und Status dokumentieren.</t>
  </si>
  <si>
    <t>• Aktueller KR-Flottenvertrag
• Versicherungsart FK
• möglichst Firmenkunde.</t>
  </si>
  <si>
    <t>• BE KR Flottenvertrag</t>
  </si>
  <si>
    <t>Spartenspezifischer Komposit-Ausschluss.</t>
  </si>
  <si>
    <t>Status gemäß Produktivvertrag bestätigen</t>
  </si>
  <si>
    <t>AO-Bestand und Status dokumentieren.</t>
  </si>
  <si>
    <t>Nachprüfung erforderlich: PN-01, PN-02, PN-04 und PN-07</t>
  </si>
  <si>
    <t>P-03</t>
  </si>
  <si>
    <t>• PN-01: BUE_PRUEFUNG_UNTERLAGEN ist im Makler-Zweig weder „Vollständig“ noch leer.
• Der Eingang darf kein Reminder sein, da bei einem Reminder keine Vollständigkeitsprüfung für PN-01 erfolgt.
• PN-02: BUE_KUNDE_GEBDAT ist gefüllt und weicht von IS011-Gebdat ab.
• PN-04: Der Beschäftigungsstatus des ermittelten Bestandsinhabers in GH040 ist nicht „aktiv“.
• Der Bestandsinhaber muss ermittelbar sein.
• PN-07: Die ermittelte MaklerEmail enthält „@ergo“.
• Keine harte Business Exception darf den Vorgang vor der Abschlussprüfung abbrechen.</t>
  </si>
  <si>
    <t>• PN-01, PN-02, PN-04 und PN-07 werden gesammelt.
• Die vollständige Fehlerliste wird ausgegeben.
• BE „Nachprüfung erforderlich“ wird erzeugt.</t>
  </si>
  <si>
    <t>Erster BE-14-Sammeltest. Nachzuweisen sind der Datenpoolwert BUE_PRUEFUNG_UNTERLAGEN, der Nicht-Reminder-Eingang, BUE_KUNDE_GEBDAT und IS011-Gebdat, der GH040-Beschäftigungsstatus des ermittelten Bestandsinhabers sowie die MaklerEmail mit „@ergo“.</t>
  </si>
  <si>
    <t>BE-14 Test 1 von 2: PN-01, PN-02, PN-04, PN-07</t>
  </si>
  <si>
    <t>AO oder Makler fachlich zu bestätigen</t>
  </si>
  <si>
    <t>Typ, Bestandsinhaber und GH040-Status dokumentieren.</t>
  </si>
  <si>
    <t>Nachprüfung erforderlich: PN-03, PN-05 und PN-06</t>
  </si>
  <si>
    <t>• PN-03: Betreuung in VA230 ist leer oder beim Aufruf des Bestandsinhabers in OB726 tritt IS0042 auf.
• Verwendete PDD-Ausprägung dokumentieren: A. Betreuung in VA230 leer oder B. IS0042 beim Aufruf in OB726.
• PN-05: BUE_VERMITTLER_TYP und OB726-Klassifizierung stimmen für MFA beziehungsweise Mehrfachagent nicht überein.
• Datenpoolwert und OB726-Klassifizierung dokumentieren.
• PN-06: Makler-Email bleibt nach der festgelegten Quellenreihenfolge leer.
• Geprüfte Quellen und leeres Endergebnis dokumentieren.
• Keine harte Business Exception darf den Vorgang vor der Abschlussprüfung abbrechen.</t>
  </si>
  <si>
    <t>• PN-03, PN-05 und PN-06 werden gesammelt.
• Die vollständige Fehlerliste wird ausgegeben.
• BE „Nachprüfung erforderlich“ wird erzeugt.</t>
  </si>
  <si>
    <t>Zweiter BE-14-Sammeltest. Für PN-03 ist Ausprägung A oder B festzuhalten; für PN-05 sind BUE_VERMITTLER_TYP und OB726-Klassifizierung, für PN-06 die geprüften Quellen und das leere Endergebnis nachzuweisen.</t>
  </si>
  <si>
    <t>BE-14 Test 2 von 2: PN-03, PN-05, PN-06</t>
  </si>
  <si>
    <t>Betreuung leer oder IS0042 nachweisen. Kein physischer Abgeberstammsatz erforderlich.</t>
  </si>
  <si>
    <t>• Aktiver KV-Vertrag
• VN erst auf Folgeseite der Matchcodesuche.</t>
  </si>
  <si>
    <t>• Completed
• PF2/Folgeseite erfolgreich</t>
  </si>
  <si>
    <t>Positive Sonderkontrolle der IS011-Folgeseitenlogik.</t>
  </si>
  <si>
    <t>Agenturkonstellationen – Herleitung aus BEs und Testfällen</t>
  </si>
  <si>
    <t>14 BEs + keine BE + Sonderkontrolle → 21 fachliche Testfälle → getrennte aufnehmende und abgebende Agenturrollen</t>
  </si>
  <si>
    <t>Host- und EMMA-Ausprägung</t>
  </si>
  <si>
    <t>BE / Prüfziele</t>
  </si>
  <si>
    <t>Zugeordnete Testfälle</t>
  </si>
  <si>
    <t>Zugeordnete Vertrags-IDs</t>
  </si>
  <si>
    <t>Warum erforderlich?</t>
  </si>
  <si>
    <t>Reduktionsprüfung / fachliche Frage</t>
  </si>
  <si>
    <t>Standardmakler</t>
  </si>
  <si>
    <t>• OB726-Klassifizierung: Makler
• OB726-Name: aktiv, ohne „INAKTIV“
• GH040-Status: aktiv
• OB729-E-Mail: externe E-Mail vorhanden
• PNR: 7-stellig
• EMMA-Typ: Makler
• Sonderliste: kein TOP-Makler
• Änderungsbedarf: keiner, Werte gegen IMSI und EMMA bestätigen</t>
  </si>
  <si>
    <t>• keine BE
• BE-05
• BE-06
• BE-07
• BE-08
• BE-09
• BE-10
• BE-12
• BE-13
• Sonderkontrolle</t>
  </si>
  <si>
    <t>• TF-GL-01
• TF-VP-06
• TF-KU-01
• TF-KU-02
• TF-KU-03
• TF-KU-04
• TF-VM-01
• TF-VT-01
• TF-VT-02
• TF-KU-05</t>
  </si>
  <si>
    <t>• V-01
• V-02
• V-03
• V-05
• V-08
• V-09</t>
  </si>
  <si>
    <t>A-01 ist die zentrale Referenz- und Wiederverwendungsagentur für den regulären Maklerpfad sowie zahlreiche fachliche Abweichungen und technisch hergestellte Weg-B-Zustände. V-03 ist operativ mit einer Komposit- und einer Leben-Ausführung bereitzustellen.</t>
  </si>
  <si>
    <t>Zentrale Referenzagentur maximal wiederverwenden. Andere logische Agenturzustände dürfen nur dann physisch mit A-01 zusammengelegt werden, wenn die jeweils erforderliche Ausprägung kontrolliert, dokumentiert, reversibel und revisionssicher hergestellt und zurückgesetzt werden kann.</t>
  </si>
  <si>
    <t>Makler ohne OB729-E-Mail</t>
  </si>
  <si>
    <t>• OB726-Klassifizierung: Makler
• OB726-Name: aktiv, ohne „INAKTIV“
• GH040-Status: aktiv
• OB729-E-Mail: keine E-Mail vorhanden
• PNR: möglichst kürzer als 7 Stellen
• EMMA-Typ: Makler
• Sonderliste: kein TOP-Makler
• Änderungsbedarf: fehlende OB729-E-Mail und PNR-Ausprägung bestätigen</t>
  </si>
  <si>
    <t>• keine BE
• BE-14 (PN-01 bis PN-07 in zwei Sammeltests)</t>
  </si>
  <si>
    <t>• TF-GL-04
• TF-BH-01
• TF-BH-02</t>
  </si>
  <si>
    <t>• V-03
• V-06
• V-07</t>
  </si>
  <si>
    <t>A-02 belegt den E-Mail-Rückfall und ermöglicht zusammen mit V-06 und V-07 beide fachlich konsistenten BE-14-Sammeltests. V-03 ist operativ mit einer Komposit- und einer Leben-Ausführung bereitzustellen.</t>
  </si>
  <si>
    <t>Nur mit A-01 zusammenlegbar, wenn fehlende OB729-E-Mail und abweichende PNR kontrolliert, dokumentiert und reversibel hergestellt werden können.</t>
  </si>
  <si>
    <t>TOP-Makler / Pool</t>
  </si>
  <si>
    <t>• OB726-Klassifizierung: Makler beziehungsweise Pool gemäß vorhandenem Teststammsatz
• OB726-Name: aktiv
• GH040-Status: aktiv
• OB729-E-Mail: gemäß vorhandenem Teststammsatz
• PNR: gemäß vorhandenem Teststammsatz
• EMMA-Typ: Makler
• Sonderliste: TOP-Makler
• Änderungsbedarf: Sonderlistenstatus bestätigen</t>
  </si>
  <si>
    <t>• keine BE – komplexer Komposit-Pfad</t>
  </si>
  <si>
    <t>• V-04</t>
  </si>
  <si>
    <t>A-03 deckt den TOP-Makler-/Pool-Sonderpfad als Negativkontrolle für Firmenkunde, Pool und Untervollmacht ab und verhindert eine fälschliche BE.</t>
  </si>
  <si>
    <t>Der TOP-Makler-/Poolzustand darf fachlich nicht entfallen. Physische Wiederverwendung nur bei kontrolliertem und nachweisbarem Sonderlistenstatus.</t>
  </si>
  <si>
    <t>Mehrfachagent (MFA)</t>
  </si>
  <si>
    <t>• OB726-Klassifizierung: Mehrfachagent
• OB726-Name: aktiv
• GH040-Status: aktiv
• OB729-E-Mail: externe E-Mail vorhanden
• PNR: passend zu IMSI und EMMA
• EMMA-Typ: MFA
• Sonderliste: nicht relevant
• Änderungsbedarf: Klassifizierung, PNR und EMMA-Typ bestätigen</t>
  </si>
  <si>
    <t>• keine BE
• BE-03
• BE-04</t>
  </si>
  <si>
    <t>• V-01</t>
  </si>
  <si>
    <t>A-04 deckt den eigenständigen MFA-Prüfzweig mit positivem Durchlauf, fehlendem BÜ-Wunsch und falsch adressiertem Betreuungswunsch ab.</t>
  </si>
  <si>
    <t>Der MFA-Zustand darf fachlich nicht entfallen. Physische Wiederverwendung nur bei kontrolliert veränderbarer Klassifikation, PNR und EMMA-Ausprägung.</t>
  </si>
  <si>
    <t>Courtagefortzahler / Kontaktgeber</t>
  </si>
  <si>
    <t>• OB726-Klassifizierung: für die Vorprüfung nachrangig
• OB726-Name: für die Vorprüfung nachrangig
• GH040-Status: für die Vorprüfung nachrangig
• OB729-E-Mail: nicht relevant
• PNR: gemäß verwendetem Teststammsatz
• EMMA-Typ: Ausprägung A: Courtagefortzahler; Ausprägung B: Kontaktgeber
• Sonderliste: nicht relevant
• Änderungsbedarf: EMMA-Typ vor den beiden Läufen wechseln und anschließend auf den Ausgangszustand zurücksetzen</t>
  </si>
  <si>
    <t>• BE-01 in zwei Textausprägungen</t>
  </si>
  <si>
    <t>A-05 deckt beide expliziten Auslöser und Textausprägungen von BE-01 separat ab.</t>
  </si>
  <si>
    <t>Kann gegebenenfalls dieselbe physische Agentur wie A-01 verwenden, wenn der EMMA-Typ für beide Ausprägungen kontrolliert geändert, dokumentiert und anschließend zurückgesetzt wird.</t>
  </si>
  <si>
    <t>Makler mit INAKTIV im OB726-Namen</t>
  </si>
  <si>
    <t>• OB726-Klassifizierung: Makler
• OB726-Name: enthält „INAKTIV“
• GH040-Status: für diesen Auslöser nicht maßgeblich
• OB729-E-Mail: gemäß vorhandenem Teststammsatz
• PNR: gemäß vorhandenem Teststammsatz
• EMMA-Typ: Makler
• Sonderliste: nicht relevant
• Änderungsbedarf: INAKTIV-Ausprägung bestätigen</t>
  </si>
  <si>
    <t>• BE-11 (Auslöser 1) plus PN-02</t>
  </si>
  <si>
    <t>• V-03</t>
  </si>
  <si>
    <t>A-06 deckt den namensbasierten Auslöser von BE-11 ab und weist nach, dass eine zuvor erzeugte Prüfnotiz erhalten bleibt. V-03 ist operativ mit einer Komposit- und einer Leben-Ausführung bereitzustellen.</t>
  </si>
  <si>
    <t>Der INAKTIV-Namenszustand darf nicht entfallen. Physische Wiederverwendung nur bei zulässiger, kontrollierter und reversibler Namensausprägung.</t>
  </si>
  <si>
    <t>Makler mit Inaktivstatus in GH040</t>
  </si>
  <si>
    <t>Optional</t>
  </si>
  <si>
    <t>• OB726-Klassifizierung: Makler
• OB726-Name: enthält nicht „INAKTIV“
• GH040-Status: nicht aktiv
• OB729-E-Mail: gemäß vorhandenem Teststammsatz
• PNR: gemäß vorhandenem Teststammsatz
• EMMA-Typ: Makler
• Sonderliste: nicht relevant
• Änderungsbedarf: nicht aktiven GH040-Status bestätigen</t>
  </si>
  <si>
    <t>• BE-11 (Auslöser 2)</t>
  </si>
  <si>
    <t>A-07 deckt optional den technisch unabhängigen, GH040-basierten zweiten Auslöser von BE-11 ab.</t>
  </si>
  <si>
    <t>Bleibt optional, wenn der zweite BE-11-Auslöser nicht verbindlich abgenommen werden muss. Bei geforderter Abdeckung ist der GH040-Zustand separat nachzuweisen.</t>
  </si>
  <si>
    <t>Unbekannter Absender / kein EMMA-Treffer</t>
  </si>
  <si>
    <t>• OB726-Klassifizierung: nicht relevant
• OB726-Name: nicht relevant
• GH040-Status: nicht relevant
• OB729-E-Mail: nicht relevant
• PNR: nicht vorhanden
• EMMA-Typ: kein EMMA-Treffer
• Sonderliste: nicht relevant
• Änderungsbedarf: P-04 darf keinen EMMA-Treffer besitzen; Mail und Signatur dürfen keine Agenturnummer enthalten</t>
  </si>
  <si>
    <t>• BE-02</t>
  </si>
  <si>
    <t>• V-01 als gültige Vertragsbasis
• keine physische Agentur</t>
  </si>
  <si>
    <t>Dieser Eintrag ist ausschließlich der Negativzustand für BE-02, bevor eine konkrete Agentur im Host geprüft werden kann.</t>
  </si>
  <si>
    <t>Keine physische Agentur erforderlich; der Zustand wird über Absender und fehlenden EMMA-Treffer erzeugt.</t>
  </si>
  <si>
    <t>Hostausprägung</t>
  </si>
  <si>
    <t>Aktivstatus</t>
  </si>
  <si>
    <t>Fachlicher Hinweis / offene Zuordnung</t>
  </si>
  <si>
    <t>Bestandsinhaber beziehungsweise Betreuung im Vertrag vorhanden</t>
  </si>
  <si>
    <t>testfall- und vertragsabhängig</t>
  </si>
  <si>
    <t>• V-01
• V-02
• V-04
• V-05</t>
  </si>
  <si>
    <t>Die aktuelle Vertragslogik beschreibt diese Verträge ausdrücklich mit AO-Bestandsinhaber beziehungsweise AO-Bestand.</t>
  </si>
  <si>
    <t>Makler- beziehungsweise Kooperationsbestand</t>
  </si>
  <si>
    <t>• V-03, V-07</t>
  </si>
  <si>
    <t>V-03 beschreibt ausdrücklich einen aktiven Makler- beziehungsweise Kooperationsbestand.</t>
  </si>
  <si>
    <t>Kein Bestandsinhaber ermittelbar</t>
  </si>
  <si>
    <t>kein physischer Agenturstammsatz</t>
  </si>
  <si>
    <t>Pflicht für den vorgesehenen PN-03-Test</t>
  </si>
  <si>
    <t>Betreuung in VA230 leer oder IS0042 in OB726</t>
  </si>
  <si>
    <t>• V-06</t>
  </si>
  <si>
    <t>V-06 und PN-03 benötigen einen nicht ermittelbaren Bestandsinhaber.</t>
  </si>
  <si>
    <t>Ausschließlich fachlicher Negativzustand; kein physischer Stammdatensatz.</t>
  </si>
  <si>
    <t>aufnehmende Agenturzustände</t>
  </si>
  <si>
    <t>Negativzustand ohne aufnehmende Agentur</t>
  </si>
  <si>
    <t>abgebende Grundtypen</t>
  </si>
  <si>
    <t>Zustand ohne ermittelbaren Bestandsinhaber</t>
  </si>
  <si>
    <t>Aufnehmende Agenturkonstellationen</t>
  </si>
  <si>
    <t>Fachliches Fazit zur Anzahl</t>
  </si>
  <si>
    <t>Für die vollständige fachliche Abdeckung werden 7 unterschiedliche Agenturzustände benötigt; davon sind 6 Pflicht und A-07 ist optional. Der zusätzliche Eintrag „ohne Agentur“ ist kein Stammsatz, sondern der Negativzustand für BE-02. Weniger physische Agenturen sind nur möglich, wenn EMMA-Typ, OB729-E-Mail, OB726-Name oder GH040-Status je Test kontrolliert, nachweisbar und reversibel geändert werden dürfen. Die logischen Zustände selbst dürfen nicht entfallen.</t>
  </si>
  <si>
    <t>Abgebende Agenturkonstellationen / Bestandsinhaber</t>
  </si>
  <si>
    <t>Vertragskonstellationen – Herleitung aus BEs und Testfällen</t>
  </si>
  <si>
    <t>Fachliche Prüfanforderung → 21 fachliche Testfälle → 9 Vertragskonstellationen; V-01 ist die gemeinsame Basis, Spezialfälle werden nur bei abweichender Hostlogik benötigt.</t>
  </si>
  <si>
    <t>Fachliche Gruppe</t>
  </si>
  <si>
    <t>Host- und IMSI-Ausprägung</t>
  </si>
  <si>
    <t>Zugeordnete aufnehmende Agenturen</t>
  </si>
  <si>
    <t>Abgebernachweis</t>
  </si>
  <si>
    <t>Basiskonstellation</t>
  </si>
  <si>
    <t>KV aktiv, AO-Bestandsinhaber</t>
  </si>
  <si>
    <t>• Vertragsstatus: aktuell
• Personenart: natürliche Person
• Kundendaten / IS011: vollständige Stammdaten und genau ein IS011-Treffer
• Versicherungsnehmer / Vertragsrolle: Versicherungsnehmer eindeutig
• Betreuung / Bestandsinhaber: AO-Bestandsinhaber vorhanden
• Vertriebskanal: AO
• GH040-Status: Bestandsinhaber aktiv
• Sparte / Versicherungsart: KV
• Besondere Such- oder Testlogik: zentrale Basiskonstellation für reguläre und technisch erzeugte Abweichungen
• IMSI-Vorbereitung: PTU-Abzug, Anonymisierung und Aufnahme der anonymisierten Stammdaten</t>
  </si>
  <si>
    <t>• keine BE
• BE-01
• BE-02
• BE-03
• BE-04
• BE-06
• BE-07
• BE-09
• BE-10
• BE-11
• Sonderkontrolle</t>
  </si>
  <si>
    <t>• TF-GL-01
• TF-GL-02
• TF-VP-01
• TF-VP-03
• TF-VP-04
• TF-VP-05
• TF-KU-01
• TF-KU-02
• TF-KU-04
• TF-VM-01
• TF-VM-03</t>
  </si>
  <si>
    <t>• A-01
• A-04
• A-05
• A-07
• zusätzlich Negativzustand ohne Agentur für TF-VP-03</t>
  </si>
  <si>
    <t>Stabile KV-Basis für den regulären Ablauf und für Abweichungen, die über Mail, EMMA oder Weg B erzeugt werden. TF-VP-01 wird mit zwei EMMA-Ausprägungen durchgeführt, benötigt aber nur eine gültige KV-Vertragsbasis.</t>
  </si>
  <si>
    <t>Zentrale Wiederverwendung ist bereits vorgesehen; keine eigene VNR je Testfall nötig.</t>
  </si>
  <si>
    <t>Betreuung/Bestandsinhaber und Aktivstatus im Host dokumentieren</t>
  </si>
  <si>
    <t>Vertragsstatus</t>
  </si>
  <si>
    <t>Komposit nicht aktuell</t>
  </si>
  <si>
    <t>• Vertragsstatus: ungleich aktuell; konkreten Status dokumentieren
• Personenart: gemäß vorhandenem Produktivvertrag
• Kundendaten / IS011: gemäß vorhandenem Produktivvertrag
• Versicherungsnehmer / Vertragsrolle: gemäß vorhandenem Produktivvertrag
• Betreuung / Bestandsinhaber: AO-Bestandsinhaber
• Vertriebskanal: AO
• GH040-Status: gemäß vorhandenem Produktivvertrag
• Sparte / Versicherungsart: Komposit
• Besondere Such- oder Testlogik: gelesener Vertragsstatus muss im BE-Text nachweisbar sein
• IMSI-Vorbereitung: möglichst gemeinsam mit V-01 desselben Kunden übertragen</t>
  </si>
  <si>
    <t>• BE-12</t>
  </si>
  <si>
    <t>• A-01</t>
  </si>
  <si>
    <t>Nur damit kann der gelesene nicht aktuelle Vertragsstatus im BE-Text nachgewiesen werden.</t>
  </si>
  <si>
    <t>Nur durch gezielte Statusänderung an einem anderen Vertrag ersetzbar; sonst separat halten.</t>
  </si>
  <si>
    <t>aktuelle Betreuung und Status des ausgewählten Vertrags dokumentieren</t>
  </si>
  <si>
    <t>Komposit-und-Leben-Basis</t>
  </si>
  <si>
    <t>Komposit und Leben aktiv, Makler-Bestandsinhaber</t>
  </si>
  <si>
    <t>• Vertragsstatus: aktuell
• Personenart: natürliche Person
• Kundendaten / IS011: vorhandene Person; zusätzlich nutzbar als Hilfsperson für TF-KU-04
• Versicherungsnehmer / Vertragsrolle: Versicherungsnehmer eindeutig
• Betreuung / Bestandsinhaber: Makler- oder Kooperationsbestand
• Vertriebskanal: 2200, 2215, 2271, 2281, 2300, 2301, 2302 oder 2400
• GH040-Status: Bestandsinhaber aktiv
• Sparte / Versicherungsart: Komposit und Leben
• Besondere Such- oder Testlogik: Komposit-und-Leben-Basis mit Maklerbestand
• IMSI-Vorbereitung: über die Bestandsinhaber-OE nach IMSI übertragen</t>
  </si>
  <si>
    <t>• keine BE
• BE-05
• BE-09 (Hilfsperson)
• BE-11</t>
  </si>
  <si>
    <t>• TF-GL-04
• TF-VP-06
• TF-KU-04 (Hilfskonstellation)
• TF-VM-02</t>
  </si>
  <si>
    <t>• A-01
• A-02
• A-06</t>
  </si>
  <si>
    <t>Deckt aktiven Kompositbestand mit Maklerbetreuung ab und liefert die vorhandene Fremdperson für die Abgrenzung von BE-09. Diese fachliche Grundkonstellation wird operativ einmal mit einem Kompositvertrag und einmal mit einem Lebenvertrag ausgeführt.</t>
  </si>
  <si>
    <t>Mehrfach nutzbar; nicht mit V-04 gleichsetzen, weil Personenart und Poolpfad verschieden sind.</t>
  </si>
  <si>
    <t>Makler-/Kooperationsbestand und Aktivstatus dokumentieren</t>
  </si>
  <si>
    <t>Komposit-Sonderpfad</t>
  </si>
  <si>
    <t>KR normal, Firmenkunde</t>
  </si>
  <si>
    <t>• Vertragsstatus: aktuell
• Personenart: juristische Person
• Kundendaten / IS011: kein Geburtsdatum und genau ein Partnereintrag
• Versicherungsnehmer / Vertragsrolle: Firmenkunde als Versicherungsnehmer
• Betreuung / Bestandsinhaber: AO-Bestandsinhaber
• Vertriebskanal: AO
• GH040-Status: Bestandsinhaber aktiv
• Sparte / Versicherungsart: Komposit, KR, Versicherungsart nicht FK
• Besondere Such- oder Testlogik: positiver Firmen-, Pool- und Untervollmachtspfad
• IMSI-Vorbereitung: mit dem Fachbereich auswählen und nach IMSI übertragen</t>
  </si>
  <si>
    <t>• keine BE – Firmen-/Poolpfad</t>
  </si>
  <si>
    <t>• A-03</t>
  </si>
  <si>
    <t>Positive Kontrolle für juristische Person, KR und Pool mit Untervollmacht. Keine Leben-Ausführung. Die Konstellation enthält Komposit-/KR-Merkmale.</t>
  </si>
  <si>
    <t>Nicht mit V-03 zusammenlegen, wenn sowohl natürliche als auch juristische Person fachlich nachzuweisen sind.</t>
  </si>
  <si>
    <t>AO-Bestandsinhaber und Aktivstatus dokumentieren</t>
  </si>
  <si>
    <t>Spartensonderfall</t>
  </si>
  <si>
    <t>• Vertragsstatus: aktuell
• Personenart: möglichst juristische Person
• Kundendaten / IS011: gemäß vorhandenem Produktivvertrag
• Versicherungsnehmer / Vertragsrolle: Versicherungsnehmer eindeutig
• Betreuung / Bestandsinhaber: AO-Bestand
• Vertriebskanal: AO
• GH040-Status: gemäß vorhandenem Produktivvertrag
• Sparte / Versicherungsart: Komposit, KR-Flottenvertrag, Versicherungsart FK
• Besondere Such- oder Testlogik: direkter Auslöser der BE-13
• IMSI-Vorbereitung: geeigneten Flottenvertrag auswählen und nach IMSI übertragen</t>
  </si>
  <si>
    <t>• BE-13</t>
  </si>
  <si>
    <t>Die BE hängt direkt an der spartenspezifischen FK-Ausprägung und benötigt deshalb einen entsprechenden Vertrag. Keine Leben-Ausführung. Die Konstellation enthält Komposit-, KR-Flotten- und FK-Merkmale.</t>
  </si>
  <si>
    <t>Nur durch eine kontrollierte FK-Ausprägung ersetzbar; fachlich keine Gleichsetzung mit normalem KR-Vertrag.</t>
  </si>
  <si>
    <t>AO-Bestand und Status dokumentieren</t>
  </si>
  <si>
    <t>Bestandsabweichung</t>
  </si>
  <si>
    <t>Direktbestand ohne Bestandsinhaber</t>
  </si>
  <si>
    <t>• Vertragsstatus: aktuell
• Personenart: natürliche Person
• Kundendaten / IS011: Geburtsdatum vorhanden
• Versicherungsnehmer / Vertragsrolle: Versicherungsnehmer eindeutig
• Betreuung / Bestandsinhaber: Feld Betreuung in VA230 leer
• Vertriebskanal: nicht relevant
• GH040-Status: kein Bestandsinhaber ermittelbar
• Sparte / Versicherungsart: KV
• Besondere Such- oder Testlogik: BE-14 Test 2 von 2; zusätzliche Werte werden über Weg B hergestellt
• IMSI-Vorbereitung: Produktivfall suchen oder Zustand fachlich und technisch abgestimmt in IMSI herstellen</t>
  </si>
  <si>
    <t>• BE-14: PN-03, PN-05, PN-06</t>
  </si>
  <si>
    <t>• A-02</t>
  </si>
  <si>
    <t>Erzeugt die zweite, technisch konsistente Prüfnotizgruppe; zusätzliche Werte werden über Weg B gesetzt.</t>
  </si>
  <si>
    <t>Kann technisch in IMSI erzeugt werden; dann ist kein eigener Produktivvertrag erforderlich, wohl aber ein eigener dokumentierter Sollzustand.</t>
  </si>
  <si>
    <t>Betreuung leer oder IS0042 dokumentieren</t>
  </si>
  <si>
    <t>Bestandsinhaber ausgeschieden</t>
  </si>
  <si>
    <t>• Vertragsstatus: aktuell
• Personenart: natürliche Person
• Kundendaten / IS011: Geburtsdatum vorhanden
• Versicherungsnehmer / Vertragsrolle: Versicherungsnehmer eindeutig
• Betreuung / Bestandsinhaber: Bestandsinhaber in OB726 vorhanden
• Vertriebskanal: gemäß vorhandenem Vertrag
• GH040-Status: Bestandsinhaber nicht aktiv
• Sparte / Versicherungsart: KV
• Besondere Such- oder Testlogik: BE-14 Test 1 von 2
• IMSI-Vorbereitung: geeigneten verwaisten beziehungsweise ausgeschiedenen Bestand suchen und übertragen</t>
  </si>
  <si>
    <t>• BE-14: PN-01, PN-02, PN-04, PN-07</t>
  </si>
  <si>
    <t>Erzeugt zusammen mit interner Weiterleitung und Mailabweichungen die erste konsistente Prüfnotizgruppe.</t>
  </si>
  <si>
    <t>Nur zusammenlegbar, wenn der inaktive Bestandsinhaber an einer anderen VNR kontrolliert hergestellt werden kann.</t>
  </si>
  <si>
    <t>Bestandsinhaber, Typ und GH040-Status dokumentieren</t>
  </si>
  <si>
    <t>Personenrolle</t>
  </si>
  <si>
    <t>Versicherte Person ist nicht VN</t>
  </si>
  <si>
    <t>• Vertragsstatus: aktuell
• Personenart: natürliche Personen
• Kundendaten / IS011: Versicherungsnehmer und versicherte Person besitzen Partnerbezug
• Versicherungsnehmer / Vertragsrolle: Versicherungsnehmer und versicherte Person sind verschiedene Personen
• Betreuung / Bestandsinhaber: gemäß vorhandenem Produktivvertrag
• Vertriebskanal: gemäß vorhandenem Produktivvertrag
• GH040-Status: gemäß vorhandenem Produktivvertrag
• Sparte / Versicherungsart: KV
• Besondere Such- oder Testlogik: Abgrenzung zwischen versicherter Person und Versicherungsnehmer
• IMSI-Vorbereitung: Rollenstruktur nach der Übertragung bestätigen</t>
  </si>
  <si>
    <t>• BE-08</t>
  </si>
  <si>
    <t>Grenzt eine vorhandene versicherte Person fachlich vom Versicherungsnehmer ab.</t>
  </si>
  <si>
    <t>Eigenständige Rollenstruktur erforderlich; nicht durch bloß falsche Personendaten ersetzbar.</t>
  </si>
  <si>
    <t>aktuellen Bestandsinhaber dokumentieren</t>
  </si>
  <si>
    <t>Suchlogik</t>
  </si>
  <si>
    <t>Kunde mit häufigem Namen / mehrseitige IS011-Trefferliste</t>
  </si>
  <si>
    <t>• Vertragsstatus: aktuell
• Personenart: natürliche Person mit häufigem Namen
• Kundendaten / IS011: Matchcodesuche liefert mehrere Trefferseiten
• Versicherungsnehmer / Vertragsrolle: richtiger Versicherungsnehmer erscheint erst auf einer Folgeseite
• Betreuung / Bestandsinhaber: gemäß vorhandenem Produktivvertrag
• Vertriebskanal: gemäß vorhandenem Produktivvertrag
• GH040-Status: gemäß vorhandenem Produktivvertrag
• Sparte / Versicherungsart: KV
• Besondere Such- oder Testlogik: positiver PF2-/Folgeseitentest
• IMSI-Vorbereitung: gemeinsam mit Robotics suchen und Mehrseitigkeit nach der Übertragung bestätigen</t>
  </si>
  <si>
    <t>• Sonderkontrolle – keine BE</t>
  </si>
  <si>
    <t>Positive Kontrolle, dass der Bot Folgeseiten durchsucht und nicht vorschnell abbricht.</t>
  </si>
  <si>
    <t>Reduzierbar, wenn die PF2-/Folgeseitenlogik nicht Teil der Abnahme ist; sonst eigenständige Datenlage nötig.</t>
  </si>
  <si>
    <t>8 + 1</t>
  </si>
  <si>
    <t>Vertragskonstellationen</t>
  </si>
  <si>
    <t>Pflicht + optional</t>
  </si>
  <si>
    <t>gemeinsame Basiskonstellation</t>
  </si>
  <si>
    <t>fachliche Testfälle; TF-KU-04 nutzt V-03 zusätzlich als Hilfskonstellation</t>
  </si>
  <si>
    <t>Für die vollständige fachliche Abdeckung sind 8 Pflicht-Vertragskonstellationen sowie V-09 als optionaler Folgeseitentest dokumentiert. V-01 ist bewusst die gemeinsame Basis für 11 fachliche Testfälle; TF-VP-01 wird mit zwei EMMA-Ausprägungen durchgeführt, benötigt aber nur eine gültige KV-Vertragsbasis. Zusätzliche Verträge entstehen nur durch abweichende Vertrags-, Bestands-, Personen- oder Suchlogik. Die Zahl physisch zu suchender Produktivverträge kann sinken, wenn V-06 oder einzelne Negativzustände kontrolliert in IMSI hergestellt werden. Die fachlich unterschiedlichen Sollzustände bleiben dennoch erforderlich.</t>
  </si>
  <si>
    <t>Mailanforderungen | fachlicher Vorlagen- und Zustandskatalog</t>
  </si>
  <si>
    <t>13 Mailvarianten plus Weg B. Inhalte aus Mailvarianten und Postfachkonstellationen sind vollständig integriert; nicht belegte Sollwerte bleiben als TBD sichtbar.</t>
  </si>
  <si>
    <t>Mailvariante</t>
  </si>
  <si>
    <t>Absenderpostfach / Zustand</t>
  </si>
  <si>
    <t>Betreff-Vorlage</t>
  </si>
  <si>
    <t>Mailtext-Vorgabe</t>
  </si>
  <si>
    <t>Relevante KI-Deckblatt-Sollfelder</t>
  </si>
  <si>
    <t>Wiederverwendung / Basisvorlage</t>
  </si>
  <si>
    <t>Standardmail Makler</t>
  </si>
  <si>
    <t>P-01 – Externes Makler-Testpostfach: externe Adresse; Firmenname und Signatur passend zur Agentur; EMMA-Treffer vorhanden
Eingangsart: Testmail
Basisvorlage: Basis Maklermail; Postfach: P-01</t>
  </si>
  <si>
    <t>Test BÜ [TESTFALL-ID] | [SPARTE] | VNR [IMSI-VNR]</t>
  </si>
  <si>
    <t>Guten Tag,
bitte übertragen Sie den Vertrag [IMSI-VNR] der Sparte [SPARTE] entsprechend der beigefügten Unterlagen auf [AGENTURNAME], Agenturnummer [AGENTURNUMMER].
Versicherungsnehmer / Firma: [VN-ODER-FIRMENNAME]
Vielen Dank und freundliche Grüße</t>
  </si>
  <si>
    <t>vollständig lesbare PDF-Maklervollmacht</t>
  </si>
  <si>
    <t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</si>
  <si>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t>
  </si>
  <si>
    <t>• VNR: [IMSI-VNR]
• BUE_SPARTE: [SPARTE]
• Agenturnummer: [AGENTURNUMMER]
• Vermittlertyp: Makler
• BÜ-Wunsch: vorhanden
• Maklervollmacht vorhanden: ja; Unterschrift vorhanden: ja; Kunden-/VN-Daten: IMSI-konform
• TBD: Feldbezeichnung gegen aktuelles KI-Deckblatt prüfen</t>
  </si>
  <si>
    <t>• keine BE
• BE-11 (GH040)
• BE-12
• BE-13
• Sonderkontrolle</t>
  </si>
  <si>
    <t>• TF-GL-01
• TF-VM-03
• TF-VT-01
• TF-VT-02
• TF-KU-05</t>
  </si>
  <si>
    <t>Gemeinsame positive Basismail für regulären Maklerpfad und hostseitig ausgelöste Prüfziele.</t>
  </si>
  <si>
    <t>Basisvorlage; maximal wiederverwenden. Vertrag und Agentur wechseln, Mailstruktur bleibt gleich.</t>
  </si>
  <si>
    <t>Standardmail MFA</t>
  </si>
  <si>
    <t>P-01 – Externes Makler-Testpostfach: externe Adresse; Firmenname und Signatur passend zur Agentur; EMMA-Treffer vorhanden
Eingangsart: Testmail
Basisvorlage: Basis MFA-Mail; Postfach: P-01</t>
  </si>
  <si>
    <t>Guten Tag,
bitte übertragen Sie den Vertrag [IMSI-VNR] der Sparte [SPARTE] und richten Sie die Betreuung entsprechend dem beigefügten Betreuungswunsch auf [AGENTURNAME], Agenturnummer [AGENTURNUMMER], ein.
Versicherungsnehmer / Firma: [VN-ODER-FIRMENNAME]
Vielen Dank und freundliche Grüße</t>
  </si>
  <si>
    <t>unterschriebener 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</si>
  <si>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</si>
  <si>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t>
  </si>
  <si>
    <t>• VNR: [IMSI-VNR]
• BUE_SPARTE: [SPARTE]
• Agenturnummer: [AGENTURNUMMER]
• Vermittlertyp: MFA
• BÜ-Wunsch: vorhanden
• Maklervollmacht vorhanden: nein; Betreuungswunsch: auf verwendete MFA; Kunden-/VN-Daten: IMSI-konform
• TBD: Feldbezeichnung gegen aktuelles KI-Deckblatt prüfen</t>
  </si>
  <si>
    <t>• keine BE im MFA-Pfad</t>
  </si>
  <si>
    <t>• TF-GL-02</t>
  </si>
  <si>
    <t>Positiver Nachweis des eigenständigen MFA-Dokumentenpfads; bei TF-BH-02 höchstens gültige Basis, Auslöser über Weg B.</t>
  </si>
  <si>
    <t>Basisvorlage; nicht mit M-01 zusammenlegen, da Betreuungswunsch und Maklervollmacht verschiedene Dokumente sind.</t>
  </si>
  <si>
    <t>Pool mit Untervollmacht</t>
  </si>
  <si>
    <t>P-02 – Externes Pool-Testpostfach: externe Pool-Adresse
Eingangsart: Testmail
Basisvorlage: Basis Poolmail mit Untervollmacht; Postfach: P-02</t>
  </si>
  <si>
    <t>Guten Tag,
bitte übertragen Sie den Vertrag [IMSI-VNR] der Sparte [SPARTE]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t>
  </si>
  <si>
    <t>Pool-Vollmacht; Untervollmacht auf Untermakler; gegebenenfalls Unterlagenanforderung</t>
  </si>
  <si>
    <t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</si>
  <si>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t>
  </si>
  <si>
    <t>• VNR: [IMSI-VNR]
• BUE_SPARTE: [SPARTE]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t>
  </si>
  <si>
    <t>Belegt den positiven Poolpfad mit Untervollmacht und Folgearbeit.</t>
  </si>
  <si>
    <t>Eigenständige Poolbasis; wegen Untervollmachtslogik von M-04 unterscheidbar.</t>
  </si>
  <si>
    <t>Pool ohne Untervollmacht</t>
  </si>
  <si>
    <t>P-02 – Externes Pool-Testpostfach: externe Pool-Adresse
Eingangsart: Testmail
Basisvorlage: Basis Poolmail ohne Untervollmacht; Postfach: P-02</t>
  </si>
  <si>
    <t>Guten Tag,
bitte übertragen Sie den Vertrag [IMSI-VNR] der Sparte [SPARTE] entsprechend der beigefügten Maklervollmacht auf den Pool [AGENTURNAME], Agenturnummer [AGENTURNUMMER]. Eine Untervollmacht ist nicht beigefügt.
Versicherungsnehmer / Firma: [VN-ODER-FIRMENNAME]
Vielen Dank und freundliche Grüße</t>
  </si>
  <si>
    <t>Maklervollmacht auf Pool; ausdrücklich keine Untervollmacht</t>
  </si>
  <si>
    <t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</si>
  <si>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t>
  </si>
  <si>
    <t>• VNR: [IMSI-VNR]
• BUE_SPARTE: [SPARTE]
• Agenturnummer: [AGENTURNUMMER]
• Vermittlertyp: Pool beziehungsweise Makler
• BÜ-Wunsch: vorhanden
• Maklervollmacht vorhanden: ja; Untervollmacht vorhanden: nein
• TBD: Feldbezeichnung gegen aktuelles KI-Deckblatt prüfen</t>
  </si>
  <si>
    <t>• keine BE – Komposit-und-Leben-Rückfallpfad</t>
  </si>
  <si>
    <t>Grenzt den Poolfall ohne Untervollmacht von M-03 ab und prüft den E-Mail-Rückfall.</t>
  </si>
  <si>
    <t>Von M-03 durch kontrolliertes Entfernen der Untervollmacht ableitbar; eigener Poolpfad.</t>
  </si>
  <si>
    <t>Fehlende VN-Unterschrift</t>
  </si>
  <si>
    <t>P-01 – Externes Makler-Testpostfach
Eingangsart: Testmail
Basisvorlage: M-01; Postfach: P-01</t>
  </si>
  <si>
    <t>PDF-Maklervollmacht ohne VN-Unterschrift</t>
  </si>
  <si>
    <t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</si>
  <si>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t>
  </si>
  <si>
    <t>• VNR: [IMSI-VNR]
• BUE_SPARTE: [SPARTE]
• Agenturnummer: [AGENTURNUMMER]
• BÜ-Wunsch: vorhanden
• Maklervollmacht vorhanden: ja; Unterschrift vorhanden: nein; Kunden-/VN-Daten: IMSI-konform
• TBD: Feldbezeichnung gegen aktuelles KI-Deckblatt prüfen</t>
  </si>
  <si>
    <t>• BE-05</t>
  </si>
  <si>
    <t>Die fehlende Unterschrift ist der unmittelbare und eindeutige Mailauslöser der BE-05.</t>
  </si>
  <si>
    <t>Kontrolliert aus M-01 als Negativkopie ableiten; eigener Sollnachweis.</t>
  </si>
  <si>
    <t>P-01 – Externes Makler-Testpostfach
Eingangsart: Testmail
Basisvorlage: M-02; Postfach: P-01</t>
  </si>
  <si>
    <t>Guten Tag,
bitte richten Sie die Betreuung für den Vertrag [IMSI-VNR] der Sparte [SPARTE] entsprechend dem beigefügten Betreuungswunsch auf [AGENTURNAME], Agenturnummer [AGENTURNUMMER], ein.
Versicherungsnehmer / Firma: [VN-ODER-FIRMENNAME]
Vielen Dank und freundliche Grüße</t>
  </si>
  <si>
    <t>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</si>
  <si>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t>
  </si>
  <si>
    <t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t>
  </si>
  <si>
    <t>• VNR: [IMSI-VNR]
• BUE_SPARTE: [SPARTE]
• Agenturnummer: [AGENTURNUMMER]
• Vermittlertyp: MFA
• BÜ-Wunsch: nicht vorhanden
• Maklervollmacht vorhanden: Betreuungswunsch: vorhanden
• TBD: Feldbezeichnung gegen aktuelles KI-Deckblatt prüfen</t>
  </si>
  <si>
    <t>• BE-03</t>
  </si>
  <si>
    <t>Isoliert den fehlenden BÜ-Wunsch im MFA-Pfad.</t>
  </si>
  <si>
    <t>Kontrolliert aus M-02 durch Entfernen des BÜ-Wunsches ableiten.</t>
  </si>
  <si>
    <t>Guten Tag,
bitte übertragen Sie den Vertrag [IMSI-VNR] der Sparte [SPARTE]. Der beigefügte Betreuungswunsch nennt einen anderen Vermittler als [AGENTURNAME], Agenturnummer [AGENTURNUMMER].
Versicherungsnehmer / Firma: [VN-ODER-FIRMENNAME]
Vielen Dank und freundliche Grüße</t>
  </si>
  <si>
    <t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</si>
  <si>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t>
  </si>
  <si>
    <t>• VNR: [IMSI-VNR]
• BUE_SPARTE: [SPARTE]
• Agenturnummer: [AGENTURNUMMER]
• Vermittlertyp: MFA
• BÜ-Wunsch: vorhanden
• Maklervollmacht vorhanden: Betreuungswunsch: anderer Vermittler
• TBD: Feldbezeichnung gegen aktuelles KI-Deckblatt prüfen</t>
  </si>
  <si>
    <t>• BE-04</t>
  </si>
  <si>
    <t>Isoliert die Empfängerabweichung des Betreuungswunsches.</t>
  </si>
  <si>
    <t>Kontrolliert aus M-02 ableiten; nicht mit M-06 kombinieren.</t>
  </si>
  <si>
    <t>BÜ-Anfrage für Courtagefortzahler / Kontaktgeber</t>
  </si>
  <si>
    <t>P-01 – Externes Makler-Testpostfach
Eingangsart: Testmail
Basisvorlage: M-01 als neutrale formell gültige BÜ-Anfrage; Postfach: P-01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</si>
  <si>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t>
  </si>
  <si>
    <t>• VNR: [IMSI-VNR]
• BUE_SPARTE: [SPARTE]
• Agenturnummer: [AGENTURNUMMER]
• BÜ-Wunsch: vorhanden
• Maklervollmacht vorhanden: ja; BUE_VERMITTLER_TYP: Ausprägung A Courtagefortzahler / Ausprägung B Kontaktgeber
• TBD: Feldbezeichnung gegen aktuelles KI-Deckblatt prüfen</t>
  </si>
  <si>
    <t>• BE-01: Courtagefortzahler und Kontaktgeber</t>
  </si>
  <si>
    <t>Eine neutrale Mail hält beide EMMA-Auslöser isoliert und erlaubt zwei eindeutige Solltexte.</t>
  </si>
  <si>
    <t>Eine formell gültige neutrale Basismail für beide Läufe; EMMA-Typ kontrolliert wechseln und zurücksetzen.</t>
  </si>
  <si>
    <t>Falsches Geburtsdatum</t>
  </si>
  <si>
    <t>Maklervollmacht mit abweichendem Geburtsdatum</t>
  </si>
  <si>
    <t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t>
  </si>
  <si>
    <t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t>
  </si>
  <si>
    <t>• VNR: [IMSI-VNR]
• BUE_SPARTE: [SPARTE]
• Agenturnummer: [AGENTURNUMMER]
• BÜ-Wunsch: vorhanden
• Maklervollmacht vorhanden: ja; Unterschrift vorhanden: ja; Kunden-/VN-Daten: Geburtsdatum gegenüber IMSI abweichend
• TBD: Feldbezeichnung gegen aktuelles KI-Deckblatt prüfen</t>
  </si>
  <si>
    <t>• BE-11 plus PN-02</t>
  </si>
  <si>
    <t>Erzeugt vor der harten BE-11 eine Prüfnotiz und belegt deren Fortbestand.</t>
  </si>
  <si>
    <t>Kontrolliert aus M-01 ableiten; nicht mit anderen Personabweichungen vermischen.</t>
  </si>
  <si>
    <t>Andere vorhandene Person</t>
  </si>
  <si>
    <t>Guten Tag,
bitte übertragen Sie den Vertrag [IMSI-VNR] der Sparte [SPARTE] entsprechend der beigefügten Unterlagen auf [AGENTURNAME], Agenturnummer [AGENTURNUMMER].
In den Unterlagen genannte Person: [VN-ODER-FIRMENNAME]
Vielen Dank und freundliche Grüße</t>
  </si>
  <si>
    <t>Maklervollmacht beziehungsweise Dokument mit anderer vorhandener Person</t>
  </si>
  <si>
    <t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</si>
  <si>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t>
  </si>
  <si>
    <t>• VNR: [IMSI-VNR]
• BUE_SPARTE: [SPARTE]
• Agenturnummer: [AGENTURNUMMER]
• BÜ-Wunsch: vorhanden
• Maklervollmacht vorhanden: ja; Kunden-/VN-Daten: andere vorhandene Person testfallspezifisch
• TBD: Feldbezeichnung gegen aktuelles KI-Deckblatt prüfen</t>
  </si>
  <si>
    <t>• BE-08
• BE-09</t>
  </si>
  <si>
    <t>• TF-KU-03
• TF-KU-04</t>
  </si>
  <si>
    <t>Dieselbe Dokumentenlogik grenzt zwei hostseitige Rollenlagen voneinander ab.</t>
  </si>
  <si>
    <t>Kontrolliert aus M-01; eine Vorlage für beide Tests bei dokumentiertem Person- und Vertragsbezug.</t>
  </si>
  <si>
    <t>Maklervollmacht beziehungsweise Dokument mit fiktiver Person</t>
  </si>
  <si>
    <t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</si>
  <si>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t>
  </si>
  <si>
    <t>• VNR: [IMSI-VNR]
• BUE_SPARTE: [SPARTE]
• Agenturnummer: [AGENTURNUMMER]
• BÜ-Wunsch: vorhanden
• Maklervollmacht vorhanden: ja; Kunden-/VN-Daten: fiktive Person mit formal plausiblen Stammdaten
• TBD: Feldbezeichnung gegen aktuelles KI-Deckblatt prüfen</t>
  </si>
  <si>
    <t>• BE-07</t>
  </si>
  <si>
    <t>Isoliert erfolglose Personensuche von Rollen- und Vertragsabweichungen.</t>
  </si>
  <si>
    <t>Kontrolliert aus M-01; fiktive Person muss nachweislich ohne IS011-Treffer sein.</t>
  </si>
  <si>
    <t>Unbekannter Absender ohne Agenturnummer</t>
  </si>
  <si>
    <t>P-04 – Unbekannter Absender: kein EMMA-Treffer; keine Agenturnummer in Signatur oder Text
Eingangsart: Testmail
Basisvorlage: eigenständige Negativvorlage; Postfach: P-04</t>
  </si>
  <si>
    <t>Guten Tag,
bitte prüfen Sie die Übertragung des Vertrags [IMSI-VNR] der Sparte [SPARTE].
Versicherungsnehmer / Firma: [VN-ODER-FIRMENNAME]
Vielen Dank und freundliche Grüße</t>
  </si>
  <si>
    <t>nur fachlich notwendige Unterlagen; keine Agenturnummer in Dokument oder Signatur</t>
  </si>
  <si>
    <t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t>
  </si>
  <si>
    <t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t>
  </si>
  <si>
    <t>• VNR: [IMSI-VNR]
• BUE_SPARTE: [SPARTE]
• Agenturnummer: nicht vorhanden
• Vermittlertyp: kein EMMA-Treffer
• BÜ-Wunsch: vorhanden
• Maklervollmacht vorhanden: Agenturnummer: nicht vorhanden; Kunden-/VN-Daten: testfallspezifisch
• TBD: Feldbezeichnung gegen aktuelles KI-Deckblatt prüfen</t>
  </si>
  <si>
    <t>Die BE entsteht vor der Hostprüfung durch fehlende Agenturidentifikation.</t>
  </si>
  <si>
    <t>Eigenständige Absender- und Negativvorlage; nicht mit bekanntem Postfach simulieren.</t>
  </si>
  <si>
    <t>Sammelmail BE-14 A</t>
  </si>
  <si>
    <t>P-03 – Internes ERGO-Postfach: interne Weiterleitung einer externen Maklermail
Eingangsart: Testmail
Basisvorlage: eigenständige interne Weiterleitung; Postfach: P-03</t>
  </si>
  <si>
    <t>WG: Test BÜ [TESTFALL-ID] | [SPARTE] | VNR [IMSI-VNR]</t>
  </si>
  <si>
    <t>Guten Tag,
anbei leiten wir die ursprüngliche externe Anfrage zur Übertragung des Vertrags [IMSI-VNR] der Sparte [SPARTE] auf [AGENTURNAME], Agenturnummer [AGENTURNUMMER], weiter.
Versicherungsnehmer / Firma: [VN-ODER-FIRMENNAME]
Vielen Dank und freundliche Grüße</t>
  </si>
  <si>
    <t>weitergeleitete ursprüngliche Anfrage; Maklervollmacht</t>
  </si>
  <si>
    <t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t>
  </si>
  <si>
    <t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t>
  </si>
  <si>
    <t>- BUE_PRUEFUNG_UNTERLAGEN: weder „Vollständig“ noch leer
- BUE_KUNDE_GEBDAT: gefüllt und gegenüber IS011-Gebdat abweichend
- BUE_MAKLER_EMAIL beziehungsweise fachlich bestätigtes Makler-E-Mail-Feld: enthält „@ergo“
- BUE_VNR: [IMSI-VNR]
- BUE_SPARTE: [SPARTE]
- BUE_AGENTUR_NR: [AGENTURNUMMER]</t>
  </si>
  <si>
    <t>Bündelt PN-01, PN-02, PN-04 und PN-07 in einem Vorgang; alle vier Prüfnotizen und die vollständige Fehlerliste sind nachzuweisen.</t>
  </si>
  <si>
    <t>Eigenständige interne Weiterleitung über P-03; nicht mit Sammeltest B zusammenlegen.</t>
  </si>
  <si>
    <t>Technisch hergestellter Datensatz</t>
  </si>
  <si>
    <t>P-01 / technisch – gültige Basismail nur als Eingangshilfe</t>
  </si>
  <si>
    <t>Keine auslösende Testmail erforderlich; Werte werden in Vorgang, Datenpool oder Testzustand gezielt gesetzt. Eine gültige Basismail darf nur Eingangshilfe sein.</t>
  </si>
  <si>
    <t>Technischer Oberbegriff für TF-KU-01, TF-VM-01 und TF-BH-02. Die konkrete Arbeitsanweisung wird im operativen Auftrag anhand der Testfall-ID ausgegeben.</t>
  </si>
  <si>
    <t>Testfallspezifische Datenpool-Sollausprägungen werden im operativen Auftrag anhand der Testfall-ID ausgegeben.</t>
  </si>
  <si>
    <t>• BE-06
• BE-10
• BE-14: PN-03, PN-05, PN-06</t>
  </si>
  <si>
    <t>• TF-KU-01
• TF-VM-01
• TF-BH-02</t>
  </si>
  <si>
    <t>Deckt technisch hergestellte Fälle ab; TF-BH-02 bündelt PN-03, PN-05 und PN-06 mit vollständigem Nachweis der Auslöser und Fehlerliste.</t>
  </si>
  <si>
    <t>technischer Zustand; keine Mailvorlage</t>
  </si>
  <si>
    <t>Agenturname, Agenturnummer und Vermittlernummer in den Mailvorlagen beziehen sich grundsätzlich auf die aufnehmende Agentur. Die abgebende Agentur beziehungsweise der bisherige Bestandsinhaber wird separat über Vertrag, Hostzustand und Abgeber-ID dokumentiert.</t>
  </si>
  <si>
    <t>WERKZEUG  ·  SCHRITT C</t>
  </si>
  <si>
    <t>Testmail-Generator</t>
  </si>
  <si>
    <t>Erzeugt aus den hinterlegten Daten eine Testmail (EML) mit ausgefüllter und unterschriebener Vollmacht als PDF-Anhang.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</si>
  <si>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11"/>
        <color rgb="FFEA580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noch nötig     </t>
    </r>
    <r>
      <rPr>
        <sz val="11"/>
        <color rgb="FFE4E8E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ohne Bedeutung</t>
    </r>
  </si>
  <si>
    <t>1   Einstellungen pflegen</t>
  </si>
  <si>
    <t>Empfänger und Absender sind vorbelegt; Anzeigenamen P-03 und P-04 eintragen.</t>
  </si>
  <si>
    <t>2   Ergänzende Testdaten</t>
  </si>
  <si>
    <t>Je Mail-Auftrag nur die orange markierten Angaben ergänzen.</t>
  </si>
  <si>
    <t>3   Testmail erstellen</t>
  </si>
  <si>
    <t>Auftrag wählen; fehlt etwas, zeigt die Karte wo – oder trotzdem erstellen.</t>
  </si>
  <si>
    <t>4   Öffnen und senden</t>
  </si>
  <si>
    <t>EML in Outlook öffnen, Absender auf das Absender-Postfach stellen und senden.</t>
  </si>
  <si>
    <t>Einstellungen</t>
  </si>
  <si>
    <t>Einstellung</t>
  </si>
  <si>
    <t>Wert</t>
  </si>
  <si>
    <t>Erläuterung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</si>
  <si>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Empfänger: Adresse</t>
    </r>
  </si>
  <si>
    <t>CelonisBueMakler@ergo.de</t>
  </si>
  <si>
    <t>Postfach, in das bestandsuebertragung@ergo.de und maklerauftraege@ergo.de weiterleiten – von dort eröffnet der Prüfbot den Vorgang in der ABN. Der Postkorb steht nicht in der Mail.</t>
  </si>
  <si>
    <r>
      <rPr>
        <sz val="8"/>
        <color rgb="FF7B8794"/>
        <rFont val="Liberation Sans"/>
        <family val="2"/>
      </rPr>
      <t xml:space="preserve">ABSENDER
</t>
    </r>
    <r>
      <rPr>
        <b/>
        <sz val="9.5"/>
        <color rgb="FF1F2933"/>
        <rFont val="Liberation Sans"/>
        <family val="2"/>
      </rPr>
      <t>Absender-Postfach: Adresse</t>
    </r>
  </si>
  <si>
    <t>CelonisBUEStrukturierung@ergo.de</t>
  </si>
  <si>
    <t>Aus diesem Postfach werden die Testmails gesendet. P-01 bis P-04 nur ausfüllen, wenn eine Mailvariante aus einem anderen Postfach kommen soll.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</si>
  <si>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P-01 Makler-Testpostfach: Adresse</t>
    </r>
  </si>
  <si>
    <t>Optional, leer = Absender-Postfach. Absender für M-01, M-02 und M-05 bis M-11; Anzeigename und Signatur: Agentur aus den Stammdaten.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</si>
  <si>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P-02 Pool-Testpostfach: Adresse</t>
    </r>
  </si>
  <si>
    <t>Optional, leer = Absender-Postfach. Absender der Poolmails M-03 und M-04; Anzeigename und Signatur: Pool aus den Stammdaten.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</si>
  <si>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Adresse</t>
    </r>
  </si>
  <si>
    <t>Optional, leer = Absender-Postfach. Absender der internen Weiterleitung M-13; muss „@ergo“ enthalten, sonst entsteht PN-07 nicht.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</si>
  <si>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Anzeigename</t>
    </r>
  </si>
  <si>
    <t>Anzeigename und einzige Signaturzeile der Weiterleitung M-13.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</si>
  <si>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Adresse</t>
    </r>
  </si>
  <si>
    <t>Optional, leer = Absender-Postfach. Absender für M-12; darf in EMMA keinen Treffer haben.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</si>
  <si>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Anzeigename</t>
    </r>
  </si>
  <si>
    <t>Anzeigename und Signatur von M-12 – ohne Agenturname aus den Stammdaten und ohne Ziffern einer Agenturnummer.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</si>
  <si>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Ort der Unterschrift</t>
    </r>
  </si>
  <si>
    <t>Ort auf den Dokumenten, wenn zur Person keine Anschrift mit Ort hinterlegt ist (leer = Feld bleibt leer).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</si>
  <si>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Datum der Unterschrift</t>
    </r>
  </si>
  <si>
    <t>Leer = Tag der Erstellung. Format TT.MM.JJJJ.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</si>
  <si>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Testvermerk in der Fußzeile</t>
    </r>
  </si>
  <si>
    <t>ja = kleine Fußzeile „Testdokument Prüfbot | MAIL-xxx | TF-xx | erstellt …“ auf jedem PDF.</t>
  </si>
  <si>
    <r>
      <rPr>
        <sz val="8"/>
        <color rgb="FF7B8794"/>
        <rFont val="Liberation Sans"/>
        <family val="2"/>
      </rPr>
      <t xml:space="preserve">ABLAGE
</t>
    </r>
    <r>
      <rPr>
        <b/>
        <sz val="9.5"/>
        <color rgb="FF1F2933"/>
        <rFont val="Liberation Sans"/>
        <family val="2"/>
      </rPr>
      <t>Ausgabeordner</t>
    </r>
  </si>
  <si>
    <t>Leer = Ordner „Pruefbot_Testmails“ neben dieser Datei; liegt die Datei auf SharePoint/OneDrive (https), dann Dokumente\Pruefbot_Testmails.</t>
  </si>
  <si>
    <t>Ergänzende Testdaten je Mail-Auftrag</t>
  </si>
  <si>
    <t>Nur nötig für Abweichungen, die die Stammdaten nicht hergeben (andere oder fiktive Person, Untermakler, Unterlagenlücke …). Datumsangaben als TT.MM.JJJJ.</t>
  </si>
  <si>
    <t>Variante</t>
  </si>
  <si>
    <t>Benötigte Angaben</t>
  </si>
  <si>
    <t>Anschrift Versicherungsnehmer</t>
  </si>
  <si>
    <t>Vertretungsberechtigte Person (Firmenkunde)</t>
  </si>
  <si>
    <t>Person: Name / Firma</t>
  </si>
  <si>
    <t>Person: Vorname</t>
  </si>
  <si>
    <t>Person: Geburtsdatum</t>
  </si>
  <si>
    <t>IS011 ohne Treffer geprüft</t>
  </si>
  <si>
    <t>Abweichendes Geburtsdatum</t>
  </si>
  <si>
    <t>Abweichender Vermittler (Agentur-ID)</t>
  </si>
  <si>
    <t>Untermakler: Name / Firma</t>
  </si>
  <si>
    <t>Untermakler: Registernummer</t>
  </si>
  <si>
    <t>Untermakler: E-Mail</t>
  </si>
  <si>
    <t>Unterlagenanforderung / Folgearbeiten</t>
  </si>
  <si>
    <t>Unterlagenlücke für PN-01</t>
  </si>
  <si>
    <t>Registernummer Bevollmächtigter</t>
  </si>
  <si>
    <t>Anschrift Bevollmächtigter</t>
  </si>
  <si>
    <t>Notiz</t>
  </si>
  <si>
    <t>Annahme: A-03 ist der Pool (Hauptbevollmächtigter); die Untervollmacht geht an den hier eingetragenen Untermakler.</t>
  </si>
  <si>
    <t>Vorschlag: A-01 (vorhandene, von der MFA A-04 verschiedene Agentur) – fachlich bestätigen.</t>
  </si>
  <si>
    <t>Fiktive Person vorher in IS011 ohne Treffer prüfen und „ja“ setzen.</t>
  </si>
  <si>
    <t>Versicherte Person aus V08-01, die nicht Versicherungsnehmer ist.</t>
  </si>
  <si>
    <t>Leer = Versicherungsnehmer aus V03-K01 (Stammdaten), sobald dort gepflegt.</t>
  </si>
  <si>
    <t>Lücke fachlich bestätigen (Tanja / Robotics): sie soll PN-01 auslösen, aber keine harte BE.</t>
  </si>
  <si>
    <t>Protokoll der erzeugten Testmails</t>
  </si>
  <si>
    <t>Jede erzeugte Testmail wird hier eingetragen (neueste unten). „Datei“ ist ein Link auf die EML.</t>
  </si>
  <si>
    <t>Zeitpunkt</t>
  </si>
  <si>
    <t>Datei</t>
  </si>
  <si>
    <t>Anhänge</t>
  </si>
  <si>
    <t>Fehlende Werte</t>
  </si>
  <si>
    <t>Trotz fehlender Werte erstellt</t>
  </si>
  <si>
    <t>Erstellt von</t>
  </si>
  <si>
    <t>COCKPIT</t>
  </si>
  <si>
    <t>Prüfbot-Testing | Start &amp; Übersicht</t>
  </si>
  <si>
    <t>Testvorbereitung für den BÜ-Prüfbot: Fortschritt je Prozessschritt, offene Voraussetzungen und der Weg zur Testmail auf einen Blick.</t>
  </si>
  <si>
    <t>KENNZAHLEN</t>
  </si>
  <si>
    <t>Kachelwerte</t>
  </si>
  <si>
    <t>Bezeichnung (für die Kacheln oben)</t>
  </si>
  <si>
    <t>fachliche Testfälle</t>
  </si>
  <si>
    <t>Business Exceptions</t>
  </si>
  <si>
    <t>Prüfnotizen</t>
  </si>
  <si>
    <t>Vertragsgrundkonstellationen</t>
  </si>
  <si>
    <t>Mailvarianten / Zustände</t>
  </si>
  <si>
    <t>Operative Testausführungen</t>
  </si>
  <si>
    <t>ABLAUF</t>
  </si>
  <si>
    <t>TESTMAIL-GENERATOR</t>
  </si>
  <si>
    <t>Ablauf (Text)</t>
  </si>
  <si>
    <t>Fachliche Herleitung → Stammdaten eintragen → Verträge Agenturen zuordnen → Mails und Datensätze vorbereiten → Testfälle durchführen</t>
  </si>
  <si>
    <t>Operative Prozessschritte</t>
  </si>
  <si>
    <t>Prozessschritt</t>
  </si>
  <si>
    <t>Zielblatt</t>
  </si>
  <si>
    <t>Gesamt</t>
  </si>
  <si>
    <t>Bearbeitung</t>
  </si>
  <si>
    <t>Navigation</t>
  </si>
  <si>
    <t>Fortschritt (erledigt)</t>
  </si>
  <si>
    <t>A. Stammdaten vervollständigen</t>
  </si>
  <si>
    <t>Stammdaten</t>
  </si>
  <si>
    <t>Aufnehmende und abgebende Agentur- sowie Vertragsdaten einmalig pflegen</t>
  </si>
  <si>
    <t>Zum Blatt: Stammdaten</t>
  </si>
  <si>
    <t>B. Vertragsmapping durchführen</t>
  </si>
  <si>
    <t>Konkrete IMSI-Zuordnungen herstellen und prüfen</t>
  </si>
  <si>
    <t>Zum Blatt: To-do Vertragsmapping</t>
  </si>
  <si>
    <t>C. Mails und Datensätze vorbereiten</t>
  </si>
  <si>
    <t>Zum Blatt: To-do Mailerstellung</t>
  </si>
  <si>
    <t>D. Testfälle durchführen</t>
  </si>
  <si>
    <t>Operative Ausführungen separat durchführen und Ergebnis manuell dokumentieren</t>
  </si>
  <si>
    <t>Zum Blatt: Testfall-Tracking</t>
  </si>
  <si>
    <t>Die fachlichen Blätter erklären die Herleitung. Die operative Bearbeitung erfolgt ausschließlich in Stammdaten, To-do Vertragsmapping, To-do Mailerstellung und Testfall-Tracking.</t>
  </si>
  <si>
    <t>Offene technische Voraussetzungen</t>
  </si>
  <si>
    <t>Quelle</t>
  </si>
  <si>
    <t>Arbeitspaket</t>
  </si>
  <si>
    <t>Erhaltener Inhalt</t>
  </si>
  <si>
    <t>Zielbezug</t>
  </si>
  <si>
    <t>Nachweis</t>
  </si>
  <si>
    <t>IMSI Checkliste</t>
  </si>
  <si>
    <t>IMSI-Zugang</t>
  </si>
  <si>
    <t>Zugang, Login und benötigte Hostmasken/Testumgebung prüfen</t>
  </si>
  <si>
    <t>Stammdaten / Testfall-Tracking</t>
  </si>
  <si>
    <t>Benutzer-ID; Login-Datum; Anwendungen</t>
  </si>
  <si>
    <t>Rollen und Verantwortlichkeiten</t>
  </si>
  <si>
    <t>Verantwortung für IMSI, Datenpool und technische Zustände festlegen</t>
  </si>
  <si>
    <t>alle operativen Blätter</t>
  </si>
  <si>
    <t>Name je Rolle und Kontakt</t>
  </si>
  <si>
    <t>Testpostfächer</t>
  </si>
  <si>
    <t>P-01 bis P-04 bereitstellen; P-04 ohne EMMA-Treffer</t>
  </si>
  <si>
    <t>Pauline / Testkoordination</t>
  </si>
  <si>
    <t>Postfach; Zugriffsbestätigung</t>
  </si>
  <si>
    <t>Startpostkorb</t>
  </si>
  <si>
    <t>MV 23724 BÜ Prüf BOT und Bot-Zugriff bereitstellen</t>
  </si>
  <si>
    <t>Tanja / Robotics</t>
  </si>
  <si>
    <t>Postkorbname; Zugriff</t>
  </si>
  <si>
    <t>Datenpoolfelder</t>
  </si>
  <si>
    <t>Benötigte BUE-Felder und Zuordnung zu Vorgang-Lfd-Nr./VNR prüfen</t>
  </si>
  <si>
    <t>To-do Mailerstellung / Tracking</t>
  </si>
  <si>
    <t>Feldliste; Datenpoolnachweis</t>
  </si>
  <si>
    <t>Weg A Vorabkontrolle</t>
  </si>
  <si>
    <t>Nach Celonis/EMWS Postkorbvorgang und Datenpool-Sollwerte prüfen</t>
  </si>
  <si>
    <t>Vorgang-Lfd-Nr.; Soll/Ist-Abgleich</t>
  </si>
  <si>
    <t>Folgebotschutz</t>
  </si>
  <si>
    <t>Schutz vor 72h-/BÜ-Folgebots und Wiederverwendung derselben VNR klären</t>
  </si>
  <si>
    <t>Schutzmechanismus; Freigabe</t>
  </si>
  <si>
    <t>Abgebende Agenturen / Bestandsinhaber</t>
  </si>
  <si>
    <t>Konkrete AO- und Makler-Abgeberstammdaten sowie Zuordnung zu den Vertragsdatensätzen in IMSI bestätigen.</t>
  </si>
  <si>
    <t>Stammdaten / Vertragsmapping</t>
  </si>
  <si>
    <t>Abgeber-ID; Hostzustand; Zuordnungsnachweis</t>
  </si>
</sst>
</file>

<file path=xl/styles.xml><?xml version="1.0" encoding="utf-8"?>
<styleSheet xmlns="http://schemas.openxmlformats.org/spreadsheetml/2006/main">
  <numFmts count="5">
    <numFmt numFmtId="164" formatCode="0%"/>
    <numFmt numFmtId="165" formatCode="dd.mm.yyyy"/>
    <numFmt numFmtId="166" formatCode="dd.mm.yyyy hh:mm"/>
    <numFmt numFmtId="167" formatCode="@"/>
    <numFmt numFmtId="168" formatCode="&quot;Summe &quot;0"/>
  </numFmts>
  <fonts count="27">
    <font>
      <sz val="10"/>
      <color theme="1"/>
      <name val="Liberation Sans"/>
      <family val="2"/>
    </font>
    <font>
      <sz val="9.5"/>
      <color rgb="FFFFFFFF"/>
      <name val="Liberation Sans"/>
      <family val="2"/>
    </font>
    <font>
      <b/>
      <sz val="8"/>
      <color rgb="FF5EEAD4"/>
      <name val="Liberation Sans"/>
      <family val="2"/>
    </font>
    <font>
      <b/>
      <sz val="17"/>
      <color rgb="FFFFFFFF"/>
      <name val="Liberation Sans"/>
      <family val="2"/>
    </font>
    <font>
      <sz val="10"/>
      <color rgb="FFAEBBC7"/>
      <name val="Liberation Sans"/>
      <family val="2"/>
    </font>
    <font>
      <sz val="9.5"/>
      <color rgb="FF1F2933"/>
      <name val="Liberation Sans"/>
      <family val="2"/>
    </font>
    <font>
      <b/>
      <sz val="8.5"/>
      <color rgb="FF0F766E"/>
      <name val="Liberation Sans"/>
      <family val="2"/>
    </font>
    <font>
      <b/>
      <sz val="9.5"/>
      <color rgb="FF1F2933"/>
      <name val="Liberation Sans"/>
      <family val="2"/>
    </font>
    <font>
      <sz val="9"/>
      <color rgb="FF4A5A6A"/>
      <name val="Liberation Sans"/>
      <family val="2"/>
    </font>
    <font>
      <b/>
      <sz val="10"/>
      <color rgb="FF1B2733"/>
      <name val="Liberation Sans"/>
      <family val="2"/>
    </font>
    <font>
      <b/>
      <sz val="12"/>
      <color rgb="FF1B2733"/>
      <name val="Liberation Sans"/>
      <family val="2"/>
    </font>
    <font>
      <b/>
      <sz val="9"/>
      <color rgb="FFFFFFFF"/>
      <name val="Liberation Sans"/>
      <family val="2"/>
    </font>
    <font>
      <sz val="9.5"/>
      <color rgb="FF4A5A6A"/>
      <name val="Liberation Sans"/>
      <family val="2"/>
    </font>
    <font>
      <b/>
      <sz val="11"/>
      <color rgb="FF1B2733"/>
      <name val="Liberation Sans"/>
      <family val="2"/>
    </font>
    <font>
      <b/>
      <sz val="11"/>
      <color rgb="FF475467"/>
      <name val="Liberation Sans"/>
      <family val="2"/>
    </font>
    <font>
      <b/>
      <sz val="11"/>
      <color rgb="FF17663A"/>
      <name val="Liberation Sans"/>
      <family val="2"/>
    </font>
    <font>
      <b/>
      <sz val="11"/>
      <color rgb="FF1F2933"/>
      <name val="Liberation Sans"/>
      <family val="2"/>
    </font>
    <font>
      <b/>
      <sz val="9.5"/>
      <color rgb="FF0B5D57"/>
      <name val="Liberation Sans"/>
      <family val="2"/>
    </font>
    <font>
      <b/>
      <sz val="9.5"/>
      <color rgb="FF0F766E"/>
      <name val="Liberation Sans"/>
      <family val="2"/>
    </font>
    <font>
      <i/>
      <sz val="9"/>
      <color rgb="FF7B8794"/>
      <name val="Liberation Sans"/>
      <family val="2"/>
    </font>
    <font>
      <sz val="9"/>
      <color rgb="FF1F2933"/>
      <name val="Liberation Sans"/>
      <family val="2"/>
    </font>
    <font>
      <sz val="8.5"/>
      <color rgb="FF7B8794"/>
      <name val="Liberation Sans"/>
      <family val="2"/>
    </font>
    <font>
      <b/>
      <sz val="10"/>
      <color rgb="FF0B5D57"/>
      <name val="Liberation Sans"/>
      <family val="2"/>
    </font>
    <font>
      <sz val="8.5"/>
      <color rgb="FF4A5A6A"/>
      <name val="Liberation Sans"/>
      <family val="2"/>
    </font>
    <font>
      <sz val="9"/>
      <color rgb="FF7B8794"/>
      <name val="Liberation Sans"/>
      <family val="2"/>
    </font>
    <font>
      <sz val="8"/>
      <color rgb="FFFFFFFF"/>
      <name val="Liberation Sans"/>
      <family val="2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1B2733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4323F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6F4F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ck">
        <color rgb="FF0F766E"/>
      </left>
      <right style="thin">
        <color rgb="FFCBD3DB"/>
      </right>
      <top style="thin">
        <color rgb="FFCBD3DB"/>
      </top>
      <bottom/>
      <diagonal/>
    </border>
    <border>
      <left style="thick">
        <color rgb="FF0F766E"/>
      </left>
      <right style="thin">
        <color rgb="FFCBD3DB"/>
      </right>
      <top/>
      <bottom style="thin">
        <color rgb="FFCBD3DB"/>
      </bottom>
      <diagonal/>
    </border>
    <border>
      <left style="thin">
        <color rgb="FF3A4A58"/>
      </left>
      <right style="thin">
        <color rgb="FF3A4A58"/>
      </right>
      <top/>
      <bottom style="medium">
        <color rgb="FF0F766E"/>
      </bottom>
      <diagonal/>
    </border>
    <border>
      <left/>
      <right/>
      <top/>
      <bottom style="thin">
        <color rgb="FFE3E8ED"/>
      </bottom>
      <diagonal/>
    </border>
    <border>
      <left style="thin">
        <color rgb="FFE3E8ED"/>
      </left>
      <right style="thin">
        <color rgb="FFE3E8ED"/>
      </right>
      <top/>
      <bottom style="thin">
        <color rgb="FFE3E8ED"/>
      </bottom>
      <diagonal/>
    </border>
    <border>
      <left style="thick">
        <color rgb="FFFFFFFF"/>
      </left>
      <right style="thick">
        <color rgb="FFFFFFFF"/>
      </right>
      <top style="medium">
        <color rgb="FFFFFFFF"/>
      </top>
      <bottom style="medium">
        <color rgb="FFFFFFFF"/>
      </bottom>
      <diagonal/>
    </border>
    <border>
      <left style="thick">
        <color rgb="FF0F766E"/>
      </left>
      <right style="medium">
        <color rgb="FFFFFFFF"/>
      </right>
      <top/>
      <bottom/>
      <diagonal/>
    </border>
    <border>
      <left style="thick">
        <color rgb="FFC9D2DB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0" fontId="6" fillId="0" borderId="0" xfId="0" applyFont="1" applyAlignment="1"/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9" fillId="4" borderId="1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top" indent="1"/>
    </xf>
    <xf numFmtId="0" fontId="10" fillId="0" borderId="0" xfId="0" applyFont="1" applyAlignment="1"/>
    <xf numFmtId="0" fontId="11" fillId="5" borderId="3" xfId="0" applyFont="1" applyFill="1" applyBorder="1" applyAlignment="1">
      <alignment horizontal="left" vertical="center" indent="1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left" vertical="center" indent="1"/>
    </xf>
    <xf numFmtId="0" fontId="8" fillId="0" borderId="4" xfId="0" applyFont="1" applyBorder="1" applyAlignment="1">
      <alignment vertical="center" wrapText="1"/>
    </xf>
    <xf numFmtId="0" fontId="18" fillId="0" borderId="4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top" indent="1" wrapText="1"/>
    </xf>
    <xf numFmtId="0" fontId="7" fillId="0" borderId="5" xfId="0" applyFont="1" applyBorder="1" applyAlignment="1">
      <alignment horizontal="left" vertical="top" indent="1" wrapText="1"/>
    </xf>
    <xf numFmtId="0" fontId="20" fillId="6" borderId="6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left" vertical="top" indent="1" wrapText="1"/>
    </xf>
    <xf numFmtId="0" fontId="21" fillId="0" borderId="0" xfId="0" applyFont="1" applyAlignment="1">
      <alignment vertical="center"/>
    </xf>
    <xf numFmtId="0" fontId="12" fillId="7" borderId="5" xfId="0" applyFont="1" applyFill="1" applyBorder="1" applyAlignment="1">
      <alignment horizontal="left" vertical="top" indent="1" wrapText="1"/>
    </xf>
    <xf numFmtId="1" fontId="5" fillId="6" borderId="5" xfId="0" applyNumberFormat="1" applyFont="1" applyFill="1" applyBorder="1" applyAlignment="1">
      <alignment horizontal="right" vertical="top" indent="1" wrapText="1"/>
    </xf>
    <xf numFmtId="165" fontId="5" fillId="6" borderId="5" xfId="0" applyNumberFormat="1" applyFont="1" applyFill="1" applyBorder="1" applyAlignment="1">
      <alignment horizontal="left" vertical="top" indent="1" wrapText="1"/>
    </xf>
    <xf numFmtId="1" fontId="12" fillId="7" borderId="5" xfId="0" applyNumberFormat="1" applyFont="1" applyFill="1" applyBorder="1" applyAlignment="1">
      <alignment horizontal="right" vertical="top" indent="1" wrapText="1"/>
    </xf>
    <xf numFmtId="0" fontId="22" fillId="8" borderId="7" xfId="0" applyFont="1" applyFill="1" applyBorder="1" applyAlignment="1">
      <alignment horizontal="left" indent="1"/>
    </xf>
    <xf numFmtId="0" fontId="8" fillId="8" borderId="7" xfId="0" applyFont="1" applyFill="1" applyBorder="1" applyAlignment="1">
      <alignment horizontal="left" vertical="top" indent="1" wrapText="1"/>
    </xf>
    <xf numFmtId="0" fontId="5" fillId="0" borderId="5" xfId="0" applyFont="1" applyBorder="1" applyAlignment="1">
      <alignment horizontal="left" vertical="center" indent="1" wrapText="1"/>
    </xf>
    <xf numFmtId="0" fontId="5" fillId="6" borderId="5" xfId="0" applyFont="1" applyFill="1" applyBorder="1" applyAlignment="1">
      <alignment horizontal="left" vertical="center" indent="1" wrapText="1"/>
    </xf>
    <xf numFmtId="0" fontId="23" fillId="0" borderId="4" xfId="0" applyFont="1" applyBorder="1" applyAlignment="1">
      <alignment horizontal="left" vertical="center" indent="1" wrapText="1"/>
    </xf>
    <xf numFmtId="0" fontId="20" fillId="9" borderId="6" xfId="0" applyFont="1" applyFill="1" applyBorder="1" applyAlignment="1">
      <alignment horizontal="center" vertical="center" wrapText="1"/>
    </xf>
    <xf numFmtId="165" fontId="5" fillId="6" borderId="5" xfId="0" applyNumberFormat="1" applyFont="1" applyFill="1" applyBorder="1" applyAlignment="1">
      <alignment horizontal="left" vertical="center" indent="1" wrapText="1"/>
    </xf>
    <xf numFmtId="0" fontId="24" fillId="0" borderId="0" xfId="0" applyFont="1" applyAlignment="1">
      <alignment vertical="top"/>
    </xf>
    <xf numFmtId="0" fontId="12" fillId="7" borderId="5" xfId="0" applyFont="1" applyFill="1" applyBorder="1" applyAlignment="1">
      <alignment horizontal="center" vertical="top" wrapText="1"/>
    </xf>
    <xf numFmtId="0" fontId="23" fillId="0" borderId="4" xfId="0" applyFont="1" applyBorder="1" applyAlignment="1">
      <alignment horizontal="left" vertical="top" indent="1" wrapText="1"/>
    </xf>
    <xf numFmtId="166" fontId="5" fillId="0" borderId="5" xfId="0" applyNumberFormat="1" applyFont="1" applyBorder="1" applyAlignment="1">
      <alignment horizontal="left" vertical="top" indent="1"/>
    </xf>
    <xf numFmtId="0" fontId="5" fillId="0" borderId="5" xfId="0" applyFont="1" applyBorder="1" applyAlignment="1">
      <alignment horizontal="left" vertical="top" indent="1"/>
    </xf>
    <xf numFmtId="0" fontId="20" fillId="7" borderId="6" xfId="0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left" vertical="top" indent="1" wrapText="1"/>
    </xf>
    <xf numFmtId="168" fontId="22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top" wrapText="1"/>
    </xf>
    <xf numFmtId="0" fontId="25" fillId="0" borderId="0" xfId="0" applyFont="1" applyAlignment="1">
      <alignment vertical="top"/>
    </xf>
    <xf numFmtId="0" fontId="12" fillId="4" borderId="8" xfId="0" applyFont="1" applyFill="1" applyBorder="1" applyAlignment="1">
      <alignment horizontal="left" vertical="center" indent="1" wrapText="1"/>
    </xf>
  </cellXfs>
  <cellStyles count="1">
    <cellStyle name="Normal" xfId="0" builtinId="0"/>
  </cellStyles>
  <dxfs count="11">
    <dxf>
      <font>
        <b/>
        <color rgb="FF1D4F91"/>
      </font>
      <fill>
        <patternFill>
          <bgColor rgb="FFE3EEFB"/>
        </patternFill>
      </fill>
    </dxf>
    <dxf>
      <font>
        <b/>
        <color rgb="FF8A5300"/>
      </font>
      <fill>
        <patternFill>
          <bgColor rgb="FFFFF1D6"/>
        </patternFill>
      </fill>
    </dxf>
    <dxf>
      <font>
        <color rgb="FF98A2B3"/>
      </font>
    </dxf>
    <dxf>
      <font>
        <b/>
        <color rgb="FF17663A"/>
      </font>
      <fill>
        <patternFill>
          <bgColor rgb="FFE2F5EA"/>
        </patternFill>
      </fill>
    </dxf>
    <dxf>
      <font>
        <b/>
        <color rgb="FFB42318"/>
      </font>
      <fill>
        <patternFill>
          <bgColor rgb="FFFDE7E7"/>
        </patternFill>
      </fill>
    </dxf>
    <dxf>
      <font>
        <color rgb="FF98A2B3"/>
      </font>
      <fill>
        <patternFill>
          <bgColor rgb="FFF6F7F9"/>
        </patternFill>
      </fill>
    </dxf>
    <dxf>
      <font>
        <color rgb="FFB42318"/>
      </font>
    </dxf>
    <dxf>
      <font>
        <color rgb="FF98A2B3"/>
      </font>
      <fill>
        <patternFill>
          <bgColor rgb="FFF7F8FA"/>
        </patternFill>
      </fill>
    </dxf>
    <dxf>
      <font>
        <b/>
        <color rgb="FF475467"/>
      </font>
      <fill>
        <patternFill>
          <bgColor rgb="FFEDF0F3"/>
        </patternFill>
      </fill>
    </dxf>
    <dxf>
      <font>
        <color rgb="FF98A2B3"/>
      </font>
      <fill>
        <patternFill>
          <bgColor rgb="FFEEF1F4"/>
        </patternFill>
      </fill>
    </dxf>
    <dxf>
      <font>
        <b/>
        <color rgb="FF9A3412"/>
      </font>
      <fill>
        <patternFill>
          <bgColor rgb="FFFED7AA"/>
        </patternFill>
      </fill>
      <border>
        <left style="thin">
          <color rgb="FFEA580C"/>
        </left>
        <right style="thin">
          <color rgb="FFEA580C"/>
        </right>
        <top style="thin">
          <color rgb="FFEA580C"/>
        </top>
        <bottom style="thin">
          <color rgb="FFEA580C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Relationship Id="rId17" Type="http://schemas.openxmlformats.org/officeDocument/2006/relationships/sheetMetadata" Target="metadata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hyperlink" Target="#'Testmail-Generator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To-do Mailerstellung'!A1"/><Relationship Id="rId2" Type="http://schemas.openxmlformats.org/officeDocument/2006/relationships/hyperlink" Target="#'Start &amp; &#220;bersicht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476250</xdr:colOff>
      <xdr:row>0</xdr:row>
      <xdr:rowOff>133350</xdr:rowOff>
    </xdr:from>
    <xdr:to>
      <xdr:col>8</xdr:col>
      <xdr:colOff>590550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8</xdr:col>
      <xdr:colOff>685800</xdr:colOff>
      <xdr:row>0</xdr:row>
      <xdr:rowOff>133350</xdr:rowOff>
    </xdr:from>
    <xdr:to>
      <xdr:col>8</xdr:col>
      <xdr:colOff>2114550</xdr:colOff>
      <xdr:row>1</xdr:row>
      <xdr:rowOff>190500</xdr:rowOff>
    </xdr:to>
    <xdr:sp macro="" textlink="">
      <xdr:nvSpPr>
        <xdr:cNvPr id="3" name="BTN_TestmailGenerator">
          <a:hlinkClick xmlns:r="http://schemas.openxmlformats.org/officeDocument/2006/relationships" r:id="rId1" tooltip="Testmail-Generator"/>
        </xdr:cNvPr>
        <xdr:cNvSpPr txBox="1"/>
      </xdr:nvSpPr>
      <xdr:spPr>
        <a:xfrm>
          <a:off x="8753475" y="133350"/>
          <a:ext cx="142875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Testmail-Generator</a:t>
          </a: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2</xdr:col>
      <xdr:colOff>28575</xdr:colOff>
      <xdr:row>8</xdr:row>
      <xdr:rowOff>276225</xdr:rowOff>
    </xdr:to>
    <xdr:sp macro="" textlink="">
      <xdr:nvSpPr>
        <xdr:cNvPr id="4" name="KACHEL_1"/>
        <xdr:cNvSpPr txBox="1"/>
      </xdr:nvSpPr>
      <xdr:spPr>
        <a:xfrm>
          <a:off x="200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1</xdr:col>
      <xdr:colOff>47625</xdr:colOff>
      <xdr:row>8</xdr:row>
      <xdr:rowOff>276225</xdr:rowOff>
    </xdr:to>
    <xdr:sp macro="" textlink="">
      <xdr:nvSpPr>
        <xdr:cNvPr id="5" name="KACHEL_1_Akzent"/>
        <xdr:cNvSpPr txBox="1"/>
      </xdr:nvSpPr>
      <xdr:spPr>
        <a:xfrm>
          <a:off x="200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28575</xdr:rowOff>
    </xdr:from>
    <xdr:to>
      <xdr:col>1</xdr:col>
      <xdr:colOff>2000250</xdr:colOff>
      <xdr:row>7</xdr:row>
      <xdr:rowOff>447675</xdr:rowOff>
    </xdr:to>
    <xdr:sp macro="" textlink="$N$7">
      <xdr:nvSpPr>
        <xdr:cNvPr id="6" name="KACHEL_1_Zahl"/>
        <xdr:cNvSpPr txBox="1"/>
      </xdr:nvSpPr>
      <xdr:spPr>
        <a:xfrm>
          <a:off x="371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466725</xdr:rowOff>
    </xdr:from>
    <xdr:to>
      <xdr:col>1</xdr:col>
      <xdr:colOff>2000250</xdr:colOff>
      <xdr:row>8</xdr:row>
      <xdr:rowOff>219075</xdr:rowOff>
    </xdr:to>
    <xdr:sp macro="" textlink="">
      <xdr:nvSpPr>
        <xdr:cNvPr id="7" name="KACHEL_1_Text"/>
        <xdr:cNvSpPr txBox="1"/>
      </xdr:nvSpPr>
      <xdr:spPr>
        <a:xfrm>
          <a:off x="371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</a:t>
          </a: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3</xdr:col>
      <xdr:colOff>590550</xdr:colOff>
      <xdr:row>8</xdr:row>
      <xdr:rowOff>276225</xdr:rowOff>
    </xdr:to>
    <xdr:sp macro="" textlink="">
      <xdr:nvSpPr>
        <xdr:cNvPr id="8" name="KACHEL_2"/>
        <xdr:cNvSpPr txBox="1"/>
      </xdr:nvSpPr>
      <xdr:spPr>
        <a:xfrm>
          <a:off x="24098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2</xdr:col>
      <xdr:colOff>209550</xdr:colOff>
      <xdr:row>8</xdr:row>
      <xdr:rowOff>276225</xdr:rowOff>
    </xdr:to>
    <xdr:sp macro="" textlink="">
      <xdr:nvSpPr>
        <xdr:cNvPr id="9" name="KACHEL_2_Akzent"/>
        <xdr:cNvSpPr txBox="1"/>
      </xdr:nvSpPr>
      <xdr:spPr>
        <a:xfrm>
          <a:off x="24098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28575</xdr:rowOff>
    </xdr:from>
    <xdr:to>
      <xdr:col>3</xdr:col>
      <xdr:colOff>514350</xdr:colOff>
      <xdr:row>7</xdr:row>
      <xdr:rowOff>447675</xdr:rowOff>
    </xdr:to>
    <xdr:sp macro="" textlink="$N$8">
      <xdr:nvSpPr>
        <xdr:cNvPr id="10" name="KACHEL_2_Zahl"/>
        <xdr:cNvSpPr txBox="1"/>
      </xdr:nvSpPr>
      <xdr:spPr>
        <a:xfrm>
          <a:off x="25812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466725</xdr:rowOff>
    </xdr:from>
    <xdr:to>
      <xdr:col>3</xdr:col>
      <xdr:colOff>514350</xdr:colOff>
      <xdr:row>8</xdr:row>
      <xdr:rowOff>219075</xdr:rowOff>
    </xdr:to>
    <xdr:sp macro="" textlink="">
      <xdr:nvSpPr>
        <xdr:cNvPr id="11" name="KACHEL_2_Text"/>
        <xdr:cNvSpPr txBox="1"/>
      </xdr:nvSpPr>
      <xdr:spPr>
        <a:xfrm>
          <a:off x="25812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Business Exceptions</a:t>
          </a: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6</xdr:col>
      <xdr:colOff>657225</xdr:colOff>
      <xdr:row>8</xdr:row>
      <xdr:rowOff>276225</xdr:rowOff>
    </xdr:to>
    <xdr:sp macro="" textlink="">
      <xdr:nvSpPr>
        <xdr:cNvPr id="12" name="KACHEL_3"/>
        <xdr:cNvSpPr txBox="1"/>
      </xdr:nvSpPr>
      <xdr:spPr>
        <a:xfrm>
          <a:off x="46196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4</xdr:col>
      <xdr:colOff>57150</xdr:colOff>
      <xdr:row>8</xdr:row>
      <xdr:rowOff>276225</xdr:rowOff>
    </xdr:to>
    <xdr:sp macro="" textlink="">
      <xdr:nvSpPr>
        <xdr:cNvPr id="13" name="KACHEL_3_Akzent"/>
        <xdr:cNvSpPr txBox="1"/>
      </xdr:nvSpPr>
      <xdr:spPr>
        <a:xfrm>
          <a:off x="46196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28575</xdr:rowOff>
    </xdr:from>
    <xdr:to>
      <xdr:col>6</xdr:col>
      <xdr:colOff>581025</xdr:colOff>
      <xdr:row>7</xdr:row>
      <xdr:rowOff>447675</xdr:rowOff>
    </xdr:to>
    <xdr:sp macro="" textlink="$N$9">
      <xdr:nvSpPr>
        <xdr:cNvPr id="14" name="KACHEL_3_Zahl"/>
        <xdr:cNvSpPr txBox="1"/>
      </xdr:nvSpPr>
      <xdr:spPr>
        <a:xfrm>
          <a:off x="47910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466725</xdr:rowOff>
    </xdr:from>
    <xdr:to>
      <xdr:col>6</xdr:col>
      <xdr:colOff>581025</xdr:colOff>
      <xdr:row>8</xdr:row>
      <xdr:rowOff>219075</xdr:rowOff>
    </xdr:to>
    <xdr:sp macro="" textlink="">
      <xdr:nvSpPr>
        <xdr:cNvPr id="15" name="KACHEL_3_Text"/>
        <xdr:cNvSpPr txBox="1"/>
      </xdr:nvSpPr>
      <xdr:spPr>
        <a:xfrm>
          <a:off x="47910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Prüfnotizen</a:t>
          </a: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8</xdr:col>
      <xdr:colOff>838200</xdr:colOff>
      <xdr:row>8</xdr:row>
      <xdr:rowOff>276225</xdr:rowOff>
    </xdr:to>
    <xdr:sp macro="" textlink="">
      <xdr:nvSpPr>
        <xdr:cNvPr id="16" name="KACHEL_4"/>
        <xdr:cNvSpPr txBox="1"/>
      </xdr:nvSpPr>
      <xdr:spPr>
        <a:xfrm>
          <a:off x="68294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7</xdr:col>
      <xdr:colOff>123825</xdr:colOff>
      <xdr:row>8</xdr:row>
      <xdr:rowOff>276225</xdr:rowOff>
    </xdr:to>
    <xdr:sp macro="" textlink="">
      <xdr:nvSpPr>
        <xdr:cNvPr id="17" name="KACHEL_4_Akzent"/>
        <xdr:cNvSpPr txBox="1"/>
      </xdr:nvSpPr>
      <xdr:spPr>
        <a:xfrm>
          <a:off x="68294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28575</xdr:rowOff>
    </xdr:from>
    <xdr:to>
      <xdr:col>8</xdr:col>
      <xdr:colOff>762000</xdr:colOff>
      <xdr:row>7</xdr:row>
      <xdr:rowOff>447675</xdr:rowOff>
    </xdr:to>
    <xdr:sp macro="" textlink="$N$10">
      <xdr:nvSpPr>
        <xdr:cNvPr id="18" name="KACHEL_4_Zahl"/>
        <xdr:cNvSpPr txBox="1"/>
      </xdr:nvSpPr>
      <xdr:spPr>
        <a:xfrm>
          <a:off x="70008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466725</xdr:rowOff>
    </xdr:from>
    <xdr:to>
      <xdr:col>8</xdr:col>
      <xdr:colOff>762000</xdr:colOff>
      <xdr:row>8</xdr:row>
      <xdr:rowOff>219075</xdr:rowOff>
    </xdr:to>
    <xdr:sp macro="" textlink="">
      <xdr:nvSpPr>
        <xdr:cNvPr id="19" name="KACHEL_4_Text"/>
        <xdr:cNvSpPr txBox="1"/>
      </xdr:nvSpPr>
      <xdr:spPr>
        <a:xfrm>
          <a:off x="70008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Vertragsgrundkonstellationen</a:t>
          </a: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9</xdr:col>
      <xdr:colOff>66675</xdr:colOff>
      <xdr:row>8</xdr:row>
      <xdr:rowOff>276225</xdr:rowOff>
    </xdr:to>
    <xdr:sp macro="" textlink="">
      <xdr:nvSpPr>
        <xdr:cNvPr id="20" name="KACHEL_5"/>
        <xdr:cNvSpPr txBox="1"/>
      </xdr:nvSpPr>
      <xdr:spPr>
        <a:xfrm>
          <a:off x="90392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8</xdr:col>
      <xdr:colOff>1019175</xdr:colOff>
      <xdr:row>8</xdr:row>
      <xdr:rowOff>276225</xdr:rowOff>
    </xdr:to>
    <xdr:sp macro="" textlink="">
      <xdr:nvSpPr>
        <xdr:cNvPr id="21" name="KACHEL_5_Akzent"/>
        <xdr:cNvSpPr txBox="1"/>
      </xdr:nvSpPr>
      <xdr:spPr>
        <a:xfrm>
          <a:off x="90392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28575</xdr:rowOff>
    </xdr:from>
    <xdr:to>
      <xdr:col>8</xdr:col>
      <xdr:colOff>2971800</xdr:colOff>
      <xdr:row>7</xdr:row>
      <xdr:rowOff>447675</xdr:rowOff>
    </xdr:to>
    <xdr:sp macro="" textlink="$N$11">
      <xdr:nvSpPr>
        <xdr:cNvPr id="22" name="KACHEL_5_Zahl"/>
        <xdr:cNvSpPr txBox="1"/>
      </xdr:nvSpPr>
      <xdr:spPr>
        <a:xfrm>
          <a:off x="92106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13 + 1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466725</xdr:rowOff>
    </xdr:from>
    <xdr:to>
      <xdr:col>8</xdr:col>
      <xdr:colOff>2971800</xdr:colOff>
      <xdr:row>8</xdr:row>
      <xdr:rowOff>219075</xdr:rowOff>
    </xdr:to>
    <xdr:sp macro="" textlink="">
      <xdr:nvSpPr>
        <xdr:cNvPr id="23" name="KACHEL_5_Text"/>
        <xdr:cNvSpPr txBox="1"/>
      </xdr:nvSpPr>
      <xdr:spPr>
        <a:xfrm>
          <a:off x="92106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Mailvarianten / Zustände</a:t>
          </a: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2276475</xdr:colOff>
      <xdr:row>8</xdr:row>
      <xdr:rowOff>276225</xdr:rowOff>
    </xdr:to>
    <xdr:sp macro="" textlink="">
      <xdr:nvSpPr>
        <xdr:cNvPr id="24" name="KACHEL_6"/>
        <xdr:cNvSpPr txBox="1"/>
      </xdr:nvSpPr>
      <xdr:spPr>
        <a:xfrm>
          <a:off x="11249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247650</xdr:colOff>
      <xdr:row>8</xdr:row>
      <xdr:rowOff>276225</xdr:rowOff>
    </xdr:to>
    <xdr:sp macro="" textlink="">
      <xdr:nvSpPr>
        <xdr:cNvPr id="25" name="KACHEL_6_Akzent"/>
        <xdr:cNvSpPr txBox="1"/>
      </xdr:nvSpPr>
      <xdr:spPr>
        <a:xfrm>
          <a:off x="11249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28575</xdr:rowOff>
    </xdr:from>
    <xdr:to>
      <xdr:col>9</xdr:col>
      <xdr:colOff>2200275</xdr:colOff>
      <xdr:row>7</xdr:row>
      <xdr:rowOff>447675</xdr:rowOff>
    </xdr:to>
    <xdr:sp macro="" textlink="$N$12">
      <xdr:nvSpPr>
        <xdr:cNvPr id="26" name="KACHEL_6_Zahl"/>
        <xdr:cNvSpPr txBox="1"/>
      </xdr:nvSpPr>
      <xdr:spPr>
        <a:xfrm>
          <a:off x="11420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466725</xdr:rowOff>
    </xdr:from>
    <xdr:to>
      <xdr:col>9</xdr:col>
      <xdr:colOff>2200275</xdr:colOff>
      <xdr:row>8</xdr:row>
      <xdr:rowOff>219075</xdr:rowOff>
    </xdr:to>
    <xdr:sp macro="" textlink="">
      <xdr:nvSpPr>
        <xdr:cNvPr id="27" name="KACHEL_6_Text"/>
        <xdr:cNvSpPr txBox="1"/>
      </xdr:nvSpPr>
      <xdr:spPr>
        <a:xfrm>
          <a:off x="11420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Operative Testausführungen</a:t>
          </a: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1428750</xdr:colOff>
      <xdr:row>16</xdr:row>
      <xdr:rowOff>9525</xdr:rowOff>
    </xdr:to>
    <xdr:sp macro="" textlink="">
      <xdr:nvSpPr>
        <xdr:cNvPr id="28" name="STATION_0"/>
        <xdr:cNvSpPr txBox="1"/>
      </xdr:nvSpPr>
      <xdr:spPr>
        <a:xfrm>
          <a:off x="200025" y="2714625"/>
          <a:ext cx="1428750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47625</xdr:colOff>
      <xdr:row>16</xdr:row>
      <xdr:rowOff>9525</xdr:rowOff>
    </xdr:to>
    <xdr:sp macro="" textlink="">
      <xdr:nvSpPr>
        <xdr:cNvPr id="29" name="STATION_0_Akzent"/>
        <xdr:cNvSpPr txBox="1"/>
      </xdr:nvSpPr>
      <xdr:spPr>
        <a:xfrm>
          <a:off x="200025" y="2714625"/>
          <a:ext cx="47625" cy="895350"/>
        </a:xfrm>
        <a:prstGeom prst="rect">
          <a:avLst/>
        </a:prstGeom>
        <a:solidFill>
          <a:srgbClr val="C9D2D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152400</xdr:colOff>
      <xdr:row>12</xdr:row>
      <xdr:rowOff>95250</xdr:rowOff>
    </xdr:from>
    <xdr:to>
      <xdr:col>1</xdr:col>
      <xdr:colOff>1371600</xdr:colOff>
      <xdr:row>12</xdr:row>
      <xdr:rowOff>228600</xdr:rowOff>
    </xdr:to>
    <xdr:sp macro="" textlink="">
      <xdr:nvSpPr>
        <xdr:cNvPr id="30" name="STATION_0_Kicker"/>
        <xdr:cNvSpPr txBox="1"/>
      </xdr:nvSpPr>
      <xdr:spPr>
        <a:xfrm>
          <a:off x="352425" y="2800350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750" b="1">
              <a:solidFill>
                <a:srgbClr val="7B8794"/>
              </a:solidFill>
              <a:latin typeface="Liberation Sans"/>
              <a:cs typeface="Liberation Sans"/>
            </a:rPr>
            <a:t>VORAB</a:t>
          </a:r>
        </a:p>
      </xdr:txBody>
    </xdr:sp>
    <xdr:clientData/>
  </xdr:twoCellAnchor>
  <xdr:twoCellAnchor editAs="absolute">
    <xdr:from>
      <xdr:col>1</xdr:col>
      <xdr:colOff>152400</xdr:colOff>
      <xdr:row>13</xdr:row>
      <xdr:rowOff>9525</xdr:rowOff>
    </xdr:from>
    <xdr:to>
      <xdr:col>1</xdr:col>
      <xdr:colOff>1371600</xdr:colOff>
      <xdr:row>14</xdr:row>
      <xdr:rowOff>76200</xdr:rowOff>
    </xdr:to>
    <xdr:sp macro="" textlink="">
      <xdr:nvSpPr>
        <xdr:cNvPr id="31" name="STATION_0_Titel"/>
        <xdr:cNvSpPr txBox="1"/>
      </xdr:nvSpPr>
      <xdr:spPr>
        <a:xfrm>
          <a:off x="352425" y="2962275"/>
          <a:ext cx="12192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Fachliche Herleitung</a:t>
          </a:r>
        </a:p>
      </xdr:txBody>
    </xdr:sp>
    <xdr:clientData/>
  </xdr:twoCellAnchor>
  <xdr:twoCellAnchor editAs="absolute">
    <xdr:from>
      <xdr:col>1</xdr:col>
      <xdr:colOff>152400</xdr:colOff>
      <xdr:row>14</xdr:row>
      <xdr:rowOff>171450</xdr:rowOff>
    </xdr:from>
    <xdr:to>
      <xdr:col>1</xdr:col>
      <xdr:colOff>1371600</xdr:colOff>
      <xdr:row>15</xdr:row>
      <xdr:rowOff>57150</xdr:rowOff>
    </xdr:to>
    <xdr:sp macro="" textlink="">
      <xdr:nvSpPr>
        <xdr:cNvPr id="32" name="STATION_0_Stand"/>
        <xdr:cNvSpPr txBox="1"/>
      </xdr:nvSpPr>
      <xdr:spPr>
        <a:xfrm>
          <a:off x="352425" y="3400425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Herleitungsblätter (grau)</a:t>
          </a:r>
        </a:p>
      </xdr:txBody>
    </xdr:sp>
    <xdr:clientData/>
  </xdr:twoCellAnchor>
  <xdr:twoCellAnchor editAs="absolute">
    <xdr:from>
      <xdr:col>1</xdr:col>
      <xdr:colOff>1428750</xdr:colOff>
      <xdr:row>13</xdr:row>
      <xdr:rowOff>114300</xdr:rowOff>
    </xdr:from>
    <xdr:to>
      <xdr:col>1</xdr:col>
      <xdr:colOff>1600200</xdr:colOff>
      <xdr:row>14</xdr:row>
      <xdr:rowOff>28575</xdr:rowOff>
    </xdr:to>
    <xdr:sp macro="" textlink="">
      <xdr:nvSpPr>
        <xdr:cNvPr id="33" name="STATION_0_Pfeil"/>
        <xdr:cNvSpPr txBox="1"/>
      </xdr:nvSpPr>
      <xdr:spPr>
        <a:xfrm>
          <a:off x="162877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3</xdr:col>
      <xdr:colOff>47625</xdr:colOff>
      <xdr:row>16</xdr:row>
      <xdr:rowOff>9525</xdr:rowOff>
    </xdr:to>
    <xdr:sp macro="" textlink="">
      <xdr:nvSpPr>
        <xdr:cNvPr id="34" name="STATION_1"/>
        <xdr:cNvSpPr txBox="1"/>
      </xdr:nvSpPr>
      <xdr:spPr>
        <a:xfrm>
          <a:off x="180022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1</xdr:col>
      <xdr:colOff>1647825</xdr:colOff>
      <xdr:row>16</xdr:row>
      <xdr:rowOff>9525</xdr:rowOff>
    </xdr:to>
    <xdr:sp macro="" textlink="">
      <xdr:nvSpPr>
        <xdr:cNvPr id="35" name="STATION_1_Akzent"/>
        <xdr:cNvSpPr txBox="1"/>
      </xdr:nvSpPr>
      <xdr:spPr>
        <a:xfrm>
          <a:off x="180022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12</xdr:row>
      <xdr:rowOff>95250</xdr:rowOff>
    </xdr:from>
    <xdr:to>
      <xdr:col>2</xdr:col>
      <xdr:colOff>1638300</xdr:colOff>
      <xdr:row>12</xdr:row>
      <xdr:rowOff>228600</xdr:rowOff>
    </xdr:to>
    <xdr:sp macro="" textlink="$N$14">
      <xdr:nvSpPr>
        <xdr:cNvPr id="36" name="STATION_1_Kicker"/>
        <xdr:cNvSpPr txBox="1"/>
      </xdr:nvSpPr>
      <xdr:spPr>
        <a:xfrm>
          <a:off x="195262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A  ·  ALS NÄCHSTES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13</xdr:row>
      <xdr:rowOff>9525</xdr:rowOff>
    </xdr:from>
    <xdr:to>
      <xdr:col>2</xdr:col>
      <xdr:colOff>1638300</xdr:colOff>
      <xdr:row>14</xdr:row>
      <xdr:rowOff>76200</xdr:rowOff>
    </xdr:to>
    <xdr:sp macro="" textlink="">
      <xdr:nvSpPr>
        <xdr:cNvPr id="37" name="STATION_1_Titel"/>
        <xdr:cNvSpPr txBox="1"/>
      </xdr:nvSpPr>
      <xdr:spPr>
        <a:xfrm>
          <a:off x="195262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Stammdaten eintragen</a:t>
          </a:r>
        </a:p>
      </xdr:txBody>
    </xdr:sp>
    <xdr:clientData/>
  </xdr:twoCellAnchor>
  <xdr:twoCellAnchor editAs="absolute">
    <xdr:from>
      <xdr:col>1</xdr:col>
      <xdr:colOff>1752600</xdr:colOff>
      <xdr:row>14</xdr:row>
      <xdr:rowOff>171450</xdr:rowOff>
    </xdr:from>
    <xdr:to>
      <xdr:col>2</xdr:col>
      <xdr:colOff>1638300</xdr:colOff>
      <xdr:row>15</xdr:row>
      <xdr:rowOff>57150</xdr:rowOff>
    </xdr:to>
    <xdr:sp macro="" textlink="$O$14">
      <xdr:nvSpPr>
        <xdr:cNvPr id="38" name="STATION_1_Stand"/>
        <xdr:cNvSpPr txBox="1"/>
      </xdr:nvSpPr>
      <xdr:spPr>
        <a:xfrm>
          <a:off x="195262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19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47625</xdr:colOff>
      <xdr:row>13</xdr:row>
      <xdr:rowOff>114300</xdr:rowOff>
    </xdr:from>
    <xdr:to>
      <xdr:col>3</xdr:col>
      <xdr:colOff>219075</xdr:colOff>
      <xdr:row>14</xdr:row>
      <xdr:rowOff>28575</xdr:rowOff>
    </xdr:to>
    <xdr:sp macro="" textlink="">
      <xdr:nvSpPr>
        <xdr:cNvPr id="39" name="STATION_1_Pfeil"/>
        <xdr:cNvSpPr txBox="1"/>
      </xdr:nvSpPr>
      <xdr:spPr>
        <a:xfrm>
          <a:off x="394335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6</xdr:col>
      <xdr:colOff>219075</xdr:colOff>
      <xdr:row>16</xdr:row>
      <xdr:rowOff>9525</xdr:rowOff>
    </xdr:to>
    <xdr:sp macro="" textlink="">
      <xdr:nvSpPr>
        <xdr:cNvPr id="40" name="STATION_2"/>
        <xdr:cNvSpPr txBox="1"/>
      </xdr:nvSpPr>
      <xdr:spPr>
        <a:xfrm>
          <a:off x="411480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3</xdr:col>
      <xdr:colOff>266700</xdr:colOff>
      <xdr:row>16</xdr:row>
      <xdr:rowOff>9525</xdr:rowOff>
    </xdr:to>
    <xdr:sp macro="" textlink="">
      <xdr:nvSpPr>
        <xdr:cNvPr id="41" name="STATION_2_Akzent"/>
        <xdr:cNvSpPr txBox="1"/>
      </xdr:nvSpPr>
      <xdr:spPr>
        <a:xfrm>
          <a:off x="411480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12</xdr:row>
      <xdr:rowOff>95250</xdr:rowOff>
    </xdr:from>
    <xdr:to>
      <xdr:col>6</xdr:col>
      <xdr:colOff>161925</xdr:colOff>
      <xdr:row>12</xdr:row>
      <xdr:rowOff>228600</xdr:rowOff>
    </xdr:to>
    <xdr:sp macro="" textlink="$N$15">
      <xdr:nvSpPr>
        <xdr:cNvPr id="42" name="STATION_2_Kicker"/>
        <xdr:cNvSpPr txBox="1"/>
      </xdr:nvSpPr>
      <xdr:spPr>
        <a:xfrm>
          <a:off x="426720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B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13</xdr:row>
      <xdr:rowOff>9525</xdr:rowOff>
    </xdr:from>
    <xdr:to>
      <xdr:col>6</xdr:col>
      <xdr:colOff>161925</xdr:colOff>
      <xdr:row>14</xdr:row>
      <xdr:rowOff>76200</xdr:rowOff>
    </xdr:to>
    <xdr:sp macro="" textlink="">
      <xdr:nvSpPr>
        <xdr:cNvPr id="43" name="STATION_2_Titel"/>
        <xdr:cNvSpPr txBox="1"/>
      </xdr:nvSpPr>
      <xdr:spPr>
        <a:xfrm>
          <a:off x="426720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Verträge Agenturen zuordnen</a:t>
          </a:r>
        </a:p>
      </xdr:txBody>
    </xdr:sp>
    <xdr:clientData/>
  </xdr:twoCellAnchor>
  <xdr:twoCellAnchor editAs="absolute">
    <xdr:from>
      <xdr:col>3</xdr:col>
      <xdr:colOff>371475</xdr:colOff>
      <xdr:row>14</xdr:row>
      <xdr:rowOff>171450</xdr:rowOff>
    </xdr:from>
    <xdr:to>
      <xdr:col>6</xdr:col>
      <xdr:colOff>161925</xdr:colOff>
      <xdr:row>15</xdr:row>
      <xdr:rowOff>57150</xdr:rowOff>
    </xdr:to>
    <xdr:sp macro="" textlink="$O$15">
      <xdr:nvSpPr>
        <xdr:cNvPr id="44" name="STATION_2_Stand"/>
        <xdr:cNvSpPr txBox="1"/>
      </xdr:nvSpPr>
      <xdr:spPr>
        <a:xfrm>
          <a:off x="426720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18 erledigt  ·  14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219075</xdr:colOff>
      <xdr:row>13</xdr:row>
      <xdr:rowOff>114300</xdr:rowOff>
    </xdr:from>
    <xdr:to>
      <xdr:col>6</xdr:col>
      <xdr:colOff>390525</xdr:colOff>
      <xdr:row>14</xdr:row>
      <xdr:rowOff>28575</xdr:rowOff>
    </xdr:to>
    <xdr:sp macro="" textlink="">
      <xdr:nvSpPr>
        <xdr:cNvPr id="45" name="STATION_2_Pfeil"/>
        <xdr:cNvSpPr txBox="1"/>
      </xdr:nvSpPr>
      <xdr:spPr>
        <a:xfrm>
          <a:off x="625792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8</xdr:col>
      <xdr:colOff>504825</xdr:colOff>
      <xdr:row>16</xdr:row>
      <xdr:rowOff>9525</xdr:rowOff>
    </xdr:to>
    <xdr:sp macro="" textlink="">
      <xdr:nvSpPr>
        <xdr:cNvPr id="46" name="STATION_3"/>
        <xdr:cNvSpPr txBox="1"/>
      </xdr:nvSpPr>
      <xdr:spPr>
        <a:xfrm>
          <a:off x="642937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6</xdr:col>
      <xdr:colOff>438150</xdr:colOff>
      <xdr:row>16</xdr:row>
      <xdr:rowOff>9525</xdr:rowOff>
    </xdr:to>
    <xdr:sp macro="" textlink="">
      <xdr:nvSpPr>
        <xdr:cNvPr id="47" name="STATION_3_Akzent"/>
        <xdr:cNvSpPr txBox="1"/>
      </xdr:nvSpPr>
      <xdr:spPr>
        <a:xfrm>
          <a:off x="642937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12</xdr:row>
      <xdr:rowOff>95250</xdr:rowOff>
    </xdr:from>
    <xdr:to>
      <xdr:col>8</xdr:col>
      <xdr:colOff>447675</xdr:colOff>
      <xdr:row>12</xdr:row>
      <xdr:rowOff>228600</xdr:rowOff>
    </xdr:to>
    <xdr:sp macro="" textlink="$N$16">
      <xdr:nvSpPr>
        <xdr:cNvPr id="48" name="STATION_3_Kicker"/>
        <xdr:cNvSpPr txBox="1"/>
      </xdr:nvSpPr>
      <xdr:spPr>
        <a:xfrm>
          <a:off x="658177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C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13</xdr:row>
      <xdr:rowOff>9525</xdr:rowOff>
    </xdr:from>
    <xdr:to>
      <xdr:col>8</xdr:col>
      <xdr:colOff>447675</xdr:colOff>
      <xdr:row>14</xdr:row>
      <xdr:rowOff>76200</xdr:rowOff>
    </xdr:to>
    <xdr:sp macro="" textlink="">
      <xdr:nvSpPr>
        <xdr:cNvPr id="49" name="STATION_3_Titel"/>
        <xdr:cNvSpPr txBox="1"/>
      </xdr:nvSpPr>
      <xdr:spPr>
        <a:xfrm>
          <a:off x="658177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Mails und Datensätze vorbereiten</a:t>
          </a:r>
        </a:p>
      </xdr:txBody>
    </xdr:sp>
    <xdr:clientData/>
  </xdr:twoCellAnchor>
  <xdr:twoCellAnchor editAs="absolute">
    <xdr:from>
      <xdr:col>6</xdr:col>
      <xdr:colOff>542925</xdr:colOff>
      <xdr:row>14</xdr:row>
      <xdr:rowOff>171450</xdr:rowOff>
    </xdr:from>
    <xdr:to>
      <xdr:col>8</xdr:col>
      <xdr:colOff>447675</xdr:colOff>
      <xdr:row>15</xdr:row>
      <xdr:rowOff>57150</xdr:rowOff>
    </xdr:to>
    <xdr:sp macro="" textlink="$O$16">
      <xdr:nvSpPr>
        <xdr:cNvPr id="50" name="STATION_3_Stand"/>
        <xdr:cNvSpPr txBox="1"/>
      </xdr:nvSpPr>
      <xdr:spPr>
        <a:xfrm>
          <a:off x="658177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24 erledigt  ·  17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504825</xdr:colOff>
      <xdr:row>13</xdr:row>
      <xdr:rowOff>114300</xdr:rowOff>
    </xdr:from>
    <xdr:to>
      <xdr:col>8</xdr:col>
      <xdr:colOff>676275</xdr:colOff>
      <xdr:row>14</xdr:row>
      <xdr:rowOff>28575</xdr:rowOff>
    </xdr:to>
    <xdr:sp macro="" textlink="">
      <xdr:nvSpPr>
        <xdr:cNvPr id="51" name="STATION_3_Pfeil"/>
        <xdr:cNvSpPr txBox="1"/>
      </xdr:nvSpPr>
      <xdr:spPr>
        <a:xfrm>
          <a:off x="857250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2819400</xdr:colOff>
      <xdr:row>16</xdr:row>
      <xdr:rowOff>9525</xdr:rowOff>
    </xdr:to>
    <xdr:sp macro="" textlink="">
      <xdr:nvSpPr>
        <xdr:cNvPr id="52" name="STATION_4"/>
        <xdr:cNvSpPr txBox="1"/>
      </xdr:nvSpPr>
      <xdr:spPr>
        <a:xfrm>
          <a:off x="874395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723900</xdr:colOff>
      <xdr:row>16</xdr:row>
      <xdr:rowOff>9525</xdr:rowOff>
    </xdr:to>
    <xdr:sp macro="" textlink="">
      <xdr:nvSpPr>
        <xdr:cNvPr id="53" name="STATION_4_Akzent"/>
        <xdr:cNvSpPr txBox="1"/>
      </xdr:nvSpPr>
      <xdr:spPr>
        <a:xfrm>
          <a:off x="874395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12</xdr:row>
      <xdr:rowOff>95250</xdr:rowOff>
    </xdr:from>
    <xdr:to>
      <xdr:col>8</xdr:col>
      <xdr:colOff>2762250</xdr:colOff>
      <xdr:row>12</xdr:row>
      <xdr:rowOff>228600</xdr:rowOff>
    </xdr:to>
    <xdr:sp macro="" textlink="$N$17">
      <xdr:nvSpPr>
        <xdr:cNvPr id="54" name="STATION_4_Kicker"/>
        <xdr:cNvSpPr txBox="1"/>
      </xdr:nvSpPr>
      <xdr:spPr>
        <a:xfrm>
          <a:off x="889635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D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13</xdr:row>
      <xdr:rowOff>9525</xdr:rowOff>
    </xdr:from>
    <xdr:to>
      <xdr:col>8</xdr:col>
      <xdr:colOff>2762250</xdr:colOff>
      <xdr:row>14</xdr:row>
      <xdr:rowOff>76200</xdr:rowOff>
    </xdr:to>
    <xdr:sp macro="" textlink="">
      <xdr:nvSpPr>
        <xdr:cNvPr id="55" name="STATION_4_Titel"/>
        <xdr:cNvSpPr txBox="1"/>
      </xdr:nvSpPr>
      <xdr:spPr>
        <a:xfrm>
          <a:off x="889635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Testfälle durchführen</a:t>
          </a:r>
        </a:p>
      </xdr:txBody>
    </xdr:sp>
    <xdr:clientData/>
  </xdr:twoCellAnchor>
  <xdr:twoCellAnchor editAs="absolute">
    <xdr:from>
      <xdr:col>8</xdr:col>
      <xdr:colOff>828675</xdr:colOff>
      <xdr:row>14</xdr:row>
      <xdr:rowOff>171450</xdr:rowOff>
    </xdr:from>
    <xdr:to>
      <xdr:col>8</xdr:col>
      <xdr:colOff>2762250</xdr:colOff>
      <xdr:row>15</xdr:row>
      <xdr:rowOff>57150</xdr:rowOff>
    </xdr:to>
    <xdr:sp macro="" textlink="$O$17">
      <xdr:nvSpPr>
        <xdr:cNvPr id="56" name="STATION_4_Stand"/>
        <xdr:cNvSpPr txBox="1"/>
      </xdr:nvSpPr>
      <xdr:spPr>
        <a:xfrm>
          <a:off x="889635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24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133350</xdr:rowOff>
    </xdr:from>
    <xdr:to>
      <xdr:col>5</xdr:col>
      <xdr:colOff>1276350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66675</xdr:colOff>
      <xdr:row>0</xdr:row>
      <xdr:rowOff>133350</xdr:rowOff>
    </xdr:from>
    <xdr:to>
      <xdr:col>6</xdr:col>
      <xdr:colOff>1133475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1457325</xdr:colOff>
      <xdr:row>0</xdr:row>
      <xdr:rowOff>133350</xdr:rowOff>
    </xdr:from>
    <xdr:to>
      <xdr:col>8</xdr:col>
      <xdr:colOff>857250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952500</xdr:colOff>
      <xdr:row>0</xdr:row>
      <xdr:rowOff>133350</xdr:rowOff>
    </xdr:from>
    <xdr:to>
      <xdr:col>9</xdr:col>
      <xdr:colOff>714375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1076325</xdr:colOff>
      <xdr:row>0</xdr:row>
      <xdr:rowOff>133350</xdr:rowOff>
    </xdr:from>
    <xdr:to>
      <xdr:col>7</xdr:col>
      <xdr:colOff>857250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952500</xdr:colOff>
      <xdr:row>0</xdr:row>
      <xdr:rowOff>133350</xdr:rowOff>
    </xdr:from>
    <xdr:to>
      <xdr:col>8</xdr:col>
      <xdr:colOff>352425</xdr:colOff>
      <xdr:row>1</xdr:row>
      <xdr:rowOff>190500</xdr:rowOff>
    </xdr:to>
    <xdr:sp macro="[0]!modNav.VolltextUmschalten" textlink="">
      <xdr:nvSpPr>
        <xdr:cNvPr id="3" name="BTN_Volltexteinaus"/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447675</xdr:colOff>
      <xdr:row>0</xdr:row>
      <xdr:rowOff>133350</xdr:rowOff>
    </xdr:from>
    <xdr:to>
      <xdr:col>9</xdr:col>
      <xdr:colOff>209550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1905000</xdr:colOff>
      <xdr:row>0</xdr:row>
      <xdr:rowOff>133350</xdr:rowOff>
    </xdr:from>
    <xdr:to>
      <xdr:col>6</xdr:col>
      <xdr:colOff>1285875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0</xdr:colOff>
      <xdr:row>0</xdr:row>
      <xdr:rowOff>133350</xdr:rowOff>
    </xdr:from>
    <xdr:to>
      <xdr:col>7</xdr:col>
      <xdr:colOff>1181100</xdr:colOff>
      <xdr:row>1</xdr:row>
      <xdr:rowOff>190500</xdr:rowOff>
    </xdr:to>
    <xdr:sp macro="" textlink="">
      <xdr:nvSpPr>
        <xdr:cNvPr id="3" name="BTN_MailAufträge">
          <a:hlinkClick xmlns:r="http://schemas.openxmlformats.org/officeDocument/2006/relationships" r:id="rId1" tooltip="Mail-Aufträge"/>
        </xdr:cNvPr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Mail-Aufträge</a:t>
          </a:r>
        </a:p>
      </xdr:txBody>
    </xdr:sp>
    <xdr:clientData/>
  </xdr:twoCellAnchor>
  <xdr:twoCellAnchor editAs="absolute">
    <xdr:from>
      <xdr:col>8</xdr:col>
      <xdr:colOff>28575</xdr:colOff>
      <xdr:row>0</xdr:row>
      <xdr:rowOff>133350</xdr:rowOff>
    </xdr:from>
    <xdr:to>
      <xdr:col>9</xdr:col>
      <xdr:colOff>47625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2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1590675</xdr:colOff>
      <xdr:row>0</xdr:row>
      <xdr:rowOff>133350</xdr:rowOff>
    </xdr:from>
    <xdr:to>
      <xdr:col>7</xdr:col>
      <xdr:colOff>990600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7</xdr:col>
      <xdr:colOff>1085850</xdr:colOff>
      <xdr:row>0</xdr:row>
      <xdr:rowOff>133350</xdr:rowOff>
    </xdr:from>
    <xdr:to>
      <xdr:col>8</xdr:col>
      <xdr:colOff>876300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1657350</xdr:colOff>
      <xdr:row>0</xdr:row>
      <xdr:rowOff>133350</xdr:rowOff>
    </xdr:from>
    <xdr:to>
      <xdr:col>5</xdr:col>
      <xdr:colOff>904875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1000125</xdr:colOff>
      <xdr:row>0</xdr:row>
      <xdr:rowOff>133350</xdr:rowOff>
    </xdr:from>
    <xdr:to>
      <xdr:col>6</xdr:col>
      <xdr:colOff>76200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133350</xdr:rowOff>
    </xdr:from>
    <xdr:to>
      <xdr:col>6</xdr:col>
      <xdr:colOff>638175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733425</xdr:colOff>
      <xdr:row>0</xdr:row>
      <xdr:rowOff>133350</xdr:rowOff>
    </xdr:from>
    <xdr:to>
      <xdr:col>8</xdr:col>
      <xdr:colOff>371475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0</xdr:row>
      <xdr:rowOff>133350</xdr:rowOff>
    </xdr:from>
    <xdr:to>
      <xdr:col>5</xdr:col>
      <xdr:colOff>1724025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1819275</xdr:colOff>
      <xdr:row>0</xdr:row>
      <xdr:rowOff>133350</xdr:rowOff>
    </xdr:from>
    <xdr:to>
      <xdr:col>6</xdr:col>
      <xdr:colOff>428625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4</xdr:col>
      <xdr:colOff>38100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3</xdr:col>
      <xdr:colOff>952500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3</xdr:col>
      <xdr:colOff>952500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aufnehmende Agenturzustände</a:t>
          </a: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5</xdr:col>
      <xdr:colOff>1781175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440055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4</xdr:col>
      <xdr:colOff>219075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44005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142875</xdr:rowOff>
    </xdr:from>
    <xdr:to>
      <xdr:col>5</xdr:col>
      <xdr:colOff>1704975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457200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561975</xdr:rowOff>
    </xdr:from>
    <xdr:to>
      <xdr:col>5</xdr:col>
      <xdr:colOff>1704975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457200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Negativzustand ohne aufnehmende Agentur</a:t>
          </a: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8</xdr:col>
      <xdr:colOff>685800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860107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5</xdr:col>
      <xdr:colOff>1962150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86010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142875</xdr:rowOff>
    </xdr:from>
    <xdr:to>
      <xdr:col>8</xdr:col>
      <xdr:colOff>609600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877252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561975</xdr:rowOff>
    </xdr:from>
    <xdr:to>
      <xdr:col>8</xdr:col>
      <xdr:colOff>609600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877252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abgebende Grundtypen</a:t>
          </a: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9</xdr:col>
      <xdr:colOff>2428875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280160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8</xdr:col>
      <xdr:colOff>866775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28016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142875</xdr:rowOff>
    </xdr:from>
    <xdr:to>
      <xdr:col>9</xdr:col>
      <xdr:colOff>2352675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297305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561975</xdr:rowOff>
    </xdr:from>
    <xdr:to>
      <xdr:col>9</xdr:col>
      <xdr:colOff>2352675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297305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Zustand ohne ermittelbaren Bestandsinhaber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1028700</xdr:colOff>
      <xdr:row>0</xdr:row>
      <xdr:rowOff>133350</xdr:rowOff>
    </xdr:from>
    <xdr:to>
      <xdr:col>6</xdr:col>
      <xdr:colOff>2209800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2305050</xdr:colOff>
      <xdr:row>0</xdr:row>
      <xdr:rowOff>133350</xdr:rowOff>
    </xdr:from>
    <xdr:to>
      <xdr:col>7</xdr:col>
      <xdr:colOff>914400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6</xdr:col>
      <xdr:colOff>200025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6</xdr:col>
      <xdr:colOff>123825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6</xdr:col>
      <xdr:colOff>123825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Vertragskonstellationen</a:t>
          </a: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9</xdr:col>
      <xdr:colOff>247650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653415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6</xdr:col>
      <xdr:colOff>381000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65341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142875</xdr:rowOff>
    </xdr:from>
    <xdr:to>
      <xdr:col>9</xdr:col>
      <xdr:colOff>171450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670560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8 + 1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561975</xdr:rowOff>
    </xdr:from>
    <xdr:to>
      <xdr:col>9</xdr:col>
      <xdr:colOff>171450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670560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Pflicht + optional</a:t>
          </a: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11</xdr:col>
      <xdr:colOff>2238375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1286827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9</xdr:col>
      <xdr:colOff>428625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128682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142875</xdr:rowOff>
    </xdr:from>
    <xdr:to>
      <xdr:col>11</xdr:col>
      <xdr:colOff>2162175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1303972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V-01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561975</xdr:rowOff>
    </xdr:from>
    <xdr:to>
      <xdr:col>11</xdr:col>
      <xdr:colOff>2162175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1303972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gemeinsame Basiskonstellation</a:t>
          </a: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15</xdr:col>
      <xdr:colOff>2447925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920240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11</xdr:col>
      <xdr:colOff>2419350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92024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142875</xdr:rowOff>
    </xdr:from>
    <xdr:to>
      <xdr:col>15</xdr:col>
      <xdr:colOff>2371725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937385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561975</xdr:rowOff>
    </xdr:from>
    <xdr:to>
      <xdr:col>15</xdr:col>
      <xdr:colOff>2371725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937385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Testfälle; TF-KU-04 nutzt V-03 zusätzlich als Hilfskonstellation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1752600</xdr:colOff>
      <xdr:row>0</xdr:row>
      <xdr:rowOff>133350</xdr:rowOff>
    </xdr:from>
    <xdr:to>
      <xdr:col>5</xdr:col>
      <xdr:colOff>885825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981075</xdr:colOff>
      <xdr:row>0</xdr:row>
      <xdr:rowOff>133350</xdr:rowOff>
    </xdr:from>
    <xdr:to>
      <xdr:col>5</xdr:col>
      <xdr:colOff>2047875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Agenturen" displayName="tblAgenturen" ref="B9:N16" totalsRowShown="0">
  <autoFilter ref="B9:N16"/>
  <tableColumns count="13">
    <tableColumn id="1" name="Aufnehmende Agentur-ID"/>
    <tableColumn id="2" name="Aufnehmende Agenturkonstellation">
      <calculatedColumnFormula>IFERROR(_xlfn.XLOOKUP(tblAgenturen[[#This Row],[Aufnehmende Agentur-ID]],tblAgenturkonstellationen[Aufnehmende Agentur-ID],tblAgenturkonstellationen[Aufnehmende Agenturkonstellation],""),"")</calculatedColumnFormula>
    </tableColumn>
    <tableColumn id="3" name="Pflichtgrad">
      <calculatedColumnFormula>IFERROR(_xlfn.XLOOKUP(tblAgenturen[[#This Row],[Aufnehmende Agentur-ID]],tblAgenturkonstellationen[Aufnehmende Agentur-ID],tblAgenturkonstellationen[Pflichtgrad],""),"")</calculatedColumnFormula>
    </tableColumn>
    <tableColumn id="4" name="Aufnehmender Agenturname"/>
    <tableColumn id="5" name="Aufnehmende Agenturnummer / OE"/>
    <tableColumn id="6" name="Aufnehmende Vermittlernummer / PNR"/>
    <tableColumn id="7" name="Aufnehmender Vermittlertyp"/>
    <tableColumn id="8" name="Aufnehmende Klassifikation"/>
    <tableColumn id="9" name="Aufnehmende Makler-E-Mail"/>
    <tableColumn id="10" name="IMSI / EMMA bestätigt"/>
    <tableColumn id="11" name="Status"/>
    <tableColumn id="12" name="Owner"/>
    <tableColumn id="13" name="Kommentar / Blocker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Vertraege" displayName="tblVertraege" ref="B20:W30" totalsRowShown="0">
  <autoFilter ref="B20:W30"/>
  <tableColumns count="22">
    <tableColumn id="1" name="Datensatz-ID"/>
    <tableColumn id="2" name="Vertrag-ID"/>
    <tableColumn id="3" name="Vertragskonstellation">
      <calculatedColumnFormula>IFERROR(_xlfn.XLOOKUP(tblVertraege[[#This Row],[Vertrag-ID]],tblVertragskonstellationen[Vertrag-ID],tblVertragskonstellationen[Vertragskonstellation],""),"")</calculatedColumnFormula>
    </tableColumn>
    <tableColumn id="4" name="Pflichtgrad">
      <calculatedColumnFormula>IFERROR(_xlfn.XLOOKUP(tblVertraege[[#This Row],[Vertrag-ID]],tblVertragskonstellationen[Vertrag-ID],tblVertragskonstellationen[Pflichtgrad],""),"")</calculatedColumnFormula>
    </tableColumn>
    <tableColumn id="5" name="Sparte"/>
    <tableColumn id="6" name="Produktiv-VNR"/>
    <tableColumn id="7" name="IMSI-VNR"/>
    <tableColumn id="8" name="Anonymisierter VN-/Firmenname"/>
    <tableColumn id="9" name="Vorname, sofern relevant"/>
    <tableColumn id="10" name="Geburtsdatum, sofern relevant"/>
    <tableColumn id="11" name="Produktart / Versicherungsart"/>
    <tableColumn id="12" name="IMSI-Hostzustand bestätigt"/>
    <tableColumn id="13" name="Status"/>
    <tableColumn id="14" name="Owner"/>
    <tableColumn id="15" name="Kommentar / Blocker"/>
    <tableColumn id="16" name="Abgeber-ID"/>
    <tableColumn id="17" name="Abgebender Agenturtyp"/>
    <tableColumn id="18" name="Konkreter abgebender Agenturnam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calculatedColumnFormula>
    </tableColumn>
    <tableColumn id="19" name="Abgebende Agenturnummer / O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calculatedColumnFormula>
    </tableColumn>
    <tableColumn id="20" name="Abgebende Vermittlernummer / PNR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calculatedColumnFormula>
    </tableColumn>
    <tableColumn id="21" name="Abgeberstatus"/>
    <tableColumn id="22" name="Abgeberzuordnung bestätig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AbgebendeAgenturen" displayName="tblAbgebendeAgenturen" ref="B34:M36" totalsRowShown="0">
  <autoFilter ref="B34:M36"/>
  <tableColumns count="12">
    <tableColumn id="1" name="Abgeber-ID"/>
    <tableColumn id="2" name="Abgebende Agenturkonstellation"/>
    <tableColumn id="3" name="Art"/>
    <tableColumn id="4" name="Konkreter abgebender Agenturname"/>
    <tableColumn id="5" name="Abgebende Agenturnummer / OE"/>
    <tableColumn id="6" name="Abgebende Vermittlernummer / PNR"/>
    <tableColumn id="7" name="OB726-Klassifizierung"/>
    <tableColumn id="8" name="GH040-Status"/>
    <tableColumn id="9" name="Hostzustand bestätigt"/>
    <tableColumn id="10" name="Status"/>
    <tableColumn id="11" name="Owner"/>
    <tableColumn id="12" name="Kommentar / Block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Vertragsmapping" displayName="tblVertragsmapping" ref="B7:W25" totalsRowShown="0">
  <autoFilter ref="B7:W25"/>
  <tableColumns count="22">
    <tableColumn id="1" name="Mapping-ID"/>
    <tableColumn id="2" name="Vertrag-ID"/>
    <tableColumn id="3" name="Datensatz-ID">
      <calculatedColumnFormula>_xlfn.LET(_xlpm.x,_xlfn.XLOOKUP(tblVertragsmapping[[#This Row],[Vertrag-ID]],tblVertraege[Vertrag-ID],tblVertraege[Datensatz-ID],""),IF(_xlpm.x=0,"",_xlpm.x))</calculatedColumnFormula>
    </tableColumn>
    <tableColumn id="4" name="IMSI-VNR">
      <calculatedColumnFormula>_xlfn.LET(_xlpm.x,_xlfn.XLOOKUP(tblVertragsmapping[[#This Row],[Datensatz-ID]],tblVertraege[Datensatz-ID],tblVertraege[IMSI-VNR],""),IF(_xlpm.x=0,"",_xlpm.x))</calculatedColumnFormula>
    </tableColumn>
    <tableColumn id="5" name="Sparte">
      <calculatedColumnFormula>_xlfn.LET(_xlpm.x,_xlfn.XLOOKUP(tblVertragsmapping[[#This Row],[Datensatz-ID]],tblVertraege[Datensatz-ID],tblVertraege[Sparte],""),IF(_xlpm.x=0,"",_xlpm.x))</calculatedColumnFormula>
    </tableColumn>
    <tableColumn id="6" name="Aufnehmende Agentur-ID"/>
    <tableColumn id="7" name="Aufnehmender Agenturnam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calculatedColumnFormula>
    </tableColumn>
    <tableColumn id="8" name="Aufnehmende Agenturnummer / O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calculatedColumnFormula>
    </tableColumn>
    <tableColumn id="9" name="Aufnehmende Vermittlernummer / PNR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calculatedColumnFormula>
    </tableColumn>
    <tableColumn id="10" name="Relevante Testfälle"/>
    <tableColumn id="11" name="Konkreter Arbeitsauftrag">
      <calculatedColumnFormula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calculatedColumnFormula>
    </tableColumn>
    <tableColumn id="12" name="Erfüllt"/>
    <tableColumn id="13" name="Geprüft"/>
    <tableColumn id="14" name="Owner"/>
    <tableColumn id="15" name="Kommentar / Blocker"/>
    <tableColumn id="16" name="Abgeber-ID">
      <calculatedColumnFormula>_xlfn.LET(_xlpm.x,_xlfn.XLOOKUP(tblVertragsmapping[[#This Row],[Datensatz-ID]],tblVertraege[Datensatz-ID],tblVertraege[Abgeber-ID],""),IF(_xlpm.x=0,"",_xlpm.x))</calculatedColumnFormula>
    </tableColumn>
    <tableColumn id="17" name="Abgebender Agenturtyp">
      <calculatedColumnFormula>_xlfn.LET(_xlpm.x,_xlfn.XLOOKUP(tblVertragsmapping[[#This Row],[Datensatz-ID]],tblVertraege[Datensatz-ID],tblVertraege[Abgebender Agenturtyp],""),IF(_xlpm.x=0,"",_xlpm.x))</calculatedColumnFormula>
    </tableColumn>
    <tableColumn id="18" name="Abgebender Agenturname">
      <calculatedColumnFormula>_xlfn.LET(_xlpm.x,_xlfn.XLOOKUP(tblVertragsmapping[[#This Row],[Datensatz-ID]],tblVertraege[Datensatz-ID],tblVertraege[Konkreter abgebender Agenturname],""),IF(_xlpm.x=0,"",_xlpm.x))</calculatedColumnFormula>
    </tableColumn>
    <tableColumn id="19" name="Abgebende Agenturnummer / OE">
      <calculatedColumnFormula>_xlfn.LET(_xlpm.x,_xlfn.XLOOKUP(tblVertragsmapping[[#This Row],[Datensatz-ID]],tblVertraege[Datensatz-ID],tblVertraege[Abgebende Agenturnummer / OE],""),IF(_xlpm.x=0,"",_xlpm.x))</calculatedColumnFormula>
    </tableColumn>
    <tableColumn id="20" name="Abgebende Vermittlernummer / PNR">
      <calculatedColumnFormula>_xlfn.LET(_xlpm.x,_xlfn.XLOOKUP(tblVertragsmapping[[#This Row],[Datensatz-ID]],tblVertraege[Datensatz-ID],tblVertraege[Abgebende Vermittlernummer / PNR],""),IF(_xlpm.x=0,"",_xlpm.x))</calculatedColumnFormula>
    </tableColumn>
    <tableColumn id="21" name="Abgeberstatus">
      <calculatedColumnFormula>_xlfn.LET(_xlpm.x,_xlfn.XLOOKUP(tblVertragsmapping[[#This Row],[Datensatz-ID]],tblVertraege[Datensatz-ID],tblVertraege[Abgeberstatus],""),IF(_xlpm.x=0,"",_xlpm.x))</calculatedColumnFormula>
    </tableColumn>
    <tableColumn id="22" name="Abgeberzuordnung bestätigt">
      <calculatedColumnFormula>_xlfn.LET(_xlpm.x,_xlfn.XLOOKUP(tblVertragsmapping[[#This Row],[Datensatz-ID]],tblVertraege[Datensatz-ID],tblVertraege[Abgeberzuordnung bestätigt],""),IF(_xlpm.x=0,"",_xlpm.x))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blMailAuftraege" displayName="tblMailAuftraege" ref="B7:AE31" totalsRowShown="0">
  <autoFilter ref="B7:AE31"/>
  <tableColumns count="30">
    <tableColumn id="1" name="Mail-Auftrags-ID"/>
    <tableColumn id="2" name="Testfall-ID"/>
    <tableColumn id="3" name="Testfallname"/>
    <tableColumn id="4" name="Auftragsart"/>
    <tableColumn id="5" name="Mail-ID / Zustand"/>
    <tableColumn id="6" name="Absenderpostfach">
      <calculatedColumnFormula>_xlfn.XLOOKUP(tblMailAuftraege[[#This Row],[Mail-ID / Zustand]],tblMailanforderungen[Mail-ID / Zustand],tblMailanforderungen[Absenderpostfach / Zustand],_xlfn.XLOOKUP(tblMailAuftraege[[#This Row],[Testfall-ID]],tblMatrix[Testfall-ID],tblMatrix[Absenderpostfach],""))</calculatedColumnFormula>
    </tableColumn>
    <tableColumn id="7" name="Aufnehmender Agenturnam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calculatedColumnFormula>
    </tableColumn>
    <tableColumn id="8" name="Aufnehmende Agenturnummer / O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calculatedColumnFormula>
    </tableColumn>
    <tableColumn id="9" name="Aufnehmende Vermittlernummer / PNR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calculatedColumnFormula>
    </tableColumn>
    <tableColumn id="10" name="IMSI-VNR">
      <calculatedColumnFormula>_xlfn.LET(_xlpm.x,_xlfn.XLOOKUP(tblMailAuftraege[[#This Row],[Datensatz-ID]],tblVertraege[Datensatz-ID],tblVertraege[IMSI-VNR],""),IF(_xlpm.x=0,"",_xlpm.x))</calculatedColumnFormula>
    </tableColumn>
    <tableColumn id="11" name="Sparte">
      <calculatedColumnFormula>_xlfn.LET(_xlpm.x,_xlfn.XLOOKUP(tblMailAuftraege[[#This Row],[Datensatz-ID]],tblVertraege[Datensatz-ID],tblVertraege[Sparte],""),IF(_xlpm.x=0,"",_xlpm.x))</calculatedColumnFormula>
    </tableColumn>
    <tableColumn id="12" name="Betreff konkret">
      <calculatedColumnFormula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calculatedColumnFormula>
    </tableColumn>
    <tableColumn id="13" name="Mailtext / konkrete Inhaltsvorgabe">
      <calculatedColumnFormula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calculatedColumnFormula>
    </tableColumn>
    <tableColumn id="14" name="Erforderliche Anhänge">
      <calculatedColumnFormula>_xlfn.XLOOKUP(tblMailAuftraege[[#This Row],[Mail-ID / Zustand]],tblMailanforderungen[Mail-ID / Zustand],tblMailanforderungen[Erforderliche Anhänge],"")</calculatedColumnFormula>
    </tableColumn>
    <tableColumn id="15" name="Maklervollmacht / Betreuungswunsch">
      <calculatedColumnFormula>_xlfn.XLOOKUP(tblMailAuftraege[[#This Row],[Mail-ID / Zustand]],tblMailanforderungen[Mail-ID / Zustand],tblMailanforderungen[Maklervollmacht / Betreuungswunsch],"")</calculatedColumnFormula>
    </tableColumn>
    <tableColumn id="16" name="Zu beachtende Besonderheit">
      <calculatedColumnFormula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calculatedColumnFormula>
    </tableColumn>
    <tableColumn id="17" name="Deckblatt-Sollausprägungen">
      <calculatedColumnFormula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calculatedColumnFormula>
    </tableColumn>
    <tableColumn id="18" name="E-Mail-Checkliste">
      <calculatedColumnFormula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calculatedColumnFormula>
    </tableColumn>
    <tableColumn id="19" name="Mail vorbereitet"/>
    <tableColumn id="20" name="Mail versendet"/>
    <tableColumn id="21" name="Owner"/>
    <tableColumn id="22" name="Kommentar / Blocker">
      <calculatedColumnFormula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calculatedColumnFormula>
    </tableColumn>
    <tableColumn id="23" name="Datensatz-ID"/>
    <tableColumn id="24" name="Ausführung">
      <calculatedColumnFormula>_xlfn.LET(_xlpm.x,_xlfn.XLOOKUP(tblMailAuftraege[[#This Row],[Datensatz-ID]],tblVertraege[Datensatz-ID],tblVertraege[Sparte],""),IF(_xlpm.x=0,"",_xlpm.x))</calculatedColumnFormula>
    </tableColumn>
    <tableColumn id="25" name="Abgeber-ID">
      <calculatedColumnFormula>_xlfn.LET(_xlpm.x,_xlfn.XLOOKUP(tblMailAuftraege[[#This Row],[Datensatz-ID]],tblVertraege[Datensatz-ID],tblVertraege[Abgeber-ID],""),IF(_xlpm.x=0,"",_xlpm.x))</calculatedColumnFormula>
    </tableColumn>
    <tableColumn id="26" name="Abgebender Agenturtyp">
      <calculatedColumnFormula>_xlfn.LET(_xlpm.x,_xlfn.XLOOKUP(tblMailAuftraege[[#This Row],[Datensatz-ID]],tblVertraege[Datensatz-ID],tblVertraege[Abgebender Agenturtyp],""),IF(_xlpm.x=0,"",_xlpm.x))</calculatedColumnFormula>
    </tableColumn>
    <tableColumn id="27" name="Abgebender Agenturname">
      <calculatedColumnFormula>_xlfn.LET(_xlpm.x,_xlfn.XLOOKUP(tblMailAuftraege[[#This Row],[Datensatz-ID]],tblVertraege[Datensatz-ID],tblVertraege[Konkreter abgebender Agenturname],""),IF(_xlpm.x=0,"",_xlpm.x))</calculatedColumnFormula>
    </tableColumn>
    <tableColumn id="28" name="Abgebende Agenturnummer / OE">
      <calculatedColumnFormula>_xlfn.LET(_xlpm.x,_xlfn.XLOOKUP(tblMailAuftraege[[#This Row],[Datensatz-ID]],tblVertraege[Datensatz-ID],tblVertraege[Abgebende Agenturnummer / OE],""),IF(_xlpm.x=0,"",_xlpm.x))</calculatedColumnFormula>
    </tableColumn>
    <tableColumn id="29" name="Abgeberstatus">
      <calculatedColumnFormula>_xlfn.LET(_xlpm.x,_xlfn.XLOOKUP(tblMailAuftraege[[#This Row],[Datensatz-ID]],tblVertraege[Datensatz-ID],tblVertraege[Abgeberstatus],""),IF(_xlpm.x=0,"",_xlpm.x))</calculatedColumnFormula>
    </tableColumn>
    <tableColumn id="30" name="Abgeberprüfung erforderlich">
      <calculatedColumnFormula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GeneratorEingaben" displayName="tblGeneratorEingaben" ref="B29:U53" totalsRowShown="0">
  <autoFilter ref="B29:U53"/>
  <tableColumns count="20">
    <tableColumn id="1" name="Mail-Auftrags-ID"/>
    <tableColumn id="2" name="Testfall-ID">
      <calculatedColumnFormula>IFERROR(INDEX(tblMailAuftraege[Testfall-ID],MATCH(tblGeneratorEingaben[[#This Row],[Mail-Auftrags-ID]],tblMailAuftraege[Mail-Auftrags-ID],0))&amp;"","")</calculatedColumnFormula>
    </tableColumn>
    <tableColumn id="3" name="Variante">
      <calculatedColumnFormula>IFERROR(INDEX(tblMailAuftraege[Mail-ID / Zustand],MATCH(tblGeneratorEingaben[[#This Row],[Mail-Auftrags-ID]],tblMailAuftraege[Mail-Auftrags-ID],0))&amp;"","")</calculatedColumnFormula>
    </tableColumn>
    <tableColumn id="4" name="Benötigte Angaben">
      <calculatedColumnFormula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calculatedColumnFormula>
    </tableColumn>
    <tableColumn id="5" name="Anschrift Versicherungsnehmer"/>
    <tableColumn id="6" name="Vertretungsberechtigte Person (Firmenkunde)"/>
    <tableColumn id="7" name="Person: Name / Firma"/>
    <tableColumn id="8" name="Person: Vorname"/>
    <tableColumn id="9" name="Person: Geburtsdatum"/>
    <tableColumn id="10" name="IS011 ohne Treffer geprüft"/>
    <tableColumn id="11" name="Abweichendes Geburtsdatum"/>
    <tableColumn id="12" name="Abweichender Vermittler (Agentur-ID)"/>
    <tableColumn id="13" name="Untermakler: Name / Firma"/>
    <tableColumn id="14" name="Untermakler: Registernummer"/>
    <tableColumn id="15" name="Untermakler: E-Mail"/>
    <tableColumn id="16" name="Unterlagenanforderung / Folgearbeiten"/>
    <tableColumn id="17" name="Unterlagenlücke für PN-01"/>
    <tableColumn id="18" name="Registernummer Bevollmächtigter"/>
    <tableColumn id="19" name="Anschrift Bevollmächtigter"/>
    <tableColumn id="20" name="Notiz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blTestmailProtokoll" displayName="tblTestmailProtokoll" ref="B58:I59" totalsRowShown="0">
  <autoFilter ref="B58:I59"/>
  <tableColumns count="8">
    <tableColumn id="1" name="Zeitpunkt"/>
    <tableColumn id="2" name="Mail-Auftrags-ID"/>
    <tableColumn id="3" name="Variante"/>
    <tableColumn id="4" name="Datei"/>
    <tableColumn id="5" name="Anhänge"/>
    <tableColumn id="6" name="Fehlende Werte"/>
    <tableColumn id="7" name="Trotz fehlender Werte erstellt"/>
    <tableColumn id="8" name="Erstellt v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blTestfallTracking" displayName="tblTestfallTracking" ref="B7:AL31" totalsRowShown="0">
  <autoFilter ref="B7:AL31"/>
  <tableColumns count="37">
    <tableColumn id="1" name="Testfall-ID"/>
    <tableColumn id="2" name="Testfallname"/>
    <tableColumn id="3" name="Priorität"/>
    <tableColumn id="4" name="Sparte">
      <calculatedColumnFormula>_xlfn.LET(_xlpm.x,_xlfn.XLOOKUP(tblTestfallTracking[[#This Row],[Datensatz-ID]],tblVertraege[Datensatz-ID],tblVertraege[Sparte],""),IF(_xlpm.x=0,"",_xlpm.x))</calculatedColumnFormula>
    </tableColumn>
    <tableColumn id="5" name="IMSI-VNR">
      <calculatedColumnFormula>_xlfn.LET(_xlpm.x,_xlfn.XLOOKUP(tblTestfallTracking[[#This Row],[Datensatz-ID]],tblVertraege[Datensatz-ID],tblVertraege[IMSI-VNR],""),IF(_xlpm.x=0,"",_xlpm.x))</calculatedColumnFormula>
    </tableColumn>
    <tableColumn id="6" name="Aufnehmender Agenturname">
      <calculatedColumnFormula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calculatedColumnFormula>
    </tableColumn>
    <tableColumn id="7" name="Vertragsmapping erfüllt">
      <calculatedColumnFormula array="1">IFERROR(_xlfn.XLOOKUP(1,(ISNUMBER(SEARCH(tblTestfallTracking[[#This Row],[Testfall-ID]],tblVertragsmapping[Relevante Testfälle])))*(tblVertragsmapping[Datensatz-ID]=tblTestfallTracking[[#This Row],[Datensatz-ID]]),tblVertragsmapping[Erfüllt],"nein"),"nein")</calculatedColumnFormula>
    </tableColumn>
    <tableColumn id="8" name="Mail / Datensatz vorbereitet">
      <calculatedColumnFormula array="1">IFERROR(_xlfn.XLOOKUP(tblTestfallTracking[[#This Row],[Testfall-ID]]&amp;"|"&amp;tblTestfallTracking[[#This Row],[Datensatz-ID]],tblMailAuftraege[Testfall-ID]&amp;"|"&amp;tblMailAuftraege[Datensatz-ID],tblMailAuftraege[Mail vorbereitet],"nein"),"nein")</calculatedColumnFormula>
    </tableColumn>
    <tableColumn id="9" name="Mail versendet">
      <calculatedColumnFormula array="1">IFERROR(_xlfn.XLOOKUP(tblTestfallTracking[[#This Row],[Testfall-ID]]&amp;"|"&amp;tblTestfallTracking[[#This Row],[Datensatz-ID]],tblMailAuftraege[Testfall-ID]&amp;"|"&amp;tblMailAuftraege[Datensatz-ID],tblMailAuftraege[Mail versendet],"nein"),"nein")</calculatedColumnFormula>
    </tableColumn>
    <tableColumn id="10" name="An Celonis übergeben"/>
    <tableColumn id="11" name="Test durchgeführt"/>
    <tableColumn id="12" name="Ergebnis wie erwartet"/>
    <tableColumn id="13" name="Vorgang-Lfd-Nr."/>
    <tableColumn id="14" name="Nachweis / Ablageort"/>
    <tableColumn id="15" name="Owner"/>
    <tableColumn id="16" name="Status"/>
    <tableColumn id="17" name="Kommentar / Blocker"/>
    <tableColumn id="18" name="Datensatz-ID"/>
    <tableColumn id="19" name="Ausführung">
      <calculatedColumnFormula>_xlfn.LET(_xlpm.x,_xlfn.XLOOKUP(tblTestfallTracking[[#This Row],[Datensatz-ID]],tblVertraege[Datensatz-ID],tblVertraege[Sparte],""),IF(_xlpm.x=0,"",_xlpm.x))</calculatedColumnFormula>
    </tableColumn>
    <tableColumn id="20" name="PN-01 nachgewiesen"/>
    <tableColumn id="21" name="PN-02 nachgewiesen"/>
    <tableColumn id="22" name="PN-03 nachgewiesen"/>
    <tableColumn id="23" name="PN-04 nachgewiesen"/>
    <tableColumn id="24" name="PN-05 nachgewiesen"/>
    <tableColumn id="25" name="PN-06 nachgewiesen"/>
    <tableColumn id="26" name="PN-07 nachgewiesen"/>
    <tableColumn id="27" name="vollständige Fehlerliste ausgegeben"/>
    <tableColumn id="28" name="BE „Nachprüfung erforderlich“ ausgegeben"/>
    <tableColumn id="29" name="Aufnehmende Agentur-ID">
      <calculatedColumnFormula>_xlfn.LET(_xlpm.a,_xlfn.XLOOKUP(tblTestfallTracking[[#This Row],[Testfall-ID]],tblMatrix[Testfall-ID],tblMatrix[Aufnehmende Agentur-ID],""),IF(_xlpm.a=0,"",_xlpm.a))</calculatedColumnFormula>
    </tableColumn>
    <tableColumn id="30" name="Abgeber-ID">
      <calculatedColumnFormula>_xlfn.LET(_xlpm.x,_xlfn.XLOOKUP(tblTestfallTracking[[#This Row],[Datensatz-ID]],tblVertraege[Datensatz-ID],tblVertraege[Abgeber-ID],""),IF(_xlpm.x=0,"",_xlpm.x))</calculatedColumnFormula>
    </tableColumn>
    <tableColumn id="31" name="Abgebender Agenturtyp">
      <calculatedColumnFormula>_xlfn.LET(_xlpm.x,_xlfn.XLOOKUP(tblTestfallTracking[[#This Row],[Datensatz-ID]],tblVertraege[Datensatz-ID],tblVertraege[Abgebender Agenturtyp],""),IF(_xlpm.x=0,"",_xlpm.x))</calculatedColumnFormula>
    </tableColumn>
    <tableColumn id="32" name="Abgebender Agenturname">
      <calculatedColumnFormula>_xlfn.LET(_xlpm.x,_xlfn.XLOOKUP(tblTestfallTracking[[#This Row],[Datensatz-ID]],tblVertraege[Datensatz-ID],tblVertraege[Konkreter abgebender Agenturname],""),IF(_xlpm.x=0,"",_xlpm.x))</calculatedColumnFormula>
    </tableColumn>
    <tableColumn id="33" name="Abgebende Agenturnummer / OE">
      <calculatedColumnFormula>_xlfn.LET(_xlpm.x,_xlfn.XLOOKUP(tblTestfallTracking[[#This Row],[Datensatz-ID]],tblVertraege[Datensatz-ID],tblVertraege[Abgebende Agenturnummer / OE],""),IF(_xlpm.x=0,"",_xlpm.x))</calculatedColumnFormula>
    </tableColumn>
    <tableColumn id="34" name="Soll-Abgeberstatus">
      <calculatedColumnFormula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calculatedColumnFormula>
    </tableColumn>
    <tableColumn id="35" name="Ist-Abgeberstatus"/>
    <tableColumn id="36" name="Abgeberzuordnung geprüft"/>
    <tableColumn id="37" name="Abgebernachweis / Hostmaske">
      <calculatedColumnFormula>IF(tblTestfallTracking[[#This Row],[Abgeber-ID]]="AB-00","Betreuung leer oder IS0042 dokumentieren","")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blBE" displayName="tblBE" ref="B7:J24" totalsRowShown="0">
  <autoFilter ref="B7:J24"/>
  <tableColumns count="9">
    <tableColumn id="1" name="Sortierung"/>
    <tableColumn id="2" name="PDD-Logik"/>
    <tableColumn id="3" name="Prüfziel / BE"/>
    <tableColumn id="4" name="Prüfphase / System"/>
    <tableColumn id="5" name="zugeordnete Testfälle"/>
    <tableColumn id="6" name="Anzahl"/>
    <tableColumn id="7" name="Warum diese Anzahl?"/>
    <tableColumn id="8" name="Prozess"/>
    <tableColumn id="9" name="Besonderheit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blPruefnotizen" displayName="tblPruefnotizen" ref="B28:I35" totalsRowShown="0">
  <autoFilter ref="B28:I35"/>
  <tableColumns count="8">
    <tableColumn id="1" name="Prüfnotiz-ID"/>
    <tableColumn id="2" name="Bezeichnung"/>
    <tableColumn id="3" name="konkreter Auslöser"/>
    <tableColumn id="4" name="relevantes Feld"/>
    <tableColumn id="5" name="Prüfsystem"/>
    <tableColumn id="6" name="Besonderheit"/>
    <tableColumn id="7" name="zugeordneter Testfall"/>
    <tableColumn id="8" name="erforderlicher Nachwei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blMatrix" displayName="tblMatrix" ref="B7:U28" totalsRowShown="0">
  <autoFilter ref="B7:U28"/>
  <tableColumns count="20">
    <tableColumn id="1" name="Testfall-ID"/>
    <tableColumn id="2" name="Testausprägungen"/>
    <tableColumn id="3" name="Testfallname"/>
    <tableColumn id="4" name="BE / Prüfziel"/>
    <tableColumn id="5" name="Priorität"/>
    <tableColumn id="6" name="Sparte"/>
    <tableColumn id="7" name="Weg"/>
    <tableColumn id="8" name="Vertrag-ID"/>
    <tableColumn id="9" name="Aufnehmende Agentur-ID"/>
    <tableColumn id="10" name="Mail-ID / Zustand"/>
    <tableColumn id="11" name="Absenderpostfach"/>
    <tableColumn id="12" name="Host-/Vorbereitungsanforderung"/>
    <tableColumn id="13" name="erwartetes Ergebnis"/>
    <tableColumn id="14" name="Routing"/>
    <tableColumn id="15" name="Besonderheit"/>
    <tableColumn id="16" name="BE-14-Teilabdeckung"/>
    <tableColumn id="17" name="Abgeber-ID"/>
    <tableColumn id="18" name="Abgebender Agenturtyp"/>
    <tableColumn id="19" name="Erforderlicher Abgeberstatus"/>
    <tableColumn id="20" name="Abgeber-Prüfanforderung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blAgenturkonstellationen" displayName="tblAgenturkonstellationen" ref="B11:J19" totalsRowShown="0">
  <tableColumns count="9">
    <tableColumn id="1" name="Aufnehmende Agentur-ID"/>
    <tableColumn id="2" name="Aufnehmende Agenturkonstellation"/>
    <tableColumn id="3" name="Pflichtgrad"/>
    <tableColumn id="4" name="Host- und EMMA-Ausprägung"/>
    <tableColumn id="5" name="BE / Prüfziele"/>
    <tableColumn id="6" name="Zugeordnete Testfälle"/>
    <tableColumn id="7" name="Zugeordnete Vertrags-IDs"/>
    <tableColumn id="8" name="Warum erforderlich?"/>
    <tableColumn id="9" name="Reduktionsprüfung / fachliche Frage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blAbgeberkonstellationen" displayName="tblAbgeberkonstellationen" ref="B27:K30" totalsRowShown="0">
  <autoFilter ref="B27:K30"/>
  <tableColumns count="10">
    <tableColumn id="1" name="Abgeber-ID"/>
    <tableColumn id="2" name="Abgebende Agenturkonstellation"/>
    <tableColumn id="3" name="Art"/>
    <tableColumn id="4" name="Pflichtgrad"/>
    <tableColumn id="5" name="Hostausprägung"/>
    <tableColumn id="6" name="Aktivstatus"/>
    <tableColumn id="7" name="Zugeordnete Vertrags-IDs"/>
    <tableColumn id="8" name="Zugeordnete Testfälle"/>
    <tableColumn id="9" name="Warum erforderlich?"/>
    <tableColumn id="10" name="Fachlicher Hinweis / offene Zuordnung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blVertragskonstellationen" displayName="tblVertragskonstellationen" ref="B11:P20" totalsRowShown="0">
  <tableColumns count="15">
    <tableColumn id="1" name="Vertrag-ID"/>
    <tableColumn id="2" name="Fachliche Gruppe"/>
    <tableColumn id="3" name="Vertragskonstellation"/>
    <tableColumn id="4" name="Pflichtgrad"/>
    <tableColumn id="5" name="Sparte"/>
    <tableColumn id="6" name="Host- und IMSI-Ausprägung"/>
    <tableColumn id="7" name="BE / Prüfziele"/>
    <tableColumn id="8" name="Zugeordnete Testfälle"/>
    <tableColumn id="9" name="Zugeordnete aufnehmende Agenturen"/>
    <tableColumn id="10" name="Warum erforderlich?"/>
    <tableColumn id="11" name="Reduktionsprüfung / fachliche Frage"/>
    <tableColumn id="12" name="Abgeber-ID"/>
    <tableColumn id="13" name="Abgebender Agenturtyp"/>
    <tableColumn id="14" name="Erforderlicher Abgeberstatus"/>
    <tableColumn id="15" name="Abgebernachwei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blMailanforderungen" displayName="tblMailanforderungen" ref="B7:N21" totalsRowShown="0">
  <autoFilter ref="B7:N21"/>
  <tableColumns count="13">
    <tableColumn id="1" name="Mail-ID / Zustand"/>
    <tableColumn id="2" name="Mailvariante"/>
    <tableColumn id="3" name="Absenderpostfach / Zustand"/>
    <tableColumn id="4" name="Betreff-Vorlage"/>
    <tableColumn id="5" name="Mailtext-Vorgabe"/>
    <tableColumn id="6" name="Erforderliche Anhänge"/>
    <tableColumn id="7" name="Maklervollmacht / Betreuungswunsch"/>
    <tableColumn id="8" name="Zu beachtende Besonderheit"/>
    <tableColumn id="9" name="Relevante KI-Deckblatt-Sollfelder"/>
    <tableColumn id="10" name="BE / Prüfziele"/>
    <tableColumn id="11" name="Zugeordnete Testfälle"/>
    <tableColumn id="12" name="Warum erforderlich?"/>
    <tableColumn id="13" name="Wiederverwendung / Basisvorlag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hyperlink" Target="mailto:akkurat.financial@mail.de" TargetMode="Externa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comments" Target="../comments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5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8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11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13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4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">
    <tabColor rgb="FF0F766E"/>
    <pageSetUpPr fitToPage="1"/>
  </sheetPr>
  <dimension ref="A1:O35"/>
  <sheetViews>
    <sheetView showGridLines="0"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3" customWidth="1"/>
    <col min="2" max="2" width="30.7109375" customWidth="1"/>
    <col min="3" max="3" width="24.7109375" customWidth="1"/>
    <col min="4" max="7" width="10.7109375" customWidth="1"/>
    <col min="8" max="8" width="19.7109375" customWidth="1"/>
    <col min="9" max="9" width="44.7109375" customWidth="1"/>
    <col min="10" max="10" width="34.7109375" customWidth="1"/>
    <col min="11" max="11" width="26.7109375" customWidth="1"/>
    <col min="12" max="12" width="30.7109375" customWidth="1"/>
    <col min="13" max="13" width="3.7109375" customWidth="1"/>
    <col min="14" max="15" width="0" hidden="1" customWidth="1"/>
  </cols>
  <sheetData>
    <row r="1" spans="2:15" s="1" customFormat="1" ht="18" customHeight="1" x14ac:dyDescent="0.25">
      <c r="B1" s="2" t="s">
        <v>936</v>
      </c>
    </row>
    <row r="2" spans="2:15" s="1" customFormat="1" ht="28" customHeight="1" x14ac:dyDescent="0.25">
      <c r="B2" s="3" t="s">
        <v>937</v>
      </c>
    </row>
    <row r="3" spans="2:15" s="1" customFormat="1" ht="21" customHeight="1" x14ac:dyDescent="0.25">
      <c r="B3" s="4" t="s">
        <v>938</v>
      </c>
    </row>
    <row r="4" spans="2:15" s="1" customFormat="1" ht="10" customHeight="1" x14ac:dyDescent="0.25"/>
    <row r="5" spans="2:15" s="5" customFormat="1" ht="3" customHeight="1" x14ac:dyDescent="0.25"/>
    <row r="6" spans="2:15" ht="22" customHeight="1" x14ac:dyDescent="0.25">
      <c r="B6" s="6" t="s">
        <v>939</v>
      </c>
      <c r="N6" s="7" t="s">
        <v>940</v>
      </c>
      <c r="O6" s="7" t="s">
        <v>941</v>
      </c>
    </row>
    <row r="7" spans="2:15" ht="8" customHeight="1" x14ac:dyDescent="0.25">
      <c r="N7" s="8">
        <f>ROWS(tblMatrix[Testfall-ID])</f>
        <v>21</v>
      </c>
      <c r="O7" s="8" t="s">
        <v>942</v>
      </c>
    </row>
    <row r="8" spans="2:15" ht="38" customHeight="1" x14ac:dyDescent="0.25">
      <c r="N8" s="8">
        <f>SUMPRODUCT((tblBE[Sortierung]&amp;""&gt;"00")*(tblBE[Sortierung]&amp;""&lt;"90"))</f>
        <v>14</v>
      </c>
      <c r="O8" s="8" t="s">
        <v>943</v>
      </c>
    </row>
    <row r="9" spans="2:15" ht="24" customHeight="1" x14ac:dyDescent="0.25">
      <c r="N9" s="8">
        <f>ROWS(tblPruefnotizen[Prüfnotiz-ID])</f>
        <v>7</v>
      </c>
      <c r="O9" s="8" t="s">
        <v>944</v>
      </c>
    </row>
    <row r="10" spans="2:15" ht="8" customHeight="1" x14ac:dyDescent="0.25">
      <c r="N10" s="8">
        <f>ROWS(tblVertragskonstellationen[Vertrag-ID])</f>
        <v>9</v>
      </c>
      <c r="O10" s="8" t="s">
        <v>945</v>
      </c>
    </row>
    <row r="11" spans="2:15" ht="16" customHeight="1" x14ac:dyDescent="0.25">
      <c r="N11" s="8" t="str">
        <f>COUNTIF(tblMailanforderungen[Mail-ID / Zustand],"M-*")&amp;" + "&amp;COUNTIF(tblMailanforderungen[Mail-ID / Zustand],"Weg B")</f>
        <v>13 + 1</v>
      </c>
      <c r="O11" s="8" t="s">
        <v>946</v>
      </c>
    </row>
    <row r="12" spans="2:15" ht="20" customHeight="1" x14ac:dyDescent="0.25">
      <c r="B12" s="6" t="s">
        <v>948</v>
      </c>
      <c r="J12" s="6" t="s">
        <v>949</v>
      </c>
      <c r="N12" s="8">
        <f>ROWS(tblTestfallTracking[Testfall-ID])</f>
        <v>24</v>
      </c>
      <c r="O12" s="8" t="s">
        <v>947</v>
      </c>
    </row>
    <row r="13" spans="2:15" ht="20" customHeight="1" x14ac:dyDescent="0.25">
      <c r="J13" s="9" t="str">
        <f>(4-COUNTIF('Testmail-Generator'!$K$13:$K$24,"fehlt"))&amp;" von 4 Pflichtangaben gepflegt"</f>
        <v>0 von 4 Pflichtangaben gepflegt</v>
      </c>
      <c r="N13" s="8" t="s">
        <v>950</v>
      </c>
      <c r="O13" s="8" t="s">
        <v>951</v>
      </c>
    </row>
    <row r="14" spans="2:15" ht="22" customHeight="1" x14ac:dyDescent="0.25">
      <c r="J14" s="9"/>
      <c r="N14" s="8" t="str">
        <f>IF(AND(N(F20)&lt;N(D20)),"SCHRITT A  ·  ALS NÄCHSTES","SCHRITT A")</f>
        <v>SCHRITT A  ·  ALS NÄCHSTES</v>
      </c>
      <c r="O14" s="8" t="str">
        <f>N(F20)&amp;" von "&amp;N(D20)&amp;" erledigt  ·  "&amp;N(G20)&amp;" blockiert"</f>
        <v>0 von 19 erledigt  ·  0 blockiert</v>
      </c>
    </row>
    <row r="15" spans="2:15" ht="20" customHeight="1" x14ac:dyDescent="0.25">
      <c r="J15" s="10" t="str">
        <f>COUNTA(tblTestmailProtokoll[Mail-Auftrags-ID])&amp;" Testmails erzeugt (Protokoll)"</f>
        <v>0 Testmails erzeugt (Protokoll)</v>
      </c>
      <c r="N15" s="8" t="str">
        <f>IF(AND(N(F20)&gt;=N(D20),N(F21)&lt;N(D21)),"SCHRITT B  ·  ALS NÄCHSTES","SCHRITT B")</f>
        <v>SCHRITT B</v>
      </c>
      <c r="O15" s="8" t="str">
        <f>N(F21)&amp;" von "&amp;N(D21)&amp;" erledigt  ·  "&amp;N(G21)&amp;" blockiert"</f>
        <v>1 von 18 erledigt  ·  14 blockiert</v>
      </c>
    </row>
    <row r="16" spans="2:15" ht="10" customHeight="1" x14ac:dyDescent="0.25">
      <c r="J16" s="10"/>
      <c r="N16" s="8" t="str">
        <f>IF(AND(N(F20)&gt;=N(D20),N(F21)&gt;=N(D21),N(F22)&lt;N(D22)),"SCHRITT C  ·  ALS NÄCHSTES","SCHRITT C")</f>
        <v>SCHRITT C</v>
      </c>
      <c r="O16" s="8" t="str">
        <f>N(F22)&amp;" von "&amp;N(D22)&amp;" erledigt  ·  "&amp;N(G22)&amp;" blockiert"</f>
        <v>1 von 24 erledigt  ·  17 blockiert</v>
      </c>
    </row>
    <row r="17" spans="2:15" ht="16" customHeight="1" x14ac:dyDescent="0.25">
      <c r="N17" s="8" t="str">
        <f>IF(AND(N(F20)&gt;=N(D20),N(F21)&gt;=N(D21),N(F22)&gt;=N(D22),N(F23)&lt;N(D23)),"SCHRITT D  ·  ALS NÄCHSTES","SCHRITT D")</f>
        <v>SCHRITT D</v>
      </c>
      <c r="O17" s="8" t="str">
        <f>N(F23)&amp;" von "&amp;N(D23)&amp;" erledigt  ·  "&amp;N(G23)&amp;" blockiert"</f>
        <v>0 von 24 erledigt  ·  0 blockiert</v>
      </c>
    </row>
    <row r="18" spans="2:15" ht="24" customHeight="1" x14ac:dyDescent="0.25">
      <c r="B18" s="11" t="s">
        <v>952</v>
      </c>
    </row>
    <row r="19" spans="2:15" ht="30" customHeight="1" x14ac:dyDescent="0.25">
      <c r="B19" s="12" t="s">
        <v>953</v>
      </c>
      <c r="C19" s="12" t="s">
        <v>954</v>
      </c>
      <c r="D19" s="13" t="s">
        <v>955</v>
      </c>
      <c r="E19" s="13" t="s">
        <v>9</v>
      </c>
      <c r="F19" s="13" t="s">
        <v>32</v>
      </c>
      <c r="G19" s="13" t="s">
        <v>33</v>
      </c>
      <c r="H19" s="12" t="s">
        <v>958</v>
      </c>
      <c r="I19" s="12" t="s">
        <v>956</v>
      </c>
      <c r="J19" s="12" t="s">
        <v>957</v>
      </c>
    </row>
    <row r="20" spans="2:15" ht="32" customHeight="1" x14ac:dyDescent="0.25">
      <c r="B20" s="14" t="s">
        <v>959</v>
      </c>
      <c r="C20" s="15" t="s">
        <v>960</v>
      </c>
      <c r="D20" s="16">
        <f>ROWS(tblAgenturen[Aufnehmende Agentur-ID])+ROWS(tblAbgebendeAgenturen[Abgeber-ID])+ROWS(tblVertraege[Datensatz-ID])</f>
        <v>19</v>
      </c>
      <c r="E20" s="17">
        <f>COUNTIF(tblAgenturen[Status],"offen")+COUNTIF(tblAbgebendeAgenturen[Status],"offen")+COUNTIF(tblVertraege[Status],"offen")</f>
        <v>17</v>
      </c>
      <c r="F20" s="18">
        <f>COUNTIF(tblAgenturen[Status],"erledigt")+COUNTIF(tblAbgebendeAgenturen[Status],"erledigt")+COUNTIF(tblVertraege[Status],"erledigt")</f>
        <v>0</v>
      </c>
      <c r="G20" s="19">
        <f>COUNTIF(tblAgenturen[Status],"blockiert")+COUNTIF(tblAbgebendeAgenturen[Status],"blockiert")+COUNTIF(tblVertraege[Status],"blockiert")</f>
        <v>0</v>
      </c>
      <c r="H20" s="20">
        <f>IF(N(D20)=0,0,N(F20)/N(D20))</f>
        <v>0.0</v>
      </c>
      <c r="I20" s="21" t="s">
        <v>961</v>
      </c>
      <c r="J20" s="22" t="s">
        <v>962</v>
      </c>
    </row>
    <row r="21" spans="2:15" ht="32" customHeight="1" x14ac:dyDescent="0.25">
      <c r="B21" s="14" t="s">
        <v>963</v>
      </c>
      <c r="C21" s="15" t="s">
        <v>129</v>
      </c>
      <c r="D21" s="16">
        <f>ROWS(tblVertragsmapping[Mapping-ID])</f>
        <v>18</v>
      </c>
      <c r="E21" s="17">
        <f>COUNTIF(tblVertragsmapping[Erfüllt],"nein")-COUNTIF(tblVertragsmapping[Konkreter Arbeitsauftrag],"BLOCKIERT*")</f>
        <v>2</v>
      </c>
      <c r="F21" s="18">
        <f>COUNTIF(tblVertragsmapping[Erfüllt],"ja")</f>
        <v>1</v>
      </c>
      <c r="G21" s="19">
        <f>COUNTIF(tblVertragsmapping[Konkreter Arbeitsauftrag],"BLOCKIERT*")</f>
        <v>14</v>
      </c>
      <c r="H21" s="20">
        <f>IF(N(D21)=0,0,N(F21)/N(D21))</f>
        <v>0.05555555555555555</v>
      </c>
      <c r="I21" s="21" t="s">
        <v>964</v>
      </c>
      <c r="J21" s="22" t="s">
        <v>965</v>
      </c>
    </row>
    <row r="22" spans="2:15" ht="32" customHeight="1" x14ac:dyDescent="0.25">
      <c r="B22" s="14" t="s">
        <v>966</v>
      </c>
      <c r="C22" s="15" t="s">
        <v>172</v>
      </c>
      <c r="D22" s="16">
        <f>ROWS(tblMailAuftraege[Testfall-ID])</f>
        <v>24</v>
      </c>
      <c r="E22" s="17">
        <f>COUNTIF(tblMailAuftraege[Mail vorbereitet],"nein")-COUNTIF(tblMailAuftraege[Betreff konkret],"BLOCKIERT*")</f>
        <v>3</v>
      </c>
      <c r="F22" s="18">
        <f>COUNTIF(tblMailAuftraege[Mail vorbereitet],"ja")</f>
        <v>1</v>
      </c>
      <c r="G22" s="19">
        <f>COUNTIF(tblMailAuftraege[Betreff konkret],"BLOCKIERT*")</f>
        <v>17</v>
      </c>
      <c r="H22" s="20">
        <f>IF(N(D22)=0,0,N(F22)/N(D22))</f>
        <v>0.041666666666666664</v>
      </c>
      <c r="I22" s="21" t="str">
        <f>ROWS(tblMailAuftraege[Mail-Auftrags-ID])&amp;" Testmail- oder Weg-B-Aufträge bearbeiten"</f>
        <v>24 Testmail- oder Weg-B-Aufträge bearbeiten</v>
      </c>
      <c r="J22" s="22" t="s">
        <v>967</v>
      </c>
    </row>
    <row r="23" spans="2:15" ht="32" customHeight="1" x14ac:dyDescent="0.25">
      <c r="B23" s="14" t="s">
        <v>968</v>
      </c>
      <c r="C23" s="15" t="s">
        <v>271</v>
      </c>
      <c r="D23" s="16">
        <f>ROWS(tblTestfallTracking[Testfall-ID])</f>
        <v>24</v>
      </c>
      <c r="E23" s="17">
        <f>COUNTIF(tblTestfallTracking[Status],"offen")</f>
        <v>24</v>
      </c>
      <c r="F23" s="18">
        <f>COUNTIF(tblTestfallTracking[Status],"erledigt")</f>
        <v>0</v>
      </c>
      <c r="G23" s="19">
        <f>COUNTIF(tblTestfallTracking[Status],"blockiert")</f>
        <v>0</v>
      </c>
      <c r="H23" s="20">
        <f>IF(N(D23)=0,0,N(F23)/N(D23))</f>
        <v>0.0</v>
      </c>
      <c r="I23" s="21" t="s">
        <v>969</v>
      </c>
      <c r="J23" s="22" t="s">
        <v>970</v>
      </c>
    </row>
    <row r="24" spans="2:15" ht="34" customHeight="1" x14ac:dyDescent="0.25">
      <c r="B24" s="23" t="s">
        <v>971</v>
      </c>
      <c r="C24" s="23"/>
      <c r="D24" s="23"/>
      <c r="E24" s="23"/>
      <c r="F24" s="23"/>
      <c r="G24" s="23"/>
      <c r="H24" s="23"/>
      <c r="I24" s="23"/>
      <c r="J24" s="23"/>
    </row>
    <row r="25" spans="2:15" ht="14" customHeight="1" x14ac:dyDescent="0.25"/>
    <row r="26" spans="2:15" ht="24" customHeight="1" x14ac:dyDescent="0.25">
      <c r="B26" s="11" t="s">
        <v>972</v>
      </c>
    </row>
    <row r="27" spans="2:15" ht="26" customHeight="1" x14ac:dyDescent="0.25">
      <c r="B27" s="12" t="s">
        <v>973</v>
      </c>
      <c r="C27" s="12" t="s">
        <v>974</v>
      </c>
      <c r="D27" s="12" t="s">
        <v>975</v>
      </c>
      <c r="E27" s="12"/>
      <c r="F27" s="12"/>
      <c r="G27" s="12"/>
      <c r="H27" s="13" t="s">
        <v>0</v>
      </c>
      <c r="I27" s="12" t="s">
        <v>4</v>
      </c>
      <c r="J27" s="12" t="s">
        <v>976</v>
      </c>
      <c r="K27" s="12" t="s">
        <v>977</v>
      </c>
      <c r="L27" s="12" t="s">
        <v>61</v>
      </c>
    </row>
    <row r="28" spans="2:15" ht="24" customHeight="1" x14ac:dyDescent="0.25">
      <c r="B28" s="24" t="s">
        <v>978</v>
      </c>
      <c r="C28" s="25" t="s">
        <v>979</v>
      </c>
      <c r="D28" s="24" t="s">
        <v>980</v>
      </c>
      <c r="E28" s="24"/>
      <c r="F28" s="24"/>
      <c r="G28" s="24"/>
      <c r="H28" s="26" t="s">
        <v>9</v>
      </c>
      <c r="I28" s="27" t="s">
        <v>13</v>
      </c>
      <c r="J28" s="24" t="s">
        <v>981</v>
      </c>
      <c r="K28" s="24" t="s">
        <v>982</v>
      </c>
      <c r="L28" s="27"/>
    </row>
    <row r="29" spans="2:15" ht="24" customHeight="1" x14ac:dyDescent="0.25">
      <c r="B29" s="24" t="s">
        <v>978</v>
      </c>
      <c r="C29" s="25" t="s">
        <v>983</v>
      </c>
      <c r="D29" s="24" t="s">
        <v>984</v>
      </c>
      <c r="E29" s="24"/>
      <c r="F29" s="24"/>
      <c r="G29" s="24"/>
      <c r="H29" s="26" t="s">
        <v>9</v>
      </c>
      <c r="I29" s="27" t="s">
        <v>34</v>
      </c>
      <c r="J29" s="24" t="s">
        <v>985</v>
      </c>
      <c r="K29" s="24" t="s">
        <v>986</v>
      </c>
      <c r="L29" s="27"/>
    </row>
    <row r="30" spans="2:15" ht="24" customHeight="1" x14ac:dyDescent="0.25">
      <c r="B30" s="24" t="s">
        <v>978</v>
      </c>
      <c r="C30" s="25" t="s">
        <v>987</v>
      </c>
      <c r="D30" s="24" t="s">
        <v>988</v>
      </c>
      <c r="E30" s="24"/>
      <c r="F30" s="24"/>
      <c r="G30" s="24"/>
      <c r="H30" s="26" t="s">
        <v>9</v>
      </c>
      <c r="I30" s="27" t="s">
        <v>989</v>
      </c>
      <c r="J30" s="24" t="s">
        <v>172</v>
      </c>
      <c r="K30" s="24" t="s">
        <v>990</v>
      </c>
      <c r="L30" s="27"/>
    </row>
    <row r="31" spans="2:15" ht="24" customHeight="1" x14ac:dyDescent="0.25">
      <c r="B31" s="24" t="s">
        <v>978</v>
      </c>
      <c r="C31" s="25" t="s">
        <v>991</v>
      </c>
      <c r="D31" s="24" t="s">
        <v>992</v>
      </c>
      <c r="E31" s="24"/>
      <c r="F31" s="24"/>
      <c r="G31" s="24"/>
      <c r="H31" s="26" t="s">
        <v>9</v>
      </c>
      <c r="I31" s="27" t="s">
        <v>993</v>
      </c>
      <c r="J31" s="24" t="s">
        <v>271</v>
      </c>
      <c r="K31" s="24" t="s">
        <v>994</v>
      </c>
      <c r="L31" s="27"/>
    </row>
    <row r="32" spans="2:15" ht="24" customHeight="1" x14ac:dyDescent="0.25">
      <c r="B32" s="24" t="s">
        <v>978</v>
      </c>
      <c r="C32" s="25" t="s">
        <v>995</v>
      </c>
      <c r="D32" s="24" t="s">
        <v>996</v>
      </c>
      <c r="E32" s="24"/>
      <c r="F32" s="24"/>
      <c r="G32" s="24"/>
      <c r="H32" s="26" t="s">
        <v>9</v>
      </c>
      <c r="I32" s="27" t="s">
        <v>21</v>
      </c>
      <c r="J32" s="24" t="s">
        <v>997</v>
      </c>
      <c r="K32" s="24" t="s">
        <v>998</v>
      </c>
      <c r="L32" s="27"/>
    </row>
    <row r="33" spans="2:12" ht="24" customHeight="1" x14ac:dyDescent="0.25">
      <c r="B33" s="24" t="s">
        <v>978</v>
      </c>
      <c r="C33" s="25" t="s">
        <v>999</v>
      </c>
      <c r="D33" s="24" t="s">
        <v>1000</v>
      </c>
      <c r="E33" s="24"/>
      <c r="F33" s="24"/>
      <c r="G33" s="24"/>
      <c r="H33" s="26" t="s">
        <v>9</v>
      </c>
      <c r="I33" s="27" t="s">
        <v>21</v>
      </c>
      <c r="J33" s="24" t="s">
        <v>271</v>
      </c>
      <c r="K33" s="24" t="s">
        <v>1001</v>
      </c>
      <c r="L33" s="27"/>
    </row>
    <row r="34" spans="2:12" ht="24" customHeight="1" x14ac:dyDescent="0.25">
      <c r="B34" s="24" t="s">
        <v>978</v>
      </c>
      <c r="C34" s="25" t="s">
        <v>1002</v>
      </c>
      <c r="D34" s="24" t="s">
        <v>1003</v>
      </c>
      <c r="E34" s="24"/>
      <c r="F34" s="24"/>
      <c r="G34" s="24"/>
      <c r="H34" s="26" t="s">
        <v>9</v>
      </c>
      <c r="I34" s="27" t="s">
        <v>29</v>
      </c>
      <c r="J34" s="24" t="s">
        <v>271</v>
      </c>
      <c r="K34" s="24" t="s">
        <v>1004</v>
      </c>
      <c r="L34" s="27"/>
    </row>
    <row r="35" spans="2:12" ht="35.25" customHeight="1" x14ac:dyDescent="0.25">
      <c r="B35" s="24" t="s">
        <v>978</v>
      </c>
      <c r="C35" s="25" t="s">
        <v>1005</v>
      </c>
      <c r="D35" s="24" t="s">
        <v>1006</v>
      </c>
      <c r="E35" s="24"/>
      <c r="F35" s="24"/>
      <c r="G35" s="24"/>
      <c r="H35" s="26" t="s">
        <v>9</v>
      </c>
      <c r="I35" s="27" t="s">
        <v>34</v>
      </c>
      <c r="J35" s="24" t="s">
        <v>1007</v>
      </c>
      <c r="K35" s="24" t="s">
        <v>1008</v>
      </c>
      <c r="L35" s="27"/>
    </row>
  </sheetData>
  <mergeCells count="12">
    <mergeCell ref="J13:J14"/>
    <mergeCell ref="J15:J16"/>
    <mergeCell ref="B24:J24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</mergeCells>
  <conditionalFormatting sqref="G20:G23">
    <cfRule type="cellIs" dxfId="4" priority="2" operator="greaterThan">
      <formula>0</formula>
    </cfRule>
  </conditionalFormatting>
  <conditionalFormatting sqref="H20:H23">
    <cfRule type="dataBar" priority="1">
      <dataBar>
        <cfvo type="num" val="0"/>
        <cfvo type="num" val="1"/>
        <color rgb="FF7FD3C7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H28:H35">
    <cfRule type="expression" dxfId="0" priority="3">
      <formula>LOWER(H28)="bereit"</formula>
    </cfRule>
    <cfRule type="expression" dxfId="1" priority="4">
      <formula>LOWER(H28)="in durchführung"</formula>
    </cfRule>
    <cfRule type="expression" dxfId="2" priority="5">
      <formula>LOWER(H28)="offen"</formula>
    </cfRule>
    <cfRule type="expression" dxfId="2" priority="6">
      <formula>LOWER(H28)="nein"</formula>
    </cfRule>
    <cfRule type="expression" dxfId="3" priority="7">
      <formula>LOWER(H28)="ja"</formula>
    </cfRule>
    <cfRule type="expression" dxfId="3" priority="8">
      <formula>LOWER(H28)="erledigt"</formula>
    </cfRule>
    <cfRule type="expression" dxfId="4" priority="9">
      <formula>LOWER(H28)="blockiert"</formula>
    </cfRule>
    <cfRule type="expression" dxfId="5" priority="10">
      <formula>LOWER(H28)="nicht erforderlich"</formula>
    </cfRule>
    <cfRule type="expression" dxfId="1" priority="11">
      <formula>LOWER(H28)="fehlt"</formula>
    </cfRule>
    <cfRule type="expression" dxfId="3" priority="12">
      <formula>LOWER(H28)="gepflegt"</formula>
    </cfRule>
    <cfRule type="expression" dxfId="5" priority="13">
      <formula>LOWER(H28)="optional"</formula>
    </cfRule>
    <cfRule type="expression" dxfId="5" priority="14">
      <formula>LOWER(H28)="vorbelegt"</formula>
    </cfRule>
  </conditionalFormatting>
  <dataValidations count="1">
    <dataValidation type="list" allowBlank="1" showInputMessage="1" showErrorMessage="1" sqref="H28:H35">
      <formula1>'Listen &amp; Parameter'!$A$2:$A$6</formula1>
    </dataValidation>
  </dataValidations>
  <hyperlinks>
    <hyperlink ref="J20" location="'Stammdaten'!A1" display="Zum Blatt: Stammdaten"/>
    <hyperlink ref="J21" location="'To-do Vertragsmapping'!A1" display="Zum Blatt: To-do Vertragsmapping"/>
    <hyperlink ref="J22" location="'To-do Mailerstellung'!A1" display="Zum Blatt: To-do Mailerstellung"/>
    <hyperlink ref="J23" location="'Testfall-Tracking'!A1" display="Zum Blatt: Testfall-Tracking"/>
  </hyperlinks>
  <pageMargins left="0.7" right="0.7" top="0.75" bottom="0.75" header="0.3" footer="0.3"/>
  <pageSetup paperSize="9" fitToHeight="0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H20:H23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tammdaten">
    <tabColor rgb="FF31527A"/>
    <pageSetUpPr fitToPage="1"/>
  </sheetPr>
  <dimension ref="A1:W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/>
  <cols>
    <col min="1" max="1" width="3" customWidth="1"/>
    <col min="2" max="2" width="15.85546875" customWidth="1"/>
    <col min="3" max="4" width="30.7109375" customWidth="1"/>
    <col min="5" max="5" width="26.7109375" customWidth="1"/>
    <col min="6" max="6" width="19.5703125" customWidth="1"/>
    <col min="7" max="7" width="21.5703125" customWidth="1"/>
    <col min="8" max="8" width="25.5703125" customWidth="1"/>
    <col min="9" max="9" width="26.7109375" customWidth="1"/>
    <col min="10" max="10" width="23.42578125" customWidth="1"/>
    <col min="11" max="11" width="19.5703125" customWidth="1"/>
    <col min="12" max="12" width="26.7109375" customWidth="1"/>
    <col min="13" max="13" width="36.85546875" customWidth="1"/>
    <col min="14" max="14" width="30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14" s="1" customFormat="1" ht="18" customHeight="1">
      <c r="B1" s="2" t="s">
        <v>47</v>
      </c>
    </row>
    <row r="2" spans="2:14" s="1" customFormat="1" ht="28" customHeight="1">
      <c r="B2" s="3" t="s">
        <v>48</v>
      </c>
    </row>
    <row r="3" spans="2:14" s="1" customFormat="1" ht="21" customHeight="1">
      <c r="B3" s="4" t="s">
        <v>49</v>
      </c>
    </row>
    <row r="4" spans="2:14" s="1" customFormat="1" ht="10" customHeight="1"/>
    <row r="5" spans="2:14" s="5" customFormat="1" ht="3" customHeight="1"/>
    <row r="6" spans="2:14" ht="24" customHeight="1">
      <c r="B6" s="28" t="s">
        <v>50</v>
      </c>
    </row>
    <row r="7" spans="2:14">
      <c r="B7" s="11" t="s">
        <v>125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2:14" ht="8" customHeight="1"/>
    <row r="9" spans="2:14" ht="36" customHeight="1">
      <c r="B9" s="12" t="s">
        <v>51</v>
      </c>
      <c r="C9" s="12" t="s">
        <v>52</v>
      </c>
      <c r="D9" s="12" t="s">
        <v>53</v>
      </c>
      <c r="E9" s="12" t="s">
        <v>54</v>
      </c>
      <c r="F9" s="12" t="s">
        <v>55</v>
      </c>
      <c r="G9" s="12" t="s">
        <v>56</v>
      </c>
      <c r="H9" s="12" t="s">
        <v>57</v>
      </c>
      <c r="I9" s="12" t="s">
        <v>58</v>
      </c>
      <c r="J9" s="12" t="s">
        <v>59</v>
      </c>
      <c r="K9" s="12" t="s">
        <v>60</v>
      </c>
      <c r="L9" s="12" t="s">
        <v>0</v>
      </c>
      <c r="M9" s="12" t="s">
        <v>4</v>
      </c>
      <c r="N9" s="12" t="s">
        <v>61</v>
      </c>
    </row>
    <row r="10" spans="2:14" ht="35.25" customHeight="1">
      <c r="B10" s="25" t="s">
        <v>62</v>
      </c>
      <c r="C10" s="29" t="str">
        <f>IFERROR(_xlfn.XLOOKUP(tblAgenturen[[#This Row],[Aufnehmende Agentur-ID]],tblAgenturkonstellationen[Aufnehmende Agentur-ID],tblAgenturkonstellationen[Aufnehmende Agenturkonstellation],""),"")</f>
        <v>Standardmakler</v>
      </c>
      <c r="D10" s="29" t="str">
        <f>IFERROR(_xlfn.XLOOKUP(tblAgenturen[[#This Row],[Aufnehmende Agentur-ID]],tblAgenturkonstellationen[Aufnehmende Agentur-ID],tblAgenturkonstellationen[Pflichtgrad],""),"")</f>
        <v>Pflicht</v>
      </c>
      <c r="E10" s="27" t="s">
        <v>63</v>
      </c>
      <c r="F10" s="30">
        <v>7760220</v>
      </c>
      <c r="G10" s="30">
        <v>219097</v>
      </c>
      <c r="H10" s="27"/>
      <c r="I10" s="27"/>
      <c r="J10" s="27" t="s">
        <v>64</v>
      </c>
      <c r="K10" s="26" t="s">
        <v>10</v>
      </c>
      <c r="L10" s="26" t="s">
        <v>17</v>
      </c>
      <c r="M10" s="27" t="s">
        <v>13</v>
      </c>
      <c r="N10" s="27"/>
    </row>
    <row r="11" spans="2:14" ht="35.25" customHeight="1">
      <c r="B11" s="25" t="s">
        <v>65</v>
      </c>
      <c r="C11" s="29" t="str">
        <f>IFERROR(_xlfn.XLOOKUP(tblAgenturen[[#This Row],[Aufnehmende Agentur-ID]],tblAgenturkonstellationen[Aufnehmende Agentur-ID],tblAgenturkonstellationen[Aufnehmende Agenturkonstellation],""),"")</f>
        <v>Makler ohne OB729-E-Mail</v>
      </c>
      <c r="D11" s="29" t="str">
        <f>IFERROR(_xlfn.XLOOKUP(tblAgenturen[[#This Row],[Aufnehmende Agentur-ID]],tblAgenturkonstellationen[Aufnehmende Agentur-ID],tblAgenturkonstellationen[Pflichtgrad],""),"")</f>
        <v>Pflicht</v>
      </c>
      <c r="E11" s="27"/>
      <c r="F11" s="30"/>
      <c r="G11" s="30"/>
      <c r="H11" s="27"/>
      <c r="I11" s="27"/>
      <c r="J11" s="27"/>
      <c r="K11" s="26" t="s">
        <v>18</v>
      </c>
      <c r="L11" s="26" t="s">
        <v>9</v>
      </c>
      <c r="M11" s="27"/>
      <c r="N11" s="27"/>
    </row>
    <row r="12" spans="2:14" ht="35.25" customHeight="1">
      <c r="B12" s="25" t="s">
        <v>66</v>
      </c>
      <c r="C12" s="29" t="str">
        <f>IFERROR(_xlfn.XLOOKUP(tblAgenturen[[#This Row],[Aufnehmende Agentur-ID]],tblAgenturkonstellationen[Aufnehmende Agentur-ID],tblAgenturkonstellationen[Aufnehmende Agenturkonstellation],""),"")</f>
        <v>TOP-Makler / Pool</v>
      </c>
      <c r="D12" s="29" t="str">
        <f>IFERROR(_xlfn.XLOOKUP(tblAgenturen[[#This Row],[Aufnehmende Agentur-ID]],tblAgenturkonstellationen[Aufnehmende Agentur-ID],tblAgenturkonstellationen[Pflichtgrad],""),"")</f>
        <v>Pflicht</v>
      </c>
      <c r="E12" s="27"/>
      <c r="F12" s="30"/>
      <c r="G12" s="30"/>
      <c r="H12" s="27"/>
      <c r="I12" s="27"/>
      <c r="J12" s="27"/>
      <c r="K12" s="26" t="s">
        <v>18</v>
      </c>
      <c r="L12" s="26" t="s">
        <v>9</v>
      </c>
      <c r="M12" s="27"/>
      <c r="N12" s="27"/>
    </row>
    <row r="13" spans="2:14" ht="35.25" customHeight="1">
      <c r="B13" s="25" t="s">
        <v>67</v>
      </c>
      <c r="C13" s="29" t="str">
        <f>IFERROR(_xlfn.XLOOKUP(tblAgenturen[[#This Row],[Aufnehmende Agentur-ID]],tblAgenturkonstellationen[Aufnehmende Agentur-ID],tblAgenturkonstellationen[Aufnehmende Agenturkonstellation],""),"")</f>
        <v>Mehrfachagent (MFA)</v>
      </c>
      <c r="D13" s="29" t="str">
        <f>IFERROR(_xlfn.XLOOKUP(tblAgenturen[[#This Row],[Aufnehmende Agentur-ID]],tblAgenturkonstellationen[Aufnehmende Agentur-ID],tblAgenturkonstellationen[Pflichtgrad],""),"")</f>
        <v>Pflicht</v>
      </c>
      <c r="E13" s="27"/>
      <c r="F13" s="30"/>
      <c r="G13" s="30"/>
      <c r="H13" s="27"/>
      <c r="I13" s="27"/>
      <c r="J13" s="27"/>
      <c r="K13" s="26" t="s">
        <v>18</v>
      </c>
      <c r="L13" s="26" t="s">
        <v>9</v>
      </c>
      <c r="M13" s="27"/>
      <c r="N13" s="27"/>
    </row>
    <row r="14" spans="2:14" ht="35.25" customHeight="1">
      <c r="B14" s="25" t="s">
        <v>68</v>
      </c>
      <c r="C14" s="29" t="str">
        <f>IFERROR(_xlfn.XLOOKUP(tblAgenturen[[#This Row],[Aufnehmende Agentur-ID]],tblAgenturkonstellationen[Aufnehmende Agentur-ID],tblAgenturkonstellationen[Aufnehmende Agenturkonstellation],""),"")</f>
        <v>Courtagefortzahler / Kontaktgeber</v>
      </c>
      <c r="D14" s="29" t="str">
        <f>IFERROR(_xlfn.XLOOKUP(tblAgenturen[[#This Row],[Aufnehmende Agentur-ID]],tblAgenturkonstellationen[Aufnehmende Agentur-ID],tblAgenturkonstellationen[Pflichtgrad],""),"")</f>
        <v>Pflicht</v>
      </c>
      <c r="E14" s="27"/>
      <c r="F14" s="30"/>
      <c r="G14" s="30"/>
      <c r="H14" s="27"/>
      <c r="I14" s="27"/>
      <c r="J14" s="27"/>
      <c r="K14" s="26" t="s">
        <v>18</v>
      </c>
      <c r="L14" s="26" t="s">
        <v>9</v>
      </c>
      <c r="M14" s="27"/>
      <c r="N14" s="27"/>
    </row>
    <row r="15" spans="2:14" ht="35.25" customHeight="1">
      <c r="B15" s="25" t="s">
        <v>69</v>
      </c>
      <c r="C15" s="29" t="str">
        <f>IFERROR(_xlfn.XLOOKUP(tblAgenturen[[#This Row],[Aufnehmende Agentur-ID]],tblAgenturkonstellationen[Aufnehmende Agentur-ID],tblAgenturkonstellationen[Aufnehmende Agenturkonstellation],""),"")</f>
        <v>Makler mit INAKTIV im OB726-Namen</v>
      </c>
      <c r="D15" s="29" t="str">
        <f>IFERROR(_xlfn.XLOOKUP(tblAgenturen[[#This Row],[Aufnehmende Agentur-ID]],tblAgenturkonstellationen[Aufnehmende Agentur-ID],tblAgenturkonstellationen[Pflichtgrad],""),"")</f>
        <v>Pflicht</v>
      </c>
      <c r="E15" s="27"/>
      <c r="F15" s="30"/>
      <c r="G15" s="30"/>
      <c r="H15" s="27"/>
      <c r="I15" s="27"/>
      <c r="J15" s="27"/>
      <c r="K15" s="26" t="s">
        <v>18</v>
      </c>
      <c r="L15" s="26" t="s">
        <v>9</v>
      </c>
      <c r="M15" s="27"/>
      <c r="N15" s="27"/>
    </row>
    <row r="16" spans="2:14" ht="35.25" customHeight="1">
      <c r="B16" s="25" t="s">
        <v>70</v>
      </c>
      <c r="C16" s="29" t="str">
        <f>IFERROR(_xlfn.XLOOKUP(tblAgenturen[[#This Row],[Aufnehmende Agentur-ID]],tblAgenturkonstellationen[Aufnehmende Agentur-ID],tblAgenturkonstellationen[Aufnehmende Agenturkonstellation],""),"")</f>
        <v>Makler mit Inaktivstatus in GH040</v>
      </c>
      <c r="D16" s="29" t="str">
        <f>IFERROR(_xlfn.XLOOKUP(tblAgenturen[[#This Row],[Aufnehmende Agentur-ID]],tblAgenturkonstellationen[Aufnehmende Agentur-ID],tblAgenturkonstellationen[Pflichtgrad],""),"")</f>
        <v>Optional</v>
      </c>
      <c r="E16" s="27"/>
      <c r="F16" s="30"/>
      <c r="G16" s="30"/>
      <c r="H16" s="27"/>
      <c r="I16" s="27"/>
      <c r="J16" s="27"/>
      <c r="K16" s="26" t="s">
        <v>18</v>
      </c>
      <c r="L16" s="26" t="s">
        <v>9</v>
      </c>
      <c r="M16" s="27"/>
      <c r="N16" s="27"/>
    </row>
    <row r="18" spans="2:23">
      <c r="B18" s="11" t="s">
        <v>126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23" ht="8" customHeight="1"/>
    <row r="20" spans="2:23" ht="36" customHeight="1">
      <c r="B20" s="12" t="s">
        <v>71</v>
      </c>
      <c r="C20" s="12" t="s">
        <v>72</v>
      </c>
      <c r="D20" s="12" t="s">
        <v>73</v>
      </c>
      <c r="E20" s="12" t="s">
        <v>53</v>
      </c>
      <c r="F20" s="12" t="s">
        <v>3</v>
      </c>
      <c r="G20" s="12" t="s">
        <v>74</v>
      </c>
      <c r="H20" s="12" t="s">
        <v>75</v>
      </c>
      <c r="I20" s="12" t="s">
        <v>76</v>
      </c>
      <c r="J20" s="12" t="s">
        <v>77</v>
      </c>
      <c r="K20" s="12" t="s">
        <v>78</v>
      </c>
      <c r="L20" s="12" t="s">
        <v>79</v>
      </c>
      <c r="M20" s="12" t="s">
        <v>80</v>
      </c>
      <c r="N20" s="12" t="s">
        <v>0</v>
      </c>
      <c r="O20" s="12" t="s">
        <v>4</v>
      </c>
      <c r="P20" s="12" t="s">
        <v>61</v>
      </c>
      <c r="Q20" s="12" t="s">
        <v>81</v>
      </c>
      <c r="R20" s="12" t="s">
        <v>6</v>
      </c>
      <c r="S20" s="12" t="s">
        <v>82</v>
      </c>
      <c r="T20" s="12" t="s">
        <v>83</v>
      </c>
      <c r="U20" s="12" t="s">
        <v>84</v>
      </c>
      <c r="V20" s="12" t="s">
        <v>7</v>
      </c>
      <c r="W20" s="12" t="s">
        <v>8</v>
      </c>
    </row>
    <row r="21" spans="2:23" ht="35.25" customHeight="1">
      <c r="B21" s="25" t="s">
        <v>85</v>
      </c>
      <c r="C21" s="25" t="s">
        <v>86</v>
      </c>
      <c r="D21" s="29" t="str">
        <f>IFERROR(_xlfn.XLOOKUP(tblVertraege[[#This Row],[Vertrag-ID]],tblVertragskonstellationen[Vertrag-ID],tblVertragskonstellationen[Vertragskonstellation],""),"")</f>
        <v>KV aktiv, AO-Bestandsinhaber</v>
      </c>
      <c r="E21" s="29" t="str">
        <f>IFERROR(_xlfn.XLOOKUP(tblVertraege[[#This Row],[Vertrag-ID]],tblVertragskonstellationen[Vertrag-ID],tblVertragskonstellationen[Pflichtgrad],""),"")</f>
        <v>Pflicht</v>
      </c>
      <c r="F21" s="27" t="s">
        <v>12</v>
      </c>
      <c r="G21" s="30">
        <v>317063119</v>
      </c>
      <c r="H21" s="30">
        <v>317063119</v>
      </c>
      <c r="I21" s="27" t="s">
        <v>87</v>
      </c>
      <c r="J21" s="27" t="s">
        <v>88</v>
      </c>
      <c r="K21" s="31">
        <v>36526</v>
      </c>
      <c r="L21" s="27" t="s">
        <v>12</v>
      </c>
      <c r="M21" s="26" t="s">
        <v>10</v>
      </c>
      <c r="N21" s="26" t="s">
        <v>17</v>
      </c>
      <c r="O21" s="27"/>
      <c r="P21" s="27" t="s">
        <v>89</v>
      </c>
      <c r="Q21" s="27" t="s">
        <v>90</v>
      </c>
      <c r="R21" s="27" t="s">
        <v>15</v>
      </c>
      <c r="S21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1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1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1" s="27" t="s">
        <v>16</v>
      </c>
      <c r="W21" s="26" t="s">
        <v>18</v>
      </c>
    </row>
    <row r="22" spans="2:23" ht="35.25" customHeight="1">
      <c r="B22" s="25" t="s">
        <v>91</v>
      </c>
      <c r="C22" s="25" t="s">
        <v>92</v>
      </c>
      <c r="D22" s="29" t="str">
        <f>IFERROR(_xlfn.XLOOKUP(tblVertraege[[#This Row],[Vertrag-ID]],tblVertragskonstellationen[Vertrag-ID],tblVertragskonstellationen[Vertragskonstellation],""),"")</f>
        <v>Komposit nicht aktuell</v>
      </c>
      <c r="E22" s="29" t="str">
        <f>IFERROR(_xlfn.XLOOKUP(tblVertraege[[#This Row],[Vertrag-ID]],tblVertragskonstellationen[Vertrag-ID],tblVertragskonstellationen[Pflichtgrad],""),"")</f>
        <v>Pflicht</v>
      </c>
      <c r="F22" s="27" t="s">
        <v>20</v>
      </c>
      <c r="G22" s="30"/>
      <c r="H22" s="30"/>
      <c r="I22" s="27"/>
      <c r="J22" s="27"/>
      <c r="K22" s="31"/>
      <c r="L22" s="27"/>
      <c r="M22" s="26" t="s">
        <v>18</v>
      </c>
      <c r="N22" s="26" t="s">
        <v>9</v>
      </c>
      <c r="O22" s="27"/>
      <c r="P22" s="27"/>
      <c r="Q22" s="27" t="s">
        <v>90</v>
      </c>
      <c r="R22" s="27" t="s">
        <v>15</v>
      </c>
      <c r="S22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2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2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2" s="27" t="s">
        <v>93</v>
      </c>
      <c r="W22" s="26" t="s">
        <v>18</v>
      </c>
    </row>
    <row r="23" spans="2:23" ht="35.25" customHeight="1">
      <c r="B23" s="25" t="s">
        <v>94</v>
      </c>
      <c r="C23" s="25" t="s">
        <v>95</v>
      </c>
      <c r="D23" s="29" t="s">
        <v>96</v>
      </c>
      <c r="E23" s="29" t="s">
        <v>97</v>
      </c>
      <c r="F23" s="27" t="s">
        <v>20</v>
      </c>
      <c r="G23" s="30"/>
      <c r="H23" s="30"/>
      <c r="I23" s="27"/>
      <c r="J23" s="27"/>
      <c r="K23" s="31"/>
      <c r="L23" s="27"/>
      <c r="M23" s="26" t="s">
        <v>18</v>
      </c>
      <c r="N23" s="26" t="s">
        <v>9</v>
      </c>
      <c r="O23" s="27"/>
      <c r="P23" s="27"/>
      <c r="Q23" s="27" t="s">
        <v>98</v>
      </c>
      <c r="R23" s="27" t="s">
        <v>23</v>
      </c>
      <c r="S23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3" s="27" t="s">
        <v>16</v>
      </c>
      <c r="W23" s="26" t="s">
        <v>18</v>
      </c>
    </row>
    <row r="24" spans="2:23" ht="35.25" customHeight="1">
      <c r="B24" s="25" t="s">
        <v>99</v>
      </c>
      <c r="C24" s="25" t="s">
        <v>100</v>
      </c>
      <c r="D24" s="29" t="str">
        <f>IFERROR(_xlfn.XLOOKUP(tblVertraege[[#This Row],[Vertrag-ID]],tblVertragskonstellationen[Vertrag-ID],tblVertragskonstellationen[Vertragskonstellation],""),"")</f>
        <v>KR normal, Firmenkunde</v>
      </c>
      <c r="E24" s="29" t="str">
        <f>IFERROR(_xlfn.XLOOKUP(tblVertraege[[#This Row],[Vertrag-ID]],tblVertragskonstellationen[Vertrag-ID],tblVertragskonstellationen[Pflichtgrad],""),"")</f>
        <v>Pflicht</v>
      </c>
      <c r="F24" s="27" t="s">
        <v>20</v>
      </c>
      <c r="G24" s="30"/>
      <c r="H24" s="30"/>
      <c r="I24" s="27"/>
      <c r="J24" s="27"/>
      <c r="K24" s="31"/>
      <c r="L24" s="27"/>
      <c r="M24" s="26" t="s">
        <v>18</v>
      </c>
      <c r="N24" s="26" t="s">
        <v>9</v>
      </c>
      <c r="O24" s="27"/>
      <c r="P24" s="27"/>
      <c r="Q24" s="27" t="s">
        <v>90</v>
      </c>
      <c r="R24" s="27" t="s">
        <v>15</v>
      </c>
      <c r="S24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4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4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4" s="27" t="s">
        <v>16</v>
      </c>
      <c r="W24" s="26" t="s">
        <v>18</v>
      </c>
    </row>
    <row r="25" spans="2:23" ht="35.25" customHeight="1">
      <c r="B25" s="25" t="s">
        <v>101</v>
      </c>
      <c r="C25" s="25" t="s">
        <v>102</v>
      </c>
      <c r="D25" s="29" t="str">
        <f>IFERROR(_xlfn.XLOOKUP(tblVertraege[[#This Row],[Vertrag-ID]],tblVertragskonstellationen[Vertrag-ID],tblVertragskonstellationen[Vertragskonstellation],""),"")</f>
        <v>KR-Flottenvertrag FK</v>
      </c>
      <c r="E25" s="29" t="str">
        <f>IFERROR(_xlfn.XLOOKUP(tblVertraege[[#This Row],[Vertrag-ID]],tblVertragskonstellationen[Vertrag-ID],tblVertragskonstellationen[Pflichtgrad],""),"")</f>
        <v>Pflicht</v>
      </c>
      <c r="F25" s="27" t="s">
        <v>20</v>
      </c>
      <c r="G25" s="30"/>
      <c r="H25" s="30"/>
      <c r="I25" s="27"/>
      <c r="J25" s="27"/>
      <c r="K25" s="31"/>
      <c r="L25" s="27"/>
      <c r="M25" s="26" t="s">
        <v>18</v>
      </c>
      <c r="N25" s="26" t="s">
        <v>9</v>
      </c>
      <c r="O25" s="27"/>
      <c r="P25" s="27"/>
      <c r="Q25" s="27" t="s">
        <v>90</v>
      </c>
      <c r="R25" s="27" t="s">
        <v>15</v>
      </c>
      <c r="S25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5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5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5" s="27" t="s">
        <v>93</v>
      </c>
      <c r="W25" s="26" t="s">
        <v>18</v>
      </c>
    </row>
    <row r="26" spans="2:23" ht="35.25" customHeight="1">
      <c r="B26" s="25" t="s">
        <v>103</v>
      </c>
      <c r="C26" s="25" t="s">
        <v>104</v>
      </c>
      <c r="D26" s="29" t="str">
        <f>IFERROR(_xlfn.XLOOKUP(tblVertraege[[#This Row],[Vertrag-ID]],tblVertragskonstellationen[Vertrag-ID],tblVertragskonstellationen[Vertragskonstellation],""),"")</f>
        <v>Direktbestand ohne Bestandsinhaber</v>
      </c>
      <c r="E26" s="29" t="str">
        <f>IFERROR(_xlfn.XLOOKUP(tblVertraege[[#This Row],[Vertrag-ID]],tblVertragskonstellationen[Vertrag-ID],tblVertragskonstellationen[Pflichtgrad],""),"")</f>
        <v>Pflicht</v>
      </c>
      <c r="F26" s="27" t="s">
        <v>12</v>
      </c>
      <c r="G26" s="30"/>
      <c r="H26" s="30"/>
      <c r="I26" s="27"/>
      <c r="J26" s="27"/>
      <c r="K26" s="31"/>
      <c r="L26" s="27"/>
      <c r="M26" s="26" t="s">
        <v>18</v>
      </c>
      <c r="N26" s="26" t="s">
        <v>9</v>
      </c>
      <c r="O26" s="27"/>
      <c r="P26" s="27"/>
      <c r="Q26" s="27" t="s">
        <v>105</v>
      </c>
      <c r="R26" s="27" t="s">
        <v>30</v>
      </c>
      <c r="S26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nicht erforderlich</v>
      </c>
      <c r="T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nicht erforderlich</v>
      </c>
      <c r="U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nicht erforderlich</v>
      </c>
      <c r="V26" s="27" t="s">
        <v>40</v>
      </c>
      <c r="W26" s="26" t="s">
        <v>18</v>
      </c>
    </row>
    <row r="27" spans="2:23" ht="35.25" customHeight="1">
      <c r="B27" s="25" t="s">
        <v>106</v>
      </c>
      <c r="C27" s="25" t="s">
        <v>107</v>
      </c>
      <c r="D27" s="29" t="str">
        <f>IFERROR(_xlfn.XLOOKUP(tblVertraege[[#This Row],[Vertrag-ID]],tblVertragskonstellationen[Vertrag-ID],tblVertragskonstellationen[Vertragskonstellation],""),"")</f>
        <v>Bestandsinhaber ausgeschieden</v>
      </c>
      <c r="E27" s="29" t="str">
        <f>IFERROR(_xlfn.XLOOKUP(tblVertraege[[#This Row],[Vertrag-ID]],tblVertragskonstellationen[Vertrag-ID],tblVertragskonstellationen[Pflichtgrad],""),"")</f>
        <v>Pflicht</v>
      </c>
      <c r="F27" s="27" t="s">
        <v>12</v>
      </c>
      <c r="G27" s="30"/>
      <c r="H27" s="30"/>
      <c r="I27" s="27"/>
      <c r="J27" s="27"/>
      <c r="K27" s="31"/>
      <c r="L27" s="27"/>
      <c r="M27" s="26" t="s">
        <v>18</v>
      </c>
      <c r="N27" s="26" t="s">
        <v>9</v>
      </c>
      <c r="O27" s="27"/>
      <c r="P27" s="27" t="s">
        <v>108</v>
      </c>
      <c r="Q27" s="27"/>
      <c r="R27" s="27" t="s">
        <v>38</v>
      </c>
      <c r="S27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7" s="27" t="s">
        <v>24</v>
      </c>
      <c r="W27" s="26" t="s">
        <v>18</v>
      </c>
    </row>
    <row r="28" spans="2:23" ht="35.25" customHeight="1">
      <c r="B28" s="25" t="s">
        <v>109</v>
      </c>
      <c r="C28" s="25" t="s">
        <v>110</v>
      </c>
      <c r="D28" s="29" t="str">
        <f>IFERROR(_xlfn.XLOOKUP(tblVertraege[[#This Row],[Vertrag-ID]],tblVertragskonstellationen[Vertrag-ID],tblVertragskonstellationen[Vertragskonstellation],""),"")</f>
        <v>Versicherte Person ist nicht VN</v>
      </c>
      <c r="E28" s="29" t="str">
        <f>IFERROR(_xlfn.XLOOKUP(tblVertraege[[#This Row],[Vertrag-ID]],tblVertragskonstellationen[Vertrag-ID],tblVertragskonstellationen[Pflichtgrad],""),"")</f>
        <v>Pflicht</v>
      </c>
      <c r="F28" s="27" t="s">
        <v>12</v>
      </c>
      <c r="G28" s="30"/>
      <c r="H28" s="30"/>
      <c r="I28" s="27"/>
      <c r="J28" s="27"/>
      <c r="K28" s="31"/>
      <c r="L28" s="27"/>
      <c r="M28" s="26" t="s">
        <v>18</v>
      </c>
      <c r="N28" s="26" t="s">
        <v>9</v>
      </c>
      <c r="O28" s="27"/>
      <c r="P28" s="27" t="s">
        <v>111</v>
      </c>
      <c r="Q28" s="27"/>
      <c r="R28" s="27" t="s">
        <v>112</v>
      </c>
      <c r="S28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8" s="27" t="s">
        <v>36</v>
      </c>
      <c r="W28" s="26" t="s">
        <v>18</v>
      </c>
    </row>
    <row r="29" spans="2:23" ht="35.25" customHeight="1">
      <c r="B29" s="25" t="s">
        <v>113</v>
      </c>
      <c r="C29" s="25" t="s">
        <v>114</v>
      </c>
      <c r="D29" s="29" t="str">
        <f>IFERROR(_xlfn.XLOOKUP(tblVertraege[[#This Row],[Vertrag-ID]],tblVertragskonstellationen[Vertrag-ID],tblVertragskonstellationen[Vertragskonstellation],""),"")</f>
        <v>Kunde mit häufigem Namen / mehrseitige IS011-Trefferliste</v>
      </c>
      <c r="E29" s="29" t="str">
        <f>IFERROR(_xlfn.XLOOKUP(tblVertraege[[#This Row],[Vertrag-ID]],tblVertragskonstellationen[Vertrag-ID],tblVertragskonstellationen[Pflichtgrad],""),"")</f>
        <v>Optional</v>
      </c>
      <c r="F29" s="27" t="s">
        <v>12</v>
      </c>
      <c r="G29" s="30"/>
      <c r="H29" s="30"/>
      <c r="I29" s="27"/>
      <c r="J29" s="27"/>
      <c r="K29" s="31"/>
      <c r="L29" s="27"/>
      <c r="M29" s="26" t="s">
        <v>18</v>
      </c>
      <c r="N29" s="26" t="s">
        <v>9</v>
      </c>
      <c r="O29" s="27"/>
      <c r="P29" s="27" t="s">
        <v>111</v>
      </c>
      <c r="Q29" s="27"/>
      <c r="R29" s="27" t="s">
        <v>112</v>
      </c>
      <c r="S29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9" s="27" t="s">
        <v>36</v>
      </c>
      <c r="W29" s="26" t="s">
        <v>18</v>
      </c>
    </row>
    <row r="30" spans="2:23" ht="35.25" customHeight="1">
      <c r="B30" s="25" t="s">
        <v>115</v>
      </c>
      <c r="C30" s="25" t="s">
        <v>95</v>
      </c>
      <c r="D30" s="29" t="s">
        <v>116</v>
      </c>
      <c r="E30" s="29" t="s">
        <v>97</v>
      </c>
      <c r="F30" s="27" t="s">
        <v>28</v>
      </c>
      <c r="G30" s="30"/>
      <c r="H30" s="30"/>
      <c r="I30" s="27"/>
      <c r="J30" s="27"/>
      <c r="K30" s="31"/>
      <c r="L30" s="27"/>
      <c r="M30" s="26" t="s">
        <v>18</v>
      </c>
      <c r="N30" s="26" t="s">
        <v>9</v>
      </c>
      <c r="O30" s="27"/>
      <c r="P30" s="27"/>
      <c r="Q30" s="27" t="s">
        <v>98</v>
      </c>
      <c r="R30" s="27" t="s">
        <v>23</v>
      </c>
      <c r="S30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30" s="27" t="s">
        <v>16</v>
      </c>
      <c r="W30" s="26" t="s">
        <v>18</v>
      </c>
    </row>
    <row r="32" spans="2:23">
      <c r="B32" s="11" t="s">
        <v>127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</row>
    <row r="34" spans="2:13" ht="36" customHeight="1">
      <c r="B34" s="12" t="s">
        <v>81</v>
      </c>
      <c r="C34" s="12" t="s">
        <v>117</v>
      </c>
      <c r="D34" s="12" t="s">
        <v>118</v>
      </c>
      <c r="E34" s="12" t="s">
        <v>82</v>
      </c>
      <c r="F34" s="12" t="s">
        <v>83</v>
      </c>
      <c r="G34" s="12" t="s">
        <v>84</v>
      </c>
      <c r="H34" s="12" t="s">
        <v>119</v>
      </c>
      <c r="I34" s="12" t="s">
        <v>120</v>
      </c>
      <c r="J34" s="12" t="s">
        <v>121</v>
      </c>
      <c r="K34" s="12" t="s">
        <v>0</v>
      </c>
      <c r="L34" s="12" t="s">
        <v>4</v>
      </c>
      <c r="M34" s="12" t="s">
        <v>61</v>
      </c>
    </row>
    <row r="35" spans="2:13" ht="35.25" customHeight="1">
      <c r="B35" s="25" t="s">
        <v>90</v>
      </c>
      <c r="C35" s="24" t="s">
        <v>122</v>
      </c>
      <c r="D35" s="24" t="s">
        <v>15</v>
      </c>
      <c r="E35" s="27" t="s">
        <v>123</v>
      </c>
      <c r="F35" s="30">
        <v>600040114</v>
      </c>
      <c r="G35" s="30">
        <v>216985</v>
      </c>
      <c r="H35" s="27"/>
      <c r="I35" s="27" t="s">
        <v>16</v>
      </c>
      <c r="J35" s="26" t="s">
        <v>10</v>
      </c>
      <c r="K35" s="26" t="s">
        <v>9</v>
      </c>
      <c r="L35" s="27"/>
      <c r="M35" s="27"/>
    </row>
    <row r="36" spans="2:13" ht="35.25" customHeight="1">
      <c r="B36" s="25" t="s">
        <v>98</v>
      </c>
      <c r="C36" s="24" t="s">
        <v>124</v>
      </c>
      <c r="D36" s="24" t="s">
        <v>23</v>
      </c>
      <c r="E36" s="27"/>
      <c r="F36" s="30"/>
      <c r="G36" s="30"/>
      <c r="H36" s="27"/>
      <c r="I36" s="27"/>
      <c r="J36" s="26" t="s">
        <v>18</v>
      </c>
      <c r="K36" s="26" t="s">
        <v>9</v>
      </c>
      <c r="L36" s="27"/>
      <c r="M36" s="27"/>
    </row>
  </sheetData>
  <mergeCells count="3">
    <mergeCell ref="B7:N7"/>
    <mergeCell ref="B18:P18"/>
    <mergeCell ref="B32:M32"/>
  </mergeCells>
  <conditionalFormatting sqref="J35:J36">
    <cfRule type="expression" dxfId="0" priority="53">
      <formula>LOWER(J35)="bereit"</formula>
    </cfRule>
    <cfRule type="expression" dxfId="1" priority="54">
      <formula>LOWER(J35)="in durchführung"</formula>
    </cfRule>
    <cfRule type="expression" dxfId="2" priority="55">
      <formula>LOWER(J35)="offen"</formula>
    </cfRule>
    <cfRule type="expression" dxfId="2" priority="56">
      <formula>LOWER(J35)="nein"</formula>
    </cfRule>
    <cfRule type="expression" dxfId="3" priority="57">
      <formula>LOWER(J35)="ja"</formula>
    </cfRule>
    <cfRule type="expression" dxfId="3" priority="58">
      <formula>LOWER(J35)="erledigt"</formula>
    </cfRule>
    <cfRule type="expression" dxfId="4" priority="59">
      <formula>LOWER(J35)="blockiert"</formula>
    </cfRule>
    <cfRule type="expression" dxfId="5" priority="60">
      <formula>LOWER(J35)="nicht erforderlich"</formula>
    </cfRule>
    <cfRule type="expression" dxfId="1" priority="61">
      <formula>LOWER(J35)="fehlt"</formula>
    </cfRule>
    <cfRule type="expression" dxfId="3" priority="62">
      <formula>LOWER(J35)="gepflegt"</formula>
    </cfRule>
    <cfRule type="expression" dxfId="5" priority="63">
      <formula>LOWER(J35)="optional"</formula>
    </cfRule>
    <cfRule type="expression" dxfId="5" priority="64">
      <formula>LOWER(J35)="vorbelegt"</formula>
    </cfRule>
  </conditionalFormatting>
  <conditionalFormatting sqref="K10:K16 M30:N30">
    <cfRule type="expression" dxfId="0" priority="13">
      <formula>LOWER(K10)="bereit"</formula>
    </cfRule>
    <cfRule type="expression" dxfId="1" priority="14">
      <formula>LOWER(K10)="in durchführung"</formula>
    </cfRule>
    <cfRule type="expression" dxfId="2" priority="15">
      <formula>LOWER(K10)="offen"</formula>
    </cfRule>
    <cfRule type="expression" dxfId="2" priority="16">
      <formula>LOWER(K10)="nein"</formula>
    </cfRule>
    <cfRule type="expression" dxfId="3" priority="29">
      <formula>OR(K10="ja",K10="erledigt",K10="bereit")</formula>
    </cfRule>
    <cfRule type="expression" dxfId="4" priority="30">
      <formula>OR(K10="nein",K10="blockiert")</formula>
    </cfRule>
    <cfRule type="expression" dxfId="5" priority="31">
      <formula>K10="nicht erforderlich"</formula>
    </cfRule>
  </conditionalFormatting>
  <conditionalFormatting sqref="K35:K36">
    <cfRule type="expression" dxfId="0" priority="1">
      <formula>LOWER(K35)="bereit"</formula>
    </cfRule>
    <cfRule type="expression" dxfId="1" priority="2">
      <formula>LOWER(K35)="in durchführung"</formula>
    </cfRule>
    <cfRule type="expression" dxfId="2" priority="3">
      <formula>LOWER(K35)="offen"</formula>
    </cfRule>
    <cfRule type="expression" dxfId="2" priority="4">
      <formula>LOWER(K35)="nein"</formula>
    </cfRule>
    <cfRule type="expression" dxfId="3" priority="5">
      <formula>LOWER(K35)="ja"</formula>
    </cfRule>
    <cfRule type="expression" dxfId="3" priority="6">
      <formula>LOWER(K35)="erledigt"</formula>
    </cfRule>
    <cfRule type="expression" dxfId="4" priority="7">
      <formula>LOWER(K35)="blockiert"</formula>
    </cfRule>
    <cfRule type="expression" dxfId="5" priority="8">
      <formula>LOWER(K35)="nicht erforderlich"</formula>
    </cfRule>
    <cfRule type="expression" dxfId="1" priority="9">
      <formula>LOWER(K35)="fehlt"</formula>
    </cfRule>
    <cfRule type="expression" dxfId="3" priority="10">
      <formula>LOWER(K35)="gepflegt"</formula>
    </cfRule>
    <cfRule type="expression" dxfId="5" priority="11">
      <formula>LOWER(K35)="optional"</formula>
    </cfRule>
    <cfRule type="expression" dxfId="5" priority="12">
      <formula>LOWER(K35)="vorbelegt"</formula>
    </cfRule>
  </conditionalFormatting>
  <conditionalFormatting sqref="L10:L16">
    <cfRule type="expression" dxfId="0" priority="17">
      <formula>LOWER(L10)="bereit"</formula>
    </cfRule>
    <cfRule type="expression" dxfId="1" priority="18">
      <formula>LOWER(L10)="in durchführung"</formula>
    </cfRule>
    <cfRule type="expression" dxfId="2" priority="19">
      <formula>LOWER(L10)="offen"</formula>
    </cfRule>
    <cfRule type="expression" dxfId="2" priority="20">
      <formula>LOWER(L10)="nein"</formula>
    </cfRule>
    <cfRule type="expression" dxfId="3" priority="32">
      <formula>OR(L10="ja",L10="erledigt",L10="bereit")</formula>
    </cfRule>
    <cfRule type="expression" dxfId="4" priority="33">
      <formula>OR(L10="nein",L10="blockiert")</formula>
    </cfRule>
    <cfRule type="expression" dxfId="5" priority="34">
      <formula>L10="nicht erforderlich"</formula>
    </cfRule>
  </conditionalFormatting>
  <conditionalFormatting sqref="M21:M30">
    <cfRule type="expression" dxfId="0" priority="21">
      <formula>LOWER(M21)="bereit"</formula>
    </cfRule>
    <cfRule type="expression" dxfId="1" priority="22">
      <formula>LOWER(M21)="in durchführung"</formula>
    </cfRule>
    <cfRule type="expression" dxfId="2" priority="23">
      <formula>LOWER(M21)="offen"</formula>
    </cfRule>
    <cfRule type="expression" dxfId="2" priority="24">
      <formula>LOWER(M21)="nein"</formula>
    </cfRule>
    <cfRule type="expression" dxfId="3" priority="35">
      <formula>OR(M21="ja",M21="erledigt",M21="bereit")</formula>
    </cfRule>
    <cfRule type="expression" dxfId="4" priority="36">
      <formula>OR(M21="nein",M21="blockiert")</formula>
    </cfRule>
    <cfRule type="expression" dxfId="5" priority="37">
      <formula>M21="nicht erforderlich"</formula>
    </cfRule>
  </conditionalFormatting>
  <conditionalFormatting sqref="N21:N30">
    <cfRule type="expression" dxfId="0" priority="25">
      <formula>LOWER(N21)="bereit"</formula>
    </cfRule>
    <cfRule type="expression" dxfId="1" priority="26">
      <formula>LOWER(N21)="in durchführung"</formula>
    </cfRule>
    <cfRule type="expression" dxfId="2" priority="27">
      <formula>LOWER(N21)="offen"</formula>
    </cfRule>
    <cfRule type="expression" dxfId="2" priority="28">
      <formula>LOWER(N21)="nein"</formula>
    </cfRule>
    <cfRule type="expression" dxfId="3" priority="38">
      <formula>OR(N21="ja",N21="erledigt",N21="bereit")</formula>
    </cfRule>
    <cfRule type="expression" dxfId="4" priority="39">
      <formula>OR(N21="nein",N21="blockiert")</formula>
    </cfRule>
    <cfRule type="expression" dxfId="5" priority="40">
      <formula>N21="nicht erforderlich"</formula>
    </cfRule>
  </conditionalFormatting>
  <conditionalFormatting sqref="W21:W30">
    <cfRule type="expression" dxfId="0" priority="41">
      <formula>LOWER(W21)="bereit"</formula>
    </cfRule>
    <cfRule type="expression" dxfId="1" priority="42">
      <formula>LOWER(W21)="in durchführung"</formula>
    </cfRule>
    <cfRule type="expression" dxfId="2" priority="43">
      <formula>LOWER(W21)="offen"</formula>
    </cfRule>
    <cfRule type="expression" dxfId="2" priority="44">
      <formula>LOWER(W21)="nein"</formula>
    </cfRule>
    <cfRule type="expression" dxfId="3" priority="45">
      <formula>LOWER(W21)="ja"</formula>
    </cfRule>
    <cfRule type="expression" dxfId="3" priority="46">
      <formula>LOWER(W21)="erledigt"</formula>
    </cfRule>
    <cfRule type="expression" dxfId="4" priority="47">
      <formula>LOWER(W21)="blockiert"</formula>
    </cfRule>
    <cfRule type="expression" dxfId="5" priority="48">
      <formula>LOWER(W21)="nicht erforderlich"</formula>
    </cfRule>
    <cfRule type="expression" dxfId="1" priority="49">
      <formula>LOWER(W21)="fehlt"</formula>
    </cfRule>
    <cfRule type="expression" dxfId="3" priority="50">
      <formula>LOWER(W21)="gepflegt"</formula>
    </cfRule>
    <cfRule type="expression" dxfId="5" priority="51">
      <formula>LOWER(W21)="optional"</formula>
    </cfRule>
    <cfRule type="expression" dxfId="5" priority="52">
      <formula>LOWER(W21)="vorbelegt"</formula>
    </cfRule>
  </conditionalFormatting>
  <dataValidations count="9">
    <dataValidation type="list" allowBlank="1" showInputMessage="1" showErrorMessage="1" sqref="K10:K16 M21:M30">
      <formula1>'Listen &amp; Parameter'!$B$2:$B$5</formula1>
    </dataValidation>
    <dataValidation type="list" allowBlank="1" showInputMessage="1" showErrorMessage="1" sqref="L10:L16 N21:N30">
      <formula1>'Listen &amp; Parameter'!$A$2:$A$6</formula1>
    </dataValidation>
    <dataValidation type="list" allowBlank="1" showInputMessage="1" showErrorMessage="1" sqref="M10:M16 O21:O30">
      <formula1>'Listen &amp; Parameter'!$E$2:$E$8</formula1>
    </dataValidation>
    <dataValidation type="list" allowBlank="1" showInputMessage="1" showErrorMessage="1" sqref="F21:F30">
      <formula1>'Listen &amp; Parameter'!$D$2:$D$5</formula1>
    </dataValidation>
    <dataValidation type="list" allowBlank="1" showInputMessage="1" showErrorMessage="1" sqref="R21:R30">
      <formula1>'Listen &amp; Parameter'!$G$2:$G$6</formula1>
    </dataValidation>
    <dataValidation type="list" allowBlank="1" showInputMessage="1" showErrorMessage="1" sqref="V21:V30 I35:I36">
      <formula1>'Listen &amp; Parameter'!$H$2:$H$7</formula1>
    </dataValidation>
    <dataValidation type="list" allowBlank="1" showInputMessage="1" showErrorMessage="1" sqref="W21:W30 J35:J36">
      <formula1>'Listen &amp; Parameter'!$I$2:$I$4</formula1>
    </dataValidation>
    <dataValidation type="list" allowBlank="1" showInputMessage="1" showErrorMessage="1" sqref="K35:K36">
      <formula1>'Listen &amp; Parameter'!$A$2:$A$6</formula1>
    </dataValidation>
    <dataValidation type="list" allowBlank="1" showInputMessage="1" showErrorMessage="1" sqref="L35:L36">
      <formula1>'Listen &amp; Parameter'!$E$2:$E$8</formula1>
    </dataValidation>
  </dataValidations>
  <hyperlinks>
    <hyperlink ref="J10" r:id="rId1"/>
  </hyperlinks>
  <pageMargins left="0.7" right="0.7" top="0.75" bottom="0.75" header="0.3" footer="0.3"/>
  <pageSetup paperSize="9" fitToHeight="0" orientation="landscape"/>
  <drawing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Vertragsmapping">
    <tabColor rgb="FF31527A"/>
    <pageSetUpPr fitToPage="1"/>
  </sheetPr>
  <dimension ref="A1:W25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3" customWidth="1"/>
    <col min="2" max="3" width="13.7109375" customWidth="1"/>
    <col min="4" max="4" width="15.85546875" customWidth="1"/>
    <col min="5" max="5" width="13.7109375" customWidth="1"/>
    <col min="6" max="6" width="11.7109375" customWidth="1"/>
    <col min="7" max="7" width="14.85546875" customWidth="1"/>
    <col min="8" max="8" width="26.7109375" customWidth="1"/>
    <col min="9" max="9" width="19.5703125" customWidth="1"/>
    <col min="10" max="10" width="20.140625" customWidth="1"/>
    <col min="11" max="11" width="20.7109375" customWidth="1"/>
    <col min="12" max="12" width="42.7109375" customWidth="1"/>
    <col min="13" max="14" width="12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23" s="1" customFormat="1" ht="18" customHeight="1">
      <c r="B1" s="2" t="s">
        <v>128</v>
      </c>
    </row>
    <row r="2" spans="2:23" s="1" customFormat="1" ht="28" customHeight="1">
      <c r="B2" s="3" t="s">
        <v>129</v>
      </c>
    </row>
    <row r="3" spans="2:23" s="1" customFormat="1" ht="21" customHeight="1">
      <c r="B3" s="4" t="s">
        <v>130</v>
      </c>
    </row>
    <row r="4" spans="2:23" s="1" customFormat="1" ht="10" customHeight="1"/>
    <row r="5" spans="2:23" s="5" customFormat="1" ht="3" customHeight="1"/>
    <row r="6" spans="2:23" ht="24" customHeight="1">
      <c r="B6" s="28" t="s">
        <v>50</v>
      </c>
    </row>
    <row r="7" spans="2:23" ht="36" customHeight="1">
      <c r="B7" s="12" t="s">
        <v>131</v>
      </c>
      <c r="C7" s="12" t="s">
        <v>72</v>
      </c>
      <c r="D7" s="12" t="s">
        <v>71</v>
      </c>
      <c r="E7" s="12" t="s">
        <v>75</v>
      </c>
      <c r="F7" s="12" t="s">
        <v>3</v>
      </c>
      <c r="G7" s="12" t="s">
        <v>51</v>
      </c>
      <c r="H7" s="12" t="s">
        <v>54</v>
      </c>
      <c r="I7" s="12" t="s">
        <v>55</v>
      </c>
      <c r="J7" s="12" t="s">
        <v>56</v>
      </c>
      <c r="K7" s="12" t="s">
        <v>132</v>
      </c>
      <c r="L7" s="12" t="s">
        <v>133</v>
      </c>
      <c r="M7" s="12" t="s">
        <v>134</v>
      </c>
      <c r="N7" s="12" t="s">
        <v>135</v>
      </c>
      <c r="O7" s="12" t="s">
        <v>4</v>
      </c>
      <c r="P7" s="12" t="s">
        <v>61</v>
      </c>
      <c r="Q7" s="12" t="s">
        <v>81</v>
      </c>
      <c r="R7" s="12" t="s">
        <v>6</v>
      </c>
      <c r="S7" s="12" t="s">
        <v>136</v>
      </c>
      <c r="T7" s="12" t="s">
        <v>83</v>
      </c>
      <c r="U7" s="12" t="s">
        <v>84</v>
      </c>
      <c r="V7" s="12" t="s">
        <v>7</v>
      </c>
      <c r="W7" s="12" t="s">
        <v>8</v>
      </c>
    </row>
    <row r="8" spans="2:23" ht="46.5" customHeight="1">
      <c r="B8" s="25" t="s">
        <v>137</v>
      </c>
      <c r="C8" s="25" t="s">
        <v>86</v>
      </c>
      <c r="D8" s="25" t="s">
        <v>85</v>
      </c>
      <c r="E8" s="32">
        <f>_xlfn.LET(_xlpm.x,_xlfn.XLOOKUP(tblVertragsmapping[[#This Row],[Datensatz-ID]],tblVertraege[Datensatz-ID],tblVertraege[IMSI-VNR],""),IF(_xlpm.x=0,"",_xlpm.x))</f>
        <v>317063119</v>
      </c>
      <c r="F8" s="29" t="str">
        <f>_xlfn.LET(_xlpm.x,_xlfn.XLOOKUP(tblVertragsmapping[[#This Row],[Datensatz-ID]],tblVertraege[Datensatz-ID],tblVertraege[Sparte],""),IF(_xlpm.x=0,"",_xlpm.x))</f>
        <v>KV</v>
      </c>
      <c r="G8" s="25" t="s">
        <v>62</v>
      </c>
      <c r="H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8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8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8" s="24" t="s">
        <v>138</v>
      </c>
      <c r="L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V01-01 | KV: Übertragung von abgebender Agentur AB-01 auf aufnehmende Agentur A-01 vorbereiten.</v>
      </c>
      <c r="M8" s="26" t="s">
        <v>10</v>
      </c>
      <c r="N8" s="26" t="s">
        <v>10</v>
      </c>
      <c r="O8" s="27"/>
      <c r="P8" s="27"/>
      <c r="Q8" s="29" t="str">
        <f>_xlfn.LET(_xlpm.x,_xlfn.XLOOKUP(tblVertragsmapping[[#This Row],[Datensatz-ID]],tblVertraege[Datensatz-ID],tblVertraege[Abgeber-ID],""),IF(_xlpm.x=0,"",_xlpm.x))</f>
        <v>AB-01</v>
      </c>
      <c r="R8" s="29" t="str">
        <f>_xlfn.LET(_xlpm.x,_xlfn.XLOOKUP(tblVertragsmapping[[#This Row],[Datensatz-ID]],tblVertraege[Datensatz-ID],tblVertraege[Abgebender Agenturtyp],""),IF(_xlpm.x=0,"",_xlpm.x))</f>
        <v>AO</v>
      </c>
      <c r="S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8" s="32">
        <f>_xlfn.LET(_xlpm.x,_xlfn.XLOOKUP(tblVertragsmapping[[#This Row],[Datensatz-ID]],tblVertraege[Datensatz-ID],tblVertraege[Abgebende Agenturnummer / OE],""),IF(_xlpm.x=0,"",_xlpm.x))</f>
        <v>600040114</v>
      </c>
      <c r="U8" s="32">
        <f>_xlfn.LET(_xlpm.x,_xlfn.XLOOKUP(tblVertragsmapping[[#This Row],[Datensatz-ID]],tblVertraege[Datensatz-ID],tblVertraege[Abgebende Vermittlernummer / PNR],""),IF(_xlpm.x=0,"",_xlpm.x))</f>
        <v>216985</v>
      </c>
      <c r="V8" s="29" t="str">
        <f>_xlfn.LET(_xlpm.x,_xlfn.XLOOKUP(tblVertragsmapping[[#This Row],[Datensatz-ID]],tblVertraege[Datensatz-ID],tblVertraege[Abgeberstatus],""),IF(_xlpm.x=0,"",_xlpm.x))</f>
        <v>aktiv</v>
      </c>
      <c r="W8" s="29" t="str">
        <f>_xlfn.LET(_xlpm.x,_xlfn.XLOOKUP(tblVertragsmapping[[#This Row],[Datensatz-ID]],tblVertraege[Datensatz-ID],tblVertraege[Abgeberzuordnung bestätigt],""),IF(_xlpm.x=0,"",_xlpm.x))</f>
        <v>nein</v>
      </c>
    </row>
    <row r="9" spans="2:23" ht="46.5" customHeight="1">
      <c r="B9" s="25" t="s">
        <v>139</v>
      </c>
      <c r="C9" s="25" t="s">
        <v>92</v>
      </c>
      <c r="D9" s="25" t="s">
        <v>91</v>
      </c>
      <c r="E9" s="32" t="str">
        <f>_xlfn.LET(_xlpm.x,_xlfn.XLOOKUP(tblVertragsmapping[[#This Row],[Datensatz-ID]],tblVertraege[Datensatz-ID],tblVertraege[IMSI-VNR],""),IF(_xlpm.x=0,"",_xlpm.x))</f>
        <v/>
      </c>
      <c r="F9" s="29" t="str">
        <f>_xlfn.LET(_xlpm.x,_xlfn.XLOOKUP(tblVertragsmapping[[#This Row],[Datensatz-ID]],tblVertraege[Datensatz-ID],tblVertraege[Sparte],""),IF(_xlpm.x=0,"",_xlpm.x))</f>
        <v>Komposit</v>
      </c>
      <c r="G9" s="25" t="s">
        <v>62</v>
      </c>
      <c r="H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9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9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9" s="24" t="s">
        <v>140</v>
      </c>
      <c r="L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V02-01 | Komposit: Übertragung von abgebender Agentur AB-01 auf aufnehmende Agentur A-01 vorbereiten.</v>
      </c>
      <c r="M9" s="26" t="s">
        <v>18</v>
      </c>
      <c r="N9" s="26" t="s">
        <v>18</v>
      </c>
      <c r="O9" s="27"/>
      <c r="P9" s="27"/>
      <c r="Q9" s="29" t="str">
        <f>_xlfn.LET(_xlpm.x,_xlfn.XLOOKUP(tblVertragsmapping[[#This Row],[Datensatz-ID]],tblVertraege[Datensatz-ID],tblVertraege[Abgeber-ID],""),IF(_xlpm.x=0,"",_xlpm.x))</f>
        <v>AB-01</v>
      </c>
      <c r="R9" s="29" t="str">
        <f>_xlfn.LET(_xlpm.x,_xlfn.XLOOKUP(tblVertragsmapping[[#This Row],[Datensatz-ID]],tblVertraege[Datensatz-ID],tblVertraege[Abgebender Agenturtyp],""),IF(_xlpm.x=0,"",_xlpm.x))</f>
        <v>AO</v>
      </c>
      <c r="S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9" s="32">
        <f>_xlfn.LET(_xlpm.x,_xlfn.XLOOKUP(tblVertragsmapping[[#This Row],[Datensatz-ID]],tblVertraege[Datensatz-ID],tblVertraege[Abgebende Agenturnummer / OE],""),IF(_xlpm.x=0,"",_xlpm.x))</f>
        <v>600040114</v>
      </c>
      <c r="U9" s="32">
        <f>_xlfn.LET(_xlpm.x,_xlfn.XLOOKUP(tblVertragsmapping[[#This Row],[Datensatz-ID]],tblVertraege[Datensatz-ID],tblVertraege[Abgebende Vermittlernummer / PNR],""),IF(_xlpm.x=0,"",_xlpm.x))</f>
        <v>216985</v>
      </c>
      <c r="V9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9" s="29" t="str">
        <f>_xlfn.LET(_xlpm.x,_xlfn.XLOOKUP(tblVertragsmapping[[#This Row],[Datensatz-ID]],tblVertraege[Datensatz-ID],tblVertraege[Abgeberzuordnung bestätigt],""),IF(_xlpm.x=0,"",_xlpm.x))</f>
        <v>nein</v>
      </c>
    </row>
    <row r="10" spans="2:23" ht="46.5" customHeight="1">
      <c r="B10" s="25" t="s">
        <v>141</v>
      </c>
      <c r="C10" s="25" t="s">
        <v>95</v>
      </c>
      <c r="D10" s="25" t="s">
        <v>94</v>
      </c>
      <c r="E10" s="32" t="str">
        <f>_xlfn.LET(_xlpm.x,_xlfn.XLOOKUP(tblVertragsmapping[[#This Row],[Datensatz-ID]],tblVertraege[Datensatz-ID],tblVertraege[IMSI-VNR],""),IF(_xlpm.x=0,"",_xlpm.x))</f>
        <v/>
      </c>
      <c r="F10" s="29" t="str">
        <f>_xlfn.LET(_xlpm.x,_xlfn.XLOOKUP(tblVertragsmapping[[#This Row],[Datensatz-ID]],tblVertraege[Datensatz-ID],tblVertraege[Sparte],""),IF(_xlpm.x=0,"",_xlpm.x))</f>
        <v>Komposit</v>
      </c>
      <c r="G10" s="25" t="s">
        <v>62</v>
      </c>
      <c r="H1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0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0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0" s="24" t="s">
        <v>142</v>
      </c>
      <c r="L1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10" s="26" t="s">
        <v>18</v>
      </c>
      <c r="N10" s="26" t="s">
        <v>18</v>
      </c>
      <c r="O10" s="27"/>
      <c r="P10" s="27"/>
      <c r="Q10" s="29" t="str">
        <f>_xlfn.LET(_xlpm.x,_xlfn.XLOOKUP(tblVertragsmapping[[#This Row],[Datensatz-ID]],tblVertraege[Datensatz-ID],tblVertraege[Abgeber-ID],""),IF(_xlpm.x=0,"",_xlpm.x))</f>
        <v>AB-02</v>
      </c>
      <c r="R10" s="29" t="str">
        <f>_xlfn.LET(_xlpm.x,_xlfn.XLOOKUP(tblVertragsmapping[[#This Row],[Datensatz-ID]],tblVertraege[Datensatz-ID],tblVertraege[Abgebender Agenturtyp],""),IF(_xlpm.x=0,"",_xlpm.x))</f>
        <v>Makler</v>
      </c>
      <c r="S10" s="29" t="str">
        <f>_xlfn.LET(_xlpm.x,_xlfn.XLOOKUP(tblVertragsmapping[[#This Row],[Datensatz-ID]],tblVertraege[Datensatz-ID],tblVertraege[Konkreter abgebender Agenturname],""),IF(_xlpm.x=0,"",_xlpm.x))</f>
        <v/>
      </c>
      <c r="T10" s="32" t="str">
        <f>_xlfn.LET(_xlpm.x,_xlfn.XLOOKUP(tblVertragsmapping[[#This Row],[Datensatz-ID]],tblVertraege[Datensatz-ID],tblVertraege[Abgebende Agenturnummer / OE],""),IF(_xlpm.x=0,"",_xlpm.x))</f>
        <v/>
      </c>
      <c r="U10" s="32" t="str">
        <f>_xlfn.LET(_xlpm.x,_xlfn.XLOOKUP(tblVertragsmapping[[#This Row],[Datensatz-ID]],tblVertraege[Datensatz-ID],tblVertraege[Abgebende Vermittlernummer / PNR],""),IF(_xlpm.x=0,"",_xlpm.x))</f>
        <v/>
      </c>
      <c r="V10" s="29" t="str">
        <f>_xlfn.LET(_xlpm.x,_xlfn.XLOOKUP(tblVertragsmapping[[#This Row],[Datensatz-ID]],tblVertraege[Datensatz-ID],tblVertraege[Abgeberstatus],""),IF(_xlpm.x=0,"",_xlpm.x))</f>
        <v>aktiv</v>
      </c>
      <c r="W10" s="29" t="str">
        <f>_xlfn.LET(_xlpm.x,_xlfn.XLOOKUP(tblVertragsmapping[[#This Row],[Datensatz-ID]],tblVertraege[Datensatz-ID],tblVertraege[Abgeberzuordnung bestätigt],""),IF(_xlpm.x=0,"",_xlpm.x))</f>
        <v>nein</v>
      </c>
    </row>
    <row r="11" spans="2:23" ht="46.5" customHeight="1">
      <c r="B11" s="25" t="s">
        <v>143</v>
      </c>
      <c r="C11" s="25" t="s">
        <v>102</v>
      </c>
      <c r="D11" s="25" t="s">
        <v>101</v>
      </c>
      <c r="E11" s="32" t="str">
        <f>_xlfn.LET(_xlpm.x,_xlfn.XLOOKUP(tblVertragsmapping[[#This Row],[Datensatz-ID]],tblVertraege[Datensatz-ID],tblVertraege[IMSI-VNR],""),IF(_xlpm.x=0,"",_xlpm.x))</f>
        <v/>
      </c>
      <c r="F11" s="29" t="str">
        <f>_xlfn.LET(_xlpm.x,_xlfn.XLOOKUP(tblVertragsmapping[[#This Row],[Datensatz-ID]],tblVertraege[Datensatz-ID],tblVertraege[Sparte],""),IF(_xlpm.x=0,"",_xlpm.x))</f>
        <v>Komposit</v>
      </c>
      <c r="G11" s="25" t="s">
        <v>62</v>
      </c>
      <c r="H1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1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1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1" s="24" t="s">
        <v>144</v>
      </c>
      <c r="L1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V05-01 | Komposit: Übertragung von abgebender Agentur AB-01 auf aufnehmende Agentur A-01 vorbereiten.</v>
      </c>
      <c r="M11" s="26" t="s">
        <v>18</v>
      </c>
      <c r="N11" s="26" t="s">
        <v>18</v>
      </c>
      <c r="O11" s="27"/>
      <c r="P11" s="27"/>
      <c r="Q11" s="29" t="str">
        <f>_xlfn.LET(_xlpm.x,_xlfn.XLOOKUP(tblVertragsmapping[[#This Row],[Datensatz-ID]],tblVertraege[Datensatz-ID],tblVertraege[Abgeber-ID],""),IF(_xlpm.x=0,"",_xlpm.x))</f>
        <v>AB-01</v>
      </c>
      <c r="R11" s="29" t="str">
        <f>_xlfn.LET(_xlpm.x,_xlfn.XLOOKUP(tblVertragsmapping[[#This Row],[Datensatz-ID]],tblVertraege[Datensatz-ID],tblVertraege[Abgebender Agenturtyp],""),IF(_xlpm.x=0,"",_xlpm.x))</f>
        <v>AO</v>
      </c>
      <c r="S1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1" s="32">
        <f>_xlfn.LET(_xlpm.x,_xlfn.XLOOKUP(tblVertragsmapping[[#This Row],[Datensatz-ID]],tblVertraege[Datensatz-ID],tblVertraege[Abgebende Agenturnummer / OE],""),IF(_xlpm.x=0,"",_xlpm.x))</f>
        <v>600040114</v>
      </c>
      <c r="U11" s="32">
        <f>_xlfn.LET(_xlpm.x,_xlfn.XLOOKUP(tblVertragsmapping[[#This Row],[Datensatz-ID]],tblVertraege[Datensatz-ID],tblVertraege[Abgebende Vermittlernummer / PNR],""),IF(_xlpm.x=0,"",_xlpm.x))</f>
        <v>216985</v>
      </c>
      <c r="V11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11" s="29" t="str">
        <f>_xlfn.LET(_xlpm.x,_xlfn.XLOOKUP(tblVertragsmapping[[#This Row],[Datensatz-ID]],tblVertraege[Datensatz-ID],tblVertraege[Abgeberzuordnung bestätigt],""),IF(_xlpm.x=0,"",_xlpm.x))</f>
        <v>nein</v>
      </c>
    </row>
    <row r="12" spans="2:23" ht="46.5" customHeight="1">
      <c r="B12" s="25" t="s">
        <v>145</v>
      </c>
      <c r="C12" s="25" t="s">
        <v>110</v>
      </c>
      <c r="D12" s="25" t="s">
        <v>109</v>
      </c>
      <c r="E12" s="32" t="str">
        <f>_xlfn.LET(_xlpm.x,_xlfn.XLOOKUP(tblVertragsmapping[[#This Row],[Datensatz-ID]],tblVertraege[Datensatz-ID],tblVertraege[IMSI-VNR],""),IF(_xlpm.x=0,"",_xlpm.x))</f>
        <v/>
      </c>
      <c r="F12" s="29" t="str">
        <f>_xlfn.LET(_xlpm.x,_xlfn.XLOOKUP(tblVertragsmapping[[#This Row],[Datensatz-ID]],tblVertraege[Datensatz-ID],tblVertraege[Sparte],""),IF(_xlpm.x=0,"",_xlpm.x))</f>
        <v>KV</v>
      </c>
      <c r="G12" s="25" t="s">
        <v>62</v>
      </c>
      <c r="H1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2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2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2" s="24" t="s">
        <v>146</v>
      </c>
      <c r="L1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V08-01 nach Auswahl des Produktivvertrags ergänzen.</v>
      </c>
      <c r="M12" s="26" t="s">
        <v>18</v>
      </c>
      <c r="N12" s="26" t="s">
        <v>18</v>
      </c>
      <c r="O12" s="27"/>
      <c r="P12" s="27"/>
      <c r="Q12" s="29" t="str">
        <f>_xlfn.LET(_xlpm.x,_xlfn.XLOOKUP(tblVertragsmapping[[#This Row],[Datensatz-ID]],tblVertraege[Datensatz-ID],tblVertraege[Abgeber-ID],""),IF(_xlpm.x=0,"",_xlpm.x))</f>
        <v/>
      </c>
      <c r="R12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2" s="29" t="str">
        <f>_xlfn.LET(_xlpm.x,_xlfn.XLOOKUP(tblVertragsmapping[[#This Row],[Datensatz-ID]],tblVertraege[Datensatz-ID],tblVertraege[Konkreter abgebender Agenturname],""),IF(_xlpm.x=0,"",_xlpm.x))</f>
        <v/>
      </c>
      <c r="T12" s="32" t="str">
        <f>_xlfn.LET(_xlpm.x,_xlfn.XLOOKUP(tblVertragsmapping[[#This Row],[Datensatz-ID]],tblVertraege[Datensatz-ID],tblVertraege[Abgebende Agenturnummer / OE],""),IF(_xlpm.x=0,"",_xlpm.x))</f>
        <v/>
      </c>
      <c r="U12" s="32" t="str">
        <f>_xlfn.LET(_xlpm.x,_xlfn.XLOOKUP(tblVertragsmapping[[#This Row],[Datensatz-ID]],tblVertraege[Datensatz-ID],tblVertraege[Abgebende Vermittlernummer / PNR],""),IF(_xlpm.x=0,"",_xlpm.x))</f>
        <v/>
      </c>
      <c r="V12" s="29" t="str">
        <f>_xlfn.LET(_xlpm.x,_xlfn.XLOOKUP(tblVertragsmapping[[#This Row],[Datensatz-ID]],tblVertraege[Datensatz-ID],tblVertraege[Abgeberstatus],""),IF(_xlpm.x=0,"",_xlpm.x))</f>
        <v>gemäß Hostzustand</v>
      </c>
      <c r="W12" s="29" t="str">
        <f>_xlfn.LET(_xlpm.x,_xlfn.XLOOKUP(tblVertragsmapping[[#This Row],[Datensatz-ID]],tblVertraege[Datensatz-ID],tblVertraege[Abgeberzuordnung bestätigt],""),IF(_xlpm.x=0,"",_xlpm.x))</f>
        <v>nein</v>
      </c>
    </row>
    <row r="13" spans="2:23" ht="46.5" customHeight="1">
      <c r="B13" s="25" t="s">
        <v>147</v>
      </c>
      <c r="C13" s="25" t="s">
        <v>114</v>
      </c>
      <c r="D13" s="25" t="s">
        <v>113</v>
      </c>
      <c r="E13" s="32" t="str">
        <f>_xlfn.LET(_xlpm.x,_xlfn.XLOOKUP(tblVertragsmapping[[#This Row],[Datensatz-ID]],tblVertraege[Datensatz-ID],tblVertraege[IMSI-VNR],""),IF(_xlpm.x=0,"",_xlpm.x))</f>
        <v/>
      </c>
      <c r="F13" s="29" t="str">
        <f>_xlfn.LET(_xlpm.x,_xlfn.XLOOKUP(tblVertragsmapping[[#This Row],[Datensatz-ID]],tblVertraege[Datensatz-ID],tblVertraege[Sparte],""),IF(_xlpm.x=0,"",_xlpm.x))</f>
        <v>KV</v>
      </c>
      <c r="G13" s="25" t="s">
        <v>62</v>
      </c>
      <c r="H1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3" s="24" t="s">
        <v>148</v>
      </c>
      <c r="L1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V09-01 nach Auswahl des Produktivvertrags ergänzen.</v>
      </c>
      <c r="M13" s="26" t="s">
        <v>18</v>
      </c>
      <c r="N13" s="26" t="s">
        <v>18</v>
      </c>
      <c r="O13" s="27"/>
      <c r="P13" s="27"/>
      <c r="Q13" s="29" t="str">
        <f>_xlfn.LET(_xlpm.x,_xlfn.XLOOKUP(tblVertragsmapping[[#This Row],[Datensatz-ID]],tblVertraege[Datensatz-ID],tblVertraege[Abgeber-ID],""),IF(_xlpm.x=0,"",_xlpm.x))</f>
        <v/>
      </c>
      <c r="R13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3" s="29" t="str">
        <f>_xlfn.LET(_xlpm.x,_xlfn.XLOOKUP(tblVertragsmapping[[#This Row],[Datensatz-ID]],tblVertraege[Datensatz-ID],tblVertraege[Konkreter abgebender Agenturname],""),IF(_xlpm.x=0,"",_xlpm.x))</f>
        <v/>
      </c>
      <c r="T13" s="32" t="str">
        <f>_xlfn.LET(_xlpm.x,_xlfn.XLOOKUP(tblVertragsmapping[[#This Row],[Datensatz-ID]],tblVertraege[Datensatz-ID],tblVertraege[Abgebende Agenturnummer / OE],""),IF(_xlpm.x=0,"",_xlpm.x))</f>
        <v/>
      </c>
      <c r="U13" s="32" t="str">
        <f>_xlfn.LET(_xlpm.x,_xlfn.XLOOKUP(tblVertragsmapping[[#This Row],[Datensatz-ID]],tblVertraege[Datensatz-ID],tblVertraege[Abgebende Vermittlernummer / PNR],""),IF(_xlpm.x=0,"",_xlpm.x))</f>
        <v/>
      </c>
      <c r="V13" s="29" t="str">
        <f>_xlfn.LET(_xlpm.x,_xlfn.XLOOKUP(tblVertragsmapping[[#This Row],[Datensatz-ID]],tblVertraege[Datensatz-ID],tblVertraege[Abgeberstatus],""),IF(_xlpm.x=0,"",_xlpm.x))</f>
        <v>gemäß Hostzustand</v>
      </c>
      <c r="W13" s="29" t="str">
        <f>_xlfn.LET(_xlpm.x,_xlfn.XLOOKUP(tblVertragsmapping[[#This Row],[Datensatz-ID]],tblVertraege[Datensatz-ID],tblVertraege[Abgeberzuordnung bestätigt],""),IF(_xlpm.x=0,"",_xlpm.x))</f>
        <v>nein</v>
      </c>
    </row>
    <row r="14" spans="2:23" ht="46.5" customHeight="1">
      <c r="B14" s="25" t="s">
        <v>149</v>
      </c>
      <c r="C14" s="25" t="s">
        <v>95</v>
      </c>
      <c r="D14" s="25" t="s">
        <v>94</v>
      </c>
      <c r="E14" s="32" t="str">
        <f>_xlfn.LET(_xlpm.x,_xlfn.XLOOKUP(tblVertragsmapping[[#This Row],[Datensatz-ID]],tblVertraege[Datensatz-ID],tblVertraege[IMSI-VNR],""),IF(_xlpm.x=0,"",_xlpm.x))</f>
        <v/>
      </c>
      <c r="F14" s="29" t="str">
        <f>_xlfn.LET(_xlpm.x,_xlfn.XLOOKUP(tblVertragsmapping[[#This Row],[Datensatz-ID]],tblVertraege[Datensatz-ID],tblVertraege[Sparte],""),IF(_xlpm.x=0,"",_xlpm.x))</f>
        <v>Komposit</v>
      </c>
      <c r="G14" s="25" t="s">
        <v>65</v>
      </c>
      <c r="H1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4" s="24" t="s">
        <v>150</v>
      </c>
      <c r="L1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4" s="26" t="s">
        <v>18</v>
      </c>
      <c r="N14" s="26" t="s">
        <v>18</v>
      </c>
      <c r="O14" s="27"/>
      <c r="P14" s="27"/>
      <c r="Q14" s="29" t="str">
        <f>_xlfn.LET(_xlpm.x,_xlfn.XLOOKUP(tblVertragsmapping[[#This Row],[Datensatz-ID]],tblVertraege[Datensatz-ID],tblVertraege[Abgeber-ID],""),IF(_xlpm.x=0,"",_xlpm.x))</f>
        <v>AB-02</v>
      </c>
      <c r="R14" s="29" t="str">
        <f>_xlfn.LET(_xlpm.x,_xlfn.XLOOKUP(tblVertragsmapping[[#This Row],[Datensatz-ID]],tblVertraege[Datensatz-ID],tblVertraege[Abgebender Agenturtyp],""),IF(_xlpm.x=0,"",_xlpm.x))</f>
        <v>Makler</v>
      </c>
      <c r="S14" s="29" t="str">
        <f>_xlfn.LET(_xlpm.x,_xlfn.XLOOKUP(tblVertragsmapping[[#This Row],[Datensatz-ID]],tblVertraege[Datensatz-ID],tblVertraege[Konkreter abgebender Agenturname],""),IF(_xlpm.x=0,"",_xlpm.x))</f>
        <v/>
      </c>
      <c r="T14" s="32" t="str">
        <f>_xlfn.LET(_xlpm.x,_xlfn.XLOOKUP(tblVertragsmapping[[#This Row],[Datensatz-ID]],tblVertraege[Datensatz-ID],tblVertraege[Abgebende Agenturnummer / OE],""),IF(_xlpm.x=0,"",_xlpm.x))</f>
        <v/>
      </c>
      <c r="U14" s="32" t="str">
        <f>_xlfn.LET(_xlpm.x,_xlfn.XLOOKUP(tblVertragsmapping[[#This Row],[Datensatz-ID]],tblVertraege[Datensatz-ID],tblVertraege[Abgebende Vermittlernummer / PNR],""),IF(_xlpm.x=0,"",_xlpm.x))</f>
        <v/>
      </c>
      <c r="V14" s="29" t="str">
        <f>_xlfn.LET(_xlpm.x,_xlfn.XLOOKUP(tblVertragsmapping[[#This Row],[Datensatz-ID]],tblVertraege[Datensatz-ID],tblVertraege[Abgeberstatus],""),IF(_xlpm.x=0,"",_xlpm.x))</f>
        <v>aktiv</v>
      </c>
      <c r="W14" s="29" t="str">
        <f>_xlfn.LET(_xlpm.x,_xlfn.XLOOKUP(tblVertragsmapping[[#This Row],[Datensatz-ID]],tblVertraege[Datensatz-ID],tblVertraege[Abgeberzuordnung bestätigt],""),IF(_xlpm.x=0,"",_xlpm.x))</f>
        <v>nein</v>
      </c>
    </row>
    <row r="15" spans="2:23" ht="46.5" customHeight="1">
      <c r="B15" s="25" t="s">
        <v>151</v>
      </c>
      <c r="C15" s="25" t="s">
        <v>104</v>
      </c>
      <c r="D15" s="25" t="s">
        <v>103</v>
      </c>
      <c r="E15" s="32" t="str">
        <f>_xlfn.LET(_xlpm.x,_xlfn.XLOOKUP(tblVertragsmapping[[#This Row],[Datensatz-ID]],tblVertraege[Datensatz-ID],tblVertraege[IMSI-VNR],""),IF(_xlpm.x=0,"",_xlpm.x))</f>
        <v/>
      </c>
      <c r="F15" s="29" t="str">
        <f>_xlfn.LET(_xlpm.x,_xlfn.XLOOKUP(tblVertragsmapping[[#This Row],[Datensatz-ID]],tblVertraege[Datensatz-ID],tblVertraege[Sparte],""),IF(_xlpm.x=0,"",_xlpm.x))</f>
        <v>KV</v>
      </c>
      <c r="G15" s="25" t="s">
        <v>65</v>
      </c>
      <c r="H1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5" s="24" t="s">
        <v>152</v>
      </c>
      <c r="L1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5" s="26" t="s">
        <v>18</v>
      </c>
      <c r="N15" s="26" t="s">
        <v>18</v>
      </c>
      <c r="O15" s="27"/>
      <c r="P15" s="27"/>
      <c r="Q15" s="29" t="str">
        <f>_xlfn.LET(_xlpm.x,_xlfn.XLOOKUP(tblVertragsmapping[[#This Row],[Datensatz-ID]],tblVertraege[Datensatz-ID],tblVertraege[Abgeber-ID],""),IF(_xlpm.x=0,"",_xlpm.x))</f>
        <v>AB-00</v>
      </c>
      <c r="R15" s="29" t="str">
        <f>_xlfn.LET(_xlpm.x,_xlfn.XLOOKUP(tblVertragsmapping[[#This Row],[Datensatz-ID]],tblVertraege[Datensatz-ID],tblVertraege[Abgebender Agenturtyp],""),IF(_xlpm.x=0,"",_xlpm.x))</f>
        <v>kein Bestandsinhaber ermittelbar</v>
      </c>
      <c r="S15" s="29" t="str">
        <f>_xlfn.LET(_xlpm.x,_xlfn.XLOOKUP(tblVertragsmapping[[#This Row],[Datensatz-ID]],tblVertraege[Datensatz-ID],tblVertraege[Konkreter abgebender Agenturname],""),IF(_xlpm.x=0,"",_xlpm.x))</f>
        <v>nicht erforderlich</v>
      </c>
      <c r="T15" s="32" t="str">
        <f>_xlfn.LET(_xlpm.x,_xlfn.XLOOKUP(tblVertragsmapping[[#This Row],[Datensatz-ID]],tblVertraege[Datensatz-ID],tblVertraege[Abgebende Agenturnummer / OE],""),IF(_xlpm.x=0,"",_xlpm.x))</f>
        <v>nicht erforderlich</v>
      </c>
      <c r="U15" s="32" t="str">
        <f>_xlfn.LET(_xlpm.x,_xlfn.XLOOKUP(tblVertragsmapping[[#This Row],[Datensatz-ID]],tblVertraege[Datensatz-ID],tblVertraege[Abgebende Vermittlernummer / PNR],""),IF(_xlpm.x=0,"",_xlpm.x))</f>
        <v>nicht erforderlich</v>
      </c>
      <c r="V15" s="29" t="str">
        <f>_xlfn.LET(_xlpm.x,_xlfn.XLOOKUP(tblVertragsmapping[[#This Row],[Datensatz-ID]],tblVertraege[Datensatz-ID],tblVertraege[Abgeberstatus],""),IF(_xlpm.x=0,"",_xlpm.x))</f>
        <v>nicht anwendbar</v>
      </c>
      <c r="W15" s="29" t="str">
        <f>_xlfn.LET(_xlpm.x,_xlfn.XLOOKUP(tblVertragsmapping[[#This Row],[Datensatz-ID]],tblVertraege[Datensatz-ID],tblVertraege[Abgeberzuordnung bestätigt],""),IF(_xlpm.x=0,"",_xlpm.x))</f>
        <v>nein</v>
      </c>
    </row>
    <row r="16" spans="2:23" ht="46.5" customHeight="1">
      <c r="B16" s="25" t="s">
        <v>153</v>
      </c>
      <c r="C16" s="25" t="s">
        <v>107</v>
      </c>
      <c r="D16" s="25" t="s">
        <v>106</v>
      </c>
      <c r="E16" s="32" t="str">
        <f>_xlfn.LET(_xlpm.x,_xlfn.XLOOKUP(tblVertragsmapping[[#This Row],[Datensatz-ID]],tblVertraege[Datensatz-ID],tblVertraege[IMSI-VNR],""),IF(_xlpm.x=0,"",_xlpm.x))</f>
        <v/>
      </c>
      <c r="F16" s="29" t="str">
        <f>_xlfn.LET(_xlpm.x,_xlfn.XLOOKUP(tblVertragsmapping[[#This Row],[Datensatz-ID]],tblVertraege[Datensatz-ID],tblVertraege[Sparte],""),IF(_xlpm.x=0,"",_xlpm.x))</f>
        <v>KV</v>
      </c>
      <c r="G16" s="25" t="s">
        <v>65</v>
      </c>
      <c r="H16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6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6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6" s="24" t="s">
        <v>154</v>
      </c>
      <c r="L16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6" s="26" t="s">
        <v>18</v>
      </c>
      <c r="N16" s="26" t="s">
        <v>18</v>
      </c>
      <c r="O16" s="27"/>
      <c r="P16" s="27"/>
      <c r="Q16" s="29" t="str">
        <f>_xlfn.LET(_xlpm.x,_xlfn.XLOOKUP(tblVertragsmapping[[#This Row],[Datensatz-ID]],tblVertraege[Datensatz-ID],tblVertraege[Abgeber-ID],""),IF(_xlpm.x=0,"",_xlpm.x))</f>
        <v/>
      </c>
      <c r="R16" s="29" t="str">
        <f>_xlfn.LET(_xlpm.x,_xlfn.XLOOKUP(tblVertragsmapping[[#This Row],[Datensatz-ID]],tblVertraege[Datensatz-ID],tblVertraege[Abgebender Agenturtyp],""),IF(_xlpm.x=0,"",_xlpm.x))</f>
        <v>fachlich zu bestätigen</v>
      </c>
      <c r="S16" s="29" t="str">
        <f>_xlfn.LET(_xlpm.x,_xlfn.XLOOKUP(tblVertragsmapping[[#This Row],[Datensatz-ID]],tblVertraege[Datensatz-ID],tblVertraege[Konkreter abgebender Agenturname],""),IF(_xlpm.x=0,"",_xlpm.x))</f>
        <v/>
      </c>
      <c r="T16" s="32" t="str">
        <f>_xlfn.LET(_xlpm.x,_xlfn.XLOOKUP(tblVertragsmapping[[#This Row],[Datensatz-ID]],tblVertraege[Datensatz-ID],tblVertraege[Abgebende Agenturnummer / OE],""),IF(_xlpm.x=0,"",_xlpm.x))</f>
        <v/>
      </c>
      <c r="U16" s="32" t="str">
        <f>_xlfn.LET(_xlpm.x,_xlfn.XLOOKUP(tblVertragsmapping[[#This Row],[Datensatz-ID]],tblVertraege[Datensatz-ID],tblVertraege[Abgebende Vermittlernummer / PNR],""),IF(_xlpm.x=0,"",_xlpm.x))</f>
        <v/>
      </c>
      <c r="V16" s="29" t="str">
        <f>_xlfn.LET(_xlpm.x,_xlfn.XLOOKUP(tblVertragsmapping[[#This Row],[Datensatz-ID]],tblVertraege[Datensatz-ID],tblVertraege[Abgeberstatus],""),IF(_xlpm.x=0,"",_xlpm.x))</f>
        <v>nicht aktiv</v>
      </c>
      <c r="W16" s="29" t="str">
        <f>_xlfn.LET(_xlpm.x,_xlfn.XLOOKUP(tblVertragsmapping[[#This Row],[Datensatz-ID]],tblVertraege[Datensatz-ID],tblVertraege[Abgeberzuordnung bestätigt],""),IF(_xlpm.x=0,"",_xlpm.x))</f>
        <v>nein</v>
      </c>
    </row>
    <row r="17" spans="2:23" ht="46.5" customHeight="1">
      <c r="B17" s="25" t="s">
        <v>155</v>
      </c>
      <c r="C17" s="25" t="s">
        <v>100</v>
      </c>
      <c r="D17" s="25" t="s">
        <v>99</v>
      </c>
      <c r="E17" s="32" t="str">
        <f>_xlfn.LET(_xlpm.x,_xlfn.XLOOKUP(tblVertragsmapping[[#This Row],[Datensatz-ID]],tblVertraege[Datensatz-ID],tblVertraege[IMSI-VNR],""),IF(_xlpm.x=0,"",_xlpm.x))</f>
        <v/>
      </c>
      <c r="F17" s="29" t="str">
        <f>_xlfn.LET(_xlpm.x,_xlfn.XLOOKUP(tblVertragsmapping[[#This Row],[Datensatz-ID]],tblVertraege[Datensatz-ID],tblVertraege[Sparte],""),IF(_xlpm.x=0,"",_xlpm.x))</f>
        <v>Komposit</v>
      </c>
      <c r="G17" s="25" t="s">
        <v>66</v>
      </c>
      <c r="H17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7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7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7" s="24" t="s">
        <v>156</v>
      </c>
      <c r="L17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A-03 fehlen.</v>
      </c>
      <c r="M17" s="26" t="s">
        <v>18</v>
      </c>
      <c r="N17" s="26" t="s">
        <v>18</v>
      </c>
      <c r="O17" s="27"/>
      <c r="P17" s="27"/>
      <c r="Q17" s="29" t="str">
        <f>_xlfn.LET(_xlpm.x,_xlfn.XLOOKUP(tblVertragsmapping[[#This Row],[Datensatz-ID]],tblVertraege[Datensatz-ID],tblVertraege[Abgeber-ID],""),IF(_xlpm.x=0,"",_xlpm.x))</f>
        <v>AB-01</v>
      </c>
      <c r="R17" s="29" t="str">
        <f>_xlfn.LET(_xlpm.x,_xlfn.XLOOKUP(tblVertragsmapping[[#This Row],[Datensatz-ID]],tblVertraege[Datensatz-ID],tblVertraege[Abgebender Agenturtyp],""),IF(_xlpm.x=0,"",_xlpm.x))</f>
        <v>AO</v>
      </c>
      <c r="S17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7" s="32">
        <f>_xlfn.LET(_xlpm.x,_xlfn.XLOOKUP(tblVertragsmapping[[#This Row],[Datensatz-ID]],tblVertraege[Datensatz-ID],tblVertraege[Abgebende Agenturnummer / OE],""),IF(_xlpm.x=0,"",_xlpm.x))</f>
        <v>600040114</v>
      </c>
      <c r="U17" s="32">
        <f>_xlfn.LET(_xlpm.x,_xlfn.XLOOKUP(tblVertragsmapping[[#This Row],[Datensatz-ID]],tblVertraege[Datensatz-ID],tblVertraege[Abgebende Vermittlernummer / PNR],""),IF(_xlpm.x=0,"",_xlpm.x))</f>
        <v>216985</v>
      </c>
      <c r="V17" s="29" t="str">
        <f>_xlfn.LET(_xlpm.x,_xlfn.XLOOKUP(tblVertragsmapping[[#This Row],[Datensatz-ID]],tblVertraege[Datensatz-ID],tblVertraege[Abgeberstatus],""),IF(_xlpm.x=0,"",_xlpm.x))</f>
        <v>aktiv</v>
      </c>
      <c r="W17" s="29" t="str">
        <f>_xlfn.LET(_xlpm.x,_xlfn.XLOOKUP(tblVertragsmapping[[#This Row],[Datensatz-ID]],tblVertraege[Datensatz-ID],tblVertraege[Abgeberzuordnung bestätigt],""),IF(_xlpm.x=0,"",_xlpm.x))</f>
        <v>nein</v>
      </c>
    </row>
    <row r="18" spans="2:23" ht="46.5" customHeight="1">
      <c r="B18" s="25" t="s">
        <v>157</v>
      </c>
      <c r="C18" s="25" t="s">
        <v>86</v>
      </c>
      <c r="D18" s="25" t="s">
        <v>85</v>
      </c>
      <c r="E18" s="32">
        <f>_xlfn.LET(_xlpm.x,_xlfn.XLOOKUP(tblVertragsmapping[[#This Row],[Datensatz-ID]],tblVertraege[Datensatz-ID],tblVertraege[IMSI-VNR],""),IF(_xlpm.x=0,"",_xlpm.x))</f>
        <v>317063119</v>
      </c>
      <c r="F18" s="29" t="str">
        <f>_xlfn.LET(_xlpm.x,_xlfn.XLOOKUP(tblVertragsmapping[[#This Row],[Datensatz-ID]],tblVertraege[Datensatz-ID],tblVertraege[Sparte],""),IF(_xlpm.x=0,"",_xlpm.x))</f>
        <v>KV</v>
      </c>
      <c r="G18" s="25" t="s">
        <v>67</v>
      </c>
      <c r="H1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8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8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8" s="24" t="s">
        <v>158</v>
      </c>
      <c r="L1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A-04 fehlen.</v>
      </c>
      <c r="M18" s="26" t="s">
        <v>18</v>
      </c>
      <c r="N18" s="26" t="s">
        <v>18</v>
      </c>
      <c r="O18" s="27"/>
      <c r="P18" s="27"/>
      <c r="Q18" s="29" t="str">
        <f>_xlfn.LET(_xlpm.x,_xlfn.XLOOKUP(tblVertragsmapping[[#This Row],[Datensatz-ID]],tblVertraege[Datensatz-ID],tblVertraege[Abgeber-ID],""),IF(_xlpm.x=0,"",_xlpm.x))</f>
        <v>AB-01</v>
      </c>
      <c r="R18" s="29" t="str">
        <f>_xlfn.LET(_xlpm.x,_xlfn.XLOOKUP(tblVertragsmapping[[#This Row],[Datensatz-ID]],tblVertraege[Datensatz-ID],tblVertraege[Abgebender Agenturtyp],""),IF(_xlpm.x=0,"",_xlpm.x))</f>
        <v>AO</v>
      </c>
      <c r="S1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8" s="32">
        <f>_xlfn.LET(_xlpm.x,_xlfn.XLOOKUP(tblVertragsmapping[[#This Row],[Datensatz-ID]],tblVertraege[Datensatz-ID],tblVertraege[Abgebende Agenturnummer / OE],""),IF(_xlpm.x=0,"",_xlpm.x))</f>
        <v>600040114</v>
      </c>
      <c r="U18" s="32">
        <f>_xlfn.LET(_xlpm.x,_xlfn.XLOOKUP(tblVertragsmapping[[#This Row],[Datensatz-ID]],tblVertraege[Datensatz-ID],tblVertraege[Abgebende Vermittlernummer / PNR],""),IF(_xlpm.x=0,"",_xlpm.x))</f>
        <v>216985</v>
      </c>
      <c r="V18" s="29" t="str">
        <f>_xlfn.LET(_xlpm.x,_xlfn.XLOOKUP(tblVertragsmapping[[#This Row],[Datensatz-ID]],tblVertraege[Datensatz-ID],tblVertraege[Abgeberstatus],""),IF(_xlpm.x=0,"",_xlpm.x))</f>
        <v>aktiv</v>
      </c>
      <c r="W18" s="29" t="str">
        <f>_xlfn.LET(_xlpm.x,_xlfn.XLOOKUP(tblVertragsmapping[[#This Row],[Datensatz-ID]],tblVertraege[Datensatz-ID],tblVertraege[Abgeberzuordnung bestätigt],""),IF(_xlpm.x=0,"",_xlpm.x))</f>
        <v>nein</v>
      </c>
    </row>
    <row r="19" spans="2:23" ht="46.5" customHeight="1">
      <c r="B19" s="25" t="s">
        <v>159</v>
      </c>
      <c r="C19" s="25" t="s">
        <v>86</v>
      </c>
      <c r="D19" s="25" t="s">
        <v>85</v>
      </c>
      <c r="E19" s="32">
        <f>_xlfn.LET(_xlpm.x,_xlfn.XLOOKUP(tblVertragsmapping[[#This Row],[Datensatz-ID]],tblVertraege[Datensatz-ID],tblVertraege[IMSI-VNR],""),IF(_xlpm.x=0,"",_xlpm.x))</f>
        <v>317063119</v>
      </c>
      <c r="F19" s="29" t="str">
        <f>_xlfn.LET(_xlpm.x,_xlfn.XLOOKUP(tblVertragsmapping[[#This Row],[Datensatz-ID]],tblVertraege[Datensatz-ID],tblVertraege[Sparte],""),IF(_xlpm.x=0,"",_xlpm.x))</f>
        <v>KV</v>
      </c>
      <c r="G19" s="25" t="s">
        <v>68</v>
      </c>
      <c r="H1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9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9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9" s="24" t="s">
        <v>160</v>
      </c>
      <c r="L1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A-05 fehlen.</v>
      </c>
      <c r="M19" s="26" t="s">
        <v>18</v>
      </c>
      <c r="N19" s="26" t="s">
        <v>18</v>
      </c>
      <c r="O19" s="27"/>
      <c r="P19" s="27"/>
      <c r="Q19" s="29" t="str">
        <f>_xlfn.LET(_xlpm.x,_xlfn.XLOOKUP(tblVertragsmapping[[#This Row],[Datensatz-ID]],tblVertraege[Datensatz-ID],tblVertraege[Abgeber-ID],""),IF(_xlpm.x=0,"",_xlpm.x))</f>
        <v>AB-01</v>
      </c>
      <c r="R19" s="29" t="str">
        <f>_xlfn.LET(_xlpm.x,_xlfn.XLOOKUP(tblVertragsmapping[[#This Row],[Datensatz-ID]],tblVertraege[Datensatz-ID],tblVertraege[Abgebender Agenturtyp],""),IF(_xlpm.x=0,"",_xlpm.x))</f>
        <v>AO</v>
      </c>
      <c r="S1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9" s="32">
        <f>_xlfn.LET(_xlpm.x,_xlfn.XLOOKUP(tblVertragsmapping[[#This Row],[Datensatz-ID]],tblVertraege[Datensatz-ID],tblVertraege[Abgebende Agenturnummer / OE],""),IF(_xlpm.x=0,"",_xlpm.x))</f>
        <v>600040114</v>
      </c>
      <c r="U19" s="32">
        <f>_xlfn.LET(_xlpm.x,_xlfn.XLOOKUP(tblVertragsmapping[[#This Row],[Datensatz-ID]],tblVertraege[Datensatz-ID],tblVertraege[Abgebende Vermittlernummer / PNR],""),IF(_xlpm.x=0,"",_xlpm.x))</f>
        <v>216985</v>
      </c>
      <c r="V19" s="29" t="str">
        <f>_xlfn.LET(_xlpm.x,_xlfn.XLOOKUP(tblVertragsmapping[[#This Row],[Datensatz-ID]],tblVertraege[Datensatz-ID],tblVertraege[Abgeberstatus],""),IF(_xlpm.x=0,"",_xlpm.x))</f>
        <v>aktiv</v>
      </c>
      <c r="W19" s="29" t="str">
        <f>_xlfn.LET(_xlpm.x,_xlfn.XLOOKUP(tblVertragsmapping[[#This Row],[Datensatz-ID]],tblVertraege[Datensatz-ID],tblVertraege[Abgeberzuordnung bestätigt],""),IF(_xlpm.x=0,"",_xlpm.x))</f>
        <v>nein</v>
      </c>
    </row>
    <row r="20" spans="2:23" ht="46.5" customHeight="1">
      <c r="B20" s="25" t="s">
        <v>161</v>
      </c>
      <c r="C20" s="25" t="s">
        <v>95</v>
      </c>
      <c r="D20" s="25" t="s">
        <v>94</v>
      </c>
      <c r="E20" s="32" t="str">
        <f>_xlfn.LET(_xlpm.x,_xlfn.XLOOKUP(tblVertragsmapping[[#This Row],[Datensatz-ID]],tblVertraege[Datensatz-ID],tblVertraege[IMSI-VNR],""),IF(_xlpm.x=0,"",_xlpm.x))</f>
        <v/>
      </c>
      <c r="F20" s="29" t="str">
        <f>_xlfn.LET(_xlpm.x,_xlfn.XLOOKUP(tblVertragsmapping[[#This Row],[Datensatz-ID]],tblVertraege[Datensatz-ID],tblVertraege[Sparte],""),IF(_xlpm.x=0,"",_xlpm.x))</f>
        <v>Komposit</v>
      </c>
      <c r="G20" s="25" t="s">
        <v>69</v>
      </c>
      <c r="H2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0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0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0" s="24" t="s">
        <v>162</v>
      </c>
      <c r="L2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0" s="26" t="s">
        <v>18</v>
      </c>
      <c r="N20" s="26" t="s">
        <v>18</v>
      </c>
      <c r="O20" s="27"/>
      <c r="P20" s="27"/>
      <c r="Q20" s="29" t="str">
        <f>_xlfn.LET(_xlpm.x,_xlfn.XLOOKUP(tblVertragsmapping[[#This Row],[Datensatz-ID]],tblVertraege[Datensatz-ID],tblVertraege[Abgeber-ID],""),IF(_xlpm.x=0,"",_xlpm.x))</f>
        <v>AB-02</v>
      </c>
      <c r="R20" s="29" t="str">
        <f>_xlfn.LET(_xlpm.x,_xlfn.XLOOKUP(tblVertragsmapping[[#This Row],[Datensatz-ID]],tblVertraege[Datensatz-ID],tblVertraege[Abgebender Agenturtyp],""),IF(_xlpm.x=0,"",_xlpm.x))</f>
        <v>Makler</v>
      </c>
      <c r="S20" s="29" t="str">
        <f>_xlfn.LET(_xlpm.x,_xlfn.XLOOKUP(tblVertragsmapping[[#This Row],[Datensatz-ID]],tblVertraege[Datensatz-ID],tblVertraege[Konkreter abgebender Agenturname],""),IF(_xlpm.x=0,"",_xlpm.x))</f>
        <v/>
      </c>
      <c r="T20" s="32" t="str">
        <f>_xlfn.LET(_xlpm.x,_xlfn.XLOOKUP(tblVertragsmapping[[#This Row],[Datensatz-ID]],tblVertraege[Datensatz-ID],tblVertraege[Abgebende Agenturnummer / OE],""),IF(_xlpm.x=0,"",_xlpm.x))</f>
        <v/>
      </c>
      <c r="U20" s="32" t="str">
        <f>_xlfn.LET(_xlpm.x,_xlfn.XLOOKUP(tblVertragsmapping[[#This Row],[Datensatz-ID]],tblVertraege[Datensatz-ID],tblVertraege[Abgebende Vermittlernummer / PNR],""),IF(_xlpm.x=0,"",_xlpm.x))</f>
        <v/>
      </c>
      <c r="V20" s="29" t="str">
        <f>_xlfn.LET(_xlpm.x,_xlfn.XLOOKUP(tblVertragsmapping[[#This Row],[Datensatz-ID]],tblVertraege[Datensatz-ID],tblVertraege[Abgeberstatus],""),IF(_xlpm.x=0,"",_xlpm.x))</f>
        <v>aktiv</v>
      </c>
      <c r="W20" s="29" t="str">
        <f>_xlfn.LET(_xlpm.x,_xlfn.XLOOKUP(tblVertragsmapping[[#This Row],[Datensatz-ID]],tblVertraege[Datensatz-ID],tblVertraege[Abgeberzuordnung bestätigt],""),IF(_xlpm.x=0,"",_xlpm.x))</f>
        <v>nein</v>
      </c>
    </row>
    <row r="21" spans="2:23" ht="46.5" customHeight="1">
      <c r="B21" s="25" t="s">
        <v>163</v>
      </c>
      <c r="C21" s="25" t="s">
        <v>86</v>
      </c>
      <c r="D21" s="25" t="s">
        <v>85</v>
      </c>
      <c r="E21" s="32">
        <f>_xlfn.LET(_xlpm.x,_xlfn.XLOOKUP(tblVertragsmapping[[#This Row],[Datensatz-ID]],tblVertraege[Datensatz-ID],tblVertraege[IMSI-VNR],""),IF(_xlpm.x=0,"",_xlpm.x))</f>
        <v>317063119</v>
      </c>
      <c r="F21" s="29" t="str">
        <f>_xlfn.LET(_xlpm.x,_xlfn.XLOOKUP(tblVertragsmapping[[#This Row],[Datensatz-ID]],tblVertraege[Datensatz-ID],tblVertraege[Sparte],""),IF(_xlpm.x=0,"",_xlpm.x))</f>
        <v>KV</v>
      </c>
      <c r="G21" s="25" t="s">
        <v>70</v>
      </c>
      <c r="H2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1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1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1" s="24" t="s">
        <v>164</v>
      </c>
      <c r="L2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A-07 fehlen.</v>
      </c>
      <c r="M21" s="26" t="s">
        <v>18</v>
      </c>
      <c r="N21" s="26" t="s">
        <v>18</v>
      </c>
      <c r="O21" s="27"/>
      <c r="P21" s="27"/>
      <c r="Q21" s="29" t="str">
        <f>_xlfn.LET(_xlpm.x,_xlfn.XLOOKUP(tblVertragsmapping[[#This Row],[Datensatz-ID]],tblVertraege[Datensatz-ID],tblVertraege[Abgeber-ID],""),IF(_xlpm.x=0,"",_xlpm.x))</f>
        <v>AB-01</v>
      </c>
      <c r="R21" s="29" t="str">
        <f>_xlfn.LET(_xlpm.x,_xlfn.XLOOKUP(tblVertragsmapping[[#This Row],[Datensatz-ID]],tblVertraege[Datensatz-ID],tblVertraege[Abgebender Agenturtyp],""),IF(_xlpm.x=0,"",_xlpm.x))</f>
        <v>AO</v>
      </c>
      <c r="S2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1" s="32">
        <f>_xlfn.LET(_xlpm.x,_xlfn.XLOOKUP(tblVertragsmapping[[#This Row],[Datensatz-ID]],tblVertraege[Datensatz-ID],tblVertraege[Abgebende Agenturnummer / OE],""),IF(_xlpm.x=0,"",_xlpm.x))</f>
        <v>600040114</v>
      </c>
      <c r="U21" s="32">
        <f>_xlfn.LET(_xlpm.x,_xlfn.XLOOKUP(tblVertragsmapping[[#This Row],[Datensatz-ID]],tblVertraege[Datensatz-ID],tblVertraege[Abgebende Vermittlernummer / PNR],""),IF(_xlpm.x=0,"",_xlpm.x))</f>
        <v>216985</v>
      </c>
      <c r="V21" s="29" t="str">
        <f>_xlfn.LET(_xlpm.x,_xlfn.XLOOKUP(tblVertragsmapping[[#This Row],[Datensatz-ID]],tblVertraege[Datensatz-ID],tblVertraege[Abgeberstatus],""),IF(_xlpm.x=0,"",_xlpm.x))</f>
        <v>aktiv</v>
      </c>
      <c r="W21" s="29" t="str">
        <f>_xlfn.LET(_xlpm.x,_xlfn.XLOOKUP(tblVertragsmapping[[#This Row],[Datensatz-ID]],tblVertraege[Datensatz-ID],tblVertraege[Abgeberzuordnung bestätigt],""),IF(_xlpm.x=0,"",_xlpm.x))</f>
        <v>nein</v>
      </c>
    </row>
    <row r="22" spans="2:23" ht="46.5" customHeight="1">
      <c r="B22" s="25" t="s">
        <v>165</v>
      </c>
      <c r="C22" s="25" t="s">
        <v>86</v>
      </c>
      <c r="D22" s="25" t="s">
        <v>85</v>
      </c>
      <c r="E22" s="32">
        <f>_xlfn.LET(_xlpm.x,_xlfn.XLOOKUP(tblVertragsmapping[[#This Row],[Datensatz-ID]],tblVertraege[Datensatz-ID],tblVertraege[IMSI-VNR],""),IF(_xlpm.x=0,"",_xlpm.x))</f>
        <v>317063119</v>
      </c>
      <c r="F22" s="29" t="str">
        <f>_xlfn.LET(_xlpm.x,_xlfn.XLOOKUP(tblVertragsmapping[[#This Row],[Datensatz-ID]],tblVertraege[Datensatz-ID],tblVertraege[Sparte],""),IF(_xlpm.x=0,"",_xlpm.x))</f>
        <v>KV</v>
      </c>
      <c r="G22" s="25" t="s">
        <v>166</v>
      </c>
      <c r="H2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nicht erforderlich</v>
      </c>
      <c r="I22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nicht erforderlich</v>
      </c>
      <c r="J22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nicht erforderlich</v>
      </c>
      <c r="K22" s="24" t="s">
        <v>167</v>
      </c>
      <c r="L2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Technischer Negativzustand: keine aufnehmende Agentur vorhanden; P-04 darf keinen EMMA-Treffer besitzen.</v>
      </c>
      <c r="M22" s="26" t="s">
        <v>26</v>
      </c>
      <c r="N22" s="26" t="s">
        <v>26</v>
      </c>
      <c r="O22" s="27"/>
      <c r="P22" s="27"/>
      <c r="Q22" s="29" t="str">
        <f>_xlfn.LET(_xlpm.x,_xlfn.XLOOKUP(tblVertragsmapping[[#This Row],[Datensatz-ID]],tblVertraege[Datensatz-ID],tblVertraege[Abgeber-ID],""),IF(_xlpm.x=0,"",_xlpm.x))</f>
        <v>AB-01</v>
      </c>
      <c r="R22" s="29" t="str">
        <f>_xlfn.LET(_xlpm.x,_xlfn.XLOOKUP(tblVertragsmapping[[#This Row],[Datensatz-ID]],tblVertraege[Datensatz-ID],tblVertraege[Abgebender Agenturtyp],""),IF(_xlpm.x=0,"",_xlpm.x))</f>
        <v>AO</v>
      </c>
      <c r="S22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2" s="32">
        <f>_xlfn.LET(_xlpm.x,_xlfn.XLOOKUP(tblVertragsmapping[[#This Row],[Datensatz-ID]],tblVertraege[Datensatz-ID],tblVertraege[Abgebende Agenturnummer / OE],""),IF(_xlpm.x=0,"",_xlpm.x))</f>
        <v>600040114</v>
      </c>
      <c r="U22" s="32">
        <f>_xlfn.LET(_xlpm.x,_xlfn.XLOOKUP(tblVertragsmapping[[#This Row],[Datensatz-ID]],tblVertraege[Datensatz-ID],tblVertraege[Abgebende Vermittlernummer / PNR],""),IF(_xlpm.x=0,"",_xlpm.x))</f>
        <v>216985</v>
      </c>
      <c r="V22" s="29" t="str">
        <f>_xlfn.LET(_xlpm.x,_xlfn.XLOOKUP(tblVertragsmapping[[#This Row],[Datensatz-ID]],tblVertraege[Datensatz-ID],tblVertraege[Abgeberstatus],""),IF(_xlpm.x=0,"",_xlpm.x))</f>
        <v>aktiv</v>
      </c>
      <c r="W22" s="29" t="str">
        <f>_xlfn.LET(_xlpm.x,_xlfn.XLOOKUP(tblVertragsmapping[[#This Row],[Datensatz-ID]],tblVertraege[Datensatz-ID],tblVertraege[Abgeberzuordnung bestätigt],""),IF(_xlpm.x=0,"",_xlpm.x))</f>
        <v>nein</v>
      </c>
    </row>
    <row r="23" spans="2:23" ht="46.5" customHeight="1">
      <c r="B23" s="25" t="s">
        <v>168</v>
      </c>
      <c r="C23" s="25" t="s">
        <v>95</v>
      </c>
      <c r="D23" s="25" t="s">
        <v>115</v>
      </c>
      <c r="E23" s="32" t="str">
        <f>_xlfn.LET(_xlpm.x,_xlfn.XLOOKUP(tblVertragsmapping[[#This Row],[Datensatz-ID]],tblVertraege[Datensatz-ID],tblVertraege[IMSI-VNR],""),IF(_xlpm.x=0,"",_xlpm.x))</f>
        <v/>
      </c>
      <c r="F23" s="29" t="str">
        <f>_xlfn.LET(_xlpm.x,_xlfn.XLOOKUP(tblVertragsmapping[[#This Row],[Datensatz-ID]],tblVertraege[Datensatz-ID],tblVertraege[Sparte],""),IF(_xlpm.x=0,"",_xlpm.x))</f>
        <v>Leben</v>
      </c>
      <c r="G23" s="25" t="s">
        <v>62</v>
      </c>
      <c r="H2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2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2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23" s="24" t="s">
        <v>142</v>
      </c>
      <c r="L2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23" s="26" t="s">
        <v>18</v>
      </c>
      <c r="N23" s="26" t="s">
        <v>18</v>
      </c>
      <c r="O23" s="27"/>
      <c r="P23" s="27"/>
      <c r="Q23" s="29" t="str">
        <f>_xlfn.LET(_xlpm.x,_xlfn.XLOOKUP(tblVertragsmapping[[#This Row],[Datensatz-ID]],tblVertraege[Datensatz-ID],tblVertraege[Abgeber-ID],""),IF(_xlpm.x=0,"",_xlpm.x))</f>
        <v>AB-02</v>
      </c>
      <c r="R23" s="29" t="str">
        <f>_xlfn.LET(_xlpm.x,_xlfn.XLOOKUP(tblVertragsmapping[[#This Row],[Datensatz-ID]],tblVertraege[Datensatz-ID],tblVertraege[Abgebender Agenturtyp],""),IF(_xlpm.x=0,"",_xlpm.x))</f>
        <v>Makler</v>
      </c>
      <c r="S23" s="29" t="str">
        <f>_xlfn.LET(_xlpm.x,_xlfn.XLOOKUP(tblVertragsmapping[[#This Row],[Datensatz-ID]],tblVertraege[Datensatz-ID],tblVertraege[Konkreter abgebender Agenturname],""),IF(_xlpm.x=0,"",_xlpm.x))</f>
        <v/>
      </c>
      <c r="T23" s="32" t="str">
        <f>_xlfn.LET(_xlpm.x,_xlfn.XLOOKUP(tblVertragsmapping[[#This Row],[Datensatz-ID]],tblVertraege[Datensatz-ID],tblVertraege[Abgebende Agenturnummer / OE],""),IF(_xlpm.x=0,"",_xlpm.x))</f>
        <v/>
      </c>
      <c r="U23" s="32" t="str">
        <f>_xlfn.LET(_xlpm.x,_xlfn.XLOOKUP(tblVertragsmapping[[#This Row],[Datensatz-ID]],tblVertraege[Datensatz-ID],tblVertraege[Abgebende Vermittlernummer / PNR],""),IF(_xlpm.x=0,"",_xlpm.x))</f>
        <v/>
      </c>
      <c r="V23" s="29" t="str">
        <f>_xlfn.LET(_xlpm.x,_xlfn.XLOOKUP(tblVertragsmapping[[#This Row],[Datensatz-ID]],tblVertraege[Datensatz-ID],tblVertraege[Abgeberstatus],""),IF(_xlpm.x=0,"",_xlpm.x))</f>
        <v>aktiv</v>
      </c>
      <c r="W23" s="29" t="str">
        <f>_xlfn.LET(_xlpm.x,_xlfn.XLOOKUP(tblVertragsmapping[[#This Row],[Datensatz-ID]],tblVertraege[Datensatz-ID],tblVertraege[Abgeberzuordnung bestätigt],""),IF(_xlpm.x=0,"",_xlpm.x))</f>
        <v>nein</v>
      </c>
    </row>
    <row r="24" spans="2:23" ht="46.5" customHeight="1">
      <c r="B24" s="25" t="s">
        <v>169</v>
      </c>
      <c r="C24" s="25" t="s">
        <v>95</v>
      </c>
      <c r="D24" s="25" t="s">
        <v>115</v>
      </c>
      <c r="E24" s="32" t="str">
        <f>_xlfn.LET(_xlpm.x,_xlfn.XLOOKUP(tblVertragsmapping[[#This Row],[Datensatz-ID]],tblVertraege[Datensatz-ID],tblVertraege[IMSI-VNR],""),IF(_xlpm.x=0,"",_xlpm.x))</f>
        <v/>
      </c>
      <c r="F24" s="29" t="str">
        <f>_xlfn.LET(_xlpm.x,_xlfn.XLOOKUP(tblVertragsmapping[[#This Row],[Datensatz-ID]],tblVertraege[Datensatz-ID],tblVertraege[Sparte],""),IF(_xlpm.x=0,"",_xlpm.x))</f>
        <v>Leben</v>
      </c>
      <c r="G24" s="25" t="s">
        <v>65</v>
      </c>
      <c r="H2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4" s="24" t="s">
        <v>150</v>
      </c>
      <c r="L2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24" s="26" t="s">
        <v>18</v>
      </c>
      <c r="N24" s="26" t="s">
        <v>18</v>
      </c>
      <c r="O24" s="27"/>
      <c r="P24" s="27"/>
      <c r="Q24" s="29" t="str">
        <f>_xlfn.LET(_xlpm.x,_xlfn.XLOOKUP(tblVertragsmapping[[#This Row],[Datensatz-ID]],tblVertraege[Datensatz-ID],tblVertraege[Abgeber-ID],""),IF(_xlpm.x=0,"",_xlpm.x))</f>
        <v>AB-02</v>
      </c>
      <c r="R24" s="29" t="str">
        <f>_xlfn.LET(_xlpm.x,_xlfn.XLOOKUP(tblVertragsmapping[[#This Row],[Datensatz-ID]],tblVertraege[Datensatz-ID],tblVertraege[Abgebender Agenturtyp],""),IF(_xlpm.x=0,"",_xlpm.x))</f>
        <v>Makler</v>
      </c>
      <c r="S24" s="29" t="str">
        <f>_xlfn.LET(_xlpm.x,_xlfn.XLOOKUP(tblVertragsmapping[[#This Row],[Datensatz-ID]],tblVertraege[Datensatz-ID],tblVertraege[Konkreter abgebender Agenturname],""),IF(_xlpm.x=0,"",_xlpm.x))</f>
        <v/>
      </c>
      <c r="T24" s="32" t="str">
        <f>_xlfn.LET(_xlpm.x,_xlfn.XLOOKUP(tblVertragsmapping[[#This Row],[Datensatz-ID]],tblVertraege[Datensatz-ID],tblVertraege[Abgebende Agenturnummer / OE],""),IF(_xlpm.x=0,"",_xlpm.x))</f>
        <v/>
      </c>
      <c r="U24" s="32" t="str">
        <f>_xlfn.LET(_xlpm.x,_xlfn.XLOOKUP(tblVertragsmapping[[#This Row],[Datensatz-ID]],tblVertraege[Datensatz-ID],tblVertraege[Abgebende Vermittlernummer / PNR],""),IF(_xlpm.x=0,"",_xlpm.x))</f>
        <v/>
      </c>
      <c r="V24" s="29" t="str">
        <f>_xlfn.LET(_xlpm.x,_xlfn.XLOOKUP(tblVertragsmapping[[#This Row],[Datensatz-ID]],tblVertraege[Datensatz-ID],tblVertraege[Abgeberstatus],""),IF(_xlpm.x=0,"",_xlpm.x))</f>
        <v>aktiv</v>
      </c>
      <c r="W24" s="29" t="str">
        <f>_xlfn.LET(_xlpm.x,_xlfn.XLOOKUP(tblVertragsmapping[[#This Row],[Datensatz-ID]],tblVertraege[Datensatz-ID],tblVertraege[Abgeberzuordnung bestätigt],""),IF(_xlpm.x=0,"",_xlpm.x))</f>
        <v>nein</v>
      </c>
    </row>
    <row r="25" spans="2:23" ht="46.5" customHeight="1">
      <c r="B25" s="25" t="s">
        <v>170</v>
      </c>
      <c r="C25" s="25" t="s">
        <v>95</v>
      </c>
      <c r="D25" s="25" t="s">
        <v>115</v>
      </c>
      <c r="E25" s="32" t="str">
        <f>_xlfn.LET(_xlpm.x,_xlfn.XLOOKUP(tblVertragsmapping[[#This Row],[Datensatz-ID]],tblVertraege[Datensatz-ID],tblVertraege[IMSI-VNR],""),IF(_xlpm.x=0,"",_xlpm.x))</f>
        <v/>
      </c>
      <c r="F25" s="29" t="str">
        <f>_xlfn.LET(_xlpm.x,_xlfn.XLOOKUP(tblVertragsmapping[[#This Row],[Datensatz-ID]],tblVertraege[Datensatz-ID],tblVertraege[Sparte],""),IF(_xlpm.x=0,"",_xlpm.x))</f>
        <v>Leben</v>
      </c>
      <c r="G25" s="25" t="s">
        <v>69</v>
      </c>
      <c r="H2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5" s="24" t="s">
        <v>162</v>
      </c>
      <c r="L2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5" s="26" t="s">
        <v>18</v>
      </c>
      <c r="N25" s="26" t="s">
        <v>18</v>
      </c>
      <c r="O25" s="27"/>
      <c r="P25" s="27"/>
      <c r="Q25" s="29" t="str">
        <f>_xlfn.LET(_xlpm.x,_xlfn.XLOOKUP(tblVertragsmapping[[#This Row],[Datensatz-ID]],tblVertraege[Datensatz-ID],tblVertraege[Abgeber-ID],""),IF(_xlpm.x=0,"",_xlpm.x))</f>
        <v>AB-02</v>
      </c>
      <c r="R25" s="29" t="str">
        <f>_xlfn.LET(_xlpm.x,_xlfn.XLOOKUP(tblVertragsmapping[[#This Row],[Datensatz-ID]],tblVertraege[Datensatz-ID],tblVertraege[Abgebender Agenturtyp],""),IF(_xlpm.x=0,"",_xlpm.x))</f>
        <v>Makler</v>
      </c>
      <c r="S25" s="29" t="str">
        <f>_xlfn.LET(_xlpm.x,_xlfn.XLOOKUP(tblVertragsmapping[[#This Row],[Datensatz-ID]],tblVertraege[Datensatz-ID],tblVertraege[Konkreter abgebender Agenturname],""),IF(_xlpm.x=0,"",_xlpm.x))</f>
        <v/>
      </c>
      <c r="T25" s="32" t="str">
        <f>_xlfn.LET(_xlpm.x,_xlfn.XLOOKUP(tblVertragsmapping[[#This Row],[Datensatz-ID]],tblVertraege[Datensatz-ID],tblVertraege[Abgebende Agenturnummer / OE],""),IF(_xlpm.x=0,"",_xlpm.x))</f>
        <v/>
      </c>
      <c r="U25" s="32" t="str">
        <f>_xlfn.LET(_xlpm.x,_xlfn.XLOOKUP(tblVertragsmapping[[#This Row],[Datensatz-ID]],tblVertraege[Datensatz-ID],tblVertraege[Abgebende Vermittlernummer / PNR],""),IF(_xlpm.x=0,"",_xlpm.x))</f>
        <v/>
      </c>
      <c r="V25" s="29" t="str">
        <f>_xlfn.LET(_xlpm.x,_xlfn.XLOOKUP(tblVertragsmapping[[#This Row],[Datensatz-ID]],tblVertraege[Datensatz-ID],tblVertraege[Abgeberstatus],""),IF(_xlpm.x=0,"",_xlpm.x))</f>
        <v>aktiv</v>
      </c>
      <c r="W25" s="29" t="str">
        <f>_xlfn.LET(_xlpm.x,_xlfn.XLOOKUP(tblVertragsmapping[[#This Row],[Datensatz-ID]],tblVertraege[Datensatz-ID],tblVertraege[Abgeberzuordnung bestätigt],""),IF(_xlpm.x=0,"",_xlpm.x))</f>
        <v>nein</v>
      </c>
    </row>
  </sheetData>
  <conditionalFormatting sqref="B8:B25">
    <cfRule type="expression" dxfId="4" priority="8">
      <formula>LEFT($L8,9)="BLOCKIERT"</formula>
    </cfRule>
  </conditionalFormatting>
  <conditionalFormatting sqref="L8:L25">
    <cfRule type="expression" dxfId="6" priority="9">
      <formula>LEFT($L8,9)="BLOCKIERT"</formula>
    </cfRule>
  </conditionalFormatting>
  <conditionalFormatting sqref="M8:N25">
    <cfRule type="expression" dxfId="0" priority="1">
      <formula>LOWER(M8)="bereit"</formula>
    </cfRule>
    <cfRule type="expression" dxfId="1" priority="2">
      <formula>LOWER(M8)="in durchführung"</formula>
    </cfRule>
    <cfRule type="expression" dxfId="2" priority="3">
      <formula>LOWER(M8)="offen"</formula>
    </cfRule>
    <cfRule type="expression" dxfId="2" priority="4">
      <formula>LOWER(M8)="nein"</formula>
    </cfRule>
    <cfRule type="expression" dxfId="3" priority="5">
      <formula>OR(M8="ja",M8="erledigt",M8="bereit")</formula>
    </cfRule>
    <cfRule type="expression" dxfId="4" priority="6">
      <formula>OR(M8="nein",M8="blockiert")</formula>
    </cfRule>
    <cfRule type="expression" dxfId="5" priority="7">
      <formula>M8="nicht erforderlich"</formula>
    </cfRule>
  </conditionalFormatting>
  <dataValidations count="2">
    <dataValidation type="list" allowBlank="1" showInputMessage="1" showErrorMessage="1" sqref="M8:N25">
      <formula1>'Listen &amp; Parameter'!$B$2:$B$4</formula1>
    </dataValidation>
    <dataValidation type="list" allowBlank="1" showInputMessage="1" showErrorMessage="1" sqref="O8:O25">
      <formula1>'Listen &amp; Parameter'!$E$2:$E$8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erstellung">
    <tabColor rgb="FF31527A"/>
    <pageSetUpPr fitToPage="1"/>
  </sheetPr>
  <dimension ref="A1:AE31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5"/>
  <cols>
    <col min="1" max="1" width="3" customWidth="1"/>
    <col min="2" max="2" width="20.140625" customWidth="1"/>
    <col min="3" max="3" width="14.85546875" customWidth="1"/>
    <col min="4" max="4" width="28.7109375" customWidth="1"/>
    <col min="5" max="5" width="14.85546875" customWidth="1"/>
    <col min="6" max="6" width="10.7109375" customWidth="1"/>
    <col min="7" max="7" width="24.7109375" customWidth="1"/>
    <col min="8" max="8" width="26.7109375" customWidth="1"/>
    <col min="9" max="9" width="19.5703125" customWidth="1"/>
    <col min="10" max="10" width="20.140625" customWidth="1"/>
    <col min="11" max="11" width="13.7109375" customWidth="1"/>
    <col min="12" max="12" width="11.7109375" customWidth="1"/>
    <col min="13" max="13" width="34.7109375" customWidth="1"/>
    <col min="14" max="14" width="52.7109375" customWidth="1"/>
    <col min="15" max="15" width="26.7109375" customWidth="1"/>
    <col min="16" max="18" width="40.7109375" customWidth="1"/>
    <col min="19" max="19" width="46.7109375" customWidth="1"/>
    <col min="20" max="20" width="14.85546875" customWidth="1"/>
    <col min="21" max="21" width="13.7109375" customWidth="1"/>
    <col min="22" max="22" width="14.7109375" customWidth="1"/>
    <col min="23" max="23" width="30.7109375" customWidth="1"/>
    <col min="24" max="24" width="15.85546875" customWidth="1"/>
    <col min="25" max="26" width="13.7109375" customWidth="1"/>
    <col min="27" max="27" width="21.7109375" customWidth="1"/>
    <col min="28" max="28" width="26.7109375" customWidth="1"/>
    <col min="29" max="30" width="19.5703125" customWidth="1"/>
    <col min="31" max="31" width="25.140625" customWidth="1"/>
    <col min="32" max="61" width="9.5703125" customWidth="1"/>
  </cols>
  <sheetData>
    <row r="1" spans="2:31" s="1" customFormat="1" ht="18" customHeight="1">
      <c r="B1" s="2" t="s">
        <v>171</v>
      </c>
    </row>
    <row r="2" spans="2:31" s="1" customFormat="1" ht="28" customHeight="1">
      <c r="B2" s="3" t="s">
        <v>172</v>
      </c>
    </row>
    <row r="3" spans="2:31" s="1" customFormat="1" ht="21" customHeight="1">
      <c r="B3" s="4" t="s">
        <v>173</v>
      </c>
    </row>
    <row r="4" spans="2:31" s="1" customFormat="1" ht="10" customHeight="1"/>
    <row r="5" spans="2:31" s="5" customFormat="1" ht="3" customHeight="1"/>
    <row r="6" spans="2:31" ht="24" customHeight="1">
      <c r="B6" s="28" t="s">
        <v>50</v>
      </c>
    </row>
    <row r="7" spans="2:31" ht="36" customHeight="1">
      <c r="B7" s="12" t="s">
        <v>174</v>
      </c>
      <c r="C7" s="12" t="s">
        <v>175</v>
      </c>
      <c r="D7" s="12" t="s">
        <v>176</v>
      </c>
      <c r="E7" s="12" t="s">
        <v>5</v>
      </c>
      <c r="F7" s="12" t="s">
        <v>177</v>
      </c>
      <c r="G7" s="12" t="s">
        <v>178</v>
      </c>
      <c r="H7" s="12" t="s">
        <v>54</v>
      </c>
      <c r="I7" s="12" t="s">
        <v>55</v>
      </c>
      <c r="J7" s="12" t="s">
        <v>56</v>
      </c>
      <c r="K7" s="12" t="s">
        <v>75</v>
      </c>
      <c r="L7" s="12" t="s">
        <v>3</v>
      </c>
      <c r="M7" s="12" t="s">
        <v>179</v>
      </c>
      <c r="N7" s="12" t="s">
        <v>180</v>
      </c>
      <c r="O7" s="12" t="s">
        <v>181</v>
      </c>
      <c r="P7" s="12" t="s">
        <v>182</v>
      </c>
      <c r="Q7" s="12" t="s">
        <v>183</v>
      </c>
      <c r="R7" s="12" t="s">
        <v>184</v>
      </c>
      <c r="S7" s="12" t="s">
        <v>185</v>
      </c>
      <c r="T7" s="12" t="s">
        <v>186</v>
      </c>
      <c r="U7" s="12" t="s">
        <v>187</v>
      </c>
      <c r="V7" s="12" t="s">
        <v>4</v>
      </c>
      <c r="W7" s="12" t="s">
        <v>61</v>
      </c>
      <c r="X7" s="12" t="s">
        <v>71</v>
      </c>
      <c r="Y7" s="12" t="s">
        <v>188</v>
      </c>
      <c r="Z7" s="12" t="s">
        <v>81</v>
      </c>
      <c r="AA7" s="12" t="s">
        <v>6</v>
      </c>
      <c r="AB7" s="12" t="s">
        <v>136</v>
      </c>
      <c r="AC7" s="12" t="s">
        <v>83</v>
      </c>
      <c r="AD7" s="12" t="s">
        <v>7</v>
      </c>
      <c r="AE7" s="12" t="s">
        <v>189</v>
      </c>
    </row>
    <row r="8" spans="2:31" ht="57.75" customHeight="1">
      <c r="B8" s="25" t="s">
        <v>190</v>
      </c>
      <c r="C8" s="25" t="s">
        <v>191</v>
      </c>
      <c r="D8" s="24" t="s">
        <v>192</v>
      </c>
      <c r="E8" s="24" t="s">
        <v>14</v>
      </c>
      <c r="F8" s="25" t="s">
        <v>193</v>
      </c>
      <c r="G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8" s="32">
        <f>_xlfn.LET(_xlpm.x,_xlfn.XLOOKUP(tblMailAuftraege[[#This Row],[Datensatz-ID]],tblVertraege[Datensatz-ID],tblVertraege[IMSI-VNR],""),IF(_xlpm.x=0,"",_xlpm.x))</f>
        <v>317063119</v>
      </c>
      <c r="L8" s="29" t="str">
        <f>_xlfn.LET(_xlpm.x,_xlfn.XLOOKUP(tblMailAuftraege[[#This Row],[Datensatz-ID]],tblVertraege[Datensatz-ID],tblVertraege[Sparte],""),IF(_xlpm.x=0,"",_xlpm.x))</f>
        <v>KV</v>
      </c>
      <c r="M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TF-GL-01 | KV | VNR 317063119</v>
      </c>
      <c r="N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8" s="29" t="str">
        <f>_xlfn.XLOOKUP(tblMailAuftraege[[#This Row],[Mail-ID / Zustand]],tblMailanforderungen[Mail-ID / Zustand],tblMailanforderungen[Erforderliche Anhänge],"")</f>
        <v>vollständig lesbare PDF-Maklervollmacht</v>
      </c>
      <c r="P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8" s="26" t="s">
        <v>10</v>
      </c>
      <c r="U8" s="26" t="s">
        <v>10</v>
      </c>
      <c r="V8" s="27"/>
      <c r="W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8" s="25" t="s">
        <v>85</v>
      </c>
      <c r="Y8" s="29" t="str">
        <f>_xlfn.LET(_xlpm.x,_xlfn.XLOOKUP(tblMailAuftraege[[#This Row],[Datensatz-ID]],tblVertraege[Datensatz-ID],tblVertraege[Sparte],""),IF(_xlpm.x=0,"",_xlpm.x))</f>
        <v>KV</v>
      </c>
      <c r="Z8" s="29" t="str">
        <f>_xlfn.LET(_xlpm.x,_xlfn.XLOOKUP(tblMailAuftraege[[#This Row],[Datensatz-ID]],tblVertraege[Datensatz-ID],tblVertraege[Abgeber-ID],""),IF(_xlpm.x=0,"",_xlpm.x))</f>
        <v>AB-01</v>
      </c>
      <c r="AA8" s="29" t="str">
        <f>_xlfn.LET(_xlpm.x,_xlfn.XLOOKUP(tblMailAuftraege[[#This Row],[Datensatz-ID]],tblVertraege[Datensatz-ID],tblVertraege[Abgebender Agenturtyp],""),IF(_xlpm.x=0,"",_xlpm.x))</f>
        <v>AO</v>
      </c>
      <c r="AB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8" s="32">
        <f>_xlfn.LET(_xlpm.x,_xlfn.XLOOKUP(tblMailAuftraege[[#This Row],[Datensatz-ID]],tblVertraege[Datensatz-ID],tblVertraege[Abgebende Agenturnummer / OE],""),IF(_xlpm.x=0,"",_xlpm.x))</f>
        <v>600040114</v>
      </c>
      <c r="AD8" s="29" t="str">
        <f>_xlfn.LET(_xlpm.x,_xlfn.XLOOKUP(tblMailAuftraege[[#This Row],[Datensatz-ID]],tblVertraege[Datensatz-ID],tblVertraege[Abgeberstatus],""),IF(_xlpm.x=0,"",_xlpm.x))</f>
        <v>aktiv</v>
      </c>
      <c r="AE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9" spans="2:31" ht="57.75" customHeight="1">
      <c r="B9" s="25" t="s">
        <v>194</v>
      </c>
      <c r="C9" s="25" t="s">
        <v>195</v>
      </c>
      <c r="D9" s="24" t="s">
        <v>196</v>
      </c>
      <c r="E9" s="24" t="s">
        <v>14</v>
      </c>
      <c r="F9" s="25" t="s">
        <v>197</v>
      </c>
      <c r="G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MFA-Mail; Postfach: P-01</v>
      </c>
      <c r="H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9" s="32">
        <f>_xlfn.LET(_xlpm.x,_xlfn.XLOOKUP(tblMailAuftraege[[#This Row],[Datensatz-ID]],tblVertraege[Datensatz-ID],tblVertraege[IMSI-VNR],""),IF(_xlpm.x=0,"",_xlpm.x))</f>
        <v>317063119</v>
      </c>
      <c r="L9" s="29" t="str">
        <f>_xlfn.LET(_xlpm.x,_xlfn.XLOOKUP(tblMailAuftraege[[#This Row],[Datensatz-ID]],tblVertraege[Datensatz-ID],tblVertraege[Sparte],""),IF(_xlpm.x=0,"",_xlpm.x))</f>
        <v>KV</v>
      </c>
      <c r="M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TF-GL-02 | KV | VNR 317063119</v>
      </c>
      <c r="N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und richten Sie die Betreuung entsprechend dem beigefügten Betreuungswunsch auf [AGENTURNAME], Agenturnummer [AGENTURNUMMER], ein.
Versicherungsnehmer / Firma: Mustermann
Vielen Dank und freundliche Grüße</v>
      </c>
      <c r="O9" s="29" t="str">
        <f>_xlfn.XLOOKUP(tblMailAuftraege[[#This Row],[Mail-ID / Zustand]],tblMailanforderungen[Mail-ID / Zustand],tblMailanforderungen[Erforderliche Anhänge],"")</f>
        <v>unterschriebener Betreuungswunsch</v>
      </c>
      <c r="P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v>
      </c>
      <c r="Q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v>
      </c>
      <c r="R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nein; Betreuungswunsch: auf verwendete MFA; Kunden-/VN-Daten: IMSI-konform
• TBD: Feldbezeichnung gegen aktuelles KI-Deckblatt prüfen</v>
      </c>
      <c r="S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9" s="26" t="s">
        <v>18</v>
      </c>
      <c r="U9" s="26" t="s">
        <v>18</v>
      </c>
      <c r="V9" s="27"/>
      <c r="W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9" s="25" t="s">
        <v>85</v>
      </c>
      <c r="Y9" s="29" t="str">
        <f>_xlfn.LET(_xlpm.x,_xlfn.XLOOKUP(tblMailAuftraege[[#This Row],[Datensatz-ID]],tblVertraege[Datensatz-ID],tblVertraege[Sparte],""),IF(_xlpm.x=0,"",_xlpm.x))</f>
        <v>KV</v>
      </c>
      <c r="Z9" s="29" t="str">
        <f>_xlfn.LET(_xlpm.x,_xlfn.XLOOKUP(tblMailAuftraege[[#This Row],[Datensatz-ID]],tblVertraege[Datensatz-ID],tblVertraege[Abgeber-ID],""),IF(_xlpm.x=0,"",_xlpm.x))</f>
        <v>AB-01</v>
      </c>
      <c r="AA9" s="29" t="str">
        <f>_xlfn.LET(_xlpm.x,_xlfn.XLOOKUP(tblMailAuftraege[[#This Row],[Datensatz-ID]],tblVertraege[Datensatz-ID],tblVertraege[Abgebender Agenturtyp],""),IF(_xlpm.x=0,"",_xlpm.x))</f>
        <v>AO</v>
      </c>
      <c r="AB9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9" s="32">
        <f>_xlfn.LET(_xlpm.x,_xlfn.XLOOKUP(tblMailAuftraege[[#This Row],[Datensatz-ID]],tblVertraege[Datensatz-ID],tblVertraege[Abgebende Agenturnummer / OE],""),IF(_xlpm.x=0,"",_xlpm.x))</f>
        <v>600040114</v>
      </c>
      <c r="AD9" s="29" t="str">
        <f>_xlfn.LET(_xlpm.x,_xlfn.XLOOKUP(tblMailAuftraege[[#This Row],[Datensatz-ID]],tblVertraege[Datensatz-ID],tblVertraege[Abgeberstatus],""),IF(_xlpm.x=0,"",_xlpm.x))</f>
        <v>aktiv</v>
      </c>
      <c r="AE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0" spans="2:31" ht="57.75" customHeight="1">
      <c r="B10" s="25" t="s">
        <v>198</v>
      </c>
      <c r="C10" s="25" t="s">
        <v>199</v>
      </c>
      <c r="D10" s="24" t="s">
        <v>200</v>
      </c>
      <c r="E10" s="24" t="s">
        <v>14</v>
      </c>
      <c r="F10" s="25" t="s">
        <v>201</v>
      </c>
      <c r="G1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mit Untervollmacht; Postfach: P-02</v>
      </c>
      <c r="H1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0" s="32" t="str">
        <f>_xlfn.LET(_xlpm.x,_xlfn.XLOOKUP(tblMailAuftraege[[#This Row],[Datensatz-ID]],tblVertraege[Datensatz-ID],tblVertraege[IMSI-VNR],""),IF(_xlpm.x=0,"",_xlpm.x))</f>
        <v/>
      </c>
      <c r="L10" s="29" t="str">
        <f>_xlfn.LET(_xlpm.x,_xlfn.XLOOKUP(tblMailAuftraege[[#This Row],[Datensatz-ID]],tblVertraege[Datensatz-ID],tblVertraege[Sparte],""),IF(_xlpm.x=0,"",_xlpm.x))</f>
        <v>Komposit</v>
      </c>
      <c r="M1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TF-GL-03 | Komposit | VNR [IMSI-VNR]</v>
      </c>
      <c r="N1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v>
      </c>
      <c r="O10" s="29" t="str">
        <f>_xlfn.XLOOKUP(tblMailAuftraege[[#This Row],[Mail-ID / Zustand]],tblMailanforderungen[Mail-ID / Zustand],tblMailanforderungen[Erforderliche Anhänge],"")</f>
        <v>Pool-Vollmacht; Untervollmacht auf Untermakler; gegebenenfalls Unterlagenanforderung</v>
      </c>
      <c r="P1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v>
      </c>
      <c r="Q1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v>
      </c>
      <c r="R1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v>
      </c>
      <c r="S1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0" s="26" t="s">
        <v>18</v>
      </c>
      <c r="U10" s="26" t="s">
        <v>18</v>
      </c>
      <c r="V10" s="27"/>
      <c r="W1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0" s="25" t="s">
        <v>99</v>
      </c>
      <c r="Y10" s="29" t="str">
        <f>_xlfn.LET(_xlpm.x,_xlfn.XLOOKUP(tblMailAuftraege[[#This Row],[Datensatz-ID]],tblVertraege[Datensatz-ID],tblVertraege[Sparte],""),IF(_xlpm.x=0,"",_xlpm.x))</f>
        <v>Komposit</v>
      </c>
      <c r="Z10" s="29" t="str">
        <f>_xlfn.LET(_xlpm.x,_xlfn.XLOOKUP(tblMailAuftraege[[#This Row],[Datensatz-ID]],tblVertraege[Datensatz-ID],tblVertraege[Abgeber-ID],""),IF(_xlpm.x=0,"",_xlpm.x))</f>
        <v>AB-01</v>
      </c>
      <c r="AA10" s="29" t="str">
        <f>_xlfn.LET(_xlpm.x,_xlfn.XLOOKUP(tblMailAuftraege[[#This Row],[Datensatz-ID]],tblVertraege[Datensatz-ID],tblVertraege[Abgebender Agenturtyp],""),IF(_xlpm.x=0,"",_xlpm.x))</f>
        <v>AO</v>
      </c>
      <c r="AB1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0" s="32">
        <f>_xlfn.LET(_xlpm.x,_xlfn.XLOOKUP(tblMailAuftraege[[#This Row],[Datensatz-ID]],tblVertraege[Datensatz-ID],tblVertraege[Abgebende Agenturnummer / OE],""),IF(_xlpm.x=0,"",_xlpm.x))</f>
        <v>600040114</v>
      </c>
      <c r="AD10" s="29" t="str">
        <f>_xlfn.LET(_xlpm.x,_xlfn.XLOOKUP(tblMailAuftraege[[#This Row],[Datensatz-ID]],tblVertraege[Datensatz-ID],tblVertraege[Abgeberstatus],""),IF(_xlpm.x=0,"",_xlpm.x))</f>
        <v>aktiv</v>
      </c>
      <c r="AE1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1" spans="2:31" ht="57.75" customHeight="1">
      <c r="B11" s="25" t="s">
        <v>202</v>
      </c>
      <c r="C11" s="25" t="s">
        <v>203</v>
      </c>
      <c r="D11" s="24" t="s">
        <v>204</v>
      </c>
      <c r="E11" s="24" t="s">
        <v>14</v>
      </c>
      <c r="F11" s="25" t="s">
        <v>205</v>
      </c>
      <c r="G1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1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1" s="32" t="str">
        <f>_xlfn.LET(_xlpm.x,_xlfn.XLOOKUP(tblMailAuftraege[[#This Row],[Datensatz-ID]],tblVertraege[Datensatz-ID],tblVertraege[IMSI-VNR],""),IF(_xlpm.x=0,"",_xlpm.x))</f>
        <v/>
      </c>
      <c r="L11" s="29" t="str">
        <f>_xlfn.LET(_xlpm.x,_xlfn.XLOOKUP(tblMailAuftraege[[#This Row],[Datensatz-ID]],tblVertraege[Datensatz-ID],tblVertraege[Sparte],""),IF(_xlpm.x=0,"",_xlpm.x))</f>
        <v>Komposit</v>
      </c>
      <c r="M1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Komposit | VNR [IMSI-VNR]</v>
      </c>
      <c r="N1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Maklervollmacht auf den Pool [AGENTURNAME], Agenturnummer [AGENTURNUMMER]. Eine Untervollmacht ist nicht beigefügt.
Versicherungsnehmer / Firma: [VN-ODER-FIRMENNAME]
Vielen Dank und freundliche Grüße</v>
      </c>
      <c r="O11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1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1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1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Pool beziehungsweise Makler
• BÜ-Wunsch: vorhanden
• Maklervollmacht vorhanden: ja; Untervollmacht vorhanden: nein
• TBD: Feldbezeichnung gegen aktuelles KI-Deckblatt prüfen</v>
      </c>
      <c r="S1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1" s="26" t="s">
        <v>18</v>
      </c>
      <c r="U11" s="26" t="s">
        <v>18</v>
      </c>
      <c r="V11" s="27"/>
      <c r="W1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1" s="25" t="s">
        <v>94</v>
      </c>
      <c r="Y11" s="29" t="str">
        <f>_xlfn.LET(_xlpm.x,_xlfn.XLOOKUP(tblMailAuftraege[[#This Row],[Datensatz-ID]],tblVertraege[Datensatz-ID],tblVertraege[Sparte],""),IF(_xlpm.x=0,"",_xlpm.x))</f>
        <v>Komposit</v>
      </c>
      <c r="Z11" s="29" t="str">
        <f>_xlfn.LET(_xlpm.x,_xlfn.XLOOKUP(tblMailAuftraege[[#This Row],[Datensatz-ID]],tblVertraege[Datensatz-ID],tblVertraege[Abgeber-ID],""),IF(_xlpm.x=0,"",_xlpm.x))</f>
        <v>AB-02</v>
      </c>
      <c r="AA11" s="29" t="str">
        <f>_xlfn.LET(_xlpm.x,_xlfn.XLOOKUP(tblMailAuftraege[[#This Row],[Datensatz-ID]],tblVertraege[Datensatz-ID],tblVertraege[Abgebender Agenturtyp],""),IF(_xlpm.x=0,"",_xlpm.x))</f>
        <v>Makler</v>
      </c>
      <c r="AB11" s="29" t="str">
        <f>_xlfn.LET(_xlpm.x,_xlfn.XLOOKUP(tblMailAuftraege[[#This Row],[Datensatz-ID]],tblVertraege[Datensatz-ID],tblVertraege[Konkreter abgebender Agenturname],""),IF(_xlpm.x=0,"",_xlpm.x))</f>
        <v/>
      </c>
      <c r="AC11" s="32" t="str">
        <f>_xlfn.LET(_xlpm.x,_xlfn.XLOOKUP(tblMailAuftraege[[#This Row],[Datensatz-ID]],tblVertraege[Datensatz-ID],tblVertraege[Abgebende Agenturnummer / OE],""),IF(_xlpm.x=0,"",_xlpm.x))</f>
        <v/>
      </c>
      <c r="AD11" s="29" t="str">
        <f>_xlfn.LET(_xlpm.x,_xlfn.XLOOKUP(tblMailAuftraege[[#This Row],[Datensatz-ID]],tblVertraege[Datensatz-ID],tblVertraege[Abgeberstatus],""),IF(_xlpm.x=0,"",_xlpm.x))</f>
        <v>aktiv</v>
      </c>
      <c r="AE1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2" spans="2:31" ht="57.75" customHeight="1">
      <c r="B12" s="25" t="s">
        <v>206</v>
      </c>
      <c r="C12" s="25" t="s">
        <v>207</v>
      </c>
      <c r="D12" s="24" t="s">
        <v>208</v>
      </c>
      <c r="E12" s="24" t="s">
        <v>14</v>
      </c>
      <c r="F12" s="25" t="s">
        <v>209</v>
      </c>
      <c r="G1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 als neutrale formell gültige BÜ-Anfrage; Postfach: P-01</v>
      </c>
      <c r="H1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2" s="32">
        <f>_xlfn.LET(_xlpm.x,_xlfn.XLOOKUP(tblMailAuftraege[[#This Row],[Datensatz-ID]],tblVertraege[Datensatz-ID],tblVertraege[IMSI-VNR],""),IF(_xlpm.x=0,"",_xlpm.x))</f>
        <v>317063119</v>
      </c>
      <c r="L12" s="29" t="str">
        <f>_xlfn.LET(_xlpm.x,_xlfn.XLOOKUP(tblMailAuftraege[[#This Row],[Datensatz-ID]],tblVertraege[Datensatz-ID],tblVertraege[Sparte],""),IF(_xlpm.x=0,"",_xlpm.x))</f>
        <v>KV</v>
      </c>
      <c r="M1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TF-VP-01 | KV | VNR 317063119</v>
      </c>
      <c r="N1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12" s="29" t="str">
        <f>_xlfn.XLOOKUP(tblMailAuftraege[[#This Row],[Mail-ID / Zustand]],tblMailanforderungen[Mail-ID / Zustand],tblMailanforderungen[Erforderliche Anhänge],"")</f>
        <v>vollständig lesbare PDF-Maklervollmacht</v>
      </c>
      <c r="P1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1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v>
      </c>
      <c r="R1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BÜ-Wunsch: vorhanden
• Maklervollmacht vorhanden: ja; BUE_VERMITTLER_TYP: Ausprägung A Courtagefortzahler / Ausprägung B Kontaktgeber
• TBD: Feldbezeichnung gegen aktuelles KI-Deckblatt prüfen</v>
      </c>
      <c r="S1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2" s="26" t="s">
        <v>18</v>
      </c>
      <c r="U12" s="26" t="s">
        <v>18</v>
      </c>
      <c r="V12" s="27"/>
      <c r="W1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2" s="25" t="s">
        <v>85</v>
      </c>
      <c r="Y12" s="29" t="str">
        <f>_xlfn.LET(_xlpm.x,_xlfn.XLOOKUP(tblMailAuftraege[[#This Row],[Datensatz-ID]],tblVertraege[Datensatz-ID],tblVertraege[Sparte],""),IF(_xlpm.x=0,"",_xlpm.x))</f>
        <v>KV</v>
      </c>
      <c r="Z12" s="29" t="str">
        <f>_xlfn.LET(_xlpm.x,_xlfn.XLOOKUP(tblMailAuftraege[[#This Row],[Datensatz-ID]],tblVertraege[Datensatz-ID],tblVertraege[Abgeber-ID],""),IF(_xlpm.x=0,"",_xlpm.x))</f>
        <v>AB-01</v>
      </c>
      <c r="AA12" s="29" t="str">
        <f>_xlfn.LET(_xlpm.x,_xlfn.XLOOKUP(tblMailAuftraege[[#This Row],[Datensatz-ID]],tblVertraege[Datensatz-ID],tblVertraege[Abgebender Agenturtyp],""),IF(_xlpm.x=0,"",_xlpm.x))</f>
        <v>AO</v>
      </c>
      <c r="AB12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2" s="32">
        <f>_xlfn.LET(_xlpm.x,_xlfn.XLOOKUP(tblMailAuftraege[[#This Row],[Datensatz-ID]],tblVertraege[Datensatz-ID],tblVertraege[Abgebende Agenturnummer / OE],""),IF(_xlpm.x=0,"",_xlpm.x))</f>
        <v>600040114</v>
      </c>
      <c r="AD12" s="29" t="str">
        <f>_xlfn.LET(_xlpm.x,_xlfn.XLOOKUP(tblMailAuftraege[[#This Row],[Datensatz-ID]],tblVertraege[Datensatz-ID],tblVertraege[Abgeberstatus],""),IF(_xlpm.x=0,"",_xlpm.x))</f>
        <v>aktiv</v>
      </c>
      <c r="AE1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3" spans="2:31" ht="57.75" customHeight="1">
      <c r="B13" s="25" t="s">
        <v>210</v>
      </c>
      <c r="C13" s="25" t="s">
        <v>211</v>
      </c>
      <c r="D13" s="24" t="s">
        <v>212</v>
      </c>
      <c r="E13" s="24" t="s">
        <v>14</v>
      </c>
      <c r="F13" s="25" t="s">
        <v>213</v>
      </c>
      <c r="G1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P-04 – Unbekannter Absender: kein EMMA-Treffer; keine Agenturnummer in Signatur oder Text
Eingangsart: Testmail
Basisvorlage: eigenständige Negativvorlage; Postfach: P-04</v>
      </c>
      <c r="H1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nicht erforderlich</v>
      </c>
      <c r="I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nicht erforderlich</v>
      </c>
      <c r="J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nicht erforderlich</v>
      </c>
      <c r="K13" s="32">
        <f>_xlfn.LET(_xlpm.x,_xlfn.XLOOKUP(tblMailAuftraege[[#This Row],[Datensatz-ID]],tblVertraege[Datensatz-ID],tblVertraege[IMSI-VNR],""),IF(_xlpm.x=0,"",_xlpm.x))</f>
        <v>317063119</v>
      </c>
      <c r="L13" s="29" t="str">
        <f>_xlfn.LET(_xlpm.x,_xlfn.XLOOKUP(tblMailAuftraege[[#This Row],[Datensatz-ID]],tblVertraege[Datensatz-ID],tblVertraege[Sparte],""),IF(_xlpm.x=0,"",_xlpm.x))</f>
        <v>KV</v>
      </c>
      <c r="M1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TF-VP-03 | KV | VNR 317063119</v>
      </c>
      <c r="N1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prüfen Sie die Übertragung des Vertrags 317063119 der Sparte KV.
Versicherungsnehmer / Firma: Mustermann
Vielen Dank und freundliche Grüße</v>
      </c>
      <c r="O13" s="29" t="str">
        <f>_xlfn.XLOOKUP(tblMailAuftraege[[#This Row],[Mail-ID / Zustand]],tblMailanforderungen[Mail-ID / Zustand],tblMailanforderungen[Erforderliche Anhänge],"")</f>
        <v>nur fachlich notwendige Unterlagen; keine Agenturnummer in Dokument oder Signatur</v>
      </c>
      <c r="P1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v>
      </c>
      <c r="Q1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v>
      </c>
      <c r="R1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nicht vorhanden
• Vermittlertyp: kein EMMA-Treffer
• BÜ-Wunsch: vorhanden
• Maklervollmacht vorhanden: Agenturnummer: nicht vorhanden; Kunden-/VN-Daten: testfallspezifisch
• TBD: Feldbezeichnung gegen aktuelles KI-Deckblatt prüfen</v>
      </c>
      <c r="S1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3" s="26" t="s">
        <v>18</v>
      </c>
      <c r="U13" s="26" t="s">
        <v>18</v>
      </c>
      <c r="V13" s="27"/>
      <c r="W1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3" s="25" t="s">
        <v>85</v>
      </c>
      <c r="Y13" s="29" t="str">
        <f>_xlfn.LET(_xlpm.x,_xlfn.XLOOKUP(tblMailAuftraege[[#This Row],[Datensatz-ID]],tblVertraege[Datensatz-ID],tblVertraege[Sparte],""),IF(_xlpm.x=0,"",_xlpm.x))</f>
        <v>KV</v>
      </c>
      <c r="Z13" s="29" t="str">
        <f>_xlfn.LET(_xlpm.x,_xlfn.XLOOKUP(tblMailAuftraege[[#This Row],[Datensatz-ID]],tblVertraege[Datensatz-ID],tblVertraege[Abgeber-ID],""),IF(_xlpm.x=0,"",_xlpm.x))</f>
        <v>AB-01</v>
      </c>
      <c r="AA13" s="29" t="str">
        <f>_xlfn.LET(_xlpm.x,_xlfn.XLOOKUP(tblMailAuftraege[[#This Row],[Datensatz-ID]],tblVertraege[Datensatz-ID],tblVertraege[Abgebender Agenturtyp],""),IF(_xlpm.x=0,"",_xlpm.x))</f>
        <v>AO</v>
      </c>
      <c r="AB1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3" s="32">
        <f>_xlfn.LET(_xlpm.x,_xlfn.XLOOKUP(tblMailAuftraege[[#This Row],[Datensatz-ID]],tblVertraege[Datensatz-ID],tblVertraege[Abgebende Agenturnummer / OE],""),IF(_xlpm.x=0,"",_xlpm.x))</f>
        <v>600040114</v>
      </c>
      <c r="AD13" s="29" t="str">
        <f>_xlfn.LET(_xlpm.x,_xlfn.XLOOKUP(tblMailAuftraege[[#This Row],[Datensatz-ID]],tblVertraege[Datensatz-ID],tblVertraege[Abgeberstatus],""),IF(_xlpm.x=0,"",_xlpm.x))</f>
        <v>aktiv</v>
      </c>
      <c r="AE1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4" spans="2:31" ht="57.75" customHeight="1">
      <c r="B14" s="25" t="s">
        <v>214</v>
      </c>
      <c r="C14" s="25" t="s">
        <v>215</v>
      </c>
      <c r="D14" s="24" t="s">
        <v>216</v>
      </c>
      <c r="E14" s="24" t="s">
        <v>14</v>
      </c>
      <c r="F14" s="25" t="s">
        <v>217</v>
      </c>
      <c r="G1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4" s="32">
        <f>_xlfn.LET(_xlpm.x,_xlfn.XLOOKUP(tblMailAuftraege[[#This Row],[Datensatz-ID]],tblVertraege[Datensatz-ID],tblVertraege[IMSI-VNR],""),IF(_xlpm.x=0,"",_xlpm.x))</f>
        <v>317063119</v>
      </c>
      <c r="L14" s="29" t="str">
        <f>_xlfn.LET(_xlpm.x,_xlfn.XLOOKUP(tblMailAuftraege[[#This Row],[Datensatz-ID]],tblVertraege[Datensatz-ID],tblVertraege[Sparte],""),IF(_xlpm.x=0,"",_xlpm.x))</f>
        <v>KV</v>
      </c>
      <c r="M1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TF-VP-04 | KV | VNR 317063119</v>
      </c>
      <c r="N1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richten Sie die Betreuung für den Vertrag 317063119 der Sparte KV entsprechend dem beigefügten Betreuungswunsch auf [AGENTURNAME], Agenturnummer [AGENTURNUMMER], ein.
Versicherungsnehmer / Firma: Mustermann
Vielen Dank und freundliche Grüße</v>
      </c>
      <c r="O14" s="29" t="str">
        <f>_xlfn.XLOOKUP(tblMailAuftraege[[#This Row],[Mail-ID / Zustand]],tblMailanforderungen[Mail-ID / Zustand],tblMailanforderungen[Erforderliche Anhänge],"")</f>
        <v>Betreuungswunsch</v>
      </c>
      <c r="P1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v>
      </c>
      <c r="Q1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v>
      </c>
      <c r="R1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nicht vorhanden
• Maklervollmacht vorhanden: Betreuungswunsch: vorhanden
• TBD: Feldbezeichnung gegen aktuelles KI-Deckblatt prüfen</v>
      </c>
      <c r="S1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4" s="26" t="s">
        <v>18</v>
      </c>
      <c r="U14" s="26" t="s">
        <v>18</v>
      </c>
      <c r="V14" s="27"/>
      <c r="W1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4" s="25" t="s">
        <v>85</v>
      </c>
      <c r="Y14" s="29" t="str">
        <f>_xlfn.LET(_xlpm.x,_xlfn.XLOOKUP(tblMailAuftraege[[#This Row],[Datensatz-ID]],tblVertraege[Datensatz-ID],tblVertraege[Sparte],""),IF(_xlpm.x=0,"",_xlpm.x))</f>
        <v>KV</v>
      </c>
      <c r="Z14" s="29" t="str">
        <f>_xlfn.LET(_xlpm.x,_xlfn.XLOOKUP(tblMailAuftraege[[#This Row],[Datensatz-ID]],tblVertraege[Datensatz-ID],tblVertraege[Abgeber-ID],""),IF(_xlpm.x=0,"",_xlpm.x))</f>
        <v>AB-01</v>
      </c>
      <c r="AA14" s="29" t="str">
        <f>_xlfn.LET(_xlpm.x,_xlfn.XLOOKUP(tblMailAuftraege[[#This Row],[Datensatz-ID]],tblVertraege[Datensatz-ID],tblVertraege[Abgebender Agenturtyp],""),IF(_xlpm.x=0,"",_xlpm.x))</f>
        <v>AO</v>
      </c>
      <c r="AB1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4" s="32">
        <f>_xlfn.LET(_xlpm.x,_xlfn.XLOOKUP(tblMailAuftraege[[#This Row],[Datensatz-ID]],tblVertraege[Datensatz-ID],tblVertraege[Abgebende Agenturnummer / OE],""),IF(_xlpm.x=0,"",_xlpm.x))</f>
        <v>600040114</v>
      </c>
      <c r="AD14" s="29" t="str">
        <f>_xlfn.LET(_xlpm.x,_xlfn.XLOOKUP(tblMailAuftraege[[#This Row],[Datensatz-ID]],tblVertraege[Datensatz-ID],tblVertraege[Abgeberstatus],""),IF(_xlpm.x=0,"",_xlpm.x))</f>
        <v>aktiv</v>
      </c>
      <c r="AE1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5" spans="2:31" ht="57.75" customHeight="1">
      <c r="B15" s="25" t="s">
        <v>218</v>
      </c>
      <c r="C15" s="25" t="s">
        <v>219</v>
      </c>
      <c r="D15" s="24" t="s">
        <v>220</v>
      </c>
      <c r="E15" s="24" t="s">
        <v>14</v>
      </c>
      <c r="F15" s="25" t="s">
        <v>221</v>
      </c>
      <c r="G1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5" s="32">
        <f>_xlfn.LET(_xlpm.x,_xlfn.XLOOKUP(tblMailAuftraege[[#This Row],[Datensatz-ID]],tblVertraege[Datensatz-ID],tblVertraege[IMSI-VNR],""),IF(_xlpm.x=0,"",_xlpm.x))</f>
        <v>317063119</v>
      </c>
      <c r="L15" s="29" t="str">
        <f>_xlfn.LET(_xlpm.x,_xlfn.XLOOKUP(tblMailAuftraege[[#This Row],[Datensatz-ID]],tblVertraege[Datensatz-ID],tblVertraege[Sparte],""),IF(_xlpm.x=0,"",_xlpm.x))</f>
        <v>KV</v>
      </c>
      <c r="M1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TF-VP-05 | KV | VNR 317063119</v>
      </c>
      <c r="N1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KV. Der beigefügte Betreuungswunsch nennt einen anderen Vermittler als [AGENTURNAME], Agenturnummer [AGENTURNUMMER].
Versicherungsnehmer / Firma: Mustermann
Vielen Dank und freundliche Grüße</v>
      </c>
      <c r="O15" s="29" t="str">
        <f>_xlfn.XLOOKUP(tblMailAuftraege[[#This Row],[Mail-ID / Zustand]],tblMailanforderungen[Mail-ID / Zustand],tblMailanforderungen[Erforderliche Anhänge],"")</f>
        <v>Betreuungswunsch auf anderen Vermittler</v>
      </c>
      <c r="P1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v>
      </c>
      <c r="Q1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v>
      </c>
      <c r="R1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Betreuungswunsch: anderer Vermittler
• TBD: Feldbezeichnung gegen aktuelles KI-Deckblatt prüfen</v>
      </c>
      <c r="S1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5" s="26" t="s">
        <v>18</v>
      </c>
      <c r="U15" s="26" t="s">
        <v>18</v>
      </c>
      <c r="V15" s="27"/>
      <c r="W1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5" s="25" t="s">
        <v>85</v>
      </c>
      <c r="Y15" s="29" t="str">
        <f>_xlfn.LET(_xlpm.x,_xlfn.XLOOKUP(tblMailAuftraege[[#This Row],[Datensatz-ID]],tblVertraege[Datensatz-ID],tblVertraege[Sparte],""),IF(_xlpm.x=0,"",_xlpm.x))</f>
        <v>KV</v>
      </c>
      <c r="Z15" s="29" t="str">
        <f>_xlfn.LET(_xlpm.x,_xlfn.XLOOKUP(tblMailAuftraege[[#This Row],[Datensatz-ID]],tblVertraege[Datensatz-ID],tblVertraege[Abgeber-ID],""),IF(_xlpm.x=0,"",_xlpm.x))</f>
        <v>AB-01</v>
      </c>
      <c r="AA15" s="29" t="str">
        <f>_xlfn.LET(_xlpm.x,_xlfn.XLOOKUP(tblMailAuftraege[[#This Row],[Datensatz-ID]],tblVertraege[Datensatz-ID],tblVertraege[Abgebender Agenturtyp],""),IF(_xlpm.x=0,"",_xlpm.x))</f>
        <v>AO</v>
      </c>
      <c r="AB1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5" s="32">
        <f>_xlfn.LET(_xlpm.x,_xlfn.XLOOKUP(tblMailAuftraege[[#This Row],[Datensatz-ID]],tblVertraege[Datensatz-ID],tblVertraege[Abgebende Agenturnummer / OE],""),IF(_xlpm.x=0,"",_xlpm.x))</f>
        <v>600040114</v>
      </c>
      <c r="AD15" s="29" t="str">
        <f>_xlfn.LET(_xlpm.x,_xlfn.XLOOKUP(tblMailAuftraege[[#This Row],[Datensatz-ID]],tblVertraege[Datensatz-ID],tblVertraege[Abgeberstatus],""),IF(_xlpm.x=0,"",_xlpm.x))</f>
        <v>aktiv</v>
      </c>
      <c r="AE1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6" spans="2:31" ht="57.75" customHeight="1">
      <c r="B16" s="25" t="s">
        <v>222</v>
      </c>
      <c r="C16" s="25" t="s">
        <v>223</v>
      </c>
      <c r="D16" s="24" t="s">
        <v>224</v>
      </c>
      <c r="E16" s="24" t="s">
        <v>14</v>
      </c>
      <c r="F16" s="25" t="s">
        <v>225</v>
      </c>
      <c r="G1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6" s="32" t="str">
        <f>_xlfn.LET(_xlpm.x,_xlfn.XLOOKUP(tblMailAuftraege[[#This Row],[Datensatz-ID]],tblVertraege[Datensatz-ID],tblVertraege[IMSI-VNR],""),IF(_xlpm.x=0,"",_xlpm.x))</f>
        <v/>
      </c>
      <c r="L16" s="29" t="str">
        <f>_xlfn.LET(_xlpm.x,_xlfn.XLOOKUP(tblMailAuftraege[[#This Row],[Datensatz-ID]],tblVertraege[Datensatz-ID],tblVertraege[Sparte],""),IF(_xlpm.x=0,"",_xlpm.x))</f>
        <v>Komposit</v>
      </c>
      <c r="M1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Komposit | VNR [IMSI-VNR]</v>
      </c>
      <c r="N1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16" s="29" t="str">
        <f>_xlfn.XLOOKUP(tblMailAuftraege[[#This Row],[Mail-ID / Zustand]],tblMailanforderungen[Mail-ID / Zustand],tblMailanforderungen[Erforderliche Anhänge],"")</f>
        <v>PDF-Maklervollmacht ohne VN-Unterschrift</v>
      </c>
      <c r="P1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1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1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BÜ-Wunsch: vorhanden
• Maklervollmacht vorhanden: ja; Unterschrift vorhanden: nein; Kunden-/VN-Daten: IMSI-konform
• TBD: Feldbezeichnung gegen aktuelles KI-Deckblatt prüfen</v>
      </c>
      <c r="S1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6" s="26" t="s">
        <v>18</v>
      </c>
      <c r="U16" s="26" t="s">
        <v>18</v>
      </c>
      <c r="V16" s="27"/>
      <c r="W1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6" s="25" t="s">
        <v>94</v>
      </c>
      <c r="Y16" s="29" t="str">
        <f>_xlfn.LET(_xlpm.x,_xlfn.XLOOKUP(tblMailAuftraege[[#This Row],[Datensatz-ID]],tblVertraege[Datensatz-ID],tblVertraege[Sparte],""),IF(_xlpm.x=0,"",_xlpm.x))</f>
        <v>Komposit</v>
      </c>
      <c r="Z16" s="29" t="str">
        <f>_xlfn.LET(_xlpm.x,_xlfn.XLOOKUP(tblMailAuftraege[[#This Row],[Datensatz-ID]],tblVertraege[Datensatz-ID],tblVertraege[Abgeber-ID],""),IF(_xlpm.x=0,"",_xlpm.x))</f>
        <v>AB-02</v>
      </c>
      <c r="AA16" s="29" t="str">
        <f>_xlfn.LET(_xlpm.x,_xlfn.XLOOKUP(tblMailAuftraege[[#This Row],[Datensatz-ID]],tblVertraege[Datensatz-ID],tblVertraege[Abgebender Agenturtyp],""),IF(_xlpm.x=0,"",_xlpm.x))</f>
        <v>Makler</v>
      </c>
      <c r="AB16" s="29" t="str">
        <f>_xlfn.LET(_xlpm.x,_xlfn.XLOOKUP(tblMailAuftraege[[#This Row],[Datensatz-ID]],tblVertraege[Datensatz-ID],tblVertraege[Konkreter abgebender Agenturname],""),IF(_xlpm.x=0,"",_xlpm.x))</f>
        <v/>
      </c>
      <c r="AC16" s="32" t="str">
        <f>_xlfn.LET(_xlpm.x,_xlfn.XLOOKUP(tblMailAuftraege[[#This Row],[Datensatz-ID]],tblVertraege[Datensatz-ID],tblVertraege[Abgebende Agenturnummer / OE],""),IF(_xlpm.x=0,"",_xlpm.x))</f>
        <v/>
      </c>
      <c r="AD16" s="29" t="str">
        <f>_xlfn.LET(_xlpm.x,_xlfn.XLOOKUP(tblMailAuftraege[[#This Row],[Datensatz-ID]],tblVertraege[Datensatz-ID],tblVertraege[Abgeberstatus],""),IF(_xlpm.x=0,"",_xlpm.x))</f>
        <v>aktiv</v>
      </c>
      <c r="AE1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7" spans="2:31" ht="57.75" customHeight="1">
      <c r="B17" s="25" t="s">
        <v>226</v>
      </c>
      <c r="C17" s="25" t="s">
        <v>227</v>
      </c>
      <c r="D17" s="24" t="s">
        <v>228</v>
      </c>
      <c r="E17" s="24" t="s">
        <v>22</v>
      </c>
      <c r="F17" s="25" t="s">
        <v>229</v>
      </c>
      <c r="G1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1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7" s="32">
        <f>_xlfn.LET(_xlpm.x,_xlfn.XLOOKUP(tblMailAuftraege[[#This Row],[Datensatz-ID]],tblVertraege[Datensatz-ID],tblVertraege[IMSI-VNR],""),IF(_xlpm.x=0,"",_xlpm.x))</f>
        <v>317063119</v>
      </c>
      <c r="L17" s="29" t="str">
        <f>_xlfn.LET(_xlpm.x,_xlfn.XLOOKUP(tblMailAuftraege[[#This Row],[Datensatz-ID]],tblVertraege[Datensatz-ID],tblVertraege[Sparte],""),IF(_xlpm.x=0,"",_xlpm.x))</f>
        <v>KV</v>
      </c>
      <c r="M1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1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formell gültige, in IMSI nicht vorhandene VNR im Vorgang beziehungsweise Datenpool bereitstellen.</v>
      </c>
      <c r="O17" s="29" t="str">
        <f>_xlfn.XLOOKUP(tblMailAuftraege[[#This Row],[Mail-ID / Zustand]],tblMailanforderungen[Mail-ID / Zustand],tblMailanforderungen[Erforderliche Anhänge],"")</f>
        <v>nicht erforderlich</v>
      </c>
      <c r="P17" s="29" t="str">
        <f>_xlfn.XLOOKUP(tblMailAuftraege[[#This Row],[Mail-ID / Zustand]],tblMailanforderungen[Mail-ID / Zustand],tblMailanforderungen[Maklervollmacht / Betreuungswunsch],"")</f>
        <v>nicht erforderlich</v>
      </c>
      <c r="Q1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formell gültige, in IMSI nicht vorhandene VNR im Vorgang beziehungsweise Datenpool bereitstellen.</v>
      </c>
      <c r="R1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BUE_VNR: formell gültige, in IMSI nicht vorhandene VNR
- BUE_SPARTE: KV
- weitere Werte: gültige Basisausprägung gemäß Testfall</v>
      </c>
      <c r="S1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Ausgangs-VNR dokumentiert
□ unbekannte Test-VNR festgelegt
□ Test-VNR ist in IMSI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17" s="26" t="s">
        <v>26</v>
      </c>
      <c r="U17" s="26" t="s">
        <v>26</v>
      </c>
      <c r="V17" s="27"/>
      <c r="W1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7" s="25" t="s">
        <v>85</v>
      </c>
      <c r="Y17" s="29" t="str">
        <f>_xlfn.LET(_xlpm.x,_xlfn.XLOOKUP(tblMailAuftraege[[#This Row],[Datensatz-ID]],tblVertraege[Datensatz-ID],tblVertraege[Sparte],""),IF(_xlpm.x=0,"",_xlpm.x))</f>
        <v>KV</v>
      </c>
      <c r="Z17" s="29" t="str">
        <f>_xlfn.LET(_xlpm.x,_xlfn.XLOOKUP(tblMailAuftraege[[#This Row],[Datensatz-ID]],tblVertraege[Datensatz-ID],tblVertraege[Abgeber-ID],""),IF(_xlpm.x=0,"",_xlpm.x))</f>
        <v>AB-01</v>
      </c>
      <c r="AA17" s="29" t="str">
        <f>_xlfn.LET(_xlpm.x,_xlfn.XLOOKUP(tblMailAuftraege[[#This Row],[Datensatz-ID]],tblVertraege[Datensatz-ID],tblVertraege[Abgebender Agenturtyp],""),IF(_xlpm.x=0,"",_xlpm.x))</f>
        <v>AO</v>
      </c>
      <c r="AB17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7" s="32">
        <f>_xlfn.LET(_xlpm.x,_xlfn.XLOOKUP(tblMailAuftraege[[#This Row],[Datensatz-ID]],tblVertraege[Datensatz-ID],tblVertraege[Abgebende Agenturnummer / OE],""),IF(_xlpm.x=0,"",_xlpm.x))</f>
        <v>600040114</v>
      </c>
      <c r="AD17" s="29" t="str">
        <f>_xlfn.LET(_xlpm.x,_xlfn.XLOOKUP(tblMailAuftraege[[#This Row],[Datensatz-ID]],tblVertraege[Datensatz-ID],tblVertraege[Abgeberstatus],""),IF(_xlpm.x=0,"",_xlpm.x))</f>
        <v>aktiv</v>
      </c>
      <c r="AE1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8" spans="2:31" ht="57.75" customHeight="1">
      <c r="B18" s="25" t="s">
        <v>230</v>
      </c>
      <c r="C18" s="25" t="s">
        <v>231</v>
      </c>
      <c r="D18" s="24" t="s">
        <v>232</v>
      </c>
      <c r="E18" s="24" t="s">
        <v>14</v>
      </c>
      <c r="F18" s="25" t="s">
        <v>233</v>
      </c>
      <c r="G1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8" s="32">
        <f>_xlfn.LET(_xlpm.x,_xlfn.XLOOKUP(tblMailAuftraege[[#This Row],[Datensatz-ID]],tblVertraege[Datensatz-ID],tblVertraege[IMSI-VNR],""),IF(_xlpm.x=0,"",_xlpm.x))</f>
        <v>317063119</v>
      </c>
      <c r="L18" s="29" t="str">
        <f>_xlfn.LET(_xlpm.x,_xlfn.XLOOKUP(tblMailAuftraege[[#This Row],[Datensatz-ID]],tblVertraege[Datensatz-ID],tblVertraege[Sparte],""),IF(_xlpm.x=0,"",_xlpm.x))</f>
        <v>KV</v>
      </c>
      <c r="M1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TF-KU-02 | KV | VNR 317063119</v>
      </c>
      <c r="N1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18" s="29" t="str">
        <f>_xlfn.XLOOKUP(tblMailAuftraege[[#This Row],[Mail-ID / Zustand]],tblMailanforderungen[Mail-ID / Zustand],tblMailanforderungen[Erforderliche Anhänge],"")</f>
        <v>Maklervollmacht beziehungsweise Dokument mit fiktiver Person</v>
      </c>
      <c r="P18" s="29" t="str">
        <f>_xlfn.XLOOKUP(tblMailAuftraege[[#This Row],[Mail-ID / Zustand]],tblMailanforderungen[Mail-ID / Zustand],tblMailanforderungen[Maklervollmacht / Betreuungswunsch],"")</f>
        <v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v>
      </c>
      <c r="R1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fiktive Person mit formal plausiblen Stammdaten
• TBD: Feldbezeichnung gegen aktuelles KI-Deckblatt prüfen</v>
      </c>
      <c r="S1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8" s="26" t="s">
        <v>18</v>
      </c>
      <c r="U18" s="26" t="s">
        <v>18</v>
      </c>
      <c r="V18" s="27"/>
      <c r="W1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8" s="25" t="s">
        <v>85</v>
      </c>
      <c r="Y18" s="29" t="str">
        <f>_xlfn.LET(_xlpm.x,_xlfn.XLOOKUP(tblMailAuftraege[[#This Row],[Datensatz-ID]],tblVertraege[Datensatz-ID],tblVertraege[Sparte],""),IF(_xlpm.x=0,"",_xlpm.x))</f>
        <v>KV</v>
      </c>
      <c r="Z18" s="29" t="str">
        <f>_xlfn.LET(_xlpm.x,_xlfn.XLOOKUP(tblMailAuftraege[[#This Row],[Datensatz-ID]],tblVertraege[Datensatz-ID],tblVertraege[Abgeber-ID],""),IF(_xlpm.x=0,"",_xlpm.x))</f>
        <v>AB-01</v>
      </c>
      <c r="AA18" s="29" t="str">
        <f>_xlfn.LET(_xlpm.x,_xlfn.XLOOKUP(tblMailAuftraege[[#This Row],[Datensatz-ID]],tblVertraege[Datensatz-ID],tblVertraege[Abgebender Agenturtyp],""),IF(_xlpm.x=0,"",_xlpm.x))</f>
        <v>AO</v>
      </c>
      <c r="AB1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8" s="32">
        <f>_xlfn.LET(_xlpm.x,_xlfn.XLOOKUP(tblMailAuftraege[[#This Row],[Datensatz-ID]],tblVertraege[Datensatz-ID],tblVertraege[Abgebende Agenturnummer / OE],""),IF(_xlpm.x=0,"",_xlpm.x))</f>
        <v>600040114</v>
      </c>
      <c r="AD18" s="29" t="str">
        <f>_xlfn.LET(_xlpm.x,_xlfn.XLOOKUP(tblMailAuftraege[[#This Row],[Datensatz-ID]],tblVertraege[Datensatz-ID],tblVertraege[Abgeberstatus],""),IF(_xlpm.x=0,"",_xlpm.x))</f>
        <v>aktiv</v>
      </c>
      <c r="AE1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9" spans="2:31" ht="57.75" customHeight="1">
      <c r="B19" s="25" t="s">
        <v>234</v>
      </c>
      <c r="C19" s="25" t="s">
        <v>235</v>
      </c>
      <c r="D19" s="24" t="s">
        <v>236</v>
      </c>
      <c r="E19" s="24" t="s">
        <v>14</v>
      </c>
      <c r="F19" s="25" t="s">
        <v>237</v>
      </c>
      <c r="G1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9" s="32" t="str">
        <f>_xlfn.LET(_xlpm.x,_xlfn.XLOOKUP(tblMailAuftraege[[#This Row],[Datensatz-ID]],tblVertraege[Datensatz-ID],tblVertraege[IMSI-VNR],""),IF(_xlpm.x=0,"",_xlpm.x))</f>
        <v/>
      </c>
      <c r="L19" s="29" t="str">
        <f>_xlfn.LET(_xlpm.x,_xlfn.XLOOKUP(tblMailAuftraege[[#This Row],[Datensatz-ID]],tblVertraege[Datensatz-ID],tblVertraege[Sparte],""),IF(_xlpm.x=0,"",_xlpm.x))</f>
        <v>KV</v>
      </c>
      <c r="M1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TF-KU-03 | KV | VNR [IMSI-VNR]</v>
      </c>
      <c r="N1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In den Unterlagen genannte Person: [VN-ODER-FIRMENNAME]
Vielen Dank und freundliche Grüße</v>
      </c>
      <c r="O19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19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1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BÜ-Wunsch: vorhanden
• Maklervollmacht vorhanden: ja; Kunden-/VN-Daten: andere vorhandene Person testfallspezifisch
• TBD: Feldbezeichnung gegen aktuelles KI-Deckblatt prüfen</v>
      </c>
      <c r="S1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9" s="26" t="s">
        <v>18</v>
      </c>
      <c r="U19" s="26" t="s">
        <v>18</v>
      </c>
      <c r="V19" s="27"/>
      <c r="W1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9" s="25" t="s">
        <v>109</v>
      </c>
      <c r="Y19" s="29" t="str">
        <f>_xlfn.LET(_xlpm.x,_xlfn.XLOOKUP(tblMailAuftraege[[#This Row],[Datensatz-ID]],tblVertraege[Datensatz-ID],tblVertraege[Sparte],""),IF(_xlpm.x=0,"",_xlpm.x))</f>
        <v>KV</v>
      </c>
      <c r="Z19" s="29" t="str">
        <f>_xlfn.LET(_xlpm.x,_xlfn.XLOOKUP(tblMailAuftraege[[#This Row],[Datensatz-ID]],tblVertraege[Datensatz-ID],tblVertraege[Abgeber-ID],""),IF(_xlpm.x=0,"",_xlpm.x))</f>
        <v/>
      </c>
      <c r="AA19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19" s="29" t="str">
        <f>_xlfn.LET(_xlpm.x,_xlfn.XLOOKUP(tblMailAuftraege[[#This Row],[Datensatz-ID]],tblVertraege[Datensatz-ID],tblVertraege[Konkreter abgebender Agenturname],""),IF(_xlpm.x=0,"",_xlpm.x))</f>
        <v/>
      </c>
      <c r="AC19" s="32" t="str">
        <f>_xlfn.LET(_xlpm.x,_xlfn.XLOOKUP(tblMailAuftraege[[#This Row],[Datensatz-ID]],tblVertraege[Datensatz-ID],tblVertraege[Abgebende Agenturnummer / OE],""),IF(_xlpm.x=0,"",_xlpm.x))</f>
        <v/>
      </c>
      <c r="AD19" s="29" t="str">
        <f>_xlfn.LET(_xlpm.x,_xlfn.XLOOKUP(tblMailAuftraege[[#This Row],[Datensatz-ID]],tblVertraege[Datensatz-ID],tblVertraege[Abgeberstatus],""),IF(_xlpm.x=0,"",_xlpm.x))</f>
        <v>gemäß Hostzustand</v>
      </c>
      <c r="AE1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0" spans="2:31" ht="57.75" customHeight="1">
      <c r="B20" s="25" t="s">
        <v>238</v>
      </c>
      <c r="C20" s="25" t="s">
        <v>239</v>
      </c>
      <c r="D20" s="24" t="s">
        <v>240</v>
      </c>
      <c r="E20" s="24" t="s">
        <v>14</v>
      </c>
      <c r="F20" s="25" t="s">
        <v>237</v>
      </c>
      <c r="G2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0" s="32">
        <f>_xlfn.LET(_xlpm.x,_xlfn.XLOOKUP(tblMailAuftraege[[#This Row],[Datensatz-ID]],tblVertraege[Datensatz-ID],tblVertraege[IMSI-VNR],""),IF(_xlpm.x=0,"",_xlpm.x))</f>
        <v>317063119</v>
      </c>
      <c r="L20" s="29" t="str">
        <f>_xlfn.LET(_xlpm.x,_xlfn.XLOOKUP(tblMailAuftraege[[#This Row],[Datensatz-ID]],tblVertraege[Datensatz-ID],tblVertraege[Sparte],""),IF(_xlpm.x=0,"",_xlpm.x))</f>
        <v>KV</v>
      </c>
      <c r="M2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TF-KU-04 | KV | VNR 317063119</v>
      </c>
      <c r="N2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In den Unterlagen genannte Person: Mustermann
Vielen Dank und freundliche Grüße</v>
      </c>
      <c r="O20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20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2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2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andere vorhandene Person testfallspezifisch
• TBD: Feldbezeichnung gegen aktuelles KI-Deckblatt prüfen</v>
      </c>
      <c r="S2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0" s="26" t="s">
        <v>18</v>
      </c>
      <c r="U20" s="26" t="s">
        <v>18</v>
      </c>
      <c r="V20" s="27"/>
      <c r="W2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0" s="25" t="s">
        <v>85</v>
      </c>
      <c r="Y20" s="29" t="str">
        <f>_xlfn.LET(_xlpm.x,_xlfn.XLOOKUP(tblMailAuftraege[[#This Row],[Datensatz-ID]],tblVertraege[Datensatz-ID],tblVertraege[Sparte],""),IF(_xlpm.x=0,"",_xlpm.x))</f>
        <v>KV</v>
      </c>
      <c r="Z20" s="29" t="str">
        <f>_xlfn.LET(_xlpm.x,_xlfn.XLOOKUP(tblMailAuftraege[[#This Row],[Datensatz-ID]],tblVertraege[Datensatz-ID],tblVertraege[Abgeber-ID],""),IF(_xlpm.x=0,"",_xlpm.x))</f>
        <v>AB-01</v>
      </c>
      <c r="AA20" s="29" t="str">
        <f>_xlfn.LET(_xlpm.x,_xlfn.XLOOKUP(tblMailAuftraege[[#This Row],[Datensatz-ID]],tblVertraege[Datensatz-ID],tblVertraege[Abgebender Agenturtyp],""),IF(_xlpm.x=0,"",_xlpm.x))</f>
        <v>AO</v>
      </c>
      <c r="AB2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0" s="32">
        <f>_xlfn.LET(_xlpm.x,_xlfn.XLOOKUP(tblMailAuftraege[[#This Row],[Datensatz-ID]],tblVertraege[Datensatz-ID],tblVertraege[Abgebende Agenturnummer / OE],""),IF(_xlpm.x=0,"",_xlpm.x))</f>
        <v>600040114</v>
      </c>
      <c r="AD20" s="29" t="str">
        <f>_xlfn.LET(_xlpm.x,_xlfn.XLOOKUP(tblMailAuftraege[[#This Row],[Datensatz-ID]],tblVertraege[Datensatz-ID],tblVertraege[Abgeberstatus],""),IF(_xlpm.x=0,"",_xlpm.x))</f>
        <v>aktiv</v>
      </c>
      <c r="AE2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1" spans="2:31" ht="57.75" customHeight="1">
      <c r="B21" s="25" t="s">
        <v>241</v>
      </c>
      <c r="C21" s="25" t="s">
        <v>242</v>
      </c>
      <c r="D21" s="24" t="s">
        <v>243</v>
      </c>
      <c r="E21" s="24" t="s">
        <v>22</v>
      </c>
      <c r="F21" s="25" t="s">
        <v>229</v>
      </c>
      <c r="G2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1" s="32">
        <f>_xlfn.LET(_xlpm.x,_xlfn.XLOOKUP(tblMailAuftraege[[#This Row],[Datensatz-ID]],tblVertraege[Datensatz-ID],tblVertraege[IMSI-VNR],""),IF(_xlpm.x=0,"",_xlpm.x))</f>
        <v>317063119</v>
      </c>
      <c r="L21" s="29" t="str">
        <f>_xlfn.LET(_xlpm.x,_xlfn.XLOOKUP(tblMailAuftraege[[#This Row],[Datensatz-ID]],tblVertraege[Datensatz-ID],tblVertraege[Sparte],""),IF(_xlpm.x=0,"",_xlpm.x))</f>
        <v>KV</v>
      </c>
      <c r="M2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fiktive 9-stellige, in OB726 unbekannte Agenturnummer im Vorgang beziehungsweise Datenpool bereitstellen.</v>
      </c>
      <c r="O21" s="29" t="str">
        <f>_xlfn.XLOOKUP(tblMailAuftraege[[#This Row],[Mail-ID / Zustand]],tblMailanforderungen[Mail-ID / Zustand],tblMailanforderungen[Erforderliche Anhänge],"")</f>
        <v>nicht erforderlich</v>
      </c>
      <c r="P21" s="29" t="str">
        <f>_xlfn.XLOOKUP(tblMailAuftraege[[#This Row],[Mail-ID / Zustand]],tblMailanforderungen[Mail-ID / Zustand],tblMailanforderungen[Maklervollmacht / Betreuungswunsch],"")</f>
        <v>nicht erforderlich</v>
      </c>
      <c r="Q2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fiktive 9-stellige, in OB726 unbekannte Agenturnummer im Vorgang beziehungsweise Datenpool bereitstellen.</v>
      </c>
      <c r="R2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BUE_AGENTUR_NR: fiktive 9-stellige, in OB726 unbekannte Agenturnummer
- BUE_VNR: gültige IMSI-VNR
- BUE_SPARTE: KV
- weitere Werte: gültige Basisausprägung gemäß Testfall</v>
      </c>
      <c r="S2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Ausgangswert der aufnehmenden Agenturnummer dokumentiert
□ fiktive 9-stellige aufnehmende Agenturnummer festgelegt
□ aufnehmende Agenturnummer ist in OB726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21" s="26" t="s">
        <v>26</v>
      </c>
      <c r="U21" s="26" t="s">
        <v>26</v>
      </c>
      <c r="V21" s="27"/>
      <c r="W2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1" s="25" t="s">
        <v>85</v>
      </c>
      <c r="Y21" s="29" t="str">
        <f>_xlfn.LET(_xlpm.x,_xlfn.XLOOKUP(tblMailAuftraege[[#This Row],[Datensatz-ID]],tblVertraege[Datensatz-ID],tblVertraege[Sparte],""),IF(_xlpm.x=0,"",_xlpm.x))</f>
        <v>KV</v>
      </c>
      <c r="Z21" s="29" t="str">
        <f>_xlfn.LET(_xlpm.x,_xlfn.XLOOKUP(tblMailAuftraege[[#This Row],[Datensatz-ID]],tblVertraege[Datensatz-ID],tblVertraege[Abgeber-ID],""),IF(_xlpm.x=0,"",_xlpm.x))</f>
        <v>AB-01</v>
      </c>
      <c r="AA21" s="29" t="str">
        <f>_xlfn.LET(_xlpm.x,_xlfn.XLOOKUP(tblMailAuftraege[[#This Row],[Datensatz-ID]],tblVertraege[Datensatz-ID],tblVertraege[Abgebender Agenturtyp],""),IF(_xlpm.x=0,"",_xlpm.x))</f>
        <v>AO</v>
      </c>
      <c r="AB21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1" s="32">
        <f>_xlfn.LET(_xlpm.x,_xlfn.XLOOKUP(tblMailAuftraege[[#This Row],[Datensatz-ID]],tblVertraege[Datensatz-ID],tblVertraege[Abgebende Agenturnummer / OE],""),IF(_xlpm.x=0,"",_xlpm.x))</f>
        <v>600040114</v>
      </c>
      <c r="AD21" s="29" t="str">
        <f>_xlfn.LET(_xlpm.x,_xlfn.XLOOKUP(tblMailAuftraege[[#This Row],[Datensatz-ID]],tblVertraege[Datensatz-ID],tblVertraege[Abgeberstatus],""),IF(_xlpm.x=0,"",_xlpm.x))</f>
        <v>aktiv</v>
      </c>
      <c r="AE2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2" spans="2:31" ht="57.75" customHeight="1">
      <c r="B22" s="25" t="s">
        <v>244</v>
      </c>
      <c r="C22" s="25" t="s">
        <v>245</v>
      </c>
      <c r="D22" s="24" t="s">
        <v>246</v>
      </c>
      <c r="E22" s="24" t="s">
        <v>14</v>
      </c>
      <c r="F22" s="25" t="s">
        <v>247</v>
      </c>
      <c r="G2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2" s="32" t="str">
        <f>_xlfn.LET(_xlpm.x,_xlfn.XLOOKUP(tblMailAuftraege[[#This Row],[Datensatz-ID]],tblVertraege[Datensatz-ID],tblVertraege[IMSI-VNR],""),IF(_xlpm.x=0,"",_xlpm.x))</f>
        <v/>
      </c>
      <c r="L22" s="29" t="str">
        <f>_xlfn.LET(_xlpm.x,_xlfn.XLOOKUP(tblMailAuftraege[[#This Row],[Datensatz-ID]],tblVertraege[Datensatz-ID],tblVertraege[Sparte],""),IF(_xlpm.x=0,"",_xlpm.x))</f>
        <v>Komposit</v>
      </c>
      <c r="M2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Komposit | VNR [IMSI-VNR]</v>
      </c>
      <c r="N2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[AGENTURNAME], Agenturnummer [AGENTURNUMMER].
Versicherungsnehmer / Firma: [VN-ODER-FIRMENNAME]
Vielen Dank und freundliche Grüße</v>
      </c>
      <c r="O22" s="29" t="str">
        <f>_xlfn.XLOOKUP(tblMailAuftraege[[#This Row],[Mail-ID / Zustand]],tblMailanforderungen[Mail-ID / Zustand],tblMailanforderungen[Erforderliche Anhänge],"")</f>
        <v>Maklervollmacht mit abweichendem Geburtsdatum</v>
      </c>
      <c r="P2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2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2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BÜ-Wunsch: vorhanden
• Maklervollmacht vorhanden: ja; Unterschrift vorhanden: ja; Kunden-/VN-Daten: Geburtsdatum gegenüber IMSI abweichend
• TBD: Feldbezeichnung gegen aktuelles KI-Deckblatt prüfen</v>
      </c>
      <c r="S2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2" s="26" t="s">
        <v>18</v>
      </c>
      <c r="U22" s="26" t="s">
        <v>18</v>
      </c>
      <c r="V22" s="27"/>
      <c r="W2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2" s="25" t="s">
        <v>94</v>
      </c>
      <c r="Y22" s="29" t="str">
        <f>_xlfn.LET(_xlpm.x,_xlfn.XLOOKUP(tblMailAuftraege[[#This Row],[Datensatz-ID]],tblVertraege[Datensatz-ID],tblVertraege[Sparte],""),IF(_xlpm.x=0,"",_xlpm.x))</f>
        <v>Komposit</v>
      </c>
      <c r="Z22" s="29" t="str">
        <f>_xlfn.LET(_xlpm.x,_xlfn.XLOOKUP(tblMailAuftraege[[#This Row],[Datensatz-ID]],tblVertraege[Datensatz-ID],tblVertraege[Abgeber-ID],""),IF(_xlpm.x=0,"",_xlpm.x))</f>
        <v>AB-02</v>
      </c>
      <c r="AA22" s="29" t="str">
        <f>_xlfn.LET(_xlpm.x,_xlfn.XLOOKUP(tblMailAuftraege[[#This Row],[Datensatz-ID]],tblVertraege[Datensatz-ID],tblVertraege[Abgebender Agenturtyp],""),IF(_xlpm.x=0,"",_xlpm.x))</f>
        <v>Makler</v>
      </c>
      <c r="AB22" s="29" t="str">
        <f>_xlfn.LET(_xlpm.x,_xlfn.XLOOKUP(tblMailAuftraege[[#This Row],[Datensatz-ID]],tblVertraege[Datensatz-ID],tblVertraege[Konkreter abgebender Agenturname],""),IF(_xlpm.x=0,"",_xlpm.x))</f>
        <v/>
      </c>
      <c r="AC22" s="32" t="str">
        <f>_xlfn.LET(_xlpm.x,_xlfn.XLOOKUP(tblMailAuftraege[[#This Row],[Datensatz-ID]],tblVertraege[Datensatz-ID],tblVertraege[Abgebende Agenturnummer / OE],""),IF(_xlpm.x=0,"",_xlpm.x))</f>
        <v/>
      </c>
      <c r="AD22" s="29" t="str">
        <f>_xlfn.LET(_xlpm.x,_xlfn.XLOOKUP(tblMailAuftraege[[#This Row],[Datensatz-ID]],tblVertraege[Datensatz-ID],tblVertraege[Abgeberstatus],""),IF(_xlpm.x=0,"",_xlpm.x))</f>
        <v>aktiv</v>
      </c>
      <c r="AE2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3" spans="2:31" ht="57.75" customHeight="1">
      <c r="B23" s="25" t="s">
        <v>248</v>
      </c>
      <c r="C23" s="25" t="s">
        <v>249</v>
      </c>
      <c r="D23" s="24" t="s">
        <v>250</v>
      </c>
      <c r="E23" s="24" t="s">
        <v>14</v>
      </c>
      <c r="F23" s="25" t="s">
        <v>193</v>
      </c>
      <c r="G2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3" s="32">
        <f>_xlfn.LET(_xlpm.x,_xlfn.XLOOKUP(tblMailAuftraege[[#This Row],[Datensatz-ID]],tblVertraege[Datensatz-ID],tblVertraege[IMSI-VNR],""),IF(_xlpm.x=0,"",_xlpm.x))</f>
        <v>317063119</v>
      </c>
      <c r="L23" s="29" t="str">
        <f>_xlfn.LET(_xlpm.x,_xlfn.XLOOKUP(tblMailAuftraege[[#This Row],[Datensatz-ID]],tblVertraege[Datensatz-ID],tblVertraege[Sparte],""),IF(_xlpm.x=0,"",_xlpm.x))</f>
        <v>KV</v>
      </c>
      <c r="M2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TF-VM-03 | KV | VNR 317063119</v>
      </c>
      <c r="N2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23" s="29" t="str">
        <f>_xlfn.XLOOKUP(tblMailAuftraege[[#This Row],[Mail-ID / Zustand]],tblMailanforderungen[Mail-ID / Zustand],tblMailanforderungen[Erforderliche Anhänge],"")</f>
        <v>vollständig lesbare PDF-Maklervollmacht</v>
      </c>
      <c r="P2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Makler
• BÜ-Wunsch: vorhanden
• Maklervollmacht vorhanden: ja; Unterschrift vorhanden: ja; Kunden-/VN-Daten: IMSI-konform
• TBD: Feldbezeichnung gegen aktuelles KI-Deckblatt prüfen</v>
      </c>
      <c r="S2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3" s="26" t="s">
        <v>18</v>
      </c>
      <c r="U23" s="26" t="s">
        <v>18</v>
      </c>
      <c r="V23" s="27"/>
      <c r="W2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3" s="25" t="s">
        <v>85</v>
      </c>
      <c r="Y23" s="29" t="str">
        <f>_xlfn.LET(_xlpm.x,_xlfn.XLOOKUP(tblMailAuftraege[[#This Row],[Datensatz-ID]],tblVertraege[Datensatz-ID],tblVertraege[Sparte],""),IF(_xlpm.x=0,"",_xlpm.x))</f>
        <v>KV</v>
      </c>
      <c r="Z23" s="29" t="str">
        <f>_xlfn.LET(_xlpm.x,_xlfn.XLOOKUP(tblMailAuftraege[[#This Row],[Datensatz-ID]],tblVertraege[Datensatz-ID],tblVertraege[Abgeber-ID],""),IF(_xlpm.x=0,"",_xlpm.x))</f>
        <v>AB-01</v>
      </c>
      <c r="AA23" s="29" t="str">
        <f>_xlfn.LET(_xlpm.x,_xlfn.XLOOKUP(tblMailAuftraege[[#This Row],[Datensatz-ID]],tblVertraege[Datensatz-ID],tblVertraege[Abgebender Agenturtyp],""),IF(_xlpm.x=0,"",_xlpm.x))</f>
        <v>AO</v>
      </c>
      <c r="AB2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3" s="32">
        <f>_xlfn.LET(_xlpm.x,_xlfn.XLOOKUP(tblMailAuftraege[[#This Row],[Datensatz-ID]],tblVertraege[Datensatz-ID],tblVertraege[Abgebende Agenturnummer / OE],""),IF(_xlpm.x=0,"",_xlpm.x))</f>
        <v>600040114</v>
      </c>
      <c r="AD23" s="29" t="str">
        <f>_xlfn.LET(_xlpm.x,_xlfn.XLOOKUP(tblMailAuftraege[[#This Row],[Datensatz-ID]],tblVertraege[Datensatz-ID],tblVertraege[Abgeberstatus],""),IF(_xlpm.x=0,"",_xlpm.x))</f>
        <v>aktiv</v>
      </c>
      <c r="AE2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4" spans="2:31" ht="57.75" customHeight="1">
      <c r="B24" s="25" t="s">
        <v>251</v>
      </c>
      <c r="C24" s="25" t="s">
        <v>252</v>
      </c>
      <c r="D24" s="24" t="s">
        <v>253</v>
      </c>
      <c r="E24" s="24" t="s">
        <v>14</v>
      </c>
      <c r="F24" s="25" t="s">
        <v>193</v>
      </c>
      <c r="G2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4" s="32" t="str">
        <f>_xlfn.LET(_xlpm.x,_xlfn.XLOOKUP(tblMailAuftraege[[#This Row],[Datensatz-ID]],tblVertraege[Datensatz-ID],tblVertraege[IMSI-VNR],""),IF(_xlpm.x=0,"",_xlpm.x))</f>
        <v/>
      </c>
      <c r="L24" s="29" t="str">
        <f>_xlfn.LET(_xlpm.x,_xlfn.XLOOKUP(tblMailAuftraege[[#This Row],[Datensatz-ID]],tblVertraege[Datensatz-ID],tblVertraege[Sparte],""),IF(_xlpm.x=0,"",_xlpm.x))</f>
        <v>Komposit</v>
      </c>
      <c r="M2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TF-VT-01 | Komposit | VNR [IMSI-VNR]</v>
      </c>
      <c r="N2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4" s="29" t="str">
        <f>_xlfn.XLOOKUP(tblMailAuftraege[[#This Row],[Mail-ID / Zustand]],tblMailanforderungen[Mail-ID / Zustand],tblMailanforderungen[Erforderliche Anhänge],"")</f>
        <v>vollständig lesbare PDF-Maklervollmacht</v>
      </c>
      <c r="P2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4" s="26" t="s">
        <v>18</v>
      </c>
      <c r="U24" s="26" t="s">
        <v>18</v>
      </c>
      <c r="V24" s="27"/>
      <c r="W2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4" s="25" t="s">
        <v>91</v>
      </c>
      <c r="Y24" s="29" t="str">
        <f>_xlfn.LET(_xlpm.x,_xlfn.XLOOKUP(tblMailAuftraege[[#This Row],[Datensatz-ID]],tblVertraege[Datensatz-ID],tblVertraege[Sparte],""),IF(_xlpm.x=0,"",_xlpm.x))</f>
        <v>Komposit</v>
      </c>
      <c r="Z24" s="29" t="str">
        <f>_xlfn.LET(_xlpm.x,_xlfn.XLOOKUP(tblMailAuftraege[[#This Row],[Datensatz-ID]],tblVertraege[Datensatz-ID],tblVertraege[Abgeber-ID],""),IF(_xlpm.x=0,"",_xlpm.x))</f>
        <v>AB-01</v>
      </c>
      <c r="AA24" s="29" t="str">
        <f>_xlfn.LET(_xlpm.x,_xlfn.XLOOKUP(tblMailAuftraege[[#This Row],[Datensatz-ID]],tblVertraege[Datensatz-ID],tblVertraege[Abgebender Agenturtyp],""),IF(_xlpm.x=0,"",_xlpm.x))</f>
        <v>AO</v>
      </c>
      <c r="AB2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4" s="32">
        <f>_xlfn.LET(_xlpm.x,_xlfn.XLOOKUP(tblMailAuftraege[[#This Row],[Datensatz-ID]],tblVertraege[Datensatz-ID],tblVertraege[Abgebende Agenturnummer / OE],""),IF(_xlpm.x=0,"",_xlpm.x))</f>
        <v>600040114</v>
      </c>
      <c r="AD24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5" spans="2:31" ht="57.75" customHeight="1">
      <c r="B25" s="25" t="s">
        <v>254</v>
      </c>
      <c r="C25" s="25" t="s">
        <v>255</v>
      </c>
      <c r="D25" s="24" t="s">
        <v>256</v>
      </c>
      <c r="E25" s="24" t="s">
        <v>14</v>
      </c>
      <c r="F25" s="25" t="s">
        <v>193</v>
      </c>
      <c r="G2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5" s="32" t="str">
        <f>_xlfn.LET(_xlpm.x,_xlfn.XLOOKUP(tblMailAuftraege[[#This Row],[Datensatz-ID]],tblVertraege[Datensatz-ID],tblVertraege[IMSI-VNR],""),IF(_xlpm.x=0,"",_xlpm.x))</f>
        <v/>
      </c>
      <c r="L25" s="29" t="str">
        <f>_xlfn.LET(_xlpm.x,_xlfn.XLOOKUP(tblMailAuftraege[[#This Row],[Datensatz-ID]],tblVertraege[Datensatz-ID],tblVertraege[Sparte],""),IF(_xlpm.x=0,"",_xlpm.x))</f>
        <v>Komposit</v>
      </c>
      <c r="M2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TF-VT-02 | Komposit | VNR [IMSI-VNR]</v>
      </c>
      <c r="N2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5" s="29" t="str">
        <f>_xlfn.XLOOKUP(tblMailAuftraege[[#This Row],[Mail-ID / Zustand]],tblMailanforderungen[Mail-ID / Zustand],tblMailanforderungen[Erforderliche Anhänge],"")</f>
        <v>vollständig lesbare PDF-Maklervollmacht</v>
      </c>
      <c r="P2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5" s="26" t="s">
        <v>18</v>
      </c>
      <c r="U25" s="26" t="s">
        <v>18</v>
      </c>
      <c r="V25" s="27"/>
      <c r="W2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5" s="25" t="s">
        <v>101</v>
      </c>
      <c r="Y25" s="29" t="str">
        <f>_xlfn.LET(_xlpm.x,_xlfn.XLOOKUP(tblMailAuftraege[[#This Row],[Datensatz-ID]],tblVertraege[Datensatz-ID],tblVertraege[Sparte],""),IF(_xlpm.x=0,"",_xlpm.x))</f>
        <v>Komposit</v>
      </c>
      <c r="Z25" s="29" t="str">
        <f>_xlfn.LET(_xlpm.x,_xlfn.XLOOKUP(tblMailAuftraege[[#This Row],[Datensatz-ID]],tblVertraege[Datensatz-ID],tblVertraege[Abgeber-ID],""),IF(_xlpm.x=0,"",_xlpm.x))</f>
        <v>AB-01</v>
      </c>
      <c r="AA25" s="29" t="str">
        <f>_xlfn.LET(_xlpm.x,_xlfn.XLOOKUP(tblMailAuftraege[[#This Row],[Datensatz-ID]],tblVertraege[Datensatz-ID],tblVertraege[Abgebender Agenturtyp],""),IF(_xlpm.x=0,"",_xlpm.x))</f>
        <v>AO</v>
      </c>
      <c r="AB2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5" s="32">
        <f>_xlfn.LET(_xlpm.x,_xlfn.XLOOKUP(tblMailAuftraege[[#This Row],[Datensatz-ID]],tblVertraege[Datensatz-ID],tblVertraege[Abgebende Agenturnummer / OE],""),IF(_xlpm.x=0,"",_xlpm.x))</f>
        <v>600040114</v>
      </c>
      <c r="AD25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6" spans="2:31" ht="57.75" customHeight="1">
      <c r="B26" s="25" t="s">
        <v>257</v>
      </c>
      <c r="C26" s="25" t="s">
        <v>258</v>
      </c>
      <c r="D26" s="24" t="s">
        <v>259</v>
      </c>
      <c r="E26" s="24" t="s">
        <v>14</v>
      </c>
      <c r="F26" s="25" t="s">
        <v>260</v>
      </c>
      <c r="G2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P-03 – Internes ERGO-Postfach: interne Weiterleitung einer externen Maklermail
Eingangsart: Testmail
Basisvorlage: eigenständige interne Weiterleitung; Postfach: P-03</v>
      </c>
      <c r="H2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6" s="32" t="str">
        <f>_xlfn.LET(_xlpm.x,_xlfn.XLOOKUP(tblMailAuftraege[[#This Row],[Datensatz-ID]],tblVertraege[Datensatz-ID],tblVertraege[IMSI-VNR],""),IF(_xlpm.x=0,"",_xlpm.x))</f>
        <v/>
      </c>
      <c r="L26" s="29" t="str">
        <f>_xlfn.LET(_xlpm.x,_xlfn.XLOOKUP(tblMailAuftraege[[#This Row],[Datensatz-ID]],tblVertraege[Datensatz-ID],tblVertraege[Sparte],""),IF(_xlpm.x=0,"",_xlpm.x))</f>
        <v>KV</v>
      </c>
      <c r="M2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WG: Test BÜ TF-BH-01 | KV | VNR [IMSI-VNR]</v>
      </c>
      <c r="N2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anbei leiten wir die ursprüngliche externe Anfrage zur Übertragung des Vertrags [IMSI-VNR] der Sparte KV auf [AGENTURNAME], Agenturnummer [AGENTURNUMMER], weiter.
Versicherungsnehmer / Firma: [VN-ODER-FIRMENNAME]
Vielen Dank und freundliche Grüße</v>
      </c>
      <c r="O26" s="29" t="str">
        <f>_xlfn.XLOOKUP(tblMailAuftraege[[#This Row],[Mail-ID / Zustand]],tblMailanforderungen[Mail-ID / Zustand],tblMailanforderungen[Erforderliche Anhänge],"")</f>
        <v>weitergeleitete ursprüngliche Anfrage; Maklervollmacht</v>
      </c>
      <c r="P2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v>
      </c>
      <c r="Q2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v>
      </c>
      <c r="R2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BUE_PRUEFUNG_UNTERLAGEN: weder „Vollständig“ noch leer
- BUE_KUNDE_GEBDAT: gefüllt und gegenüber IS011-Gebdat abweichend
- BUE_MAKLER_EMAIL beziehungsweise fachlich bestätigtes Makler-E-Mail-Feld: enthält „@ergo“
- BUE_VNR: [IMSI-VNR]
- BUE_SPARTE: KV
- BUE_AGENTUR_NR: [AGENTURNUMMER]</v>
      </c>
      <c r="S2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Eingang ist kein Reminder
□ BUE_PRUEFUNG_UNTERLAGEN ist weder „Vollständig“ noch leer
□ BUE_KUNDE_GEBDAT ist gefüllt und weicht von IS011 ab
□ Bestandsinhaber ist ermittelbar
□ GH040-Status des Bestandsinhabers ist nicht aktiv
□ MaklerEmail enthält „@ergo“
□ keine harte BE wird vor der Abschlussprüfung ausgelöst
□ PN-01, PN-02, PN-04 und PN-07 sind nachweisbar
□ vollständige Fehlerliste ist vorbereitet
□ erwartete BE „Nachprüfung erforderlich“ ist dokumentiert
□ aufnehmende Agentur geprüft
□ abgebende Agentur beziehungsweise Bestandsinhaber geprüft
□ Abgebertyp dokumentiert
□ Abgeberstatus dokumentiert
□ aufnehmende und abgebende Agentur nicht verwechselt</v>
      </c>
      <c r="T26" s="26" t="s">
        <v>18</v>
      </c>
      <c r="U26" s="26" t="s">
        <v>18</v>
      </c>
      <c r="V26" s="27"/>
      <c r="W2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6" s="25" t="s">
        <v>106</v>
      </c>
      <c r="Y26" s="29" t="str">
        <f>_xlfn.LET(_xlpm.x,_xlfn.XLOOKUP(tblMailAuftraege[[#This Row],[Datensatz-ID]],tblVertraege[Datensatz-ID],tblVertraege[Sparte],""),IF(_xlpm.x=0,"",_xlpm.x))</f>
        <v>KV</v>
      </c>
      <c r="Z26" s="29" t="str">
        <f>_xlfn.LET(_xlpm.x,_xlfn.XLOOKUP(tblMailAuftraege[[#This Row],[Datensatz-ID]],tblVertraege[Datensatz-ID],tblVertraege[Abgeber-ID],""),IF(_xlpm.x=0,"",_xlpm.x))</f>
        <v/>
      </c>
      <c r="AA26" s="29" t="str">
        <f>_xlfn.LET(_xlpm.x,_xlfn.XLOOKUP(tblMailAuftraege[[#This Row],[Datensatz-ID]],tblVertraege[Datensatz-ID],tblVertraege[Abgebender Agenturtyp],""),IF(_xlpm.x=0,"",_xlpm.x))</f>
        <v>fachlich zu bestätigen</v>
      </c>
      <c r="AB26" s="29" t="str">
        <f>_xlfn.LET(_xlpm.x,_xlfn.XLOOKUP(tblMailAuftraege[[#This Row],[Datensatz-ID]],tblVertraege[Datensatz-ID],tblVertraege[Konkreter abgebender Agenturname],""),IF(_xlpm.x=0,"",_xlpm.x))</f>
        <v/>
      </c>
      <c r="AC26" s="32" t="str">
        <f>_xlfn.LET(_xlpm.x,_xlfn.XLOOKUP(tblMailAuftraege[[#This Row],[Datensatz-ID]],tblVertraege[Datensatz-ID],tblVertraege[Abgebende Agenturnummer / OE],""),IF(_xlpm.x=0,"",_xlpm.x))</f>
        <v/>
      </c>
      <c r="AD26" s="29" t="str">
        <f>_xlfn.LET(_xlpm.x,_xlfn.XLOOKUP(tblMailAuftraege[[#This Row],[Datensatz-ID]],tblVertraege[Datensatz-ID],tblVertraege[Abgeberstatus],""),IF(_xlpm.x=0,"",_xlpm.x))</f>
        <v>nicht aktiv</v>
      </c>
      <c r="AE2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7" spans="2:31" ht="57.75" customHeight="1">
      <c r="B27" s="25" t="s">
        <v>261</v>
      </c>
      <c r="C27" s="25" t="s">
        <v>262</v>
      </c>
      <c r="D27" s="24" t="s">
        <v>263</v>
      </c>
      <c r="E27" s="24" t="s">
        <v>22</v>
      </c>
      <c r="F27" s="25" t="s">
        <v>229</v>
      </c>
      <c r="G2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7" s="32" t="str">
        <f>_xlfn.LET(_xlpm.x,_xlfn.XLOOKUP(tblMailAuftraege[[#This Row],[Datensatz-ID]],tblVertraege[Datensatz-ID],tblVertraege[IMSI-VNR],""),IF(_xlpm.x=0,"",_xlpm.x))</f>
        <v/>
      </c>
      <c r="L27" s="29" t="str">
        <f>_xlfn.LET(_xlpm.x,_xlfn.XLOOKUP(tblMailAuftraege[[#This Row],[Datensatz-ID]],tblVertraege[Datensatz-ID],tblVertraege[Sparte],""),IF(_xlpm.x=0,"",_xlpm.x))</f>
        <v>KV</v>
      </c>
      <c r="M2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O27" s="29" t="str">
        <f>_xlfn.XLOOKUP(tblMailAuftraege[[#This Row],[Mail-ID / Zustand]],tblMailanforderungen[Mail-ID / Zustand],tblMailanforderungen[Erforderliche Anhänge],"")</f>
        <v>nicht erforderlich</v>
      </c>
      <c r="P27" s="29" t="str">
        <f>_xlfn.XLOOKUP(tblMailAuftraege[[#This Row],[Mail-ID / Zustand]],tblMailanforderungen[Mail-ID / Zustand],tblMailanforderungen[Maklervollmacht / Betreuungswunsch],"")</f>
        <v>nicht erforderlich</v>
      </c>
      <c r="Q2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R2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BUE_VERMITTLER_TYP: MFA
- BUE_MAKLER_EMAIL beziehungsweise fachlich bestätigtes Makler-E-Mail-Feld: leer
- BUE_VNR: [IMSI-VNR]
- BUE_SPARTE: KV
- BUE_AGENTUR_NR: [AGENTURNUMMER]</v>
      </c>
      <c r="S2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verwendete PN-03-Ausprägung festgelegt
□ Betreuung in VA230 leer oder IS0042 nachgewiesen
□ BUE_VERMITTLER_TYP = MFA
□ OB726-Klassifizierung = Makler
□ BUE_MAKLER_EMAIL ist leer
□ Quellenreihenfolge für Makler-E-Mail geprüft
□ keine harte BE wird vor der Abschlussprüfung ausgelöst
□ PN-03, PN-05 und PN-06 sind nachweisbar
□ vollständige Fehlerliste ist vorbereitet
□ erwartete BE „Nachprüfung erforderlich“ ist dokumentiert
□ Rücksetzung beziehungsweise Bereinigung geklärt
□ aufnehmende Agentur geprüft
□ abgebende Agentur beziehungsweise Bestandsinhaber geprüft
□ Abgebertyp dokumentiert
□ Abgeberstatus dokumentiert
□ aufnehmende und abgebende Agentur nicht verwechselt
□ Nachweis Betreuung leer oder IS0042 dokumentiert
□ kein physischer Abgeberstammsatz erforderlich</v>
      </c>
      <c r="T27" s="26" t="s">
        <v>26</v>
      </c>
      <c r="U27" s="26" t="s">
        <v>26</v>
      </c>
      <c r="V27" s="27"/>
      <c r="W2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7" s="25" t="s">
        <v>103</v>
      </c>
      <c r="Y27" s="29" t="str">
        <f>_xlfn.LET(_xlpm.x,_xlfn.XLOOKUP(tblMailAuftraege[[#This Row],[Datensatz-ID]],tblVertraege[Datensatz-ID],tblVertraege[Sparte],""),IF(_xlpm.x=0,"",_xlpm.x))</f>
        <v>KV</v>
      </c>
      <c r="Z27" s="29" t="str">
        <f>_xlfn.LET(_xlpm.x,_xlfn.XLOOKUP(tblMailAuftraege[[#This Row],[Datensatz-ID]],tblVertraege[Datensatz-ID],tblVertraege[Abgeber-ID],""),IF(_xlpm.x=0,"",_xlpm.x))</f>
        <v>AB-00</v>
      </c>
      <c r="AA27" s="29" t="str">
        <f>_xlfn.LET(_xlpm.x,_xlfn.XLOOKUP(tblMailAuftraege[[#This Row],[Datensatz-ID]],tblVertraege[Datensatz-ID],tblVertraege[Abgebender Agenturtyp],""),IF(_xlpm.x=0,"",_xlpm.x))</f>
        <v>kein Bestandsinhaber ermittelbar</v>
      </c>
      <c r="AB27" s="29" t="str">
        <f>_xlfn.LET(_xlpm.x,_xlfn.XLOOKUP(tblMailAuftraege[[#This Row],[Datensatz-ID]],tblVertraege[Datensatz-ID],tblVertraege[Konkreter abgebender Agenturname],""),IF(_xlpm.x=0,"",_xlpm.x))</f>
        <v>nicht erforderlich</v>
      </c>
      <c r="AC27" s="32" t="str">
        <f>_xlfn.LET(_xlpm.x,_xlfn.XLOOKUP(tblMailAuftraege[[#This Row],[Datensatz-ID]],tblVertraege[Datensatz-ID],tblVertraege[Abgebende Agenturnummer / OE],""),IF(_xlpm.x=0,"",_xlpm.x))</f>
        <v>nicht erforderlich</v>
      </c>
      <c r="AD27" s="29" t="str">
        <f>_xlfn.LET(_xlpm.x,_xlfn.XLOOKUP(tblMailAuftraege[[#This Row],[Datensatz-ID]],tblVertraege[Datensatz-ID],tblVertraege[Abgeberstatus],""),IF(_xlpm.x=0,"",_xlpm.x))</f>
        <v>nicht anwendbar</v>
      </c>
      <c r="AE2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Nachweis Betreuung leer oder IS0042 erforderlich; kein physischer Abgeberstammsatz</v>
      </c>
    </row>
    <row r="28" spans="2:31" ht="57.75" customHeight="1">
      <c r="B28" s="25" t="s">
        <v>264</v>
      </c>
      <c r="C28" s="25" t="s">
        <v>265</v>
      </c>
      <c r="D28" s="24" t="s">
        <v>266</v>
      </c>
      <c r="E28" s="24" t="s">
        <v>14</v>
      </c>
      <c r="F28" s="25" t="s">
        <v>193</v>
      </c>
      <c r="G2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8" s="32" t="str">
        <f>_xlfn.LET(_xlpm.x,_xlfn.XLOOKUP(tblMailAuftraege[[#This Row],[Datensatz-ID]],tblVertraege[Datensatz-ID],tblVertraege[IMSI-VNR],""),IF(_xlpm.x=0,"",_xlpm.x))</f>
        <v/>
      </c>
      <c r="L28" s="29" t="str">
        <f>_xlfn.LET(_xlpm.x,_xlfn.XLOOKUP(tblMailAuftraege[[#This Row],[Datensatz-ID]],tblVertraege[Datensatz-ID],tblVertraege[Sparte],""),IF(_xlpm.x=0,"",_xlpm.x))</f>
        <v>KV</v>
      </c>
      <c r="M2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TF-KU-05 | KV | VNR [IMSI-VNR]</v>
      </c>
      <c r="N2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Versicherungsnehmer / Firma: [VN-ODER-FIRMENNAME]
Vielen Dank und freundliche Grüße</v>
      </c>
      <c r="O28" s="29" t="str">
        <f>_xlfn.XLOOKUP(tblMailAuftraege[[#This Row],[Mail-ID / Zustand]],tblMailanforderungen[Mail-ID / Zustand],tblMailanforderungen[Erforderliche Anhänge],"")</f>
        <v>vollständig lesbare PDF-Maklervollmacht</v>
      </c>
      <c r="P2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2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8" s="26" t="s">
        <v>18</v>
      </c>
      <c r="U28" s="26" t="s">
        <v>18</v>
      </c>
      <c r="V28" s="27"/>
      <c r="W2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8" s="25" t="s">
        <v>113</v>
      </c>
      <c r="Y28" s="29" t="str">
        <f>_xlfn.LET(_xlpm.x,_xlfn.XLOOKUP(tblMailAuftraege[[#This Row],[Datensatz-ID]],tblVertraege[Datensatz-ID],tblVertraege[Sparte],""),IF(_xlpm.x=0,"",_xlpm.x))</f>
        <v>KV</v>
      </c>
      <c r="Z28" s="29" t="str">
        <f>_xlfn.LET(_xlpm.x,_xlfn.XLOOKUP(tblMailAuftraege[[#This Row],[Datensatz-ID]],tblVertraege[Datensatz-ID],tblVertraege[Abgeber-ID],""),IF(_xlpm.x=0,"",_xlpm.x))</f>
        <v/>
      </c>
      <c r="AA28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28" s="29" t="str">
        <f>_xlfn.LET(_xlpm.x,_xlfn.XLOOKUP(tblMailAuftraege[[#This Row],[Datensatz-ID]],tblVertraege[Datensatz-ID],tblVertraege[Konkreter abgebender Agenturname],""),IF(_xlpm.x=0,"",_xlpm.x))</f>
        <v/>
      </c>
      <c r="AC28" s="32" t="str">
        <f>_xlfn.LET(_xlpm.x,_xlfn.XLOOKUP(tblMailAuftraege[[#This Row],[Datensatz-ID]],tblVertraege[Datensatz-ID],tblVertraege[Abgebende Agenturnummer / OE],""),IF(_xlpm.x=0,"",_xlpm.x))</f>
        <v/>
      </c>
      <c r="AD28" s="29" t="str">
        <f>_xlfn.LET(_xlpm.x,_xlfn.XLOOKUP(tblMailAuftraege[[#This Row],[Datensatz-ID]],tblVertraege[Datensatz-ID],tblVertraege[Abgeberstatus],""),IF(_xlpm.x=0,"",_xlpm.x))</f>
        <v>gemäß Hostzustand</v>
      </c>
      <c r="AE2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9" spans="2:31" ht="57.75" customHeight="1">
      <c r="B29" s="25" t="s">
        <v>267</v>
      </c>
      <c r="C29" s="25" t="s">
        <v>203</v>
      </c>
      <c r="D29" s="24" t="s">
        <v>204</v>
      </c>
      <c r="E29" s="24" t="s">
        <v>14</v>
      </c>
      <c r="F29" s="25" t="s">
        <v>205</v>
      </c>
      <c r="G2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2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9" s="32" t="str">
        <f>_xlfn.LET(_xlpm.x,_xlfn.XLOOKUP(tblMailAuftraege[[#This Row],[Datensatz-ID]],tblVertraege[Datensatz-ID],tblVertraege[IMSI-VNR],""),IF(_xlpm.x=0,"",_xlpm.x))</f>
        <v/>
      </c>
      <c r="L29" s="29" t="str">
        <f>_xlfn.LET(_xlpm.x,_xlfn.XLOOKUP(tblMailAuftraege[[#This Row],[Datensatz-ID]],tblVertraege[Datensatz-ID],tblVertraege[Sparte],""),IF(_xlpm.x=0,"",_xlpm.x))</f>
        <v>Leben</v>
      </c>
      <c r="M2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Leben | VNR [IMSI-VNR]</v>
      </c>
      <c r="N2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Maklervollmacht auf den Pool [AGENTURNAME], Agenturnummer [AGENTURNUMMER]. Eine Untervollmacht ist nicht beigefügt.
Versicherungsnehmer / Firma: [VN-ODER-FIRMENNAME]
Vielen Dank und freundliche Grüße</v>
      </c>
      <c r="O29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2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2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2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Vermittlertyp: Pool beziehungsweise Makler
• BÜ-Wunsch: vorhanden
• Maklervollmacht vorhanden: ja; Untervollmacht vorhanden: nein
• TBD: Feldbezeichnung gegen aktuelles KI-Deckblatt prüfen</v>
      </c>
      <c r="S2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9" s="26" t="s">
        <v>18</v>
      </c>
      <c r="U29" s="26" t="s">
        <v>18</v>
      </c>
      <c r="V29" s="27"/>
      <c r="W2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9" s="25" t="s">
        <v>115</v>
      </c>
      <c r="Y29" s="29" t="str">
        <f>_xlfn.LET(_xlpm.x,_xlfn.XLOOKUP(tblMailAuftraege[[#This Row],[Datensatz-ID]],tblVertraege[Datensatz-ID],tblVertraege[Sparte],""),IF(_xlpm.x=0,"",_xlpm.x))</f>
        <v>Leben</v>
      </c>
      <c r="Z29" s="29" t="str">
        <f>_xlfn.LET(_xlpm.x,_xlfn.XLOOKUP(tblMailAuftraege[[#This Row],[Datensatz-ID]],tblVertraege[Datensatz-ID],tblVertraege[Abgeber-ID],""),IF(_xlpm.x=0,"",_xlpm.x))</f>
        <v>AB-02</v>
      </c>
      <c r="AA29" s="29" t="str">
        <f>_xlfn.LET(_xlpm.x,_xlfn.XLOOKUP(tblMailAuftraege[[#This Row],[Datensatz-ID]],tblVertraege[Datensatz-ID],tblVertraege[Abgebender Agenturtyp],""),IF(_xlpm.x=0,"",_xlpm.x))</f>
        <v>Makler</v>
      </c>
      <c r="AB29" s="29" t="str">
        <f>_xlfn.LET(_xlpm.x,_xlfn.XLOOKUP(tblMailAuftraege[[#This Row],[Datensatz-ID]],tblVertraege[Datensatz-ID],tblVertraege[Konkreter abgebender Agenturname],""),IF(_xlpm.x=0,"",_xlpm.x))</f>
        <v/>
      </c>
      <c r="AC29" s="32" t="str">
        <f>_xlfn.LET(_xlpm.x,_xlfn.XLOOKUP(tblMailAuftraege[[#This Row],[Datensatz-ID]],tblVertraege[Datensatz-ID],tblVertraege[Abgebende Agenturnummer / OE],""),IF(_xlpm.x=0,"",_xlpm.x))</f>
        <v/>
      </c>
      <c r="AD29" s="29" t="str">
        <f>_xlfn.LET(_xlpm.x,_xlfn.XLOOKUP(tblMailAuftraege[[#This Row],[Datensatz-ID]],tblVertraege[Datensatz-ID],tblVertraege[Abgeberstatus],""),IF(_xlpm.x=0,"",_xlpm.x))</f>
        <v>aktiv</v>
      </c>
      <c r="AE2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0" spans="2:31" ht="57.75" customHeight="1">
      <c r="B30" s="25" t="s">
        <v>268</v>
      </c>
      <c r="C30" s="25" t="s">
        <v>223</v>
      </c>
      <c r="D30" s="24" t="s">
        <v>224</v>
      </c>
      <c r="E30" s="24" t="s">
        <v>14</v>
      </c>
      <c r="F30" s="25" t="s">
        <v>225</v>
      </c>
      <c r="G3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30" s="32" t="str">
        <f>_xlfn.LET(_xlpm.x,_xlfn.XLOOKUP(tblMailAuftraege[[#This Row],[Datensatz-ID]],tblVertraege[Datensatz-ID],tblVertraege[IMSI-VNR],""),IF(_xlpm.x=0,"",_xlpm.x))</f>
        <v/>
      </c>
      <c r="L30" s="29" t="str">
        <f>_xlfn.LET(_xlpm.x,_xlfn.XLOOKUP(tblMailAuftraege[[#This Row],[Datensatz-ID]],tblVertraege[Datensatz-ID],tblVertraege[Sparte],""),IF(_xlpm.x=0,"",_xlpm.x))</f>
        <v>Leben</v>
      </c>
      <c r="M3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Leben | VNR [IMSI-VNR]</v>
      </c>
      <c r="N3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Akkurat UV Kuhnapfel, Henrik, Agenturnummer 7760220.
Versicherungsnehmer / Firma: [VN-ODER-FIRMENNAME]
Vielen Dank und freundliche Grüße</v>
      </c>
      <c r="O30" s="29" t="str">
        <f>_xlfn.XLOOKUP(tblMailAuftraege[[#This Row],[Mail-ID / Zustand]],tblMailanforderungen[Mail-ID / Zustand],tblMailanforderungen[Erforderliche Anhänge],"")</f>
        <v>PDF-Maklervollmacht ohne VN-Unterschrift</v>
      </c>
      <c r="P3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3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3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7760220
• BÜ-Wunsch: vorhanden
• Maklervollmacht vorhanden: ja; Unterschrift vorhanden: nein; Kunden-/VN-Daten: IMSI-konform
• TBD: Feldbezeichnung gegen aktuelles KI-Deckblatt prüfen</v>
      </c>
      <c r="S3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0" s="26" t="s">
        <v>18</v>
      </c>
      <c r="U30" s="26" t="s">
        <v>18</v>
      </c>
      <c r="V30" s="27"/>
      <c r="W3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0" s="25" t="s">
        <v>115</v>
      </c>
      <c r="Y30" s="29" t="str">
        <f>_xlfn.LET(_xlpm.x,_xlfn.XLOOKUP(tblMailAuftraege[[#This Row],[Datensatz-ID]],tblVertraege[Datensatz-ID],tblVertraege[Sparte],""),IF(_xlpm.x=0,"",_xlpm.x))</f>
        <v>Leben</v>
      </c>
      <c r="Z30" s="29" t="str">
        <f>_xlfn.LET(_xlpm.x,_xlfn.XLOOKUP(tblMailAuftraege[[#This Row],[Datensatz-ID]],tblVertraege[Datensatz-ID],tblVertraege[Abgeber-ID],""),IF(_xlpm.x=0,"",_xlpm.x))</f>
        <v>AB-02</v>
      </c>
      <c r="AA30" s="29" t="str">
        <f>_xlfn.LET(_xlpm.x,_xlfn.XLOOKUP(tblMailAuftraege[[#This Row],[Datensatz-ID]],tblVertraege[Datensatz-ID],tblVertraege[Abgebender Agenturtyp],""),IF(_xlpm.x=0,"",_xlpm.x))</f>
        <v>Makler</v>
      </c>
      <c r="AB30" s="29" t="str">
        <f>_xlfn.LET(_xlpm.x,_xlfn.XLOOKUP(tblMailAuftraege[[#This Row],[Datensatz-ID]],tblVertraege[Datensatz-ID],tblVertraege[Konkreter abgebender Agenturname],""),IF(_xlpm.x=0,"",_xlpm.x))</f>
        <v/>
      </c>
      <c r="AC30" s="32" t="str">
        <f>_xlfn.LET(_xlpm.x,_xlfn.XLOOKUP(tblMailAuftraege[[#This Row],[Datensatz-ID]],tblVertraege[Datensatz-ID],tblVertraege[Abgebende Agenturnummer / OE],""),IF(_xlpm.x=0,"",_xlpm.x))</f>
        <v/>
      </c>
      <c r="AD30" s="29" t="str">
        <f>_xlfn.LET(_xlpm.x,_xlfn.XLOOKUP(tblMailAuftraege[[#This Row],[Datensatz-ID]],tblVertraege[Datensatz-ID],tblVertraege[Abgeberstatus],""),IF(_xlpm.x=0,"",_xlpm.x))</f>
        <v>aktiv</v>
      </c>
      <c r="AE3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1" spans="2:31" ht="57.75" customHeight="1">
      <c r="B31" s="25" t="s">
        <v>269</v>
      </c>
      <c r="C31" s="25" t="s">
        <v>245</v>
      </c>
      <c r="D31" s="24" t="s">
        <v>246</v>
      </c>
      <c r="E31" s="24" t="s">
        <v>14</v>
      </c>
      <c r="F31" s="25" t="s">
        <v>247</v>
      </c>
      <c r="G3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31" s="32" t="str">
        <f>_xlfn.LET(_xlpm.x,_xlfn.XLOOKUP(tblMailAuftraege[[#This Row],[Datensatz-ID]],tblVertraege[Datensatz-ID],tblVertraege[IMSI-VNR],""),IF(_xlpm.x=0,"",_xlpm.x))</f>
        <v/>
      </c>
      <c r="L31" s="29" t="str">
        <f>_xlfn.LET(_xlpm.x,_xlfn.XLOOKUP(tblMailAuftraege[[#This Row],[Datensatz-ID]],tblVertraege[Datensatz-ID],tblVertraege[Sparte],""),IF(_xlpm.x=0,"",_xlpm.x))</f>
        <v>Leben</v>
      </c>
      <c r="M3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Leben | VNR [IMSI-VNR]</v>
      </c>
      <c r="N3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[AGENTURNAME], Agenturnummer [AGENTURNUMMER].
Versicherungsnehmer / Firma: [VN-ODER-FIRMENNAME]
Vielen Dank und freundliche Grüße</v>
      </c>
      <c r="O31" s="29" t="str">
        <f>_xlfn.XLOOKUP(tblMailAuftraege[[#This Row],[Mail-ID / Zustand]],tblMailanforderungen[Mail-ID / Zustand],tblMailanforderungen[Erforderliche Anhänge],"")</f>
        <v>Maklervollmacht mit abweichendem Geburtsdatum</v>
      </c>
      <c r="P3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3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3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BÜ-Wunsch: vorhanden
• Maklervollmacht vorhanden: ja; Unterschrift vorhanden: ja; Kunden-/VN-Daten: Geburtsdatum gegenüber IMSI abweichend
• TBD: Feldbezeichnung gegen aktuelles KI-Deckblatt prüfen</v>
      </c>
      <c r="S3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1" s="26" t="s">
        <v>18</v>
      </c>
      <c r="U31" s="26" t="s">
        <v>18</v>
      </c>
      <c r="V31" s="27"/>
      <c r="W3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1" s="25" t="s">
        <v>115</v>
      </c>
      <c r="Y31" s="29" t="str">
        <f>_xlfn.LET(_xlpm.x,_xlfn.XLOOKUP(tblMailAuftraege[[#This Row],[Datensatz-ID]],tblVertraege[Datensatz-ID],tblVertraege[Sparte],""),IF(_xlpm.x=0,"",_xlpm.x))</f>
        <v>Leben</v>
      </c>
      <c r="Z31" s="29" t="str">
        <f>_xlfn.LET(_xlpm.x,_xlfn.XLOOKUP(tblMailAuftraege[[#This Row],[Datensatz-ID]],tblVertraege[Datensatz-ID],tblVertraege[Abgeber-ID],""),IF(_xlpm.x=0,"",_xlpm.x))</f>
        <v>AB-02</v>
      </c>
      <c r="AA31" s="29" t="str">
        <f>_xlfn.LET(_xlpm.x,_xlfn.XLOOKUP(tblMailAuftraege[[#This Row],[Datensatz-ID]],tblVertraege[Datensatz-ID],tblVertraege[Abgebender Agenturtyp],""),IF(_xlpm.x=0,"",_xlpm.x))</f>
        <v>Makler</v>
      </c>
      <c r="AB31" s="29" t="str">
        <f>_xlfn.LET(_xlpm.x,_xlfn.XLOOKUP(tblMailAuftraege[[#This Row],[Datensatz-ID]],tblVertraege[Datensatz-ID],tblVertraege[Konkreter abgebender Agenturname],""),IF(_xlpm.x=0,"",_xlpm.x))</f>
        <v/>
      </c>
      <c r="AC31" s="32" t="str">
        <f>_xlfn.LET(_xlpm.x,_xlfn.XLOOKUP(tblMailAuftraege[[#This Row],[Datensatz-ID]],tblVertraege[Datensatz-ID],tblVertraege[Abgebende Agenturnummer / OE],""),IF(_xlpm.x=0,"",_xlpm.x))</f>
        <v/>
      </c>
      <c r="AD31" s="29" t="str">
        <f>_xlfn.LET(_xlpm.x,_xlfn.XLOOKUP(tblMailAuftraege[[#This Row],[Datensatz-ID]],tblVertraege[Datensatz-ID],tblVertraege[Abgeberstatus],""),IF(_xlpm.x=0,"",_xlpm.x))</f>
        <v>aktiv</v>
      </c>
      <c r="AE3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</sheetData>
  <conditionalFormatting sqref="B8:AE31">
    <cfRule type="expression" dxfId="7" priority="11">
      <formula>$E8="technischer Datensatz"</formula>
    </cfRule>
  </conditionalFormatting>
  <conditionalFormatting sqref="B8:B31">
    <cfRule type="expression" dxfId="4" priority="8">
      <formula>LEFT($M8,9)="BLOCKIERT"</formula>
    </cfRule>
  </conditionalFormatting>
  <conditionalFormatting sqref="M8:M31">
    <cfRule type="expression" dxfId="6" priority="9">
      <formula>LEFT($M8,9)="BLOCKIERT"</formula>
    </cfRule>
  </conditionalFormatting>
  <conditionalFormatting sqref="N8:N31">
    <cfRule type="expression" dxfId="6" priority="10">
      <formula>LEFT($M8,9)="BLOCKIERT"</formula>
    </cfRule>
  </conditionalFormatting>
  <conditionalFormatting sqref="T8:U31">
    <cfRule type="expression" dxfId="0" priority="1">
      <formula>LOWER(T8)="bereit"</formula>
    </cfRule>
    <cfRule type="expression" dxfId="1" priority="2">
      <formula>LOWER(T8)="in durchführung"</formula>
    </cfRule>
    <cfRule type="expression" dxfId="2" priority="3">
      <formula>LOWER(T8)="offen"</formula>
    </cfRule>
    <cfRule type="expression" dxfId="2" priority="4">
      <formula>LOWER(T8)="nein"</formula>
    </cfRule>
    <cfRule type="expression" dxfId="3" priority="5">
      <formula>OR(T8="ja",T8="erledigt",T8="bereit")</formula>
    </cfRule>
    <cfRule type="expression" dxfId="4" priority="6">
      <formula>OR(T8="nein",T8="blockiert")</formula>
    </cfRule>
    <cfRule type="expression" dxfId="5" priority="7">
      <formula>T8="nicht erforderlich"</formula>
    </cfRule>
  </conditionalFormatting>
  <dataValidations count="3">
    <dataValidation type="list" allowBlank="1" showInputMessage="1" showErrorMessage="1" sqref="T8:U31">
      <formula1>'Listen &amp; Parameter'!$B$2:$B$4</formula1>
    </dataValidation>
    <dataValidation type="list" allowBlank="1" showInputMessage="1" showErrorMessage="1" sqref="V8:V31">
      <formula1>'Listen &amp; Parameter'!$E$2:$E$8</formula1>
    </dataValidation>
    <dataValidation type="list" allowBlank="1" showInputMessage="1" showErrorMessage="1" sqref="E8:E31">
      <formula1>'Listen &amp; Parameter'!$F$2:$F$3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Generator">
    <tabColor rgb="FF31527A"/>
    <pageSetUpPr fitToPage="1"/>
  </sheetPr>
  <dimension ref="A1:U59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/>
  <cols>
    <col min="1" max="1" width="3" customWidth="1"/>
    <col min="2" max="2" width="14.7109375" customWidth="1"/>
    <col min="3" max="3" width="11.7109375" customWidth="1"/>
    <col min="4" max="4" width="9.7109375" customWidth="1"/>
    <col min="5" max="5" width="40.7109375" customWidth="1"/>
    <col min="6" max="6" width="30.7109375" customWidth="1"/>
    <col min="7" max="7" width="20.7109375" customWidth="1"/>
    <col min="8" max="8" width="18.7109375" customWidth="1"/>
    <col min="9" max="9" width="15.7109375" customWidth="1"/>
    <col min="10" max="10" width="13.7109375" customWidth="1"/>
    <col min="11" max="11" width="12.7109375" customWidth="1"/>
    <col min="12" max="13" width="13.7109375" customWidth="1"/>
    <col min="14" max="14" width="20.7109375" customWidth="1"/>
    <col min="15" max="15" width="16.7109375" customWidth="1"/>
    <col min="16" max="16" width="22.7109375" customWidth="1"/>
    <col min="17" max="17" width="30.7109375" customWidth="1"/>
    <col min="18" max="18" width="17.7109375" customWidth="1"/>
    <col min="19" max="19" width="16.7109375" customWidth="1"/>
    <col min="20" max="20" width="26.7109375" customWidth="1"/>
    <col min="21" max="21" width="34.7109375" customWidth="1"/>
  </cols>
  <sheetData>
    <row r="1" spans="2:17" s="1" customFormat="1" ht="18" customHeight="1">
      <c r="B1" s="2" t="s">
        <v>860</v>
      </c>
    </row>
    <row r="2" spans="2:17" s="1" customFormat="1" ht="28" customHeight="1">
      <c r="B2" s="3" t="s">
        <v>861</v>
      </c>
    </row>
    <row r="3" spans="2:17" s="1" customFormat="1" ht="21" customHeight="1">
      <c r="B3" s="4" t="s">
        <v>862</v>
      </c>
    </row>
    <row r="4" spans="2:17" s="1" customFormat="1" ht="10" customHeight="1"/>
    <row r="5" spans="2:17" s="5" customFormat="1" ht="3" customHeight="1"/>
    <row r="6" spans="2:17" ht="24" customHeight="1">
      <c r="B6" s="28" t="s">
        <v>863</v>
      </c>
    </row>
    <row r="7" spans="2:17" ht="10" customHeight="1"/>
    <row r="8" spans="2:17" ht="18" customHeight="1">
      <c r="B8" s="33" t="s">
        <v>864</v>
      </c>
      <c r="C8" s="33"/>
      <c r="D8" s="33"/>
      <c r="E8" s="33"/>
      <c r="F8" s="33" t="s">
        <v>866</v>
      </c>
      <c r="G8" s="33"/>
      <c r="H8" s="33"/>
      <c r="I8" s="33" t="s">
        <v>868</v>
      </c>
      <c r="J8" s="33"/>
      <c r="K8" s="33"/>
      <c r="L8" s="33"/>
      <c r="M8" s="33"/>
      <c r="N8" s="33" t="s">
        <v>870</v>
      </c>
      <c r="O8" s="33"/>
      <c r="P8" s="33"/>
      <c r="Q8" s="33"/>
    </row>
    <row r="9" spans="2:17" ht="30" customHeight="1">
      <c r="B9" s="34" t="s">
        <v>865</v>
      </c>
      <c r="C9" s="34"/>
      <c r="D9" s="34"/>
      <c r="E9" s="34"/>
      <c r="F9" s="34" t="s">
        <v>867</v>
      </c>
      <c r="G9" s="34"/>
      <c r="H9" s="34"/>
      <c r="I9" s="34" t="s">
        <v>869</v>
      </c>
      <c r="J9" s="34"/>
      <c r="K9" s="34"/>
      <c r="L9" s="34"/>
      <c r="M9" s="34"/>
      <c r="N9" s="34" t="s">
        <v>871</v>
      </c>
      <c r="O9" s="34"/>
      <c r="P9" s="34"/>
      <c r="Q9" s="34"/>
    </row>
    <row r="11" spans="2:17" ht="22" customHeight="1">
      <c r="B11" s="11" t="s">
        <v>872</v>
      </c>
    </row>
    <row r="12" spans="2:17" ht="24" customHeight="1">
      <c r="B12" s="12" t="s">
        <v>873</v>
      </c>
      <c r="C12" s="12"/>
      <c r="D12" s="12"/>
      <c r="E12" s="12" t="s">
        <v>874</v>
      </c>
      <c r="F12" s="12" t="s">
        <v>875</v>
      </c>
      <c r="G12" s="12"/>
      <c r="H12" s="12"/>
      <c r="I12" s="12"/>
      <c r="J12" s="12"/>
      <c r="K12" s="13" t="s">
        <v>0</v>
      </c>
    </row>
    <row r="13" spans="2:17" ht="34" customHeight="1">
      <c r="B13" s="35" t="s">
        <v>876</v>
      </c>
      <c r="C13" s="35"/>
      <c r="D13" s="35"/>
      <c r="E13" s="36" t="s">
        <v>877</v>
      </c>
      <c r="F13" s="37" t="s">
        <v>878</v>
      </c>
      <c r="G13" s="37"/>
      <c r="H13" s="37"/>
      <c r="I13" s="37"/>
      <c r="J13" s="37"/>
      <c r="K13" s="38" t="str">
        <f>IF(LEN(TRIM(E13))=0,"fehlt","gepflegt")</f>
        <v>gepflegt</v>
      </c>
    </row>
    <row r="14" spans="2:17" ht="34" customHeight="1">
      <c r="B14" s="35" t="s">
        <v>879</v>
      </c>
      <c r="C14" s="35"/>
      <c r="D14" s="35"/>
      <c r="E14" s="36" t="s">
        <v>880</v>
      </c>
      <c r="F14" s="37" t="s">
        <v>881</v>
      </c>
      <c r="G14" s="37"/>
      <c r="H14" s="37"/>
      <c r="I14" s="37"/>
      <c r="J14" s="37"/>
      <c r="K14" s="38" t="str">
        <f>IF(LEN(TRIM(E14))=0,"fehlt","gepflegt")</f>
        <v>gepflegt</v>
      </c>
    </row>
    <row r="15" spans="2:17" ht="34" customHeight="1">
      <c r="B15" s="35" t="s">
        <v>882</v>
      </c>
      <c r="C15" s="35"/>
      <c r="D15" s="35"/>
      <c r="E15" s="36"/>
      <c r="F15" s="37" t="s">
        <v>883</v>
      </c>
      <c r="G15" s="37"/>
      <c r="H15" s="37"/>
      <c r="I15" s="37"/>
      <c r="J15" s="37"/>
      <c r="K15" s="38" t="str">
        <f>IF(LEN(TRIM(E15))=0,"optional","gepflegt")</f>
        <v>optional</v>
      </c>
    </row>
    <row r="16" spans="2:17" ht="34" customHeight="1">
      <c r="B16" s="35" t="s">
        <v>884</v>
      </c>
      <c r="C16" s="35"/>
      <c r="D16" s="35"/>
      <c r="E16" s="36"/>
      <c r="F16" s="37" t="s">
        <v>885</v>
      </c>
      <c r="G16" s="37"/>
      <c r="H16" s="37"/>
      <c r="I16" s="37"/>
      <c r="J16" s="37"/>
      <c r="K16" s="38" t="str">
        <f>IF(LEN(TRIM(E16))=0,"optional","gepflegt")</f>
        <v>optional</v>
      </c>
    </row>
    <row r="17" spans="2:21" ht="34" customHeight="1">
      <c r="B17" s="35" t="s">
        <v>886</v>
      </c>
      <c r="C17" s="35"/>
      <c r="D17" s="35"/>
      <c r="E17" s="36"/>
      <c r="F17" s="37" t="s">
        <v>887</v>
      </c>
      <c r="G17" s="37"/>
      <c r="H17" s="37"/>
      <c r="I17" s="37"/>
      <c r="J17" s="37"/>
      <c r="K17" s="38" t="str">
        <f>IF(LEN(TRIM(E17))=0,"optional","gepflegt")</f>
        <v>optional</v>
      </c>
    </row>
    <row r="18" spans="2:21" ht="34" customHeight="1">
      <c r="B18" s="35" t="s">
        <v>888</v>
      </c>
      <c r="C18" s="35"/>
      <c r="D18" s="35"/>
      <c r="E18" s="36"/>
      <c r="F18" s="37" t="s">
        <v>889</v>
      </c>
      <c r="G18" s="37"/>
      <c r="H18" s="37"/>
      <c r="I18" s="37"/>
      <c r="J18" s="37"/>
      <c r="K18" s="38" t="str">
        <f>IF(LEN(TRIM(E18))=0,"fehlt","gepflegt")</f>
        <v>fehlt</v>
      </c>
    </row>
    <row r="19" spans="2:21" ht="34" customHeight="1">
      <c r="B19" s="35" t="s">
        <v>890</v>
      </c>
      <c r="C19" s="35"/>
      <c r="D19" s="35"/>
      <c r="E19" s="36"/>
      <c r="F19" s="37" t="s">
        <v>891</v>
      </c>
      <c r="G19" s="37"/>
      <c r="H19" s="37"/>
      <c r="I19" s="37"/>
      <c r="J19" s="37"/>
      <c r="K19" s="38" t="str">
        <f>IF(LEN(TRIM(E19))=0,"optional","gepflegt")</f>
        <v>optional</v>
      </c>
    </row>
    <row r="20" spans="2:21" ht="34" customHeight="1">
      <c r="B20" s="35" t="s">
        <v>892</v>
      </c>
      <c r="C20" s="35"/>
      <c r="D20" s="35"/>
      <c r="E20" s="36"/>
      <c r="F20" s="37" t="s">
        <v>893</v>
      </c>
      <c r="G20" s="37"/>
      <c r="H20" s="37"/>
      <c r="I20" s="37"/>
      <c r="J20" s="37"/>
      <c r="K20" s="38" t="str">
        <f>IF(LEN(TRIM(E20))=0,"fehlt","gepflegt")</f>
        <v>fehlt</v>
      </c>
    </row>
    <row r="21" spans="2:21" ht="34" customHeight="1">
      <c r="B21" s="35" t="s">
        <v>894</v>
      </c>
      <c r="C21" s="35"/>
      <c r="D21" s="35"/>
      <c r="E21" s="36"/>
      <c r="F21" s="37" t="s">
        <v>895</v>
      </c>
      <c r="G21" s="37"/>
      <c r="H21" s="37"/>
      <c r="I21" s="37"/>
      <c r="J21" s="37"/>
      <c r="K21" s="38" t="str">
        <f>IF(LEN(TRIM(E21))=0,"optional","gepflegt")</f>
        <v>optional</v>
      </c>
    </row>
    <row r="22" spans="2:21" ht="34" customHeight="1">
      <c r="B22" s="35" t="s">
        <v>896</v>
      </c>
      <c r="C22" s="35"/>
      <c r="D22" s="35"/>
      <c r="E22" s="39"/>
      <c r="F22" s="37" t="s">
        <v>897</v>
      </c>
      <c r="G22" s="37"/>
      <c r="H22" s="37"/>
      <c r="I22" s="37"/>
      <c r="J22" s="37"/>
      <c r="K22" s="38" t="str">
        <f>IF(LEN(TRIM(E22))=0,"optional","gepflegt")</f>
        <v>optional</v>
      </c>
    </row>
    <row r="23" spans="2:21" ht="34" customHeight="1">
      <c r="B23" s="35" t="s">
        <v>898</v>
      </c>
      <c r="C23" s="35"/>
      <c r="D23" s="35"/>
      <c r="E23" s="36" t="s">
        <v>10</v>
      </c>
      <c r="F23" s="37" t="s">
        <v>899</v>
      </c>
      <c r="G23" s="37"/>
      <c r="H23" s="37"/>
      <c r="I23" s="37"/>
      <c r="J23" s="37"/>
      <c r="K23" s="38" t="str">
        <f>IF(LEN(TRIM(E23))=0,"optional",IF(E23="ja","vorbelegt","gepflegt"))</f>
        <v>vorbelegt</v>
      </c>
    </row>
    <row r="24" spans="2:21" ht="34" customHeight="1">
      <c r="B24" s="35" t="s">
        <v>900</v>
      </c>
      <c r="C24" s="35"/>
      <c r="D24" s="35"/>
      <c r="E24" s="36"/>
      <c r="F24" s="37" t="s">
        <v>901</v>
      </c>
      <c r="G24" s="37"/>
      <c r="H24" s="37"/>
      <c r="I24" s="37"/>
      <c r="J24" s="37"/>
      <c r="K24" s="38" t="str">
        <f>IF(LEN(TRIM(E24))=0,"optional","gepflegt")</f>
        <v>optional</v>
      </c>
    </row>
    <row r="27" spans="2:21" ht="22" customHeight="1">
      <c r="B27" s="11" t="s">
        <v>902</v>
      </c>
    </row>
    <row r="28" spans="2:21">
      <c r="B28" s="40" t="s">
        <v>903</v>
      </c>
    </row>
    <row r="29" spans="2:21" ht="40" customHeight="1">
      <c r="B29" s="12" t="s">
        <v>174</v>
      </c>
      <c r="C29" s="12" t="s">
        <v>175</v>
      </c>
      <c r="D29" s="12" t="s">
        <v>904</v>
      </c>
      <c r="E29" s="12" t="s">
        <v>905</v>
      </c>
      <c r="F29" s="12" t="s">
        <v>906</v>
      </c>
      <c r="G29" s="12" t="s">
        <v>907</v>
      </c>
      <c r="H29" s="12" t="s">
        <v>908</v>
      </c>
      <c r="I29" s="12" t="s">
        <v>909</v>
      </c>
      <c r="J29" s="12" t="s">
        <v>910</v>
      </c>
      <c r="K29" s="12" t="s">
        <v>911</v>
      </c>
      <c r="L29" s="12" t="s">
        <v>912</v>
      </c>
      <c r="M29" s="12" t="s">
        <v>913</v>
      </c>
      <c r="N29" s="12" t="s">
        <v>914</v>
      </c>
      <c r="O29" s="12" t="s">
        <v>915</v>
      </c>
      <c r="P29" s="12" t="s">
        <v>916</v>
      </c>
      <c r="Q29" s="12" t="s">
        <v>917</v>
      </c>
      <c r="R29" s="12" t="s">
        <v>918</v>
      </c>
      <c r="S29" s="12" t="s">
        <v>919</v>
      </c>
      <c r="T29" s="12" t="s">
        <v>920</v>
      </c>
      <c r="U29" s="12" t="s">
        <v>921</v>
      </c>
    </row>
    <row r="30" spans="2:21" ht="24" customHeight="1">
      <c r="B30" s="25" t="s">
        <v>190</v>
      </c>
      <c r="C30" s="29" t="str">
        <f>IFERROR(INDEX(tblMailAuftraege[Testfall-ID],MATCH(tblGeneratorEingaben[[#This Row],[Mail-Auftrags-ID]],tblMailAuftraege[Mail-Auftrags-ID],0))&amp;"","")</f>
        <v>TF-GL-01</v>
      </c>
      <c r="D30" s="41" t="str">
        <f>IFERROR(INDEX(tblMailAuftraege[Mail-ID / Zustand],MATCH(tblGeneratorEingaben[[#This Row],[Mail-Auftrags-ID]],tblMailAuftraege[Mail-Auftrags-ID],0))&amp;"","")</f>
        <v>M-01</v>
      </c>
      <c r="E3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0" s="27"/>
      <c r="G30" s="27"/>
      <c r="H30" s="27"/>
      <c r="I30" s="27"/>
      <c r="J30" s="31"/>
      <c r="K30" s="27"/>
      <c r="L30" s="31"/>
      <c r="M30" s="27"/>
      <c r="N30" s="27"/>
      <c r="O30" s="27"/>
      <c r="P30" s="27"/>
      <c r="Q30" s="27"/>
      <c r="R30" s="27"/>
      <c r="S30" s="27"/>
      <c r="T30" s="27"/>
      <c r="U30" s="42"/>
    </row>
    <row r="31" spans="2:21" ht="24" customHeight="1">
      <c r="B31" s="25" t="s">
        <v>194</v>
      </c>
      <c r="C31" s="29" t="str">
        <f>IFERROR(INDEX(tblMailAuftraege[Testfall-ID],MATCH(tblGeneratorEingaben[[#This Row],[Mail-Auftrags-ID]],tblMailAuftraege[Mail-Auftrags-ID],0))&amp;"","")</f>
        <v>TF-GL-02</v>
      </c>
      <c r="D31" s="41" t="str">
        <f>IFERROR(INDEX(tblMailAuftraege[Mail-ID / Zustand],MATCH(tblGeneratorEingaben[[#This Row],[Mail-Auftrags-ID]],tblMailAuftraege[Mail-Auftrags-ID],0))&amp;"","")</f>
        <v>M-02</v>
      </c>
      <c r="E3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1" s="27"/>
      <c r="G31" s="27"/>
      <c r="H31" s="27"/>
      <c r="I31" s="27"/>
      <c r="J31" s="31"/>
      <c r="K31" s="27"/>
      <c r="L31" s="31"/>
      <c r="M31" s="27"/>
      <c r="N31" s="27"/>
      <c r="O31" s="27"/>
      <c r="P31" s="27"/>
      <c r="Q31" s="27"/>
      <c r="R31" s="27"/>
      <c r="S31" s="27"/>
      <c r="T31" s="27"/>
      <c r="U31" s="42"/>
    </row>
    <row r="32" spans="2:21" ht="35.25" customHeight="1">
      <c r="B32" s="25" t="s">
        <v>198</v>
      </c>
      <c r="C32" s="29" t="str">
        <f>IFERROR(INDEX(tblMailAuftraege[Testfall-ID],MATCH(tblGeneratorEingaben[[#This Row],[Mail-Auftrags-ID]],tblMailAuftraege[Mail-Auftrags-ID],0))&amp;"","")</f>
        <v>TF-GL-03</v>
      </c>
      <c r="D32" s="41" t="str">
        <f>IFERROR(INDEX(tblMailAuftraege[Mail-ID / Zustand],MATCH(tblGeneratorEingaben[[#This Row],[Mail-Auftrags-ID]],tblMailAuftraege[Mail-Auftrags-ID],0))&amp;"","")</f>
        <v>M-03</v>
      </c>
      <c r="E3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Untermakler und Unterlagenanforderung (Pflicht)</v>
      </c>
      <c r="F32" s="27"/>
      <c r="G32" s="27"/>
      <c r="H32" s="27"/>
      <c r="I32" s="27"/>
      <c r="J32" s="31"/>
      <c r="K32" s="27"/>
      <c r="L32" s="31"/>
      <c r="M32" s="27"/>
      <c r="N32" s="27"/>
      <c r="O32" s="27"/>
      <c r="P32" s="27"/>
      <c r="Q32" s="27"/>
      <c r="R32" s="27"/>
      <c r="S32" s="27"/>
      <c r="T32" s="27"/>
      <c r="U32" s="42" t="s">
        <v>922</v>
      </c>
    </row>
    <row r="33" spans="2:21" ht="24" customHeight="1">
      <c r="B33" s="25" t="s">
        <v>202</v>
      </c>
      <c r="C33" s="29" t="str">
        <f>IFERROR(INDEX(tblMailAuftraege[Testfall-ID],MATCH(tblGeneratorEingaben[[#This Row],[Mail-Auftrags-ID]],tblMailAuftraege[Mail-Auftrags-ID],0))&amp;"","")</f>
        <v>TF-GL-04</v>
      </c>
      <c r="D33" s="41" t="str">
        <f>IFERROR(INDEX(tblMailAuftraege[Mail-ID / Zustand],MATCH(tblGeneratorEingaben[[#This Row],[Mail-Auftrags-ID]],tblMailAuftraege[Mail-Auftrags-ID],0))&amp;"","")</f>
        <v>M-04</v>
      </c>
      <c r="E3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3" s="27"/>
      <c r="G33" s="27"/>
      <c r="H33" s="27"/>
      <c r="I33" s="27"/>
      <c r="J33" s="31"/>
      <c r="K33" s="27"/>
      <c r="L33" s="31"/>
      <c r="M33" s="27"/>
      <c r="N33" s="27"/>
      <c r="O33" s="27"/>
      <c r="P33" s="27"/>
      <c r="Q33" s="27"/>
      <c r="R33" s="27"/>
      <c r="S33" s="27"/>
      <c r="T33" s="27"/>
      <c r="U33" s="42"/>
    </row>
    <row r="34" spans="2:21" ht="24" customHeight="1">
      <c r="B34" s="25" t="s">
        <v>206</v>
      </c>
      <c r="C34" s="29" t="str">
        <f>IFERROR(INDEX(tblMailAuftraege[Testfall-ID],MATCH(tblGeneratorEingaben[[#This Row],[Mail-Auftrags-ID]],tblMailAuftraege[Mail-Auftrags-ID],0))&amp;"","")</f>
        <v>TF-VP-01</v>
      </c>
      <c r="D34" s="41" t="str">
        <f>IFERROR(INDEX(tblMailAuftraege[Mail-ID / Zustand],MATCH(tblGeneratorEingaben[[#This Row],[Mail-Auftrags-ID]],tblMailAuftraege[Mail-Auftrags-ID],0))&amp;"","")</f>
        <v>M-08</v>
      </c>
      <c r="E3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4" s="27"/>
      <c r="G34" s="27"/>
      <c r="H34" s="27"/>
      <c r="I34" s="27"/>
      <c r="J34" s="31"/>
      <c r="K34" s="27"/>
      <c r="L34" s="31"/>
      <c r="M34" s="27"/>
      <c r="N34" s="27"/>
      <c r="O34" s="27"/>
      <c r="P34" s="27"/>
      <c r="Q34" s="27"/>
      <c r="R34" s="27"/>
      <c r="S34" s="27"/>
      <c r="T34" s="27"/>
      <c r="U34" s="42"/>
    </row>
    <row r="35" spans="2:21" ht="24" customHeight="1">
      <c r="B35" s="25" t="s">
        <v>210</v>
      </c>
      <c r="C35" s="29" t="str">
        <f>IFERROR(INDEX(tblMailAuftraege[Testfall-ID],MATCH(tblGeneratorEingaben[[#This Row],[Mail-Auftrags-ID]],tblMailAuftraege[Mail-Auftrags-ID],0))&amp;"","")</f>
        <v>TF-VP-03</v>
      </c>
      <c r="D35" s="41" t="str">
        <f>IFERROR(INDEX(tblMailAuftraege[Mail-ID / Zustand],MATCH(tblGeneratorEingaben[[#This Row],[Mail-Auftrags-ID]],tblMailAuftraege[Mail-Auftrags-ID],0))&amp;"","")</f>
        <v>M-12</v>
      </c>
      <c r="E3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5" s="27"/>
      <c r="G35" s="27"/>
      <c r="H35" s="27"/>
      <c r="I35" s="27"/>
      <c r="J35" s="31"/>
      <c r="K35" s="27"/>
      <c r="L35" s="31"/>
      <c r="M35" s="27"/>
      <c r="N35" s="27"/>
      <c r="O35" s="27"/>
      <c r="P35" s="27"/>
      <c r="Q35" s="27"/>
      <c r="R35" s="27"/>
      <c r="S35" s="27"/>
      <c r="T35" s="27"/>
      <c r="U35" s="42"/>
    </row>
    <row r="36" spans="2:21" ht="24" customHeight="1">
      <c r="B36" s="25" t="s">
        <v>214</v>
      </c>
      <c r="C36" s="29" t="str">
        <f>IFERROR(INDEX(tblMailAuftraege[Testfall-ID],MATCH(tblGeneratorEingaben[[#This Row],[Mail-Auftrags-ID]],tblMailAuftraege[Mail-Auftrags-ID],0))&amp;"","")</f>
        <v>TF-VP-04</v>
      </c>
      <c r="D36" s="41" t="str">
        <f>IFERROR(INDEX(tblMailAuftraege[Mail-ID / Zustand],MATCH(tblGeneratorEingaben[[#This Row],[Mail-Auftrags-ID]],tblMailAuftraege[Mail-Auftrags-ID],0))&amp;"","")</f>
        <v>M-06</v>
      </c>
      <c r="E3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6" s="27"/>
      <c r="G36" s="27"/>
      <c r="H36" s="27"/>
      <c r="I36" s="27"/>
      <c r="J36" s="31"/>
      <c r="K36" s="27"/>
      <c r="L36" s="31"/>
      <c r="M36" s="27"/>
      <c r="N36" s="27"/>
      <c r="O36" s="27"/>
      <c r="P36" s="27"/>
      <c r="Q36" s="27"/>
      <c r="R36" s="27"/>
      <c r="S36" s="27"/>
      <c r="T36" s="27"/>
      <c r="U36" s="42"/>
    </row>
    <row r="37" spans="2:21" ht="35.25" customHeight="1">
      <c r="B37" s="25" t="s">
        <v>218</v>
      </c>
      <c r="C37" s="29" t="str">
        <f>IFERROR(INDEX(tblMailAuftraege[Testfall-ID],MATCH(tblGeneratorEingaben[[#This Row],[Mail-Auftrags-ID]],tblMailAuftraege[Mail-Auftrags-ID],0))&amp;"","")</f>
        <v>TF-VP-05</v>
      </c>
      <c r="D37" s="41" t="str">
        <f>IFERROR(INDEX(tblMailAuftraege[Mail-ID / Zustand],MATCH(tblGeneratorEingaben[[#This Row],[Mail-Auftrags-ID]],tblMailAuftraege[Mail-Auftrags-ID],0))&amp;"","")</f>
        <v>M-07</v>
      </c>
      <c r="E3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Abweichender Vermittler (Pflicht)</v>
      </c>
      <c r="F37" s="27"/>
      <c r="G37" s="27"/>
      <c r="H37" s="27"/>
      <c r="I37" s="27"/>
      <c r="J37" s="31"/>
      <c r="K37" s="27"/>
      <c r="L37" s="31"/>
      <c r="M37" s="27" t="s">
        <v>62</v>
      </c>
      <c r="N37" s="27"/>
      <c r="O37" s="27"/>
      <c r="P37" s="27"/>
      <c r="Q37" s="27"/>
      <c r="R37" s="27"/>
      <c r="S37" s="27"/>
      <c r="T37" s="27"/>
      <c r="U37" s="42" t="s">
        <v>923</v>
      </c>
    </row>
    <row r="38" spans="2:21" ht="24" customHeight="1">
      <c r="B38" s="25" t="s">
        <v>222</v>
      </c>
      <c r="C38" s="29" t="str">
        <f>IFERROR(INDEX(tblMailAuftraege[Testfall-ID],MATCH(tblGeneratorEingaben[[#This Row],[Mail-Auftrags-ID]],tblMailAuftraege[Mail-Auftrags-ID],0))&amp;"","")</f>
        <v>TF-VP-06</v>
      </c>
      <c r="D38" s="41" t="str">
        <f>IFERROR(INDEX(tblMailAuftraege[Mail-ID / Zustand],MATCH(tblGeneratorEingaben[[#This Row],[Mail-Auftrags-ID]],tblMailAuftraege[Mail-Auftrags-ID],0))&amp;"","")</f>
        <v>M-05</v>
      </c>
      <c r="E3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8" s="27"/>
      <c r="G38" s="27"/>
      <c r="H38" s="27"/>
      <c r="I38" s="27"/>
      <c r="J38" s="31"/>
      <c r="K38" s="27"/>
      <c r="L38" s="31"/>
      <c r="M38" s="27"/>
      <c r="N38" s="27"/>
      <c r="O38" s="27"/>
      <c r="P38" s="27"/>
      <c r="Q38" s="27"/>
      <c r="R38" s="27"/>
      <c r="S38" s="27"/>
      <c r="T38" s="27"/>
      <c r="U38" s="42"/>
    </row>
    <row r="39" spans="2:21" ht="24" customHeight="1">
      <c r="B39" s="25" t="s">
        <v>226</v>
      </c>
      <c r="C39" s="29" t="str">
        <f>IFERROR(INDEX(tblMailAuftraege[Testfall-ID],MATCH(tblGeneratorEingaben[[#This Row],[Mail-Auftrags-ID]],tblMailAuftraege[Mail-Auftrags-ID],0))&amp;"","")</f>
        <v>TF-KU-01</v>
      </c>
      <c r="D39" s="41" t="str">
        <f>IFERROR(INDEX(tblMailAuftraege[Mail-ID / Zustand],MATCH(tblGeneratorEingaben[[#This Row],[Mail-Auftrags-ID]],tblMailAuftraege[Mail-Auftrags-ID],0))&amp;"","")</f>
        <v>Weg B</v>
      </c>
      <c r="E3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9" s="27"/>
      <c r="G39" s="27"/>
      <c r="H39" s="27"/>
      <c r="I39" s="27"/>
      <c r="J39" s="31"/>
      <c r="K39" s="27"/>
      <c r="L39" s="31"/>
      <c r="M39" s="27"/>
      <c r="N39" s="27"/>
      <c r="O39" s="27"/>
      <c r="P39" s="27"/>
      <c r="Q39" s="27"/>
      <c r="R39" s="27"/>
      <c r="S39" s="27"/>
      <c r="T39" s="27"/>
      <c r="U39" s="42"/>
    </row>
    <row r="40" spans="2:21" ht="24" customHeight="1">
      <c r="B40" s="25" t="s">
        <v>230</v>
      </c>
      <c r="C40" s="29" t="str">
        <f>IFERROR(INDEX(tblMailAuftraege[Testfall-ID],MATCH(tblGeneratorEingaben[[#This Row],[Mail-Auftrags-ID]],tblMailAuftraege[Mail-Auftrags-ID],0))&amp;"","")</f>
        <v>TF-KU-02</v>
      </c>
      <c r="D40" s="41" t="str">
        <f>IFERROR(INDEX(tblMailAuftraege[Mail-ID / Zustand],MATCH(tblGeneratorEingaben[[#This Row],[Mail-Auftrags-ID]],tblMailAuftraege[Mail-Auftrags-ID],0))&amp;"","")</f>
        <v>M-11</v>
      </c>
      <c r="E4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Fiktive Person: Name, Vorname, Geburtsdatum (Pflicht); IS011 prüfen</v>
      </c>
      <c r="F40" s="27"/>
      <c r="G40" s="27"/>
      <c r="H40" s="27"/>
      <c r="I40" s="27"/>
      <c r="J40" s="31"/>
      <c r="K40" s="27"/>
      <c r="L40" s="31"/>
      <c r="M40" s="27"/>
      <c r="N40" s="27"/>
      <c r="O40" s="27"/>
      <c r="P40" s="27"/>
      <c r="Q40" s="27"/>
      <c r="R40" s="27"/>
      <c r="S40" s="27"/>
      <c r="T40" s="27"/>
      <c r="U40" s="42" t="s">
        <v>924</v>
      </c>
    </row>
    <row r="41" spans="2:21" ht="24" customHeight="1">
      <c r="B41" s="25" t="s">
        <v>234</v>
      </c>
      <c r="C41" s="29" t="str">
        <f>IFERROR(INDEX(tblMailAuftraege[Testfall-ID],MATCH(tblGeneratorEingaben[[#This Row],[Mail-Auftrags-ID]],tblMailAuftraege[Mail-Auftrags-ID],0))&amp;"","")</f>
        <v>TF-KU-03</v>
      </c>
      <c r="D41" s="41" t="str">
        <f>IFERROR(INDEX(tblMailAuftraege[Mail-ID / Zustand],MATCH(tblGeneratorEingaben[[#This Row],[Mail-Auftrags-ID]],tblMailAuftraege[Mail-Auftrags-ID],0))&amp;"","")</f>
        <v>M-10</v>
      </c>
      <c r="E4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</v>
      </c>
      <c r="F41" s="27"/>
      <c r="G41" s="27"/>
      <c r="H41" s="27"/>
      <c r="I41" s="27"/>
      <c r="J41" s="31"/>
      <c r="K41" s="27"/>
      <c r="L41" s="31"/>
      <c r="M41" s="27"/>
      <c r="N41" s="27"/>
      <c r="O41" s="27"/>
      <c r="P41" s="27"/>
      <c r="Q41" s="27"/>
      <c r="R41" s="27"/>
      <c r="S41" s="27"/>
      <c r="T41" s="27"/>
      <c r="U41" s="42" t="s">
        <v>925</v>
      </c>
    </row>
    <row r="42" spans="2:21" ht="35.25" customHeight="1">
      <c r="B42" s="25" t="s">
        <v>238</v>
      </c>
      <c r="C42" s="29" t="str">
        <f>IFERROR(INDEX(tblMailAuftraege[Testfall-ID],MATCH(tblGeneratorEingaben[[#This Row],[Mail-Auftrags-ID]],tblMailAuftraege[Mail-Auftrags-ID],0))&amp;"","")</f>
        <v>TF-KU-04</v>
      </c>
      <c r="D42" s="41" t="str">
        <f>IFERROR(INDEX(tblMailAuftraege[Mail-ID / Zustand],MATCH(tblGeneratorEingaben[[#This Row],[Mail-Auftrags-ID]],tblMailAuftraege[Mail-Auftrags-ID],0))&amp;"","")</f>
        <v>M-10</v>
      </c>
      <c r="E4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 – leer: VN aus V03-K01</v>
      </c>
      <c r="F42" s="27"/>
      <c r="G42" s="27"/>
      <c r="H42" s="27"/>
      <c r="I42" s="27"/>
      <c r="J42" s="31"/>
      <c r="K42" s="27"/>
      <c r="L42" s="31"/>
      <c r="M42" s="27"/>
      <c r="N42" s="27"/>
      <c r="O42" s="27"/>
      <c r="P42" s="27"/>
      <c r="Q42" s="27"/>
      <c r="R42" s="27"/>
      <c r="S42" s="27"/>
      <c r="T42" s="27"/>
      <c r="U42" s="42" t="s">
        <v>926</v>
      </c>
    </row>
    <row r="43" spans="2:21" ht="24" customHeight="1">
      <c r="B43" s="25" t="s">
        <v>241</v>
      </c>
      <c r="C43" s="29" t="str">
        <f>IFERROR(INDEX(tblMailAuftraege[Testfall-ID],MATCH(tblGeneratorEingaben[[#This Row],[Mail-Auftrags-ID]],tblMailAuftraege[Mail-Auftrags-ID],0))&amp;"","")</f>
        <v>TF-VM-01</v>
      </c>
      <c r="D43" s="41" t="str">
        <f>IFERROR(INDEX(tblMailAuftraege[Mail-ID / Zustand],MATCH(tblGeneratorEingaben[[#This Row],[Mail-Auftrags-ID]],tblMailAuftraege[Mail-Auftrags-ID],0))&amp;"","")</f>
        <v>Weg B</v>
      </c>
      <c r="E4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3" s="27"/>
      <c r="G43" s="27"/>
      <c r="H43" s="27"/>
      <c r="I43" s="27"/>
      <c r="J43" s="31"/>
      <c r="K43" s="27"/>
      <c r="L43" s="31"/>
      <c r="M43" s="27"/>
      <c r="N43" s="27"/>
      <c r="O43" s="27"/>
      <c r="P43" s="27"/>
      <c r="Q43" s="27"/>
      <c r="R43" s="27"/>
      <c r="S43" s="27"/>
      <c r="T43" s="27"/>
      <c r="U43" s="42"/>
    </row>
    <row r="44" spans="2:21" ht="35.25" customHeight="1">
      <c r="B44" s="25" t="s">
        <v>244</v>
      </c>
      <c r="C44" s="29" t="str">
        <f>IFERROR(INDEX(tblMailAuftraege[Testfall-ID],MATCH(tblGeneratorEingaben[[#This Row],[Mail-Auftrags-ID]],tblMailAuftraege[Mail-Auftrags-ID],0))&amp;"","")</f>
        <v>TF-VM-02</v>
      </c>
      <c r="D44" s="41" t="str">
        <f>IFERROR(INDEX(tblMailAuftraege[Mail-ID / Zustand],MATCH(tblGeneratorEingaben[[#This Row],[Mail-Auftrags-ID]],tblMailAuftraege[Mail-Auftrags-ID],0))&amp;"","")</f>
        <v>M-09</v>
      </c>
      <c r="E4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44" s="27"/>
      <c r="G44" s="27"/>
      <c r="H44" s="27"/>
      <c r="I44" s="27"/>
      <c r="J44" s="31"/>
      <c r="K44" s="27"/>
      <c r="L44" s="31"/>
      <c r="M44" s="27"/>
      <c r="N44" s="27"/>
      <c r="O44" s="27"/>
      <c r="P44" s="27"/>
      <c r="Q44" s="27"/>
      <c r="R44" s="27"/>
      <c r="S44" s="27"/>
      <c r="T44" s="27"/>
      <c r="U44" s="42"/>
    </row>
    <row r="45" spans="2:21" ht="24" customHeight="1">
      <c r="B45" s="25" t="s">
        <v>248</v>
      </c>
      <c r="C45" s="29" t="str">
        <f>IFERROR(INDEX(tblMailAuftraege[Testfall-ID],MATCH(tblGeneratorEingaben[[#This Row],[Mail-Auftrags-ID]],tblMailAuftraege[Mail-Auftrags-ID],0))&amp;"","")</f>
        <v>TF-VM-03</v>
      </c>
      <c r="D45" s="41" t="str">
        <f>IFERROR(INDEX(tblMailAuftraege[Mail-ID / Zustand],MATCH(tblGeneratorEingaben[[#This Row],[Mail-Auftrags-ID]],tblMailAuftraege[Mail-Auftrags-ID],0))&amp;"","")</f>
        <v>M-01</v>
      </c>
      <c r="E4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5" s="27"/>
      <c r="G45" s="27"/>
      <c r="H45" s="27"/>
      <c r="I45" s="27"/>
      <c r="J45" s="31"/>
      <c r="K45" s="27"/>
      <c r="L45" s="31"/>
      <c r="M45" s="27"/>
      <c r="N45" s="27"/>
      <c r="O45" s="27"/>
      <c r="P45" s="27"/>
      <c r="Q45" s="27"/>
      <c r="R45" s="27"/>
      <c r="S45" s="27"/>
      <c r="T45" s="27"/>
      <c r="U45" s="42"/>
    </row>
    <row r="46" spans="2:21" ht="24" customHeight="1">
      <c r="B46" s="25" t="s">
        <v>251</v>
      </c>
      <c r="C46" s="29" t="str">
        <f>IFERROR(INDEX(tblMailAuftraege[Testfall-ID],MATCH(tblGeneratorEingaben[[#This Row],[Mail-Auftrags-ID]],tblMailAuftraege[Mail-Auftrags-ID],0))&amp;"","")</f>
        <v>TF-VT-01</v>
      </c>
      <c r="D46" s="41" t="str">
        <f>IFERROR(INDEX(tblMailAuftraege[Mail-ID / Zustand],MATCH(tblGeneratorEingaben[[#This Row],[Mail-Auftrags-ID]],tblMailAuftraege[Mail-Auftrags-ID],0))&amp;"","")</f>
        <v>M-01</v>
      </c>
      <c r="E4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6" s="27"/>
      <c r="G46" s="27"/>
      <c r="H46" s="27"/>
      <c r="I46" s="27"/>
      <c r="J46" s="31"/>
      <c r="K46" s="27"/>
      <c r="L46" s="31"/>
      <c r="M46" s="27"/>
      <c r="N46" s="27"/>
      <c r="O46" s="27"/>
      <c r="P46" s="27"/>
      <c r="Q46" s="27"/>
      <c r="R46" s="27"/>
      <c r="S46" s="27"/>
      <c r="T46" s="27"/>
      <c r="U46" s="42"/>
    </row>
    <row r="47" spans="2:21" ht="24" customHeight="1">
      <c r="B47" s="25" t="s">
        <v>254</v>
      </c>
      <c r="C47" s="29" t="str">
        <f>IFERROR(INDEX(tblMailAuftraege[Testfall-ID],MATCH(tblGeneratorEingaben[[#This Row],[Mail-Auftrags-ID]],tblMailAuftraege[Mail-Auftrags-ID],0))&amp;"","")</f>
        <v>TF-VT-02</v>
      </c>
      <c r="D47" s="41" t="str">
        <f>IFERROR(INDEX(tblMailAuftraege[Mail-ID / Zustand],MATCH(tblGeneratorEingaben[[#This Row],[Mail-Auftrags-ID]],tblMailAuftraege[Mail-Auftrags-ID],0))&amp;"","")</f>
        <v>M-01</v>
      </c>
      <c r="E4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7" s="27"/>
      <c r="G47" s="27"/>
      <c r="H47" s="27"/>
      <c r="I47" s="27"/>
      <c r="J47" s="31"/>
      <c r="K47" s="27"/>
      <c r="L47" s="31"/>
      <c r="M47" s="27"/>
      <c r="N47" s="27"/>
      <c r="O47" s="27"/>
      <c r="P47" s="27"/>
      <c r="Q47" s="27"/>
      <c r="R47" s="27"/>
      <c r="S47" s="27"/>
      <c r="T47" s="27"/>
      <c r="U47" s="42"/>
    </row>
    <row r="48" spans="2:21" ht="24" customHeight="1">
      <c r="B48" s="25" t="s">
        <v>257</v>
      </c>
      <c r="C48" s="29" t="str">
        <f>IFERROR(INDEX(tblMailAuftraege[Testfall-ID],MATCH(tblGeneratorEingaben[[#This Row],[Mail-Auftrags-ID]],tblMailAuftraege[Mail-Auftrags-ID],0))&amp;"","")</f>
        <v>TF-BH-01</v>
      </c>
      <c r="D48" s="41" t="str">
        <f>IFERROR(INDEX(tblMailAuftraege[Mail-ID / Zustand],MATCH(tblGeneratorEingaben[[#This Row],[Mail-Auftrags-ID]],tblMailAuftraege[Mail-Auftrags-ID],0))&amp;"","")</f>
        <v>M-13</v>
      </c>
      <c r="E4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Unterlagenlücke für PN-01 (Pflicht); IMSI-Geburtsdatum in den Stammdaten</v>
      </c>
      <c r="F48" s="27"/>
      <c r="G48" s="27"/>
      <c r="H48" s="27"/>
      <c r="I48" s="27"/>
      <c r="J48" s="31"/>
      <c r="K48" s="27"/>
      <c r="L48" s="31"/>
      <c r="M48" s="27"/>
      <c r="N48" s="27"/>
      <c r="O48" s="27"/>
      <c r="P48" s="27"/>
      <c r="Q48" s="27"/>
      <c r="R48" s="27"/>
      <c r="S48" s="27"/>
      <c r="T48" s="27"/>
      <c r="U48" s="42" t="s">
        <v>927</v>
      </c>
    </row>
    <row r="49" spans="2:21" ht="24" customHeight="1">
      <c r="B49" s="25" t="s">
        <v>261</v>
      </c>
      <c r="C49" s="29" t="str">
        <f>IFERROR(INDEX(tblMailAuftraege[Testfall-ID],MATCH(tblGeneratorEingaben[[#This Row],[Mail-Auftrags-ID]],tblMailAuftraege[Mail-Auftrags-ID],0))&amp;"","")</f>
        <v>TF-BH-02</v>
      </c>
      <c r="D49" s="41" t="str">
        <f>IFERROR(INDEX(tblMailAuftraege[Mail-ID / Zustand],MATCH(tblGeneratorEingaben[[#This Row],[Mail-Auftrags-ID]],tblMailAuftraege[Mail-Auftrags-ID],0))&amp;"","")</f>
        <v>Weg B</v>
      </c>
      <c r="E4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9" s="27"/>
      <c r="G49" s="27"/>
      <c r="H49" s="27"/>
      <c r="I49" s="27"/>
      <c r="J49" s="31"/>
      <c r="K49" s="27"/>
      <c r="L49" s="31"/>
      <c r="M49" s="27"/>
      <c r="N49" s="27"/>
      <c r="O49" s="27"/>
      <c r="P49" s="27"/>
      <c r="Q49" s="27"/>
      <c r="R49" s="27"/>
      <c r="S49" s="27"/>
      <c r="T49" s="27"/>
      <c r="U49" s="42"/>
    </row>
    <row r="50" spans="2:21" ht="24" customHeight="1">
      <c r="B50" s="25" t="s">
        <v>264</v>
      </c>
      <c r="C50" s="29" t="str">
        <f>IFERROR(INDEX(tblMailAuftraege[Testfall-ID],MATCH(tblGeneratorEingaben[[#This Row],[Mail-Auftrags-ID]],tblMailAuftraege[Mail-Auftrags-ID],0))&amp;"","")</f>
        <v>TF-KU-05</v>
      </c>
      <c r="D50" s="41" t="str">
        <f>IFERROR(INDEX(tblMailAuftraege[Mail-ID / Zustand],MATCH(tblGeneratorEingaben[[#This Row],[Mail-Auftrags-ID]],tblMailAuftraege[Mail-Auftrags-ID],0))&amp;"","")</f>
        <v>M-01</v>
      </c>
      <c r="E5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0" s="27"/>
      <c r="G50" s="27"/>
      <c r="H50" s="27"/>
      <c r="I50" s="27"/>
      <c r="J50" s="31"/>
      <c r="K50" s="27"/>
      <c r="L50" s="31"/>
      <c r="M50" s="27"/>
      <c r="N50" s="27"/>
      <c r="O50" s="27"/>
      <c r="P50" s="27"/>
      <c r="Q50" s="27"/>
      <c r="R50" s="27"/>
      <c r="S50" s="27"/>
      <c r="T50" s="27"/>
      <c r="U50" s="42"/>
    </row>
    <row r="51" spans="2:21" ht="24" customHeight="1">
      <c r="B51" s="25" t="s">
        <v>267</v>
      </c>
      <c r="C51" s="29" t="str">
        <f>IFERROR(INDEX(tblMailAuftraege[Testfall-ID],MATCH(tblGeneratorEingaben[[#This Row],[Mail-Auftrags-ID]],tblMailAuftraege[Mail-Auftrags-ID],0))&amp;"","")</f>
        <v>TF-GL-04</v>
      </c>
      <c r="D51" s="41" t="str">
        <f>IFERROR(INDEX(tblMailAuftraege[Mail-ID / Zustand],MATCH(tblGeneratorEingaben[[#This Row],[Mail-Auftrags-ID]],tblMailAuftraege[Mail-Auftrags-ID],0))&amp;"","")</f>
        <v>M-04</v>
      </c>
      <c r="E5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1" s="27"/>
      <c r="G51" s="27"/>
      <c r="H51" s="27"/>
      <c r="I51" s="27"/>
      <c r="J51" s="31"/>
      <c r="K51" s="27"/>
      <c r="L51" s="31"/>
      <c r="M51" s="27"/>
      <c r="N51" s="27"/>
      <c r="O51" s="27"/>
      <c r="P51" s="27"/>
      <c r="Q51" s="27"/>
      <c r="R51" s="27"/>
      <c r="S51" s="27"/>
      <c r="T51" s="27"/>
      <c r="U51" s="42"/>
    </row>
    <row r="52" spans="2:21" ht="24" customHeight="1">
      <c r="B52" s="25" t="s">
        <v>268</v>
      </c>
      <c r="C52" s="29" t="str">
        <f>IFERROR(INDEX(tblMailAuftraege[Testfall-ID],MATCH(tblGeneratorEingaben[[#This Row],[Mail-Auftrags-ID]],tblMailAuftraege[Mail-Auftrags-ID],0))&amp;"","")</f>
        <v>TF-VP-06</v>
      </c>
      <c r="D52" s="41" t="str">
        <f>IFERROR(INDEX(tblMailAuftraege[Mail-ID / Zustand],MATCH(tblGeneratorEingaben[[#This Row],[Mail-Auftrags-ID]],tblMailAuftraege[Mail-Auftrags-ID],0))&amp;"","")</f>
        <v>M-05</v>
      </c>
      <c r="E5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2" s="27"/>
      <c r="G52" s="27"/>
      <c r="H52" s="27"/>
      <c r="I52" s="27"/>
      <c r="J52" s="31"/>
      <c r="K52" s="27"/>
      <c r="L52" s="31"/>
      <c r="M52" s="27"/>
      <c r="N52" s="27"/>
      <c r="O52" s="27"/>
      <c r="P52" s="27"/>
      <c r="Q52" s="27"/>
      <c r="R52" s="27"/>
      <c r="S52" s="27"/>
      <c r="T52" s="27"/>
      <c r="U52" s="42"/>
    </row>
    <row r="53" spans="2:21" ht="35.25" customHeight="1">
      <c r="B53" s="25" t="s">
        <v>269</v>
      </c>
      <c r="C53" s="29" t="str">
        <f>IFERROR(INDEX(tblMailAuftraege[Testfall-ID],MATCH(tblGeneratorEingaben[[#This Row],[Mail-Auftrags-ID]],tblMailAuftraege[Mail-Auftrags-ID],0))&amp;"","")</f>
        <v>TF-VM-02</v>
      </c>
      <c r="D53" s="41" t="str">
        <f>IFERROR(INDEX(tblMailAuftraege[Mail-ID / Zustand],MATCH(tblGeneratorEingaben[[#This Row],[Mail-Auftrags-ID]],tblMailAuftraege[Mail-Auftrags-ID],0))&amp;"","")</f>
        <v>M-09</v>
      </c>
      <c r="E5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53" s="27"/>
      <c r="G53" s="27"/>
      <c r="H53" s="27"/>
      <c r="I53" s="27"/>
      <c r="J53" s="31"/>
      <c r="K53" s="27"/>
      <c r="L53" s="31"/>
      <c r="M53" s="27"/>
      <c r="N53" s="27"/>
      <c r="O53" s="27"/>
      <c r="P53" s="27"/>
      <c r="Q53" s="27"/>
      <c r="R53" s="27"/>
      <c r="S53" s="27"/>
      <c r="T53" s="27"/>
      <c r="U53" s="42"/>
    </row>
    <row r="56" spans="2:21" ht="22" customHeight="1">
      <c r="B56" s="11" t="s">
        <v>928</v>
      </c>
    </row>
    <row r="57" spans="2:21">
      <c r="B57" s="40" t="s">
        <v>929</v>
      </c>
    </row>
    <row r="58" spans="2:21" ht="30" customHeight="1">
      <c r="B58" s="12" t="s">
        <v>930</v>
      </c>
      <c r="C58" s="12" t="s">
        <v>174</v>
      </c>
      <c r="D58" s="12" t="s">
        <v>904</v>
      </c>
      <c r="E58" s="12" t="s">
        <v>931</v>
      </c>
      <c r="F58" s="12" t="s">
        <v>932</v>
      </c>
      <c r="G58" s="12" t="s">
        <v>933</v>
      </c>
      <c r="H58" s="12" t="s">
        <v>934</v>
      </c>
      <c r="I58" s="12" t="s">
        <v>935</v>
      </c>
    </row>
    <row r="59" spans="2:21">
      <c r="B59" s="43"/>
      <c r="C59" s="44"/>
      <c r="D59" s="44"/>
      <c r="E59" s="44"/>
      <c r="F59" s="44"/>
      <c r="G59" s="44"/>
      <c r="H59" s="44"/>
      <c r="I59" s="44"/>
    </row>
  </sheetData>
  <mergeCells count="34">
    <mergeCell ref="B8:E8"/>
    <mergeCell ref="B9:E9"/>
    <mergeCell ref="F8:H8"/>
    <mergeCell ref="F9:H9"/>
    <mergeCell ref="I8:M8"/>
    <mergeCell ref="I9:M9"/>
    <mergeCell ref="N8:Q8"/>
    <mergeCell ref="N9:Q9"/>
    <mergeCell ref="B12:D12"/>
    <mergeCell ref="F12:J12"/>
    <mergeCell ref="B13:D13"/>
    <mergeCell ref="F13:J13"/>
    <mergeCell ref="B14:D14"/>
    <mergeCell ref="F14:J14"/>
    <mergeCell ref="B15:D15"/>
    <mergeCell ref="F15:J15"/>
    <mergeCell ref="B16:D16"/>
    <mergeCell ref="F16:J16"/>
    <mergeCell ref="B17:D17"/>
    <mergeCell ref="F17:J17"/>
    <mergeCell ref="B18:D18"/>
    <mergeCell ref="F18:J18"/>
    <mergeCell ref="B19:D19"/>
    <mergeCell ref="F19:J19"/>
    <mergeCell ref="B20:D20"/>
    <mergeCell ref="F20:J20"/>
    <mergeCell ref="B21:D21"/>
    <mergeCell ref="F21:J21"/>
    <mergeCell ref="B22:D22"/>
    <mergeCell ref="F22:J22"/>
    <mergeCell ref="B23:D23"/>
    <mergeCell ref="F23:J23"/>
    <mergeCell ref="B24:D24"/>
    <mergeCell ref="F24:J24"/>
  </mergeCells>
  <conditionalFormatting sqref="F30:F53">
    <cfRule type="expression" dxfId="9" priority="13">
      <formula>OR($D30="",$D30="Weg B")</formula>
    </cfRule>
  </conditionalFormatting>
  <conditionalFormatting sqref="G30:G53">
    <cfRule type="expression" dxfId="9" priority="14">
      <formula>OR($D30="",$D30="Weg B")</formula>
    </cfRule>
  </conditionalFormatting>
  <conditionalFormatting sqref="H30:H53">
    <cfRule type="expression" dxfId="10" priority="15">
      <formula>AND(AND(OR($D30="M-10",$D30="M-11"),NOT(AND($C30="TF-KU-04",LEN(TRIM(Stammdaten!$I$23))&gt;0))),LEN(TRIM(H30))=0)</formula>
    </cfRule>
    <cfRule type="expression" dxfId="9" priority="16">
      <formula>AND($D30&lt;&gt;"M-10",$D30&lt;&gt;"M-11")</formula>
    </cfRule>
  </conditionalFormatting>
  <conditionalFormatting sqref="I30:I53">
    <cfRule type="expression" dxfId="10" priority="17">
      <formula>AND(AND(OR($D30="M-10",$D30="M-11"),NOT(AND($C30="TF-KU-04",LEN(TRIM(Stammdaten!$I$23))&gt;0))),LEN(TRIM(I30))=0)</formula>
    </cfRule>
    <cfRule type="expression" dxfId="9" priority="18">
      <formula>AND($D30&lt;&gt;"M-10",$D30&lt;&gt;"M-11")</formula>
    </cfRule>
  </conditionalFormatting>
  <conditionalFormatting sqref="J30:J53">
    <cfRule type="expression" dxfId="10" priority="19">
      <formula>AND(AND(OR($D30="M-10",$D30="M-11"),NOT(AND($C30="TF-KU-04",LEN(TRIM(Stammdaten!$I$23))&gt;0))),LEN(TRIM(J30))=0)</formula>
    </cfRule>
    <cfRule type="expression" dxfId="9" priority="20">
      <formula>AND($D30&lt;&gt;"M-10",$D30&lt;&gt;"M-11")</formula>
    </cfRule>
  </conditionalFormatting>
  <conditionalFormatting sqref="K13:K24">
    <cfRule type="expression" dxfId="0" priority="1">
      <formula>LOWER(K13)="bereit"</formula>
    </cfRule>
    <cfRule type="expression" dxfId="1" priority="2">
      <formula>LOWER(K13)="in durchführung"</formula>
    </cfRule>
    <cfRule type="expression" dxfId="2" priority="3">
      <formula>LOWER(K13)="offen"</formula>
    </cfRule>
    <cfRule type="expression" dxfId="2" priority="4">
      <formula>LOWER(K13)="nein"</formula>
    </cfRule>
    <cfRule type="expression" dxfId="3" priority="5">
      <formula>LOWER(K13)="ja"</formula>
    </cfRule>
    <cfRule type="expression" dxfId="3" priority="6">
      <formula>LOWER(K13)="erledigt"</formula>
    </cfRule>
    <cfRule type="expression" dxfId="4" priority="7">
      <formula>LOWER(K13)="blockiert"</formula>
    </cfRule>
    <cfRule type="expression" dxfId="5" priority="8">
      <formula>LOWER(K13)="nicht erforderlich"</formula>
    </cfRule>
    <cfRule type="expression" dxfId="1" priority="9">
      <formula>LOWER(K13)="fehlt"</formula>
    </cfRule>
    <cfRule type="expression" dxfId="3" priority="10">
      <formula>LOWER(K13)="gepflegt"</formula>
    </cfRule>
    <cfRule type="expression" dxfId="5" priority="11">
      <formula>LOWER(K13)="optional"</formula>
    </cfRule>
    <cfRule type="expression" dxfId="5" priority="12">
      <formula>LOWER(K13)="vorbelegt"</formula>
    </cfRule>
  </conditionalFormatting>
  <conditionalFormatting sqref="K30:K53">
    <cfRule type="expression" dxfId="9" priority="21">
      <formula>AND($D30&lt;&gt;"M-11")</formula>
    </cfRule>
  </conditionalFormatting>
  <conditionalFormatting sqref="L30:L53">
    <cfRule type="expression" dxfId="9" priority="22">
      <formula>AND($D30&lt;&gt;"M-09",$D30&lt;&gt;"M-13")</formula>
    </cfRule>
  </conditionalFormatting>
  <conditionalFormatting sqref="M30:M53">
    <cfRule type="expression" dxfId="10" priority="23">
      <formula>AND(OR($D30="M-07"),LEN(TRIM(M30))=0)</formula>
    </cfRule>
    <cfRule type="expression" dxfId="9" priority="24">
      <formula>AND($D30&lt;&gt;"M-07")</formula>
    </cfRule>
  </conditionalFormatting>
  <conditionalFormatting sqref="N30:N53">
    <cfRule type="expression" dxfId="10" priority="25">
      <formula>AND(OR($D30="M-03"),LEN(TRIM(N30))=0)</formula>
    </cfRule>
    <cfRule type="expression" dxfId="9" priority="26">
      <formula>AND($D30&lt;&gt;"M-03")</formula>
    </cfRule>
  </conditionalFormatting>
  <conditionalFormatting sqref="O30:O53">
    <cfRule type="expression" dxfId="9" priority="27">
      <formula>AND($D30&lt;&gt;"M-03")</formula>
    </cfRule>
  </conditionalFormatting>
  <conditionalFormatting sqref="P30:P53">
    <cfRule type="expression" dxfId="9" priority="28">
      <formula>AND($D30&lt;&gt;"M-03")</formula>
    </cfRule>
  </conditionalFormatting>
  <conditionalFormatting sqref="Q30:Q53">
    <cfRule type="expression" dxfId="10" priority="29">
      <formula>AND(OR($D30="M-03"),LEN(TRIM(Q30))=0)</formula>
    </cfRule>
    <cfRule type="expression" dxfId="9" priority="30">
      <formula>AND($D30&lt;&gt;"M-03")</formula>
    </cfRule>
  </conditionalFormatting>
  <conditionalFormatting sqref="R30:R53">
    <cfRule type="expression" dxfId="10" priority="31">
      <formula>AND(OR($D30="M-13"),LEN(TRIM(R30))=0)</formula>
    </cfRule>
    <cfRule type="expression" dxfId="9" priority="32">
      <formula>AND($D30&lt;&gt;"M-13")</formula>
    </cfRule>
  </conditionalFormatting>
  <conditionalFormatting sqref="S30:S53">
    <cfRule type="expression" dxfId="9" priority="33">
      <formula>OR($D30="",$D30="Weg B")</formula>
    </cfRule>
  </conditionalFormatting>
  <conditionalFormatting sqref="T30:T53">
    <cfRule type="expression" dxfId="9" priority="34">
      <formula>OR($D30="",$D30="Weg B")</formula>
    </cfRule>
  </conditionalFormatting>
  <dataValidations count="4">
    <dataValidation type="list" allowBlank="1" showInputMessage="1" showErrorMessage="1" sqref="E23">
      <formula1>'Listen &amp; Parameter'!$B$2:$B$3</formula1>
    </dataValidation>
    <dataValidation type="list" allowBlank="1" showInputMessage="1" showErrorMessage="1" sqref="K30:K53">
      <formula1>'Listen &amp; Parameter'!$B$2:$B$3</formula1>
    </dataValidation>
    <dataValidation type="list" allowBlank="1" showInputMessage="1" showErrorMessage="1" sqref="R30:R53">
      <formula1>'Listen &amp; Parameter'!$K$2:$K$5</formula1>
    </dataValidation>
    <dataValidation type="list" allowBlank="1" showInputMessage="1" sqref="M30:M53">
      <formula1>INDIRECT("tblAgenturen[Aufnehmende Agentur-ID]")</formula1>
    </dataValidation>
  </dataValidation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Tracking">
    <tabColor rgb="FF31527A"/>
    <pageSetUpPr fitToPage="1"/>
  </sheetPr>
  <dimension ref="A1:AL103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5"/>
  <cols>
    <col min="1" max="1" width="3" customWidth="1"/>
    <col min="2" max="2" width="14.85546875" customWidth="1"/>
    <col min="3" max="3" width="28.7109375" customWidth="1"/>
    <col min="4" max="4" width="12.5703125" customWidth="1"/>
    <col min="5" max="5" width="11.7109375" customWidth="1"/>
    <col min="6" max="6" width="13.7109375" customWidth="1"/>
    <col min="7" max="7" width="26.7109375" customWidth="1"/>
    <col min="8" max="8" width="19.140625" customWidth="1"/>
    <col min="9" max="9" width="19.5703125" customWidth="1"/>
    <col min="10" max="10" width="13.7109375" customWidth="1"/>
    <col min="11" max="13" width="19.5703125" customWidth="1"/>
    <col min="14" max="14" width="19.140625" customWidth="1"/>
    <col min="15" max="15" width="36.85546875" customWidth="1"/>
    <col min="16" max="16" width="14.7109375" customWidth="1"/>
    <col min="17" max="17" width="15.7109375" customWidth="1"/>
    <col min="18" max="18" width="30.7109375" customWidth="1"/>
    <col min="19" max="19" width="15.85546875" customWidth="1"/>
    <col min="20" max="20" width="13.7109375" customWidth="1"/>
    <col min="21" max="29" width="19.5703125" customWidth="1"/>
    <col min="30" max="30" width="14.85546875" customWidth="1"/>
    <col min="31" max="31" width="13.7109375" customWidth="1"/>
    <col min="32" max="32" width="21.7109375" customWidth="1"/>
    <col min="33" max="33" width="26.7109375" customWidth="1"/>
    <col min="34" max="34" width="19.5703125" customWidth="1"/>
    <col min="35" max="35" width="22.28515625" customWidth="1"/>
    <col min="36" max="36" width="21.28515625" customWidth="1"/>
    <col min="37" max="37" width="20.140625" customWidth="1"/>
    <col min="38" max="38" width="36.85546875" customWidth="1"/>
    <col min="39" max="61" width="9.5703125" customWidth="1"/>
  </cols>
  <sheetData>
    <row r="1" spans="2:38" s="1" customFormat="1" ht="18" customHeight="1">
      <c r="B1" s="2" t="s">
        <v>270</v>
      </c>
    </row>
    <row r="2" spans="2:38" s="1" customFormat="1" ht="28" customHeight="1">
      <c r="B2" s="3" t="s">
        <v>271</v>
      </c>
    </row>
    <row r="3" spans="2:38" s="1" customFormat="1" ht="21" customHeight="1">
      <c r="B3" s="4" t="s">
        <v>272</v>
      </c>
    </row>
    <row r="4" spans="2:38" s="1" customFormat="1" ht="10" customHeight="1"/>
    <row r="5" spans="2:38" s="5" customFormat="1" ht="3" customHeight="1"/>
    <row r="6" spans="2:38" ht="24" customHeight="1">
      <c r="B6" s="28" t="s">
        <v>50</v>
      </c>
    </row>
    <row r="7" spans="2:38" ht="36" customHeight="1">
      <c r="B7" s="12" t="s">
        <v>175</v>
      </c>
      <c r="C7" s="12" t="s">
        <v>176</v>
      </c>
      <c r="D7" s="12" t="s">
        <v>2</v>
      </c>
      <c r="E7" s="12" t="s">
        <v>3</v>
      </c>
      <c r="F7" s="12" t="s">
        <v>75</v>
      </c>
      <c r="G7" s="12" t="s">
        <v>54</v>
      </c>
      <c r="H7" s="12" t="s">
        <v>273</v>
      </c>
      <c r="I7" s="12" t="s">
        <v>274</v>
      </c>
      <c r="J7" s="12" t="s">
        <v>187</v>
      </c>
      <c r="K7" s="12" t="s">
        <v>275</v>
      </c>
      <c r="L7" s="12" t="s">
        <v>276</v>
      </c>
      <c r="M7" s="12" t="s">
        <v>277</v>
      </c>
      <c r="N7" s="12" t="s">
        <v>278</v>
      </c>
      <c r="O7" s="12" t="s">
        <v>279</v>
      </c>
      <c r="P7" s="12" t="s">
        <v>4</v>
      </c>
      <c r="Q7" s="12" t="s">
        <v>0</v>
      </c>
      <c r="R7" s="12" t="s">
        <v>61</v>
      </c>
      <c r="S7" s="12" t="s">
        <v>71</v>
      </c>
      <c r="T7" s="12" t="s">
        <v>188</v>
      </c>
      <c r="U7" s="12" t="s">
        <v>280</v>
      </c>
      <c r="V7" s="12" t="s">
        <v>281</v>
      </c>
      <c r="W7" s="12" t="s">
        <v>282</v>
      </c>
      <c r="X7" s="12" t="s">
        <v>283</v>
      </c>
      <c r="Y7" s="12" t="s">
        <v>284</v>
      </c>
      <c r="Z7" s="12" t="s">
        <v>285</v>
      </c>
      <c r="AA7" s="12" t="s">
        <v>286</v>
      </c>
      <c r="AB7" s="12" t="s">
        <v>287</v>
      </c>
      <c r="AC7" s="12" t="s">
        <v>288</v>
      </c>
      <c r="AD7" s="12" t="s">
        <v>51</v>
      </c>
      <c r="AE7" s="12" t="s">
        <v>81</v>
      </c>
      <c r="AF7" s="12" t="s">
        <v>6</v>
      </c>
      <c r="AG7" s="12" t="s">
        <v>136</v>
      </c>
      <c r="AH7" s="12" t="s">
        <v>83</v>
      </c>
      <c r="AI7" s="12" t="s">
        <v>289</v>
      </c>
      <c r="AJ7" s="12" t="s">
        <v>290</v>
      </c>
      <c r="AK7" s="12" t="s">
        <v>291</v>
      </c>
      <c r="AL7" s="12" t="s">
        <v>292</v>
      </c>
    </row>
    <row r="8" spans="2:38" ht="46.5" customHeight="1">
      <c r="B8" s="25" t="s">
        <v>191</v>
      </c>
      <c r="C8" s="24" t="s">
        <v>192</v>
      </c>
      <c r="D8" s="24" t="s">
        <v>11</v>
      </c>
      <c r="E8" s="29" t="str">
        <f>_xlfn.LET(_xlpm.x,_xlfn.XLOOKUP(tblTestfallTracking[[#This Row],[Datensatz-ID]],tblVertraege[Datensatz-ID],tblVertraege[Sparte],""),IF(_xlpm.x=0,"",_xlpm.x))</f>
        <v>KV</v>
      </c>
      <c r="F8" s="32">
        <f>_xlfn.LET(_xlpm.x,_xlfn.XLOOKUP(tblTestfallTracking[[#This Row],[Datensatz-ID]],tblVertraege[Datensatz-ID],tblVertraege[IMSI-VNR],""),IF(_xlpm.x=0,"",_xlpm.x))</f>
        <v>317063119</v>
      </c>
      <c r="G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8" s="45" cm="1" t="str">
        <f t="array" ref="H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8" s="45" cm="1" t="str">
        <f t="array" ref="I8">IFERROR(_xlfn.XLOOKUP(tblTestfallTracking[[#This Row],[Testfall-ID]]&amp;"|"&amp;tblTestfallTracking[[#This Row],[Datensatz-ID]],tblMailAuftraege[Testfall-ID]&amp;"|"&amp;tblMailAuftraege[Datensatz-ID],tblMailAuftraege[Mail vorbereitet],"nein"),"nein")</f>
        <v>ja</v>
      </c>
      <c r="J8" s="45" cm="1" t="str">
        <f t="array" ref="J8">IFERROR(_xlfn.XLOOKUP(tblTestfallTracking[[#This Row],[Testfall-ID]]&amp;"|"&amp;tblTestfallTracking[[#This Row],[Datensatz-ID]],tblMailAuftraege[Testfall-ID]&amp;"|"&amp;tblMailAuftraege[Datensatz-ID],tblMailAuftraege[Mail versendet],"nein"),"nein")</f>
        <v>ja</v>
      </c>
      <c r="K8" s="26" t="s">
        <v>18</v>
      </c>
      <c r="L8" s="26" t="s">
        <v>18</v>
      </c>
      <c r="M8" s="26" t="s">
        <v>18</v>
      </c>
      <c r="N8" s="30"/>
      <c r="O8" s="27"/>
      <c r="P8" s="27"/>
      <c r="Q8" s="26" t="s">
        <v>9</v>
      </c>
      <c r="R8" s="27"/>
      <c r="S8" s="25" t="s">
        <v>85</v>
      </c>
      <c r="T8" s="29" t="str">
        <f>_xlfn.LET(_xlpm.x,_xlfn.XLOOKUP(tblTestfallTracking[[#This Row],[Datensatz-ID]],tblVertraege[Datensatz-ID],tblVertraege[Sparte],""),IF(_xlpm.x=0,"",_xlpm.x))</f>
        <v>KV</v>
      </c>
      <c r="U8" s="26"/>
      <c r="V8" s="26"/>
      <c r="W8" s="26"/>
      <c r="X8" s="26"/>
      <c r="Y8" s="26"/>
      <c r="Z8" s="26"/>
      <c r="AA8" s="26"/>
      <c r="AB8" s="26"/>
      <c r="AC8" s="26"/>
      <c r="AD8" s="29" t="str">
        <f>_xlfn.LET(_xlpm.a,_xlfn.XLOOKUP(tblTestfallTracking[[#This Row],[Testfall-ID]],tblMatrix[Testfall-ID],tblMatrix[Aufnehmende Agentur-ID],""),IF(_xlpm.a=0,"",_xlpm.a))</f>
        <v>A-01</v>
      </c>
      <c r="AE8" s="29" t="str">
        <f>_xlfn.LET(_xlpm.x,_xlfn.XLOOKUP(tblTestfallTracking[[#This Row],[Datensatz-ID]],tblVertraege[Datensatz-ID],tblVertraege[Abgeber-ID],""),IF(_xlpm.x=0,"",_xlpm.x))</f>
        <v>AB-01</v>
      </c>
      <c r="AF8" s="29" t="str">
        <f>_xlfn.LET(_xlpm.x,_xlfn.XLOOKUP(tblTestfallTracking[[#This Row],[Datensatz-ID]],tblVertraege[Datensatz-ID],tblVertraege[Abgebender Agenturtyp],""),IF(_xlpm.x=0,"",_xlpm.x))</f>
        <v>AO</v>
      </c>
      <c r="AG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8" s="32">
        <f>_xlfn.LET(_xlpm.x,_xlfn.XLOOKUP(tblTestfallTracking[[#This Row],[Datensatz-ID]],tblVertraege[Datensatz-ID],tblVertraege[Abgebende Agenturnummer / OE],""),IF(_xlpm.x=0,"",_xlpm.x))</f>
        <v>600040114</v>
      </c>
      <c r="AI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8" s="26"/>
      <c r="AK8" s="26" t="s">
        <v>18</v>
      </c>
      <c r="AL8" s="29" t="str">
        <f>IF(tblTestfallTracking[[#This Row],[Abgeber-ID]]="AB-00","Betreuung leer oder IS0042 dokumentieren","")</f>
        <v/>
      </c>
    </row>
    <row r="9" spans="2:38" ht="46.5" customHeight="1">
      <c r="B9" s="25" t="s">
        <v>195</v>
      </c>
      <c r="C9" s="24" t="s">
        <v>196</v>
      </c>
      <c r="D9" s="24" t="s">
        <v>11</v>
      </c>
      <c r="E9" s="29" t="str">
        <f>_xlfn.LET(_xlpm.x,_xlfn.XLOOKUP(tblTestfallTracking[[#This Row],[Datensatz-ID]],tblVertraege[Datensatz-ID],tblVertraege[Sparte],""),IF(_xlpm.x=0,"",_xlpm.x))</f>
        <v>KV</v>
      </c>
      <c r="F9" s="32">
        <f>_xlfn.LET(_xlpm.x,_xlfn.XLOOKUP(tblTestfallTracking[[#This Row],[Datensatz-ID]],tblVertraege[Datensatz-ID],tblVertraege[IMSI-VNR],""),IF(_xlpm.x=0,"",_xlpm.x))</f>
        <v>317063119</v>
      </c>
      <c r="G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9" s="45" cm="1" t="str">
        <f t="array" ref="H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9" s="45" cm="1" t="str">
        <f t="array" ref="I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9" s="45" cm="1" t="str">
        <f t="array" ref="J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9" s="26" t="s">
        <v>18</v>
      </c>
      <c r="L9" s="26" t="s">
        <v>18</v>
      </c>
      <c r="M9" s="26" t="s">
        <v>18</v>
      </c>
      <c r="N9" s="30"/>
      <c r="O9" s="27"/>
      <c r="P9" s="27"/>
      <c r="Q9" s="26" t="s">
        <v>9</v>
      </c>
      <c r="R9" s="27"/>
      <c r="S9" s="25" t="s">
        <v>85</v>
      </c>
      <c r="T9" s="29" t="str">
        <f>_xlfn.LET(_xlpm.x,_xlfn.XLOOKUP(tblTestfallTracking[[#This Row],[Datensatz-ID]],tblVertraege[Datensatz-ID],tblVertraege[Sparte],""),IF(_xlpm.x=0,"",_xlpm.x))</f>
        <v>KV</v>
      </c>
      <c r="U9" s="26"/>
      <c r="V9" s="26"/>
      <c r="W9" s="26"/>
      <c r="X9" s="26"/>
      <c r="Y9" s="26"/>
      <c r="Z9" s="26"/>
      <c r="AA9" s="26"/>
      <c r="AB9" s="26"/>
      <c r="AC9" s="26"/>
      <c r="AD9" s="29" t="str">
        <f>_xlfn.LET(_xlpm.a,_xlfn.XLOOKUP(tblTestfallTracking[[#This Row],[Testfall-ID]],tblMatrix[Testfall-ID],tblMatrix[Aufnehmende Agentur-ID],""),IF(_xlpm.a=0,"",_xlpm.a))</f>
        <v>A-04</v>
      </c>
      <c r="AE9" s="29" t="str">
        <f>_xlfn.LET(_xlpm.x,_xlfn.XLOOKUP(tblTestfallTracking[[#This Row],[Datensatz-ID]],tblVertraege[Datensatz-ID],tblVertraege[Abgeber-ID],""),IF(_xlpm.x=0,"",_xlpm.x))</f>
        <v>AB-01</v>
      </c>
      <c r="AF9" s="29" t="str">
        <f>_xlfn.LET(_xlpm.x,_xlfn.XLOOKUP(tblTestfallTracking[[#This Row],[Datensatz-ID]],tblVertraege[Datensatz-ID],tblVertraege[Abgebender Agenturtyp],""),IF(_xlpm.x=0,"",_xlpm.x))</f>
        <v>AO</v>
      </c>
      <c r="AG9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9" s="32">
        <f>_xlfn.LET(_xlpm.x,_xlfn.XLOOKUP(tblTestfallTracking[[#This Row],[Datensatz-ID]],tblVertraege[Datensatz-ID],tblVertraege[Abgebende Agenturnummer / OE],""),IF(_xlpm.x=0,"",_xlpm.x))</f>
        <v>600040114</v>
      </c>
      <c r="AI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9" s="26"/>
      <c r="AK9" s="26" t="s">
        <v>18</v>
      </c>
      <c r="AL9" s="29" t="str">
        <f>IF(tblTestfallTracking[[#This Row],[Abgeber-ID]]="AB-00","Betreuung leer oder IS0042 dokumentieren","")</f>
        <v/>
      </c>
    </row>
    <row r="10" spans="2:38" ht="46.5" customHeight="1">
      <c r="B10" s="25" t="s">
        <v>199</v>
      </c>
      <c r="C10" s="24" t="s">
        <v>200</v>
      </c>
      <c r="D10" s="24" t="s">
        <v>11</v>
      </c>
      <c r="E10" s="29" t="str">
        <f>_xlfn.LET(_xlpm.x,_xlfn.XLOOKUP(tblTestfallTracking[[#This Row],[Datensatz-ID]],tblVertraege[Datensatz-ID],tblVertraege[Sparte],""),IF(_xlpm.x=0,"",_xlpm.x))</f>
        <v>Komposit</v>
      </c>
      <c r="F10" s="32" t="str">
        <f>_xlfn.LET(_xlpm.x,_xlfn.XLOOKUP(tblTestfallTracking[[#This Row],[Datensatz-ID]],tblVertraege[Datensatz-ID],tblVertraege[IMSI-VNR],""),IF(_xlpm.x=0,"",_xlpm.x))</f>
        <v/>
      </c>
      <c r="G1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0" s="45" cm="1" t="str">
        <f t="array" ref="H1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0" s="45" cm="1" t="str">
        <f t="array" ref="I1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0" s="45" cm="1" t="str">
        <f t="array" ref="J1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0" s="26" t="s">
        <v>18</v>
      </c>
      <c r="L10" s="26" t="s">
        <v>18</v>
      </c>
      <c r="M10" s="26" t="s">
        <v>18</v>
      </c>
      <c r="N10" s="30"/>
      <c r="O10" s="27"/>
      <c r="P10" s="27"/>
      <c r="Q10" s="26" t="s">
        <v>9</v>
      </c>
      <c r="R10" s="27"/>
      <c r="S10" s="25" t="s">
        <v>99</v>
      </c>
      <c r="T10" s="29" t="str">
        <f>_xlfn.LET(_xlpm.x,_xlfn.XLOOKUP(tblTestfallTracking[[#This Row],[Datensatz-ID]],tblVertraege[Datensatz-ID],tblVertraege[Sparte],""),IF(_xlpm.x=0,"",_xlpm.x))</f>
        <v>Komposit</v>
      </c>
      <c r="U10" s="26"/>
      <c r="V10" s="26"/>
      <c r="W10" s="26"/>
      <c r="X10" s="26"/>
      <c r="Y10" s="26"/>
      <c r="Z10" s="26"/>
      <c r="AA10" s="26"/>
      <c r="AB10" s="26"/>
      <c r="AC10" s="26"/>
      <c r="AD10" s="29" t="str">
        <f>_xlfn.LET(_xlpm.a,_xlfn.XLOOKUP(tblTestfallTracking[[#This Row],[Testfall-ID]],tblMatrix[Testfall-ID],tblMatrix[Aufnehmende Agentur-ID],""),IF(_xlpm.a=0,"",_xlpm.a))</f>
        <v>A-03</v>
      </c>
      <c r="AE10" s="29" t="str">
        <f>_xlfn.LET(_xlpm.x,_xlfn.XLOOKUP(tblTestfallTracking[[#This Row],[Datensatz-ID]],tblVertraege[Datensatz-ID],tblVertraege[Abgeber-ID],""),IF(_xlpm.x=0,"",_xlpm.x))</f>
        <v>AB-01</v>
      </c>
      <c r="AF10" s="29" t="str">
        <f>_xlfn.LET(_xlpm.x,_xlfn.XLOOKUP(tblTestfallTracking[[#This Row],[Datensatz-ID]],tblVertraege[Datensatz-ID],tblVertraege[Abgebender Agenturtyp],""),IF(_xlpm.x=0,"",_xlpm.x))</f>
        <v>AO</v>
      </c>
      <c r="AG1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0" s="32">
        <f>_xlfn.LET(_xlpm.x,_xlfn.XLOOKUP(tblTestfallTracking[[#This Row],[Datensatz-ID]],tblVertraege[Datensatz-ID],tblVertraege[Abgebende Agenturnummer / OE],""),IF(_xlpm.x=0,"",_xlpm.x))</f>
        <v>600040114</v>
      </c>
      <c r="AI1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0" s="26"/>
      <c r="AK10" s="26" t="s">
        <v>18</v>
      </c>
      <c r="AL10" s="29" t="str">
        <f>IF(tblTestfallTracking[[#This Row],[Abgeber-ID]]="AB-00","Betreuung leer oder IS0042 dokumentieren","")</f>
        <v/>
      </c>
    </row>
    <row r="11" spans="2:38" ht="46.5" customHeight="1">
      <c r="B11" s="25" t="s">
        <v>203</v>
      </c>
      <c r="C11" s="24" t="s">
        <v>204</v>
      </c>
      <c r="D11" s="24" t="s">
        <v>11</v>
      </c>
      <c r="E11" s="29" t="str">
        <f>_xlfn.LET(_xlpm.x,_xlfn.XLOOKUP(tblTestfallTracking[[#This Row],[Datensatz-ID]],tblVertraege[Datensatz-ID],tblVertraege[Sparte],""),IF(_xlpm.x=0,"",_xlpm.x))</f>
        <v>Komposit</v>
      </c>
      <c r="F11" s="32" t="str">
        <f>_xlfn.LET(_xlpm.x,_xlfn.XLOOKUP(tblTestfallTracking[[#This Row],[Datensatz-ID]],tblVertraege[Datensatz-ID],tblVertraege[IMSI-VNR],""),IF(_xlpm.x=0,"",_xlpm.x))</f>
        <v/>
      </c>
      <c r="G1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1" s="45" cm="1" t="str">
        <f t="array" ref="H1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1" s="45" cm="1" t="str">
        <f t="array" ref="I1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1" s="45" cm="1" t="str">
        <f t="array" ref="J1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1" s="26" t="s">
        <v>18</v>
      </c>
      <c r="L11" s="26" t="s">
        <v>18</v>
      </c>
      <c r="M11" s="26" t="s">
        <v>18</v>
      </c>
      <c r="N11" s="30"/>
      <c r="O11" s="27"/>
      <c r="P11" s="27"/>
      <c r="Q11" s="26" t="s">
        <v>9</v>
      </c>
      <c r="R11" s="27"/>
      <c r="S11" s="25" t="s">
        <v>94</v>
      </c>
      <c r="T11" s="29" t="str">
        <f>_xlfn.LET(_xlpm.x,_xlfn.XLOOKUP(tblTestfallTracking[[#This Row],[Datensatz-ID]],tblVertraege[Datensatz-ID],tblVertraege[Sparte],""),IF(_xlpm.x=0,"",_xlpm.x))</f>
        <v>Komposit</v>
      </c>
      <c r="U11" s="26"/>
      <c r="V11" s="26"/>
      <c r="W11" s="26"/>
      <c r="X11" s="26"/>
      <c r="Y11" s="26"/>
      <c r="Z11" s="26"/>
      <c r="AA11" s="26"/>
      <c r="AB11" s="26"/>
      <c r="AC11" s="26"/>
      <c r="AD11" s="29" t="str">
        <f>_xlfn.LET(_xlpm.a,_xlfn.XLOOKUP(tblTestfallTracking[[#This Row],[Testfall-ID]],tblMatrix[Testfall-ID],tblMatrix[Aufnehmende Agentur-ID],""),IF(_xlpm.a=0,"",_xlpm.a))</f>
        <v>A-02</v>
      </c>
      <c r="AE11" s="29" t="str">
        <f>_xlfn.LET(_xlpm.x,_xlfn.XLOOKUP(tblTestfallTracking[[#This Row],[Datensatz-ID]],tblVertraege[Datensatz-ID],tblVertraege[Abgeber-ID],""),IF(_xlpm.x=0,"",_xlpm.x))</f>
        <v>AB-02</v>
      </c>
      <c r="AF11" s="29" t="str">
        <f>_xlfn.LET(_xlpm.x,_xlfn.XLOOKUP(tblTestfallTracking[[#This Row],[Datensatz-ID]],tblVertraege[Datensatz-ID],tblVertraege[Abgebender Agenturtyp],""),IF(_xlpm.x=0,"",_xlpm.x))</f>
        <v>Makler</v>
      </c>
      <c r="AG11" s="29" t="str">
        <f>_xlfn.LET(_xlpm.x,_xlfn.XLOOKUP(tblTestfallTracking[[#This Row],[Datensatz-ID]],tblVertraege[Datensatz-ID],tblVertraege[Konkreter abgebender Agenturname],""),IF(_xlpm.x=0,"",_xlpm.x))</f>
        <v/>
      </c>
      <c r="AH11" s="32" t="str">
        <f>_xlfn.LET(_xlpm.x,_xlfn.XLOOKUP(tblTestfallTracking[[#This Row],[Datensatz-ID]],tblVertraege[Datensatz-ID],tblVertraege[Abgebende Agenturnummer / OE],""),IF(_xlpm.x=0,"",_xlpm.x))</f>
        <v/>
      </c>
      <c r="AI1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1" s="26"/>
      <c r="AK11" s="26" t="s">
        <v>18</v>
      </c>
      <c r="AL11" s="29" t="str">
        <f>IF(tblTestfallTracking[[#This Row],[Abgeber-ID]]="AB-00","Betreuung leer oder IS0042 dokumentieren","")</f>
        <v/>
      </c>
    </row>
    <row r="12" spans="2:38" ht="46.5" customHeight="1">
      <c r="B12" s="25" t="s">
        <v>207</v>
      </c>
      <c r="C12" s="24" t="s">
        <v>208</v>
      </c>
      <c r="D12" s="24" t="s">
        <v>11</v>
      </c>
      <c r="E12" s="29" t="str">
        <f>_xlfn.LET(_xlpm.x,_xlfn.XLOOKUP(tblTestfallTracking[[#This Row],[Datensatz-ID]],tblVertraege[Datensatz-ID],tblVertraege[Sparte],""),IF(_xlpm.x=0,"",_xlpm.x))</f>
        <v>KV</v>
      </c>
      <c r="F12" s="32">
        <f>_xlfn.LET(_xlpm.x,_xlfn.XLOOKUP(tblTestfallTracking[[#This Row],[Datensatz-ID]],tblVertraege[Datensatz-ID],tblVertraege[IMSI-VNR],""),IF(_xlpm.x=0,"",_xlpm.x))</f>
        <v>317063119</v>
      </c>
      <c r="G1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2" s="45" cm="1" t="str">
        <f t="array" ref="H1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2" s="45" cm="1" t="str">
        <f t="array" ref="I1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2" s="45" cm="1" t="str">
        <f t="array" ref="J1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2" s="26" t="s">
        <v>18</v>
      </c>
      <c r="L12" s="26" t="s">
        <v>18</v>
      </c>
      <c r="M12" s="26" t="s">
        <v>18</v>
      </c>
      <c r="N12" s="30"/>
      <c r="O12" s="27"/>
      <c r="P12" s="27"/>
      <c r="Q12" s="26" t="s">
        <v>9</v>
      </c>
      <c r="R12" s="27" t="s">
        <v>293</v>
      </c>
      <c r="S12" s="25" t="s">
        <v>85</v>
      </c>
      <c r="T12" s="29" t="str">
        <f>_xlfn.LET(_xlpm.x,_xlfn.XLOOKUP(tblTestfallTracking[[#This Row],[Datensatz-ID]],tblVertraege[Datensatz-ID],tblVertraege[Sparte],""),IF(_xlpm.x=0,"",_xlpm.x))</f>
        <v>KV</v>
      </c>
      <c r="U12" s="26"/>
      <c r="V12" s="26"/>
      <c r="W12" s="26"/>
      <c r="X12" s="26"/>
      <c r="Y12" s="26"/>
      <c r="Z12" s="26"/>
      <c r="AA12" s="26"/>
      <c r="AB12" s="26"/>
      <c r="AC12" s="26"/>
      <c r="AD12" s="29" t="str">
        <f>_xlfn.LET(_xlpm.a,_xlfn.XLOOKUP(tblTestfallTracking[[#This Row],[Testfall-ID]],tblMatrix[Testfall-ID],tblMatrix[Aufnehmende Agentur-ID],""),IF(_xlpm.a=0,"",_xlpm.a))</f>
        <v>A-05</v>
      </c>
      <c r="AE12" s="29" t="str">
        <f>_xlfn.LET(_xlpm.x,_xlfn.XLOOKUP(tblTestfallTracking[[#This Row],[Datensatz-ID]],tblVertraege[Datensatz-ID],tblVertraege[Abgeber-ID],""),IF(_xlpm.x=0,"",_xlpm.x))</f>
        <v>AB-01</v>
      </c>
      <c r="AF12" s="29" t="str">
        <f>_xlfn.LET(_xlpm.x,_xlfn.XLOOKUP(tblTestfallTracking[[#This Row],[Datensatz-ID]],tblVertraege[Datensatz-ID],tblVertraege[Abgebender Agenturtyp],""),IF(_xlpm.x=0,"",_xlpm.x))</f>
        <v>AO</v>
      </c>
      <c r="AG12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2" s="32">
        <f>_xlfn.LET(_xlpm.x,_xlfn.XLOOKUP(tblTestfallTracking[[#This Row],[Datensatz-ID]],tblVertraege[Datensatz-ID],tblVertraege[Abgebende Agenturnummer / OE],""),IF(_xlpm.x=0,"",_xlpm.x))</f>
        <v>600040114</v>
      </c>
      <c r="AI1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2" s="26"/>
      <c r="AK12" s="26" t="s">
        <v>18</v>
      </c>
      <c r="AL12" s="29" t="str">
        <f>IF(tblTestfallTracking[[#This Row],[Abgeber-ID]]="AB-00","Betreuung leer oder IS0042 dokumentieren","")</f>
        <v/>
      </c>
    </row>
    <row r="13" spans="2:38" ht="46.5" customHeight="1">
      <c r="B13" s="25" t="s">
        <v>211</v>
      </c>
      <c r="C13" s="24" t="s">
        <v>212</v>
      </c>
      <c r="D13" s="24" t="s">
        <v>11</v>
      </c>
      <c r="E13" s="29" t="str">
        <f>_xlfn.LET(_xlpm.x,_xlfn.XLOOKUP(tblTestfallTracking[[#This Row],[Datensatz-ID]],tblVertraege[Datensatz-ID],tblVertraege[Sparte],""),IF(_xlpm.x=0,"",_xlpm.x))</f>
        <v>KV</v>
      </c>
      <c r="F13" s="32">
        <f>_xlfn.LET(_xlpm.x,_xlfn.XLOOKUP(tblTestfallTracking[[#This Row],[Datensatz-ID]],tblVertraege[Datensatz-ID],tblVertraege[IMSI-VNR],""),IF(_xlpm.x=0,"",_xlpm.x))</f>
        <v>317063119</v>
      </c>
      <c r="G1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nicht erforderlich</v>
      </c>
      <c r="H13" s="45" cm="1" t="str">
        <f t="array" ref="H13">IFERROR(_xlfn.XLOOKUP(1,(ISNUMBER(SEARCH(tblTestfallTracking[[#This Row],[Testfall-ID]],tblVertragsmapping[Relevante Testfälle])))*(tblVertragsmapping[Datensatz-ID]=tblTestfallTracking[[#This Row],[Datensatz-ID]]),tblVertragsmapping[Erfüllt],"nein"),"nein")</f>
        <v>nicht erforderlich</v>
      </c>
      <c r="I13" s="45" cm="1" t="str">
        <f t="array" ref="I1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3" s="45" cm="1" t="str">
        <f t="array" ref="J1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3" s="26" t="s">
        <v>18</v>
      </c>
      <c r="L13" s="26" t="s">
        <v>18</v>
      </c>
      <c r="M13" s="26" t="s">
        <v>18</v>
      </c>
      <c r="N13" s="30"/>
      <c r="O13" s="27"/>
      <c r="P13" s="27"/>
      <c r="Q13" s="26" t="s">
        <v>9</v>
      </c>
      <c r="R13" s="27"/>
      <c r="S13" s="25" t="s">
        <v>85</v>
      </c>
      <c r="T13" s="29" t="str">
        <f>_xlfn.LET(_xlpm.x,_xlfn.XLOOKUP(tblTestfallTracking[[#This Row],[Datensatz-ID]],tblVertraege[Datensatz-ID],tblVertraege[Sparte],""),IF(_xlpm.x=0,"",_xlpm.x))</f>
        <v>KV</v>
      </c>
      <c r="U13" s="26"/>
      <c r="V13" s="26"/>
      <c r="W13" s="26"/>
      <c r="X13" s="26"/>
      <c r="Y13" s="26"/>
      <c r="Z13" s="26"/>
      <c r="AA13" s="26"/>
      <c r="AB13" s="26"/>
      <c r="AC13" s="26"/>
      <c r="AD13" s="29" t="str">
        <f>_xlfn.LET(_xlpm.a,_xlfn.XLOOKUP(tblTestfallTracking[[#This Row],[Testfall-ID]],tblMatrix[Testfall-ID],tblMatrix[Aufnehmende Agentur-ID],""),IF(_xlpm.a=0,"",_xlpm.a))</f>
        <v>keine</v>
      </c>
      <c r="AE13" s="29" t="str">
        <f>_xlfn.LET(_xlpm.x,_xlfn.XLOOKUP(tblTestfallTracking[[#This Row],[Datensatz-ID]],tblVertraege[Datensatz-ID],tblVertraege[Abgeber-ID],""),IF(_xlpm.x=0,"",_xlpm.x))</f>
        <v>AB-01</v>
      </c>
      <c r="AF13" s="29" t="str">
        <f>_xlfn.LET(_xlpm.x,_xlfn.XLOOKUP(tblTestfallTracking[[#This Row],[Datensatz-ID]],tblVertraege[Datensatz-ID],tblVertraege[Abgebender Agenturtyp],""),IF(_xlpm.x=0,"",_xlpm.x))</f>
        <v>AO</v>
      </c>
      <c r="AG1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3" s="32">
        <f>_xlfn.LET(_xlpm.x,_xlfn.XLOOKUP(tblTestfallTracking[[#This Row],[Datensatz-ID]],tblVertraege[Datensatz-ID],tblVertraege[Abgebende Agenturnummer / OE],""),IF(_xlpm.x=0,"",_xlpm.x))</f>
        <v>600040114</v>
      </c>
      <c r="AI1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3" s="26"/>
      <c r="AK13" s="26" t="s">
        <v>18</v>
      </c>
      <c r="AL13" s="29" t="str">
        <f>IF(tblTestfallTracking[[#This Row],[Abgeber-ID]]="AB-00","Betreuung leer oder IS0042 dokumentieren","")</f>
        <v/>
      </c>
    </row>
    <row r="14" spans="2:38" ht="46.5" customHeight="1">
      <c r="B14" s="25" t="s">
        <v>215</v>
      </c>
      <c r="C14" s="24" t="s">
        <v>216</v>
      </c>
      <c r="D14" s="24" t="s">
        <v>11</v>
      </c>
      <c r="E14" s="29" t="str">
        <f>_xlfn.LET(_xlpm.x,_xlfn.XLOOKUP(tblTestfallTracking[[#This Row],[Datensatz-ID]],tblVertraege[Datensatz-ID],tblVertraege[Sparte],""),IF(_xlpm.x=0,"",_xlpm.x))</f>
        <v>KV</v>
      </c>
      <c r="F14" s="32">
        <f>_xlfn.LET(_xlpm.x,_xlfn.XLOOKUP(tblTestfallTracking[[#This Row],[Datensatz-ID]],tblVertraege[Datensatz-ID],tblVertraege[IMSI-VNR],""),IF(_xlpm.x=0,"",_xlpm.x))</f>
        <v>317063119</v>
      </c>
      <c r="G1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4" s="45" cm="1" t="str">
        <f t="array" ref="H1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4" s="45" cm="1" t="str">
        <f t="array" ref="I1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4" s="45" cm="1" t="str">
        <f t="array" ref="J1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4" s="26" t="s">
        <v>18</v>
      </c>
      <c r="L14" s="26" t="s">
        <v>18</v>
      </c>
      <c r="M14" s="26" t="s">
        <v>18</v>
      </c>
      <c r="N14" s="30"/>
      <c r="O14" s="27"/>
      <c r="P14" s="27"/>
      <c r="Q14" s="26" t="s">
        <v>9</v>
      </c>
      <c r="R14" s="27"/>
      <c r="S14" s="25" t="s">
        <v>85</v>
      </c>
      <c r="T14" s="29" t="str">
        <f>_xlfn.LET(_xlpm.x,_xlfn.XLOOKUP(tblTestfallTracking[[#This Row],[Datensatz-ID]],tblVertraege[Datensatz-ID],tblVertraege[Sparte],""),IF(_xlpm.x=0,"",_xlpm.x))</f>
        <v>KV</v>
      </c>
      <c r="U14" s="26"/>
      <c r="V14" s="26"/>
      <c r="W14" s="26"/>
      <c r="X14" s="26"/>
      <c r="Y14" s="26"/>
      <c r="Z14" s="26"/>
      <c r="AA14" s="26"/>
      <c r="AB14" s="26"/>
      <c r="AC14" s="26"/>
      <c r="AD14" s="29" t="str">
        <f>_xlfn.LET(_xlpm.a,_xlfn.XLOOKUP(tblTestfallTracking[[#This Row],[Testfall-ID]],tblMatrix[Testfall-ID],tblMatrix[Aufnehmende Agentur-ID],""),IF(_xlpm.a=0,"",_xlpm.a))</f>
        <v>A-04</v>
      </c>
      <c r="AE14" s="29" t="str">
        <f>_xlfn.LET(_xlpm.x,_xlfn.XLOOKUP(tblTestfallTracking[[#This Row],[Datensatz-ID]],tblVertraege[Datensatz-ID],tblVertraege[Abgeber-ID],""),IF(_xlpm.x=0,"",_xlpm.x))</f>
        <v>AB-01</v>
      </c>
      <c r="AF14" s="29" t="str">
        <f>_xlfn.LET(_xlpm.x,_xlfn.XLOOKUP(tblTestfallTracking[[#This Row],[Datensatz-ID]],tblVertraege[Datensatz-ID],tblVertraege[Abgebender Agenturtyp],""),IF(_xlpm.x=0,"",_xlpm.x))</f>
        <v>AO</v>
      </c>
      <c r="AG1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4" s="32">
        <f>_xlfn.LET(_xlpm.x,_xlfn.XLOOKUP(tblTestfallTracking[[#This Row],[Datensatz-ID]],tblVertraege[Datensatz-ID],tblVertraege[Abgebende Agenturnummer / OE],""),IF(_xlpm.x=0,"",_xlpm.x))</f>
        <v>600040114</v>
      </c>
      <c r="AI1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4" s="26"/>
      <c r="AK14" s="26" t="s">
        <v>18</v>
      </c>
      <c r="AL14" s="29" t="str">
        <f>IF(tblTestfallTracking[[#This Row],[Abgeber-ID]]="AB-00","Betreuung leer oder IS0042 dokumentieren","")</f>
        <v/>
      </c>
    </row>
    <row r="15" spans="2:38" ht="46.5" customHeight="1">
      <c r="B15" s="25" t="s">
        <v>219</v>
      </c>
      <c r="C15" s="24" t="s">
        <v>220</v>
      </c>
      <c r="D15" s="24" t="s">
        <v>11</v>
      </c>
      <c r="E15" s="29" t="str">
        <f>_xlfn.LET(_xlpm.x,_xlfn.XLOOKUP(tblTestfallTracking[[#This Row],[Datensatz-ID]],tblVertraege[Datensatz-ID],tblVertraege[Sparte],""),IF(_xlpm.x=0,"",_xlpm.x))</f>
        <v>KV</v>
      </c>
      <c r="F15" s="32">
        <f>_xlfn.LET(_xlpm.x,_xlfn.XLOOKUP(tblTestfallTracking[[#This Row],[Datensatz-ID]],tblVertraege[Datensatz-ID],tblVertraege[IMSI-VNR],""),IF(_xlpm.x=0,"",_xlpm.x))</f>
        <v>317063119</v>
      </c>
      <c r="G1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5" s="45" cm="1" t="str">
        <f t="array" ref="H1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5" s="45" cm="1" t="str">
        <f t="array" ref="I1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5" s="45" cm="1" t="str">
        <f t="array" ref="J1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5" s="26" t="s">
        <v>18</v>
      </c>
      <c r="L15" s="26" t="s">
        <v>18</v>
      </c>
      <c r="M15" s="26" t="s">
        <v>18</v>
      </c>
      <c r="N15" s="30"/>
      <c r="O15" s="27"/>
      <c r="P15" s="27"/>
      <c r="Q15" s="26" t="s">
        <v>9</v>
      </c>
      <c r="R15" s="27"/>
      <c r="S15" s="25" t="s">
        <v>85</v>
      </c>
      <c r="T15" s="29" t="str">
        <f>_xlfn.LET(_xlpm.x,_xlfn.XLOOKUP(tblTestfallTracking[[#This Row],[Datensatz-ID]],tblVertraege[Datensatz-ID],tblVertraege[Sparte],""),IF(_xlpm.x=0,"",_xlpm.x))</f>
        <v>KV</v>
      </c>
      <c r="U15" s="26"/>
      <c r="V15" s="26"/>
      <c r="W15" s="26"/>
      <c r="X15" s="26"/>
      <c r="Y15" s="26"/>
      <c r="Z15" s="26"/>
      <c r="AA15" s="26"/>
      <c r="AB15" s="26"/>
      <c r="AC15" s="26"/>
      <c r="AD15" s="29" t="str">
        <f>_xlfn.LET(_xlpm.a,_xlfn.XLOOKUP(tblTestfallTracking[[#This Row],[Testfall-ID]],tblMatrix[Testfall-ID],tblMatrix[Aufnehmende Agentur-ID],""),IF(_xlpm.a=0,"",_xlpm.a))</f>
        <v>A-04</v>
      </c>
      <c r="AE15" s="29" t="str">
        <f>_xlfn.LET(_xlpm.x,_xlfn.XLOOKUP(tblTestfallTracking[[#This Row],[Datensatz-ID]],tblVertraege[Datensatz-ID],tblVertraege[Abgeber-ID],""),IF(_xlpm.x=0,"",_xlpm.x))</f>
        <v>AB-01</v>
      </c>
      <c r="AF15" s="29" t="str">
        <f>_xlfn.LET(_xlpm.x,_xlfn.XLOOKUP(tblTestfallTracking[[#This Row],[Datensatz-ID]],tblVertraege[Datensatz-ID],tblVertraege[Abgebender Agenturtyp],""),IF(_xlpm.x=0,"",_xlpm.x))</f>
        <v>AO</v>
      </c>
      <c r="AG1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5" s="32">
        <f>_xlfn.LET(_xlpm.x,_xlfn.XLOOKUP(tblTestfallTracking[[#This Row],[Datensatz-ID]],tblVertraege[Datensatz-ID],tblVertraege[Abgebende Agenturnummer / OE],""),IF(_xlpm.x=0,"",_xlpm.x))</f>
        <v>600040114</v>
      </c>
      <c r="AI1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5" s="26"/>
      <c r="AK15" s="26" t="s">
        <v>18</v>
      </c>
      <c r="AL15" s="29" t="str">
        <f>IF(tblTestfallTracking[[#This Row],[Abgeber-ID]]="AB-00","Betreuung leer oder IS0042 dokumentieren","")</f>
        <v/>
      </c>
    </row>
    <row r="16" spans="2:38" ht="46.5" customHeight="1">
      <c r="B16" s="25" t="s">
        <v>223</v>
      </c>
      <c r="C16" s="24" t="s">
        <v>224</v>
      </c>
      <c r="D16" s="24" t="s">
        <v>11</v>
      </c>
      <c r="E16" s="29" t="str">
        <f>_xlfn.LET(_xlpm.x,_xlfn.XLOOKUP(tblTestfallTracking[[#This Row],[Datensatz-ID]],tblVertraege[Datensatz-ID],tblVertraege[Sparte],""),IF(_xlpm.x=0,"",_xlpm.x))</f>
        <v>Komposit</v>
      </c>
      <c r="F16" s="32" t="str">
        <f>_xlfn.LET(_xlpm.x,_xlfn.XLOOKUP(tblTestfallTracking[[#This Row],[Datensatz-ID]],tblVertraege[Datensatz-ID],tblVertraege[IMSI-VNR],""),IF(_xlpm.x=0,"",_xlpm.x))</f>
        <v/>
      </c>
      <c r="G1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6" s="45" cm="1" t="str">
        <f t="array" ref="H1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6" s="45" cm="1" t="str">
        <f t="array" ref="I1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6" s="45" cm="1" t="str">
        <f t="array" ref="J1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6" s="26" t="s">
        <v>18</v>
      </c>
      <c r="L16" s="26" t="s">
        <v>18</v>
      </c>
      <c r="M16" s="26" t="s">
        <v>18</v>
      </c>
      <c r="N16" s="30"/>
      <c r="O16" s="27"/>
      <c r="P16" s="27"/>
      <c r="Q16" s="26" t="s">
        <v>9</v>
      </c>
      <c r="R16" s="27"/>
      <c r="S16" s="25" t="s">
        <v>94</v>
      </c>
      <c r="T16" s="29" t="str">
        <f>_xlfn.LET(_xlpm.x,_xlfn.XLOOKUP(tblTestfallTracking[[#This Row],[Datensatz-ID]],tblVertraege[Datensatz-ID],tblVertraege[Sparte],""),IF(_xlpm.x=0,"",_xlpm.x))</f>
        <v>Komposit</v>
      </c>
      <c r="U16" s="26"/>
      <c r="V16" s="26"/>
      <c r="W16" s="26"/>
      <c r="X16" s="26"/>
      <c r="Y16" s="26"/>
      <c r="Z16" s="26"/>
      <c r="AA16" s="26"/>
      <c r="AB16" s="26"/>
      <c r="AC16" s="26"/>
      <c r="AD16" s="29" t="str">
        <f>_xlfn.LET(_xlpm.a,_xlfn.XLOOKUP(tblTestfallTracking[[#This Row],[Testfall-ID]],tblMatrix[Testfall-ID],tblMatrix[Aufnehmende Agentur-ID],""),IF(_xlpm.a=0,"",_xlpm.a))</f>
        <v>A-01</v>
      </c>
      <c r="AE16" s="29" t="str">
        <f>_xlfn.LET(_xlpm.x,_xlfn.XLOOKUP(tblTestfallTracking[[#This Row],[Datensatz-ID]],tblVertraege[Datensatz-ID],tblVertraege[Abgeber-ID],""),IF(_xlpm.x=0,"",_xlpm.x))</f>
        <v>AB-02</v>
      </c>
      <c r="AF16" s="29" t="str">
        <f>_xlfn.LET(_xlpm.x,_xlfn.XLOOKUP(tblTestfallTracking[[#This Row],[Datensatz-ID]],tblVertraege[Datensatz-ID],tblVertraege[Abgebender Agenturtyp],""),IF(_xlpm.x=0,"",_xlpm.x))</f>
        <v>Makler</v>
      </c>
      <c r="AG16" s="29" t="str">
        <f>_xlfn.LET(_xlpm.x,_xlfn.XLOOKUP(tblTestfallTracking[[#This Row],[Datensatz-ID]],tblVertraege[Datensatz-ID],tblVertraege[Konkreter abgebender Agenturname],""),IF(_xlpm.x=0,"",_xlpm.x))</f>
        <v/>
      </c>
      <c r="AH16" s="32" t="str">
        <f>_xlfn.LET(_xlpm.x,_xlfn.XLOOKUP(tblTestfallTracking[[#This Row],[Datensatz-ID]],tblVertraege[Datensatz-ID],tblVertraege[Abgebende Agenturnummer / OE],""),IF(_xlpm.x=0,"",_xlpm.x))</f>
        <v/>
      </c>
      <c r="AI1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6" s="26"/>
      <c r="AK16" s="26" t="s">
        <v>18</v>
      </c>
      <c r="AL16" s="29" t="str">
        <f>IF(tblTestfallTracking[[#This Row],[Abgeber-ID]]="AB-00","Betreuung leer oder IS0042 dokumentieren","")</f>
        <v/>
      </c>
    </row>
    <row r="17" spans="2:38" ht="46.5" customHeight="1">
      <c r="B17" s="25" t="s">
        <v>227</v>
      </c>
      <c r="C17" s="24" t="s">
        <v>228</v>
      </c>
      <c r="D17" s="24" t="s">
        <v>11</v>
      </c>
      <c r="E17" s="29" t="str">
        <f>_xlfn.LET(_xlpm.x,_xlfn.XLOOKUP(tblTestfallTracking[[#This Row],[Datensatz-ID]],tblVertraege[Datensatz-ID],tblVertraege[Sparte],""),IF(_xlpm.x=0,"",_xlpm.x))</f>
        <v>KV</v>
      </c>
      <c r="F17" s="32">
        <f>_xlfn.LET(_xlpm.x,_xlfn.XLOOKUP(tblTestfallTracking[[#This Row],[Datensatz-ID]],tblVertraege[Datensatz-ID],tblVertraege[IMSI-VNR],""),IF(_xlpm.x=0,"",_xlpm.x))</f>
        <v>317063119</v>
      </c>
      <c r="G1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7" s="45" cm="1" t="str">
        <f t="array" ref="H17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7" s="45" cm="1" t="str">
        <f t="array" ref="I1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17" s="45" cm="1" t="str">
        <f t="array" ref="J1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17" s="26" t="s">
        <v>18</v>
      </c>
      <c r="L17" s="26" t="s">
        <v>18</v>
      </c>
      <c r="M17" s="26" t="s">
        <v>18</v>
      </c>
      <c r="N17" s="30"/>
      <c r="O17" s="27"/>
      <c r="P17" s="27"/>
      <c r="Q17" s="26" t="s">
        <v>9</v>
      </c>
      <c r="R17" s="27"/>
      <c r="S17" s="25" t="s">
        <v>85</v>
      </c>
      <c r="T17" s="29" t="str">
        <f>_xlfn.LET(_xlpm.x,_xlfn.XLOOKUP(tblTestfallTracking[[#This Row],[Datensatz-ID]],tblVertraege[Datensatz-ID],tblVertraege[Sparte],""),IF(_xlpm.x=0,"",_xlpm.x))</f>
        <v>KV</v>
      </c>
      <c r="U17" s="26"/>
      <c r="V17" s="26"/>
      <c r="W17" s="26"/>
      <c r="X17" s="26"/>
      <c r="Y17" s="26"/>
      <c r="Z17" s="26"/>
      <c r="AA17" s="26"/>
      <c r="AB17" s="26"/>
      <c r="AC17" s="26"/>
      <c r="AD17" s="29" t="str">
        <f>_xlfn.LET(_xlpm.a,_xlfn.XLOOKUP(tblTestfallTracking[[#This Row],[Testfall-ID]],tblMatrix[Testfall-ID],tblMatrix[Aufnehmende Agentur-ID],""),IF(_xlpm.a=0,"",_xlpm.a))</f>
        <v>A-01</v>
      </c>
      <c r="AE17" s="29" t="str">
        <f>_xlfn.LET(_xlpm.x,_xlfn.XLOOKUP(tblTestfallTracking[[#This Row],[Datensatz-ID]],tblVertraege[Datensatz-ID],tblVertraege[Abgeber-ID],""),IF(_xlpm.x=0,"",_xlpm.x))</f>
        <v>AB-01</v>
      </c>
      <c r="AF17" s="29" t="str">
        <f>_xlfn.LET(_xlpm.x,_xlfn.XLOOKUP(tblTestfallTracking[[#This Row],[Datensatz-ID]],tblVertraege[Datensatz-ID],tblVertraege[Abgebender Agenturtyp],""),IF(_xlpm.x=0,"",_xlpm.x))</f>
        <v>AO</v>
      </c>
      <c r="AG17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7" s="32">
        <f>_xlfn.LET(_xlpm.x,_xlfn.XLOOKUP(tblTestfallTracking[[#This Row],[Datensatz-ID]],tblVertraege[Datensatz-ID],tblVertraege[Abgebende Agenturnummer / OE],""),IF(_xlpm.x=0,"",_xlpm.x))</f>
        <v>600040114</v>
      </c>
      <c r="AI1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7" s="26"/>
      <c r="AK17" s="26" t="s">
        <v>18</v>
      </c>
      <c r="AL17" s="29" t="str">
        <f>IF(tblTestfallTracking[[#This Row],[Abgeber-ID]]="AB-00","Betreuung leer oder IS0042 dokumentieren","")</f>
        <v/>
      </c>
    </row>
    <row r="18" spans="2:38" ht="46.5" customHeight="1">
      <c r="B18" s="25" t="s">
        <v>231</v>
      </c>
      <c r="C18" s="24" t="s">
        <v>232</v>
      </c>
      <c r="D18" s="24" t="s">
        <v>11</v>
      </c>
      <c r="E18" s="29" t="str">
        <f>_xlfn.LET(_xlpm.x,_xlfn.XLOOKUP(tblTestfallTracking[[#This Row],[Datensatz-ID]],tblVertraege[Datensatz-ID],tblVertraege[Sparte],""),IF(_xlpm.x=0,"",_xlpm.x))</f>
        <v>KV</v>
      </c>
      <c r="F18" s="32">
        <f>_xlfn.LET(_xlpm.x,_xlfn.XLOOKUP(tblTestfallTracking[[#This Row],[Datensatz-ID]],tblVertraege[Datensatz-ID],tblVertraege[IMSI-VNR],""),IF(_xlpm.x=0,"",_xlpm.x))</f>
        <v>317063119</v>
      </c>
      <c r="G1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8" s="45" cm="1" t="str">
        <f t="array" ref="H1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8" s="45" cm="1" t="str">
        <f t="array" ref="I1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8" s="45" cm="1" t="str">
        <f t="array" ref="J1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8" s="26" t="s">
        <v>18</v>
      </c>
      <c r="L18" s="26" t="s">
        <v>18</v>
      </c>
      <c r="M18" s="26" t="s">
        <v>18</v>
      </c>
      <c r="N18" s="30"/>
      <c r="O18" s="27"/>
      <c r="P18" s="27"/>
      <c r="Q18" s="26" t="s">
        <v>9</v>
      </c>
      <c r="R18" s="27"/>
      <c r="S18" s="25" t="s">
        <v>85</v>
      </c>
      <c r="T18" s="29" t="str">
        <f>_xlfn.LET(_xlpm.x,_xlfn.XLOOKUP(tblTestfallTracking[[#This Row],[Datensatz-ID]],tblVertraege[Datensatz-ID],tblVertraege[Sparte],""),IF(_xlpm.x=0,"",_xlpm.x))</f>
        <v>KV</v>
      </c>
      <c r="U18" s="26"/>
      <c r="V18" s="26"/>
      <c r="W18" s="26"/>
      <c r="X18" s="26"/>
      <c r="Y18" s="26"/>
      <c r="Z18" s="26"/>
      <c r="AA18" s="26"/>
      <c r="AB18" s="26"/>
      <c r="AC18" s="26"/>
      <c r="AD18" s="29" t="str">
        <f>_xlfn.LET(_xlpm.a,_xlfn.XLOOKUP(tblTestfallTracking[[#This Row],[Testfall-ID]],tblMatrix[Testfall-ID],tblMatrix[Aufnehmende Agentur-ID],""),IF(_xlpm.a=0,"",_xlpm.a))</f>
        <v>A-01</v>
      </c>
      <c r="AE18" s="29" t="str">
        <f>_xlfn.LET(_xlpm.x,_xlfn.XLOOKUP(tblTestfallTracking[[#This Row],[Datensatz-ID]],tblVertraege[Datensatz-ID],tblVertraege[Abgeber-ID],""),IF(_xlpm.x=0,"",_xlpm.x))</f>
        <v>AB-01</v>
      </c>
      <c r="AF18" s="29" t="str">
        <f>_xlfn.LET(_xlpm.x,_xlfn.XLOOKUP(tblTestfallTracking[[#This Row],[Datensatz-ID]],tblVertraege[Datensatz-ID],tblVertraege[Abgebender Agenturtyp],""),IF(_xlpm.x=0,"",_xlpm.x))</f>
        <v>AO</v>
      </c>
      <c r="AG1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8" s="32">
        <f>_xlfn.LET(_xlpm.x,_xlfn.XLOOKUP(tblTestfallTracking[[#This Row],[Datensatz-ID]],tblVertraege[Datensatz-ID],tblVertraege[Abgebende Agenturnummer / OE],""),IF(_xlpm.x=0,"",_xlpm.x))</f>
        <v>600040114</v>
      </c>
      <c r="AI1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8" s="26"/>
      <c r="AK18" s="26" t="s">
        <v>18</v>
      </c>
      <c r="AL18" s="29" t="str">
        <f>IF(tblTestfallTracking[[#This Row],[Abgeber-ID]]="AB-00","Betreuung leer oder IS0042 dokumentieren","")</f>
        <v/>
      </c>
    </row>
    <row r="19" spans="2:38" ht="46.5" customHeight="1">
      <c r="B19" s="25" t="s">
        <v>235</v>
      </c>
      <c r="C19" s="24" t="s">
        <v>236</v>
      </c>
      <c r="D19" s="24" t="s">
        <v>11</v>
      </c>
      <c r="E19" s="29" t="str">
        <f>_xlfn.LET(_xlpm.x,_xlfn.XLOOKUP(tblTestfallTracking[[#This Row],[Datensatz-ID]],tblVertraege[Datensatz-ID],tblVertraege[Sparte],""),IF(_xlpm.x=0,"",_xlpm.x))</f>
        <v>KV</v>
      </c>
      <c r="F19" s="32" t="str">
        <f>_xlfn.LET(_xlpm.x,_xlfn.XLOOKUP(tblTestfallTracking[[#This Row],[Datensatz-ID]],tblVertraege[Datensatz-ID],tblVertraege[IMSI-VNR],""),IF(_xlpm.x=0,"",_xlpm.x))</f>
        <v/>
      </c>
      <c r="G1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9" s="45" cm="1" t="str">
        <f t="array" ref="H1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9" s="45" cm="1" t="str">
        <f t="array" ref="I1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9" s="45" cm="1" t="str">
        <f t="array" ref="J1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9" s="26" t="s">
        <v>18</v>
      </c>
      <c r="L19" s="26" t="s">
        <v>18</v>
      </c>
      <c r="M19" s="26" t="s">
        <v>18</v>
      </c>
      <c r="N19" s="30"/>
      <c r="O19" s="27"/>
      <c r="P19" s="27"/>
      <c r="Q19" s="26" t="s">
        <v>9</v>
      </c>
      <c r="R19" s="27"/>
      <c r="S19" s="25" t="s">
        <v>109</v>
      </c>
      <c r="T19" s="29" t="str">
        <f>_xlfn.LET(_xlpm.x,_xlfn.XLOOKUP(tblTestfallTracking[[#This Row],[Datensatz-ID]],tblVertraege[Datensatz-ID],tblVertraege[Sparte],""),IF(_xlpm.x=0,"",_xlpm.x))</f>
        <v>KV</v>
      </c>
      <c r="U19" s="26"/>
      <c r="V19" s="26"/>
      <c r="W19" s="26"/>
      <c r="X19" s="26"/>
      <c r="Y19" s="26"/>
      <c r="Z19" s="26"/>
      <c r="AA19" s="26"/>
      <c r="AB19" s="26"/>
      <c r="AC19" s="26"/>
      <c r="AD19" s="29" t="str">
        <f>_xlfn.LET(_xlpm.a,_xlfn.XLOOKUP(tblTestfallTracking[[#This Row],[Testfall-ID]],tblMatrix[Testfall-ID],tblMatrix[Aufnehmende Agentur-ID],""),IF(_xlpm.a=0,"",_xlpm.a))</f>
        <v>A-01</v>
      </c>
      <c r="AE19" s="29" t="str">
        <f>_xlfn.LET(_xlpm.x,_xlfn.XLOOKUP(tblTestfallTracking[[#This Row],[Datensatz-ID]],tblVertraege[Datensatz-ID],tblVertraege[Abgeber-ID],""),IF(_xlpm.x=0,"",_xlpm.x))</f>
        <v/>
      </c>
      <c r="AF19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19" s="29" t="str">
        <f>_xlfn.LET(_xlpm.x,_xlfn.XLOOKUP(tblTestfallTracking[[#This Row],[Datensatz-ID]],tblVertraege[Datensatz-ID],tblVertraege[Konkreter abgebender Agenturname],""),IF(_xlpm.x=0,"",_xlpm.x))</f>
        <v/>
      </c>
      <c r="AH19" s="32" t="str">
        <f>_xlfn.LET(_xlpm.x,_xlfn.XLOOKUP(tblTestfallTracking[[#This Row],[Datensatz-ID]],tblVertraege[Datensatz-ID],tblVertraege[Abgebende Agenturnummer / OE],""),IF(_xlpm.x=0,"",_xlpm.x))</f>
        <v/>
      </c>
      <c r="AI1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19" s="26"/>
      <c r="AK19" s="26" t="s">
        <v>18</v>
      </c>
      <c r="AL19" s="29" t="str">
        <f>IF(tblTestfallTracking[[#This Row],[Abgeber-ID]]="AB-00","Betreuung leer oder IS0042 dokumentieren","")</f>
        <v/>
      </c>
    </row>
    <row r="20" spans="2:38" ht="46.5" customHeight="1">
      <c r="B20" s="25" t="s">
        <v>239</v>
      </c>
      <c r="C20" s="24" t="s">
        <v>240</v>
      </c>
      <c r="D20" s="24" t="s">
        <v>11</v>
      </c>
      <c r="E20" s="29" t="str">
        <f>_xlfn.LET(_xlpm.x,_xlfn.XLOOKUP(tblTestfallTracking[[#This Row],[Datensatz-ID]],tblVertraege[Datensatz-ID],tblVertraege[Sparte],""),IF(_xlpm.x=0,"",_xlpm.x))</f>
        <v>KV</v>
      </c>
      <c r="F20" s="32">
        <f>_xlfn.LET(_xlpm.x,_xlfn.XLOOKUP(tblTestfallTracking[[#This Row],[Datensatz-ID]],tblVertraege[Datensatz-ID],tblVertraege[IMSI-VNR],""),IF(_xlpm.x=0,"",_xlpm.x))</f>
        <v>317063119</v>
      </c>
      <c r="G2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0" s="45" cm="1" t="str">
        <f t="array" ref="H20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0" s="45" cm="1" t="str">
        <f t="array" ref="I2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0" s="45" cm="1" t="str">
        <f t="array" ref="J2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0" s="26" t="s">
        <v>18</v>
      </c>
      <c r="L20" s="26" t="s">
        <v>18</v>
      </c>
      <c r="M20" s="26" t="s">
        <v>18</v>
      </c>
      <c r="N20" s="30"/>
      <c r="O20" s="27"/>
      <c r="P20" s="27"/>
      <c r="Q20" s="26" t="s">
        <v>9</v>
      </c>
      <c r="R20" s="27"/>
      <c r="S20" s="25" t="s">
        <v>85</v>
      </c>
      <c r="T20" s="29" t="str">
        <f>_xlfn.LET(_xlpm.x,_xlfn.XLOOKUP(tblTestfallTracking[[#This Row],[Datensatz-ID]],tblVertraege[Datensatz-ID],tblVertraege[Sparte],""),IF(_xlpm.x=0,"",_xlpm.x))</f>
        <v>KV</v>
      </c>
      <c r="U20" s="26"/>
      <c r="V20" s="26"/>
      <c r="W20" s="26"/>
      <c r="X20" s="26"/>
      <c r="Y20" s="26"/>
      <c r="Z20" s="26"/>
      <c r="AA20" s="26"/>
      <c r="AB20" s="26"/>
      <c r="AC20" s="26"/>
      <c r="AD20" s="29" t="str">
        <f>_xlfn.LET(_xlpm.a,_xlfn.XLOOKUP(tblTestfallTracking[[#This Row],[Testfall-ID]],tblMatrix[Testfall-ID],tblMatrix[Aufnehmende Agentur-ID],""),IF(_xlpm.a=0,"",_xlpm.a))</f>
        <v>A-01</v>
      </c>
      <c r="AE20" s="29" t="str">
        <f>_xlfn.LET(_xlpm.x,_xlfn.XLOOKUP(tblTestfallTracking[[#This Row],[Datensatz-ID]],tblVertraege[Datensatz-ID],tblVertraege[Abgeber-ID],""),IF(_xlpm.x=0,"",_xlpm.x))</f>
        <v>AB-01</v>
      </c>
      <c r="AF20" s="29" t="str">
        <f>_xlfn.LET(_xlpm.x,_xlfn.XLOOKUP(tblTestfallTracking[[#This Row],[Datensatz-ID]],tblVertraege[Datensatz-ID],tblVertraege[Abgebender Agenturtyp],""),IF(_xlpm.x=0,"",_xlpm.x))</f>
        <v>AO</v>
      </c>
      <c r="AG2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0" s="32">
        <f>_xlfn.LET(_xlpm.x,_xlfn.XLOOKUP(tblTestfallTracking[[#This Row],[Datensatz-ID]],tblVertraege[Datensatz-ID],tblVertraege[Abgebende Agenturnummer / OE],""),IF(_xlpm.x=0,"",_xlpm.x))</f>
        <v>600040114</v>
      </c>
      <c r="AI2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0" s="26"/>
      <c r="AK20" s="26" t="s">
        <v>18</v>
      </c>
      <c r="AL20" s="29" t="str">
        <f>IF(tblTestfallTracking[[#This Row],[Abgeber-ID]]="AB-00","Betreuung leer oder IS0042 dokumentieren","")</f>
        <v/>
      </c>
    </row>
    <row r="21" spans="2:38" ht="46.5" customHeight="1">
      <c r="B21" s="25" t="s">
        <v>242</v>
      </c>
      <c r="C21" s="24" t="s">
        <v>243</v>
      </c>
      <c r="D21" s="24" t="s">
        <v>11</v>
      </c>
      <c r="E21" s="29" t="str">
        <f>_xlfn.LET(_xlpm.x,_xlfn.XLOOKUP(tblTestfallTracking[[#This Row],[Datensatz-ID]],tblVertraege[Datensatz-ID],tblVertraege[Sparte],""),IF(_xlpm.x=0,"",_xlpm.x))</f>
        <v>KV</v>
      </c>
      <c r="F21" s="32">
        <f>_xlfn.LET(_xlpm.x,_xlfn.XLOOKUP(tblTestfallTracking[[#This Row],[Datensatz-ID]],tblVertraege[Datensatz-ID],tblVertraege[IMSI-VNR],""),IF(_xlpm.x=0,"",_xlpm.x))</f>
        <v>317063119</v>
      </c>
      <c r="G2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1" s="45" cm="1" t="str">
        <f t="array" ref="H21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1" s="45" cm="1" t="str">
        <f t="array" ref="I21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1" s="45" cm="1" t="str">
        <f t="array" ref="J21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1" s="26" t="s">
        <v>18</v>
      </c>
      <c r="L21" s="26" t="s">
        <v>18</v>
      </c>
      <c r="M21" s="26" t="s">
        <v>18</v>
      </c>
      <c r="N21" s="30"/>
      <c r="O21" s="27"/>
      <c r="P21" s="27"/>
      <c r="Q21" s="26" t="s">
        <v>9</v>
      </c>
      <c r="R21" s="27"/>
      <c r="S21" s="25" t="s">
        <v>85</v>
      </c>
      <c r="T21" s="29" t="str">
        <f>_xlfn.LET(_xlpm.x,_xlfn.XLOOKUP(tblTestfallTracking[[#This Row],[Datensatz-ID]],tblVertraege[Datensatz-ID],tblVertraege[Sparte],""),IF(_xlpm.x=0,"",_xlpm.x))</f>
        <v>KV</v>
      </c>
      <c r="U21" s="26"/>
      <c r="V21" s="26"/>
      <c r="W21" s="26"/>
      <c r="X21" s="26"/>
      <c r="Y21" s="26"/>
      <c r="Z21" s="26"/>
      <c r="AA21" s="26"/>
      <c r="AB21" s="26"/>
      <c r="AC21" s="26"/>
      <c r="AD21" s="29" t="str">
        <f>_xlfn.LET(_xlpm.a,_xlfn.XLOOKUP(tblTestfallTracking[[#This Row],[Testfall-ID]],tblMatrix[Testfall-ID],tblMatrix[Aufnehmende Agentur-ID],""),IF(_xlpm.a=0,"",_xlpm.a))</f>
        <v>A-01 Basis</v>
      </c>
      <c r="AE21" s="29" t="str">
        <f>_xlfn.LET(_xlpm.x,_xlfn.XLOOKUP(tblTestfallTracking[[#This Row],[Datensatz-ID]],tblVertraege[Datensatz-ID],tblVertraege[Abgeber-ID],""),IF(_xlpm.x=0,"",_xlpm.x))</f>
        <v>AB-01</v>
      </c>
      <c r="AF21" s="29" t="str">
        <f>_xlfn.LET(_xlpm.x,_xlfn.XLOOKUP(tblTestfallTracking[[#This Row],[Datensatz-ID]],tblVertraege[Datensatz-ID],tblVertraege[Abgebender Agenturtyp],""),IF(_xlpm.x=0,"",_xlpm.x))</f>
        <v>AO</v>
      </c>
      <c r="AG21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1" s="32">
        <f>_xlfn.LET(_xlpm.x,_xlfn.XLOOKUP(tblTestfallTracking[[#This Row],[Datensatz-ID]],tblVertraege[Datensatz-ID],tblVertraege[Abgebende Agenturnummer / OE],""),IF(_xlpm.x=0,"",_xlpm.x))</f>
        <v>600040114</v>
      </c>
      <c r="AI2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1" s="26"/>
      <c r="AK21" s="26" t="s">
        <v>18</v>
      </c>
      <c r="AL21" s="29" t="str">
        <f>IF(tblTestfallTracking[[#This Row],[Abgeber-ID]]="AB-00","Betreuung leer oder IS0042 dokumentieren","")</f>
        <v/>
      </c>
    </row>
    <row r="22" spans="2:38" ht="46.5" customHeight="1">
      <c r="B22" s="25" t="s">
        <v>245</v>
      </c>
      <c r="C22" s="24" t="s">
        <v>246</v>
      </c>
      <c r="D22" s="24" t="s">
        <v>11</v>
      </c>
      <c r="E22" s="29" t="str">
        <f>_xlfn.LET(_xlpm.x,_xlfn.XLOOKUP(tblTestfallTracking[[#This Row],[Datensatz-ID]],tblVertraege[Datensatz-ID],tblVertraege[Sparte],""),IF(_xlpm.x=0,"",_xlpm.x))</f>
        <v>Komposit</v>
      </c>
      <c r="F22" s="32" t="str">
        <f>_xlfn.LET(_xlpm.x,_xlfn.XLOOKUP(tblTestfallTracking[[#This Row],[Datensatz-ID]],tblVertraege[Datensatz-ID],tblVertraege[IMSI-VNR],""),IF(_xlpm.x=0,"",_xlpm.x))</f>
        <v/>
      </c>
      <c r="G2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2" s="45" cm="1" t="str">
        <f t="array" ref="H2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2" s="45" cm="1" t="str">
        <f t="array" ref="I2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2" s="45" cm="1" t="str">
        <f t="array" ref="J2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2" s="26" t="s">
        <v>18</v>
      </c>
      <c r="L22" s="26" t="s">
        <v>18</v>
      </c>
      <c r="M22" s="26" t="s">
        <v>18</v>
      </c>
      <c r="N22" s="30"/>
      <c r="O22" s="27"/>
      <c r="P22" s="27"/>
      <c r="Q22" s="26" t="s">
        <v>9</v>
      </c>
      <c r="R22" s="27"/>
      <c r="S22" s="25" t="s">
        <v>94</v>
      </c>
      <c r="T22" s="29" t="str">
        <f>_xlfn.LET(_xlpm.x,_xlfn.XLOOKUP(tblTestfallTracking[[#This Row],[Datensatz-ID]],tblVertraege[Datensatz-ID],tblVertraege[Sparte],""),IF(_xlpm.x=0,"",_xlpm.x))</f>
        <v>Komposit</v>
      </c>
      <c r="U22" s="26"/>
      <c r="V22" s="26"/>
      <c r="W22" s="26"/>
      <c r="X22" s="26"/>
      <c r="Y22" s="26"/>
      <c r="Z22" s="26"/>
      <c r="AA22" s="26"/>
      <c r="AB22" s="26"/>
      <c r="AC22" s="26"/>
      <c r="AD22" s="29" t="str">
        <f>_xlfn.LET(_xlpm.a,_xlfn.XLOOKUP(tblTestfallTracking[[#This Row],[Testfall-ID]],tblMatrix[Testfall-ID],tblMatrix[Aufnehmende Agentur-ID],""),IF(_xlpm.a=0,"",_xlpm.a))</f>
        <v>A-06</v>
      </c>
      <c r="AE22" s="29" t="str">
        <f>_xlfn.LET(_xlpm.x,_xlfn.XLOOKUP(tblTestfallTracking[[#This Row],[Datensatz-ID]],tblVertraege[Datensatz-ID],tblVertraege[Abgeber-ID],""),IF(_xlpm.x=0,"",_xlpm.x))</f>
        <v>AB-02</v>
      </c>
      <c r="AF22" s="29" t="str">
        <f>_xlfn.LET(_xlpm.x,_xlfn.XLOOKUP(tblTestfallTracking[[#This Row],[Datensatz-ID]],tblVertraege[Datensatz-ID],tblVertraege[Abgebender Agenturtyp],""),IF(_xlpm.x=0,"",_xlpm.x))</f>
        <v>Makler</v>
      </c>
      <c r="AG22" s="29" t="str">
        <f>_xlfn.LET(_xlpm.x,_xlfn.XLOOKUP(tblTestfallTracking[[#This Row],[Datensatz-ID]],tblVertraege[Datensatz-ID],tblVertraege[Konkreter abgebender Agenturname],""),IF(_xlpm.x=0,"",_xlpm.x))</f>
        <v/>
      </c>
      <c r="AH22" s="32" t="str">
        <f>_xlfn.LET(_xlpm.x,_xlfn.XLOOKUP(tblTestfallTracking[[#This Row],[Datensatz-ID]],tblVertraege[Datensatz-ID],tblVertraege[Abgebende Agenturnummer / OE],""),IF(_xlpm.x=0,"",_xlpm.x))</f>
        <v/>
      </c>
      <c r="AI2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2" s="26"/>
      <c r="AK22" s="26" t="s">
        <v>18</v>
      </c>
      <c r="AL22" s="29" t="str">
        <f>IF(tblTestfallTracking[[#This Row],[Abgeber-ID]]="AB-00","Betreuung leer oder IS0042 dokumentieren","")</f>
        <v/>
      </c>
    </row>
    <row r="23" spans="2:38" ht="46.5" customHeight="1">
      <c r="B23" s="25" t="s">
        <v>249</v>
      </c>
      <c r="C23" s="24" t="s">
        <v>250</v>
      </c>
      <c r="D23" s="24" t="s">
        <v>19</v>
      </c>
      <c r="E23" s="29" t="str">
        <f>_xlfn.LET(_xlpm.x,_xlfn.XLOOKUP(tblTestfallTracking[[#This Row],[Datensatz-ID]],tblVertraege[Datensatz-ID],tblVertraege[Sparte],""),IF(_xlpm.x=0,"",_xlpm.x))</f>
        <v>KV</v>
      </c>
      <c r="F23" s="32">
        <f>_xlfn.LET(_xlpm.x,_xlfn.XLOOKUP(tblTestfallTracking[[#This Row],[Datensatz-ID]],tblVertraege[Datensatz-ID],tblVertraege[IMSI-VNR],""),IF(_xlpm.x=0,"",_xlpm.x))</f>
        <v>317063119</v>
      </c>
      <c r="G2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3" s="45" cm="1" t="str">
        <f t="array" ref="H23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3" s="45" cm="1" t="str">
        <f t="array" ref="I2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3" s="45" cm="1" t="str">
        <f t="array" ref="J2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3" s="26" t="s">
        <v>18</v>
      </c>
      <c r="L23" s="26" t="s">
        <v>18</v>
      </c>
      <c r="M23" s="26" t="s">
        <v>18</v>
      </c>
      <c r="N23" s="30"/>
      <c r="O23" s="27"/>
      <c r="P23" s="27"/>
      <c r="Q23" s="26" t="s">
        <v>9</v>
      </c>
      <c r="R23" s="27"/>
      <c r="S23" s="25" t="s">
        <v>85</v>
      </c>
      <c r="T23" s="29" t="str">
        <f>_xlfn.LET(_xlpm.x,_xlfn.XLOOKUP(tblTestfallTracking[[#This Row],[Datensatz-ID]],tblVertraege[Datensatz-ID],tblVertraege[Sparte],""),IF(_xlpm.x=0,"",_xlpm.x))</f>
        <v>KV</v>
      </c>
      <c r="U23" s="26"/>
      <c r="V23" s="26"/>
      <c r="W23" s="26"/>
      <c r="X23" s="26"/>
      <c r="Y23" s="26"/>
      <c r="Z23" s="26"/>
      <c r="AA23" s="26"/>
      <c r="AB23" s="26"/>
      <c r="AC23" s="26"/>
      <c r="AD23" s="29" t="str">
        <f>_xlfn.LET(_xlpm.a,_xlfn.XLOOKUP(tblTestfallTracking[[#This Row],[Testfall-ID]],tblMatrix[Testfall-ID],tblMatrix[Aufnehmende Agentur-ID],""),IF(_xlpm.a=0,"",_xlpm.a))</f>
        <v>A-07</v>
      </c>
      <c r="AE23" s="29" t="str">
        <f>_xlfn.LET(_xlpm.x,_xlfn.XLOOKUP(tblTestfallTracking[[#This Row],[Datensatz-ID]],tblVertraege[Datensatz-ID],tblVertraege[Abgeber-ID],""),IF(_xlpm.x=0,"",_xlpm.x))</f>
        <v>AB-01</v>
      </c>
      <c r="AF23" s="29" t="str">
        <f>_xlfn.LET(_xlpm.x,_xlfn.XLOOKUP(tblTestfallTracking[[#This Row],[Datensatz-ID]],tblVertraege[Datensatz-ID],tblVertraege[Abgebender Agenturtyp],""),IF(_xlpm.x=0,"",_xlpm.x))</f>
        <v>AO</v>
      </c>
      <c r="AG2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3" s="32">
        <f>_xlfn.LET(_xlpm.x,_xlfn.XLOOKUP(tblTestfallTracking[[#This Row],[Datensatz-ID]],tblVertraege[Datensatz-ID],tblVertraege[Abgebende Agenturnummer / OE],""),IF(_xlpm.x=0,"",_xlpm.x))</f>
        <v>600040114</v>
      </c>
      <c r="AI2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3" s="26"/>
      <c r="AK23" s="26" t="s">
        <v>18</v>
      </c>
      <c r="AL23" s="29" t="str">
        <f>IF(tblTestfallTracking[[#This Row],[Abgeber-ID]]="AB-00","Betreuung leer oder IS0042 dokumentieren","")</f>
        <v/>
      </c>
    </row>
    <row r="24" spans="2:38" ht="46.5" customHeight="1">
      <c r="B24" s="25" t="s">
        <v>252</v>
      </c>
      <c r="C24" s="24" t="s">
        <v>253</v>
      </c>
      <c r="D24" s="24" t="s">
        <v>11</v>
      </c>
      <c r="E24" s="29" t="str">
        <f>_xlfn.LET(_xlpm.x,_xlfn.XLOOKUP(tblTestfallTracking[[#This Row],[Datensatz-ID]],tblVertraege[Datensatz-ID],tblVertraege[Sparte],""),IF(_xlpm.x=0,"",_xlpm.x))</f>
        <v>Komposit</v>
      </c>
      <c r="F24" s="32" t="str">
        <f>_xlfn.LET(_xlpm.x,_xlfn.XLOOKUP(tblTestfallTracking[[#This Row],[Datensatz-ID]],tblVertraege[Datensatz-ID],tblVertraege[IMSI-VNR],""),IF(_xlpm.x=0,"",_xlpm.x))</f>
        <v/>
      </c>
      <c r="G2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4" s="45" cm="1" t="str">
        <f t="array" ref="H2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4" s="45" cm="1" t="str">
        <f t="array" ref="I2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4" s="45" cm="1" t="str">
        <f t="array" ref="J2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4" s="26" t="s">
        <v>18</v>
      </c>
      <c r="L24" s="26" t="s">
        <v>18</v>
      </c>
      <c r="M24" s="26" t="s">
        <v>18</v>
      </c>
      <c r="N24" s="30"/>
      <c r="O24" s="27"/>
      <c r="P24" s="27"/>
      <c r="Q24" s="26" t="s">
        <v>9</v>
      </c>
      <c r="R24" s="27"/>
      <c r="S24" s="25" t="s">
        <v>91</v>
      </c>
      <c r="T24" s="29" t="str">
        <f>_xlfn.LET(_xlpm.x,_xlfn.XLOOKUP(tblTestfallTracking[[#This Row],[Datensatz-ID]],tblVertraege[Datensatz-ID],tblVertraege[Sparte],""),IF(_xlpm.x=0,"",_xlpm.x))</f>
        <v>Komposit</v>
      </c>
      <c r="U24" s="26"/>
      <c r="V24" s="26"/>
      <c r="W24" s="26"/>
      <c r="X24" s="26"/>
      <c r="Y24" s="26"/>
      <c r="Z24" s="26"/>
      <c r="AA24" s="26"/>
      <c r="AB24" s="26"/>
      <c r="AC24" s="26"/>
      <c r="AD24" s="29" t="str">
        <f>_xlfn.LET(_xlpm.a,_xlfn.XLOOKUP(tblTestfallTracking[[#This Row],[Testfall-ID]],tblMatrix[Testfall-ID],tblMatrix[Aufnehmende Agentur-ID],""),IF(_xlpm.a=0,"",_xlpm.a))</f>
        <v>A-01</v>
      </c>
      <c r="AE24" s="29" t="str">
        <f>_xlfn.LET(_xlpm.x,_xlfn.XLOOKUP(tblTestfallTracking[[#This Row],[Datensatz-ID]],tblVertraege[Datensatz-ID],tblVertraege[Abgeber-ID],""),IF(_xlpm.x=0,"",_xlpm.x))</f>
        <v>AB-01</v>
      </c>
      <c r="AF24" s="29" t="str">
        <f>_xlfn.LET(_xlpm.x,_xlfn.XLOOKUP(tblTestfallTracking[[#This Row],[Datensatz-ID]],tblVertraege[Datensatz-ID],tblVertraege[Abgebender Agenturtyp],""),IF(_xlpm.x=0,"",_xlpm.x))</f>
        <v>AO</v>
      </c>
      <c r="AG2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4" s="32">
        <f>_xlfn.LET(_xlpm.x,_xlfn.XLOOKUP(tblTestfallTracking[[#This Row],[Datensatz-ID]],tblVertraege[Datensatz-ID],tblVertraege[Abgebende Agenturnummer / OE],""),IF(_xlpm.x=0,"",_xlpm.x))</f>
        <v>600040114</v>
      </c>
      <c r="AI2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4" s="26"/>
      <c r="AK24" s="26" t="s">
        <v>18</v>
      </c>
      <c r="AL24" s="29" t="str">
        <f>IF(tblTestfallTracking[[#This Row],[Abgeber-ID]]="AB-00","Betreuung leer oder IS0042 dokumentieren","")</f>
        <v/>
      </c>
    </row>
    <row r="25" spans="2:38" ht="46.5" customHeight="1">
      <c r="B25" s="25" t="s">
        <v>255</v>
      </c>
      <c r="C25" s="24" t="s">
        <v>256</v>
      </c>
      <c r="D25" s="24" t="s">
        <v>11</v>
      </c>
      <c r="E25" s="29" t="str">
        <f>_xlfn.LET(_xlpm.x,_xlfn.XLOOKUP(tblTestfallTracking[[#This Row],[Datensatz-ID]],tblVertraege[Datensatz-ID],tblVertraege[Sparte],""),IF(_xlpm.x=0,"",_xlpm.x))</f>
        <v>Komposit</v>
      </c>
      <c r="F25" s="32" t="str">
        <f>_xlfn.LET(_xlpm.x,_xlfn.XLOOKUP(tblTestfallTracking[[#This Row],[Datensatz-ID]],tblVertraege[Datensatz-ID],tblVertraege[IMSI-VNR],""),IF(_xlpm.x=0,"",_xlpm.x))</f>
        <v/>
      </c>
      <c r="G2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5" s="45" cm="1" t="str">
        <f t="array" ref="H2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5" s="45" cm="1" t="str">
        <f t="array" ref="I2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5" s="45" cm="1" t="str">
        <f t="array" ref="J2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5" s="26" t="s">
        <v>18</v>
      </c>
      <c r="L25" s="26" t="s">
        <v>18</v>
      </c>
      <c r="M25" s="26" t="s">
        <v>18</v>
      </c>
      <c r="N25" s="30"/>
      <c r="O25" s="27"/>
      <c r="P25" s="27"/>
      <c r="Q25" s="26" t="s">
        <v>9</v>
      </c>
      <c r="R25" s="27"/>
      <c r="S25" s="25" t="s">
        <v>101</v>
      </c>
      <c r="T25" s="29" t="str">
        <f>_xlfn.LET(_xlpm.x,_xlfn.XLOOKUP(tblTestfallTracking[[#This Row],[Datensatz-ID]],tblVertraege[Datensatz-ID],tblVertraege[Sparte],""),IF(_xlpm.x=0,"",_xlpm.x))</f>
        <v>Komposit</v>
      </c>
      <c r="U25" s="26"/>
      <c r="V25" s="26"/>
      <c r="W25" s="26"/>
      <c r="X25" s="26"/>
      <c r="Y25" s="26"/>
      <c r="Z25" s="26"/>
      <c r="AA25" s="26"/>
      <c r="AB25" s="26"/>
      <c r="AC25" s="26"/>
      <c r="AD25" s="29" t="str">
        <f>_xlfn.LET(_xlpm.a,_xlfn.XLOOKUP(tblTestfallTracking[[#This Row],[Testfall-ID]],tblMatrix[Testfall-ID],tblMatrix[Aufnehmende Agentur-ID],""),IF(_xlpm.a=0,"",_xlpm.a))</f>
        <v>A-01</v>
      </c>
      <c r="AE25" s="29" t="str">
        <f>_xlfn.LET(_xlpm.x,_xlfn.XLOOKUP(tblTestfallTracking[[#This Row],[Datensatz-ID]],tblVertraege[Datensatz-ID],tblVertraege[Abgeber-ID],""),IF(_xlpm.x=0,"",_xlpm.x))</f>
        <v>AB-01</v>
      </c>
      <c r="AF25" s="29" t="str">
        <f>_xlfn.LET(_xlpm.x,_xlfn.XLOOKUP(tblTestfallTracking[[#This Row],[Datensatz-ID]],tblVertraege[Datensatz-ID],tblVertraege[Abgebender Agenturtyp],""),IF(_xlpm.x=0,"",_xlpm.x))</f>
        <v>AO</v>
      </c>
      <c r="AG2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5" s="32">
        <f>_xlfn.LET(_xlpm.x,_xlfn.XLOOKUP(tblTestfallTracking[[#This Row],[Datensatz-ID]],tblVertraege[Datensatz-ID],tblVertraege[Abgebende Agenturnummer / OE],""),IF(_xlpm.x=0,"",_xlpm.x))</f>
        <v>600040114</v>
      </c>
      <c r="AI2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5" s="26"/>
      <c r="AK25" s="26" t="s">
        <v>18</v>
      </c>
      <c r="AL25" s="29" t="str">
        <f>IF(tblTestfallTracking[[#This Row],[Abgeber-ID]]="AB-00","Betreuung leer oder IS0042 dokumentieren","")</f>
        <v/>
      </c>
    </row>
    <row r="26" spans="2:38" ht="46.5" customHeight="1">
      <c r="B26" s="25" t="s">
        <v>258</v>
      </c>
      <c r="C26" s="24" t="s">
        <v>259</v>
      </c>
      <c r="D26" s="24" t="s">
        <v>11</v>
      </c>
      <c r="E26" s="29" t="str">
        <f>_xlfn.LET(_xlpm.x,_xlfn.XLOOKUP(tblTestfallTracking[[#This Row],[Datensatz-ID]],tblVertraege[Datensatz-ID],tblVertraege[Sparte],""),IF(_xlpm.x=0,"",_xlpm.x))</f>
        <v>KV</v>
      </c>
      <c r="F26" s="32" t="str">
        <f>_xlfn.LET(_xlpm.x,_xlfn.XLOOKUP(tblTestfallTracking[[#This Row],[Datensatz-ID]],tblVertraege[Datensatz-ID],tblVertraege[IMSI-VNR],""),IF(_xlpm.x=0,"",_xlpm.x))</f>
        <v/>
      </c>
      <c r="G2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6" s="45" cm="1" t="str">
        <f t="array" ref="H2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6" s="45" cm="1" t="str">
        <f t="array" ref="I2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6" s="45" cm="1" t="str">
        <f t="array" ref="J2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6" s="26" t="s">
        <v>18</v>
      </c>
      <c r="L26" s="26" t="s">
        <v>18</v>
      </c>
      <c r="M26" s="26" t="s">
        <v>18</v>
      </c>
      <c r="N26" s="30"/>
      <c r="O26" s="27"/>
      <c r="P26" s="27"/>
      <c r="Q26" s="26" t="s">
        <v>9</v>
      </c>
      <c r="R26" s="27"/>
      <c r="S26" s="25" t="s">
        <v>106</v>
      </c>
      <c r="T26" s="29" t="str">
        <f>_xlfn.LET(_xlpm.x,_xlfn.XLOOKUP(tblTestfallTracking[[#This Row],[Datensatz-ID]],tblVertraege[Datensatz-ID],tblVertraege[Sparte],""),IF(_xlpm.x=0,"",_xlpm.x))</f>
        <v>KV</v>
      </c>
      <c r="U26" s="26" t="s">
        <v>18</v>
      </c>
      <c r="V26" s="26" t="s">
        <v>18</v>
      </c>
      <c r="W26" s="26" t="s">
        <v>26</v>
      </c>
      <c r="X26" s="26" t="s">
        <v>18</v>
      </c>
      <c r="Y26" s="26" t="s">
        <v>26</v>
      </c>
      <c r="Z26" s="26" t="s">
        <v>26</v>
      </c>
      <c r="AA26" s="26" t="s">
        <v>18</v>
      </c>
      <c r="AB26" s="26" t="s">
        <v>18</v>
      </c>
      <c r="AC26" s="26" t="s">
        <v>18</v>
      </c>
      <c r="AD26" s="29" t="str">
        <f>_xlfn.LET(_xlpm.a,_xlfn.XLOOKUP(tblTestfallTracking[[#This Row],[Testfall-ID]],tblMatrix[Testfall-ID],tblMatrix[Aufnehmende Agentur-ID],""),IF(_xlpm.a=0,"",_xlpm.a))</f>
        <v>A-02</v>
      </c>
      <c r="AE26" s="29" t="str">
        <f>_xlfn.LET(_xlpm.x,_xlfn.XLOOKUP(tblTestfallTracking[[#This Row],[Datensatz-ID]],tblVertraege[Datensatz-ID],tblVertraege[Abgeber-ID],""),IF(_xlpm.x=0,"",_xlpm.x))</f>
        <v/>
      </c>
      <c r="AF26" s="29" t="str">
        <f>_xlfn.LET(_xlpm.x,_xlfn.XLOOKUP(tblTestfallTracking[[#This Row],[Datensatz-ID]],tblVertraege[Datensatz-ID],tblVertraege[Abgebender Agenturtyp],""),IF(_xlpm.x=0,"",_xlpm.x))</f>
        <v>fachlich zu bestätigen</v>
      </c>
      <c r="AG26" s="29" t="str">
        <f>_xlfn.LET(_xlpm.x,_xlfn.XLOOKUP(tblTestfallTracking[[#This Row],[Datensatz-ID]],tblVertraege[Datensatz-ID],tblVertraege[Konkreter abgebender Agenturname],""),IF(_xlpm.x=0,"",_xlpm.x))</f>
        <v/>
      </c>
      <c r="AH26" s="32" t="str">
        <f>_xlfn.LET(_xlpm.x,_xlfn.XLOOKUP(tblTestfallTracking[[#This Row],[Datensatz-ID]],tblVertraege[Datensatz-ID],tblVertraege[Abgebende Agenturnummer / OE],""),IF(_xlpm.x=0,"",_xlpm.x))</f>
        <v/>
      </c>
      <c r="AI2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nicht aktiv</v>
      </c>
      <c r="AJ26" s="26"/>
      <c r="AK26" s="26" t="s">
        <v>18</v>
      </c>
      <c r="AL26" s="29" t="str">
        <f>IF(tblTestfallTracking[[#This Row],[Abgeber-ID]]="AB-00","Betreuung leer oder IS0042 dokumentieren","")</f>
        <v/>
      </c>
    </row>
    <row r="27" spans="2:38" ht="46.5" customHeight="1">
      <c r="B27" s="25" t="s">
        <v>262</v>
      </c>
      <c r="C27" s="24" t="s">
        <v>263</v>
      </c>
      <c r="D27" s="24" t="s">
        <v>11</v>
      </c>
      <c r="E27" s="29" t="str">
        <f>_xlfn.LET(_xlpm.x,_xlfn.XLOOKUP(tblTestfallTracking[[#This Row],[Datensatz-ID]],tblVertraege[Datensatz-ID],tblVertraege[Sparte],""),IF(_xlpm.x=0,"",_xlpm.x))</f>
        <v>KV</v>
      </c>
      <c r="F27" s="32" t="str">
        <f>_xlfn.LET(_xlpm.x,_xlfn.XLOOKUP(tblTestfallTracking[[#This Row],[Datensatz-ID]],tblVertraege[Datensatz-ID],tblVertraege[IMSI-VNR],""),IF(_xlpm.x=0,"",_xlpm.x))</f>
        <v/>
      </c>
      <c r="G2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7" s="45" cm="1" t="str">
        <f t="array" ref="H27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7" s="45" cm="1" t="str">
        <f t="array" ref="I2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7" s="45" cm="1" t="str">
        <f t="array" ref="J2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7" s="26" t="s">
        <v>18</v>
      </c>
      <c r="L27" s="26" t="s">
        <v>18</v>
      </c>
      <c r="M27" s="26" t="s">
        <v>18</v>
      </c>
      <c r="N27" s="30"/>
      <c r="O27" s="27"/>
      <c r="P27" s="27"/>
      <c r="Q27" s="26" t="s">
        <v>9</v>
      </c>
      <c r="R27" s="27"/>
      <c r="S27" s="25" t="s">
        <v>103</v>
      </c>
      <c r="T27" s="29" t="str">
        <f>_xlfn.LET(_xlpm.x,_xlfn.XLOOKUP(tblTestfallTracking[[#This Row],[Datensatz-ID]],tblVertraege[Datensatz-ID],tblVertraege[Sparte],""),IF(_xlpm.x=0,"",_xlpm.x))</f>
        <v>KV</v>
      </c>
      <c r="U27" s="26" t="s">
        <v>26</v>
      </c>
      <c r="V27" s="26" t="s">
        <v>26</v>
      </c>
      <c r="W27" s="26" t="s">
        <v>18</v>
      </c>
      <c r="X27" s="26" t="s">
        <v>26</v>
      </c>
      <c r="Y27" s="26" t="s">
        <v>18</v>
      </c>
      <c r="Z27" s="26" t="s">
        <v>18</v>
      </c>
      <c r="AA27" s="26" t="s">
        <v>26</v>
      </c>
      <c r="AB27" s="26" t="s">
        <v>18</v>
      </c>
      <c r="AC27" s="26" t="s">
        <v>18</v>
      </c>
      <c r="AD27" s="29" t="str">
        <f>_xlfn.LET(_xlpm.a,_xlfn.XLOOKUP(tblTestfallTracking[[#This Row],[Testfall-ID]],tblMatrix[Testfall-ID],tblMatrix[Aufnehmende Agentur-ID],""),IF(_xlpm.a=0,"",_xlpm.a))</f>
        <v>A-02</v>
      </c>
      <c r="AE27" s="29" t="str">
        <f>_xlfn.LET(_xlpm.x,_xlfn.XLOOKUP(tblTestfallTracking[[#This Row],[Datensatz-ID]],tblVertraege[Datensatz-ID],tblVertraege[Abgeber-ID],""),IF(_xlpm.x=0,"",_xlpm.x))</f>
        <v>AB-00</v>
      </c>
      <c r="AF27" s="29" t="str">
        <f>_xlfn.LET(_xlpm.x,_xlfn.XLOOKUP(tblTestfallTracking[[#This Row],[Datensatz-ID]],tblVertraege[Datensatz-ID],tblVertraege[Abgebender Agenturtyp],""),IF(_xlpm.x=0,"",_xlpm.x))</f>
        <v>kein Bestandsinhaber ermittelbar</v>
      </c>
      <c r="AG27" s="29" t="str">
        <f>_xlfn.LET(_xlpm.x,_xlfn.XLOOKUP(tblTestfallTracking[[#This Row],[Datensatz-ID]],tblVertraege[Datensatz-ID],tblVertraege[Konkreter abgebender Agenturname],""),IF(_xlpm.x=0,"",_xlpm.x))</f>
        <v>nicht erforderlich</v>
      </c>
      <c r="AH27" s="32" t="str">
        <f>_xlfn.LET(_xlpm.x,_xlfn.XLOOKUP(tblTestfallTracking[[#This Row],[Datensatz-ID]],tblVertraege[Datensatz-ID],tblVertraege[Abgebende Agenturnummer / OE],""),IF(_xlpm.x=0,"",_xlpm.x))</f>
        <v>nicht erforderlich</v>
      </c>
      <c r="AI2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kein Bestandsinhaber ermittelbar</v>
      </c>
      <c r="AJ27" s="26"/>
      <c r="AK27" s="26" t="s">
        <v>18</v>
      </c>
      <c r="AL27" s="29" t="str">
        <f>IF(tblTestfallTracking[[#This Row],[Abgeber-ID]]="AB-00","Betreuung leer oder IS0042 dokumentieren","")</f>
        <v>Betreuung leer oder IS0042 dokumentieren</v>
      </c>
    </row>
    <row r="28" spans="2:38" ht="46.5" customHeight="1">
      <c r="B28" s="25" t="s">
        <v>265</v>
      </c>
      <c r="C28" s="24" t="s">
        <v>266</v>
      </c>
      <c r="D28" s="24" t="s">
        <v>19</v>
      </c>
      <c r="E28" s="29" t="str">
        <f>_xlfn.LET(_xlpm.x,_xlfn.XLOOKUP(tblTestfallTracking[[#This Row],[Datensatz-ID]],tblVertraege[Datensatz-ID],tblVertraege[Sparte],""),IF(_xlpm.x=0,"",_xlpm.x))</f>
        <v>KV</v>
      </c>
      <c r="F28" s="32" t="str">
        <f>_xlfn.LET(_xlpm.x,_xlfn.XLOOKUP(tblTestfallTracking[[#This Row],[Datensatz-ID]],tblVertraege[Datensatz-ID],tblVertraege[IMSI-VNR],""),IF(_xlpm.x=0,"",_xlpm.x))</f>
        <v/>
      </c>
      <c r="G2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8" s="45" cm="1" t="str">
        <f t="array" ref="H28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8" s="45" cm="1" t="str">
        <f t="array" ref="I2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8" s="45" cm="1" t="str">
        <f t="array" ref="J2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8" s="26" t="s">
        <v>18</v>
      </c>
      <c r="L28" s="26" t="s">
        <v>18</v>
      </c>
      <c r="M28" s="26" t="s">
        <v>18</v>
      </c>
      <c r="N28" s="30"/>
      <c r="O28" s="27"/>
      <c r="P28" s="27"/>
      <c r="Q28" s="26" t="s">
        <v>9</v>
      </c>
      <c r="R28" s="27"/>
      <c r="S28" s="25" t="s">
        <v>113</v>
      </c>
      <c r="T28" s="29" t="str">
        <f>_xlfn.LET(_xlpm.x,_xlfn.XLOOKUP(tblTestfallTracking[[#This Row],[Datensatz-ID]],tblVertraege[Datensatz-ID],tblVertraege[Sparte],""),IF(_xlpm.x=0,"",_xlpm.x))</f>
        <v>KV</v>
      </c>
      <c r="U28" s="26"/>
      <c r="V28" s="26"/>
      <c r="W28" s="26"/>
      <c r="X28" s="26"/>
      <c r="Y28" s="26"/>
      <c r="Z28" s="26"/>
      <c r="AA28" s="26"/>
      <c r="AB28" s="26"/>
      <c r="AC28" s="26"/>
      <c r="AD28" s="29" t="str">
        <f>_xlfn.LET(_xlpm.a,_xlfn.XLOOKUP(tblTestfallTracking[[#This Row],[Testfall-ID]],tblMatrix[Testfall-ID],tblMatrix[Aufnehmende Agentur-ID],""),IF(_xlpm.a=0,"",_xlpm.a))</f>
        <v>A-01</v>
      </c>
      <c r="AE28" s="29" t="str">
        <f>_xlfn.LET(_xlpm.x,_xlfn.XLOOKUP(tblTestfallTracking[[#This Row],[Datensatz-ID]],tblVertraege[Datensatz-ID],tblVertraege[Abgeber-ID],""),IF(_xlpm.x=0,"",_xlpm.x))</f>
        <v/>
      </c>
      <c r="AF28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28" s="29" t="str">
        <f>_xlfn.LET(_xlpm.x,_xlfn.XLOOKUP(tblTestfallTracking[[#This Row],[Datensatz-ID]],tblVertraege[Datensatz-ID],tblVertraege[Konkreter abgebender Agenturname],""),IF(_xlpm.x=0,"",_xlpm.x))</f>
        <v/>
      </c>
      <c r="AH28" s="32" t="str">
        <f>_xlfn.LET(_xlpm.x,_xlfn.XLOOKUP(tblTestfallTracking[[#This Row],[Datensatz-ID]],tblVertraege[Datensatz-ID],tblVertraege[Abgebende Agenturnummer / OE],""),IF(_xlpm.x=0,"",_xlpm.x))</f>
        <v/>
      </c>
      <c r="AI2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28" s="26"/>
      <c r="AK28" s="26" t="s">
        <v>18</v>
      </c>
      <c r="AL28" s="29" t="str">
        <f>IF(tblTestfallTracking[[#This Row],[Abgeber-ID]]="AB-00","Betreuung leer oder IS0042 dokumentieren","")</f>
        <v/>
      </c>
    </row>
    <row r="29" spans="2:38" ht="46.5" customHeight="1">
      <c r="B29" s="25" t="s">
        <v>203</v>
      </c>
      <c r="C29" s="24" t="s">
        <v>204</v>
      </c>
      <c r="D29" s="24" t="s">
        <v>11</v>
      </c>
      <c r="E29" s="29" t="str">
        <f>_xlfn.LET(_xlpm.x,_xlfn.XLOOKUP(tblTestfallTracking[[#This Row],[Datensatz-ID]],tblVertraege[Datensatz-ID],tblVertraege[Sparte],""),IF(_xlpm.x=0,"",_xlpm.x))</f>
        <v>Leben</v>
      </c>
      <c r="F29" s="32" t="str">
        <f>_xlfn.LET(_xlpm.x,_xlfn.XLOOKUP(tblTestfallTracking[[#This Row],[Datensatz-ID]],tblVertraege[Datensatz-ID],tblVertraege[IMSI-VNR],""),IF(_xlpm.x=0,"",_xlpm.x))</f>
        <v/>
      </c>
      <c r="G2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9" s="45" cm="1" t="str">
        <f t="array" ref="H2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9" s="45" cm="1" t="str">
        <f t="array" ref="I2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9" s="45" cm="1" t="str">
        <f t="array" ref="J2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9" s="26" t="s">
        <v>18</v>
      </c>
      <c r="L29" s="26" t="s">
        <v>18</v>
      </c>
      <c r="M29" s="26" t="s">
        <v>18</v>
      </c>
      <c r="N29" s="30"/>
      <c r="O29" s="27"/>
      <c r="P29" s="27"/>
      <c r="Q29" s="26" t="s">
        <v>9</v>
      </c>
      <c r="R29" s="27"/>
      <c r="S29" s="25" t="s">
        <v>115</v>
      </c>
      <c r="T29" s="29" t="str">
        <f>_xlfn.LET(_xlpm.x,_xlfn.XLOOKUP(tblTestfallTracking[[#This Row],[Datensatz-ID]],tblVertraege[Datensatz-ID],tblVertraege[Sparte],""),IF(_xlpm.x=0,"",_xlpm.x))</f>
        <v>Leben</v>
      </c>
      <c r="U29" s="26"/>
      <c r="V29" s="26"/>
      <c r="W29" s="26"/>
      <c r="X29" s="26"/>
      <c r="Y29" s="26"/>
      <c r="Z29" s="26"/>
      <c r="AA29" s="26"/>
      <c r="AB29" s="26"/>
      <c r="AC29" s="26"/>
      <c r="AD29" s="29" t="str">
        <f>_xlfn.LET(_xlpm.a,_xlfn.XLOOKUP(tblTestfallTracking[[#This Row],[Testfall-ID]],tblMatrix[Testfall-ID],tblMatrix[Aufnehmende Agentur-ID],""),IF(_xlpm.a=0,"",_xlpm.a))</f>
        <v>A-02</v>
      </c>
      <c r="AE29" s="29" t="str">
        <f>_xlfn.LET(_xlpm.x,_xlfn.XLOOKUP(tblTestfallTracking[[#This Row],[Datensatz-ID]],tblVertraege[Datensatz-ID],tblVertraege[Abgeber-ID],""),IF(_xlpm.x=0,"",_xlpm.x))</f>
        <v>AB-02</v>
      </c>
      <c r="AF29" s="29" t="str">
        <f>_xlfn.LET(_xlpm.x,_xlfn.XLOOKUP(tblTestfallTracking[[#This Row],[Datensatz-ID]],tblVertraege[Datensatz-ID],tblVertraege[Abgebender Agenturtyp],""),IF(_xlpm.x=0,"",_xlpm.x))</f>
        <v>Makler</v>
      </c>
      <c r="AG29" s="29" t="str">
        <f>_xlfn.LET(_xlpm.x,_xlfn.XLOOKUP(tblTestfallTracking[[#This Row],[Datensatz-ID]],tblVertraege[Datensatz-ID],tblVertraege[Konkreter abgebender Agenturname],""),IF(_xlpm.x=0,"",_xlpm.x))</f>
        <v/>
      </c>
      <c r="AH29" s="32" t="str">
        <f>_xlfn.LET(_xlpm.x,_xlfn.XLOOKUP(tblTestfallTracking[[#This Row],[Datensatz-ID]],tblVertraege[Datensatz-ID],tblVertraege[Abgebende Agenturnummer / OE],""),IF(_xlpm.x=0,"",_xlpm.x))</f>
        <v/>
      </c>
      <c r="AI2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9" s="26"/>
      <c r="AK29" s="26" t="s">
        <v>18</v>
      </c>
      <c r="AL29" s="29" t="str">
        <f>IF(tblTestfallTracking[[#This Row],[Abgeber-ID]]="AB-00","Betreuung leer oder IS0042 dokumentieren","")</f>
        <v/>
      </c>
    </row>
    <row r="30" spans="2:38" ht="46.5" customHeight="1">
      <c r="B30" s="25" t="s">
        <v>223</v>
      </c>
      <c r="C30" s="24" t="s">
        <v>224</v>
      </c>
      <c r="D30" s="24" t="s">
        <v>11</v>
      </c>
      <c r="E30" s="29" t="str">
        <f>_xlfn.LET(_xlpm.x,_xlfn.XLOOKUP(tblTestfallTracking[[#This Row],[Datensatz-ID]],tblVertraege[Datensatz-ID],tblVertraege[Sparte],""),IF(_xlpm.x=0,"",_xlpm.x))</f>
        <v>Leben</v>
      </c>
      <c r="F30" s="32" t="str">
        <f>_xlfn.LET(_xlpm.x,_xlfn.XLOOKUP(tblTestfallTracking[[#This Row],[Datensatz-ID]],tblVertraege[Datensatz-ID],tblVertraege[IMSI-VNR],""),IF(_xlpm.x=0,"",_xlpm.x))</f>
        <v/>
      </c>
      <c r="G3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30" s="45" cm="1" t="str">
        <f t="array" ref="H3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0" s="45" cm="1" t="str">
        <f t="array" ref="I3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0" s="45" cm="1" t="str">
        <f t="array" ref="J3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0" s="26" t="s">
        <v>18</v>
      </c>
      <c r="L30" s="26" t="s">
        <v>18</v>
      </c>
      <c r="M30" s="26" t="s">
        <v>18</v>
      </c>
      <c r="N30" s="30"/>
      <c r="O30" s="27"/>
      <c r="P30" s="27"/>
      <c r="Q30" s="26" t="s">
        <v>9</v>
      </c>
      <c r="R30" s="27"/>
      <c r="S30" s="25" t="s">
        <v>115</v>
      </c>
      <c r="T30" s="29" t="str">
        <f>_xlfn.LET(_xlpm.x,_xlfn.XLOOKUP(tblTestfallTracking[[#This Row],[Datensatz-ID]],tblVertraege[Datensatz-ID],tblVertraege[Sparte],""),IF(_xlpm.x=0,"",_xlpm.x))</f>
        <v>Leben</v>
      </c>
      <c r="U30" s="26"/>
      <c r="V30" s="26"/>
      <c r="W30" s="26"/>
      <c r="X30" s="26"/>
      <c r="Y30" s="26"/>
      <c r="Z30" s="26"/>
      <c r="AA30" s="26"/>
      <c r="AB30" s="26"/>
      <c r="AC30" s="26"/>
      <c r="AD30" s="29" t="str">
        <f>_xlfn.LET(_xlpm.a,_xlfn.XLOOKUP(tblTestfallTracking[[#This Row],[Testfall-ID]],tblMatrix[Testfall-ID],tblMatrix[Aufnehmende Agentur-ID],""),IF(_xlpm.a=0,"",_xlpm.a))</f>
        <v>A-01</v>
      </c>
      <c r="AE30" s="29" t="str">
        <f>_xlfn.LET(_xlpm.x,_xlfn.XLOOKUP(tblTestfallTracking[[#This Row],[Datensatz-ID]],tblVertraege[Datensatz-ID],tblVertraege[Abgeber-ID],""),IF(_xlpm.x=0,"",_xlpm.x))</f>
        <v>AB-02</v>
      </c>
      <c r="AF30" s="29" t="str">
        <f>_xlfn.LET(_xlpm.x,_xlfn.XLOOKUP(tblTestfallTracking[[#This Row],[Datensatz-ID]],tblVertraege[Datensatz-ID],tblVertraege[Abgebender Agenturtyp],""),IF(_xlpm.x=0,"",_xlpm.x))</f>
        <v>Makler</v>
      </c>
      <c r="AG30" s="29" t="str">
        <f>_xlfn.LET(_xlpm.x,_xlfn.XLOOKUP(tblTestfallTracking[[#This Row],[Datensatz-ID]],tblVertraege[Datensatz-ID],tblVertraege[Konkreter abgebender Agenturname],""),IF(_xlpm.x=0,"",_xlpm.x))</f>
        <v/>
      </c>
      <c r="AH30" s="32" t="str">
        <f>_xlfn.LET(_xlpm.x,_xlfn.XLOOKUP(tblTestfallTracking[[#This Row],[Datensatz-ID]],tblVertraege[Datensatz-ID],tblVertraege[Abgebende Agenturnummer / OE],""),IF(_xlpm.x=0,"",_xlpm.x))</f>
        <v/>
      </c>
      <c r="AI3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0" s="26"/>
      <c r="AK30" s="26" t="s">
        <v>18</v>
      </c>
      <c r="AL30" s="29" t="str">
        <f>IF(tblTestfallTracking[[#This Row],[Abgeber-ID]]="AB-00","Betreuung leer oder IS0042 dokumentieren","")</f>
        <v/>
      </c>
    </row>
    <row r="31" spans="2:38" ht="46.5" customHeight="1">
      <c r="B31" s="25" t="s">
        <v>245</v>
      </c>
      <c r="C31" s="24" t="s">
        <v>246</v>
      </c>
      <c r="D31" s="24" t="s">
        <v>11</v>
      </c>
      <c r="E31" s="29" t="str">
        <f>_xlfn.LET(_xlpm.x,_xlfn.XLOOKUP(tblTestfallTracking[[#This Row],[Datensatz-ID]],tblVertraege[Datensatz-ID],tblVertraege[Sparte],""),IF(_xlpm.x=0,"",_xlpm.x))</f>
        <v>Leben</v>
      </c>
      <c r="F31" s="32" t="str">
        <f>_xlfn.LET(_xlpm.x,_xlfn.XLOOKUP(tblTestfallTracking[[#This Row],[Datensatz-ID]],tblVertraege[Datensatz-ID],tblVertraege[IMSI-VNR],""),IF(_xlpm.x=0,"",_xlpm.x))</f>
        <v/>
      </c>
      <c r="G3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31" s="45" cm="1" t="str">
        <f t="array" ref="H3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1" s="45" cm="1" t="str">
        <f t="array" ref="I3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1" s="45" cm="1" t="str">
        <f t="array" ref="J3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1" s="26" t="s">
        <v>18</v>
      </c>
      <c r="L31" s="26" t="s">
        <v>18</v>
      </c>
      <c r="M31" s="26" t="s">
        <v>18</v>
      </c>
      <c r="N31" s="30"/>
      <c r="O31" s="27"/>
      <c r="P31" s="27"/>
      <c r="Q31" s="26" t="s">
        <v>9</v>
      </c>
      <c r="R31" s="27"/>
      <c r="S31" s="25" t="s">
        <v>115</v>
      </c>
      <c r="T31" s="29" t="str">
        <f>_xlfn.LET(_xlpm.x,_xlfn.XLOOKUP(tblTestfallTracking[[#This Row],[Datensatz-ID]],tblVertraege[Datensatz-ID],tblVertraege[Sparte],""),IF(_xlpm.x=0,"",_xlpm.x))</f>
        <v>Leben</v>
      </c>
      <c r="U31" s="26"/>
      <c r="V31" s="26"/>
      <c r="W31" s="26"/>
      <c r="X31" s="26"/>
      <c r="Y31" s="26"/>
      <c r="Z31" s="26"/>
      <c r="AA31" s="26"/>
      <c r="AB31" s="26"/>
      <c r="AC31" s="26"/>
      <c r="AD31" s="29" t="str">
        <f>_xlfn.LET(_xlpm.a,_xlfn.XLOOKUP(tblTestfallTracking[[#This Row],[Testfall-ID]],tblMatrix[Testfall-ID],tblMatrix[Aufnehmende Agentur-ID],""),IF(_xlpm.a=0,"",_xlpm.a))</f>
        <v>A-06</v>
      </c>
      <c r="AE31" s="29" t="str">
        <f>_xlfn.LET(_xlpm.x,_xlfn.XLOOKUP(tblTestfallTracking[[#This Row],[Datensatz-ID]],tblVertraege[Datensatz-ID],tblVertraege[Abgeber-ID],""),IF(_xlpm.x=0,"",_xlpm.x))</f>
        <v>AB-02</v>
      </c>
      <c r="AF31" s="29" t="str">
        <f>_xlfn.LET(_xlpm.x,_xlfn.XLOOKUP(tblTestfallTracking[[#This Row],[Datensatz-ID]],tblVertraege[Datensatz-ID],tblVertraege[Abgebender Agenturtyp],""),IF(_xlpm.x=0,"",_xlpm.x))</f>
        <v>Makler</v>
      </c>
      <c r="AG31" s="29" t="str">
        <f>_xlfn.LET(_xlpm.x,_xlfn.XLOOKUP(tblTestfallTracking[[#This Row],[Datensatz-ID]],tblVertraege[Datensatz-ID],tblVertraege[Konkreter abgebender Agenturname],""),IF(_xlpm.x=0,"",_xlpm.x))</f>
        <v/>
      </c>
      <c r="AH31" s="32" t="str">
        <f>_xlfn.LET(_xlpm.x,_xlfn.XLOOKUP(tblTestfallTracking[[#This Row],[Datensatz-ID]],tblVertraege[Datensatz-ID],tblVertraege[Abgebende Agenturnummer / OE],""),IF(_xlpm.x=0,"",_xlpm.x))</f>
        <v/>
      </c>
      <c r="AI3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1" s="26"/>
      <c r="AK31" s="26" t="s">
        <v>18</v>
      </c>
      <c r="AL31" s="29" t="str">
        <f>IF(tblTestfallTracking[[#This Row],[Abgeber-ID]]="AB-00","Betreuung leer oder IS0042 dokumentieren","")</f>
        <v/>
      </c>
    </row>
    <row r="32" spans="2:38" ht="14.4" customHeight="1"/>
    <row r="33" ht="14.4" customHeight="1"/>
    <row r="34" ht="14.4" customHeight="1"/>
    <row r="35" ht="14.4" customHeight="1"/>
    <row r="36" ht="14.4" customHeight="1"/>
    <row r="37" ht="14.4" customHeight="1"/>
    <row r="38" ht="14.4" customHeight="1"/>
    <row r="39" ht="14.4" customHeight="1"/>
    <row r="40" ht="14.4" customHeight="1"/>
    <row r="41" ht="14.4" customHeight="1"/>
    <row r="42" ht="14.4" customHeight="1"/>
    <row r="43" ht="14.4" customHeight="1"/>
    <row r="44" ht="14.4" customHeight="1"/>
    <row r="45" ht="14.4" customHeight="1"/>
    <row r="46" ht="14.4" customHeight="1"/>
    <row r="47" ht="14.4" customHeight="1"/>
    <row r="48" ht="14.4" customHeight="1"/>
    <row r="49" ht="14.4" customHeight="1"/>
    <row r="50" ht="14.4" customHeight="1"/>
    <row r="51" ht="14.4" customHeight="1"/>
    <row r="52" ht="14.4" customHeight="1"/>
    <row r="53" ht="14.4" customHeight="1"/>
    <row r="54" ht="14.4" customHeight="1"/>
    <row r="55" ht="14.4" customHeight="1"/>
    <row r="56" ht="14.4" customHeight="1"/>
    <row r="57" ht="14.4" customHeight="1"/>
    <row r="58" ht="14.4" customHeight="1"/>
    <row r="59" ht="14.4" customHeight="1"/>
    <row r="60" ht="14.4" customHeight="1"/>
    <row r="61" ht="14.4" customHeight="1"/>
    <row r="62" ht="14.4" customHeight="1"/>
    <row r="63" ht="14.4" customHeight="1"/>
    <row r="64" ht="14.4" customHeight="1"/>
    <row r="65" ht="14.4" customHeight="1"/>
    <row r="66" ht="14.4" customHeight="1"/>
    <row r="67" ht="14.4" customHeight="1"/>
    <row r="68" ht="14.4" customHeight="1"/>
    <row r="69" ht="14.4" customHeight="1"/>
    <row r="70" ht="14.4" customHeight="1"/>
    <row r="71" ht="14.4" customHeight="1"/>
    <row r="72" ht="14.4" customHeight="1"/>
    <row r="73" ht="14.4" customHeight="1"/>
    <row r="74" ht="14.4" customHeight="1"/>
    <row r="75" ht="14.4" customHeight="1"/>
    <row r="76" ht="14.4" customHeight="1"/>
    <row r="77" ht="14.4" customHeight="1"/>
    <row r="78" ht="14.4" customHeight="1"/>
    <row r="79" ht="14.4" customHeight="1"/>
    <row r="80" ht="14.4" customHeight="1"/>
    <row r="81" ht="14.4" customHeight="1"/>
    <row r="82" ht="14.4" customHeight="1"/>
    <row r="83" ht="14.4" customHeight="1"/>
    <row r="84" ht="14.4" customHeight="1"/>
    <row r="85" ht="14.4" customHeight="1"/>
    <row r="86" ht="14.4" customHeight="1"/>
    <row r="87" ht="14.4" customHeight="1"/>
    <row r="88" ht="14.4" customHeight="1"/>
    <row r="89" ht="14.4" customHeight="1"/>
    <row r="90" ht="14.4" customHeight="1"/>
    <row r="91" ht="14.4" customHeight="1"/>
    <row r="92" ht="14.4" customHeight="1"/>
    <row r="93" ht="14.4" customHeight="1"/>
    <row r="94" ht="14.4" customHeight="1"/>
    <row r="95" ht="14.4" customHeight="1"/>
    <row r="96" ht="14.4" customHeight="1"/>
    <row r="97" ht="14.4" customHeight="1"/>
    <row r="98" ht="14.4" customHeight="1"/>
    <row r="99" ht="14.4" customHeight="1"/>
    <row r="100" ht="14.4" customHeight="1"/>
    <row r="101" ht="14.4" customHeight="1"/>
    <row r="102" ht="14.4" customHeight="1"/>
    <row r="103" ht="14.4" customHeight="1"/>
  </sheetData>
  <conditionalFormatting sqref="H8:M31 Q8:Q31">
    <cfRule type="expression" dxfId="0" priority="1">
      <formula>LOWER(H8)="bereit"</formula>
    </cfRule>
    <cfRule type="expression" dxfId="1" priority="2">
      <formula>LOWER(H8)="in durchführung"</formula>
    </cfRule>
    <cfRule type="expression" dxfId="2" priority="3">
      <formula>LOWER(H8)="offen"</formula>
    </cfRule>
    <cfRule type="expression" dxfId="2" priority="4">
      <formula>LOWER(H8)="nein"</formula>
    </cfRule>
    <cfRule type="expression" dxfId="3" priority="13">
      <formula>OR(H8="ja",H8="erledigt",H8="bereit")</formula>
    </cfRule>
    <cfRule type="expression" dxfId="4" priority="14">
      <formula>OR(H8="nein",H8="blockiert")</formula>
    </cfRule>
    <cfRule type="expression" dxfId="5" priority="15">
      <formula>H8="nicht erforderlich"</formula>
    </cfRule>
  </conditionalFormatting>
  <conditionalFormatting sqref="H8:M31 U8:AL31">
    <cfRule type="expression" dxfId="0" priority="9">
      <formula>LOWER(H8)="bereit"</formula>
    </cfRule>
    <cfRule type="expression" dxfId="1" priority="10">
      <formula>LOWER(H8)="in durchführung"</formula>
    </cfRule>
    <cfRule type="expression" dxfId="2" priority="11">
      <formula>LOWER(H8)="offen"</formula>
    </cfRule>
    <cfRule type="expression" dxfId="2" priority="12">
      <formula>LOWER(H8)="nein"</formula>
    </cfRule>
    <cfRule type="expression" dxfId="3" priority="19">
      <formula>H8="ja"</formula>
    </cfRule>
    <cfRule type="expression" dxfId="4" priority="20">
      <formula>H8="nein"</formula>
    </cfRule>
    <cfRule type="expression" dxfId="5" priority="21">
      <formula>H8="nicht erforderlich"</formula>
    </cfRule>
  </conditionalFormatting>
  <conditionalFormatting sqref="Q8:Q31">
    <cfRule type="expression" dxfId="0" priority="5">
      <formula>LOWER(Q8)="bereit"</formula>
    </cfRule>
    <cfRule type="expression" dxfId="1" priority="6">
      <formula>LOWER(Q8)="in durchführung"</formula>
    </cfRule>
    <cfRule type="expression" dxfId="2" priority="7">
      <formula>LOWER(Q8)="offen"</formula>
    </cfRule>
    <cfRule type="expression" dxfId="2" priority="8">
      <formula>LOWER(Q8)="nein"</formula>
    </cfRule>
    <cfRule type="expression" dxfId="8" priority="16">
      <formula>$Q8="offen"</formula>
    </cfRule>
    <cfRule type="expression" dxfId="3" priority="17">
      <formula>$Q8="erledigt"</formula>
    </cfRule>
    <cfRule type="expression" dxfId="4" priority="18">
      <formula>$Q8="blockiert"</formula>
    </cfRule>
  </conditionalFormatting>
  <dataValidations count="5">
    <dataValidation type="list" allowBlank="1" showInputMessage="1" showErrorMessage="1" sqref="K8:M31">
      <formula1>'Listen &amp; Parameter'!$B$2:$B$5</formula1>
    </dataValidation>
    <dataValidation type="list" allowBlank="1" showInputMessage="1" showErrorMessage="1" sqref="P8:P31">
      <formula1>'Listen &amp; Parameter'!$E$2:$E$8</formula1>
    </dataValidation>
    <dataValidation type="list" allowBlank="1" showInputMessage="1" showErrorMessage="1" sqref="Q8:Q31">
      <formula1>'Listen &amp; Parameter'!$A$2:$A$6</formula1>
    </dataValidation>
    <dataValidation type="list" allowBlank="1" showInputMessage="1" showErrorMessage="1" sqref="AJ8:AJ31">
      <formula1>'Listen &amp; Parameter'!$H$2:$H$7</formula1>
    </dataValidation>
    <dataValidation type="list" allowBlank="1" showInputMessage="1" showErrorMessage="1" sqref="AK8:AK31">
      <formula1>'Listen &amp; Parameter'!$I$2:$I$4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BEUebersicht">
    <tabColor rgb="FF94A3B8"/>
    <pageSetUpPr fitToPage="1"/>
  </sheetPr>
  <dimension ref="A1:J3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26.7109375" customWidth="1"/>
    <col min="4" max="4" width="40.140625" customWidth="1"/>
    <col min="5" max="5" width="29" customWidth="1"/>
    <col min="6" max="6" width="29.85546875" customWidth="1"/>
    <col min="7" max="7" width="30.7109375" customWidth="1"/>
    <col min="8" max="9" width="40.7109375" customWidth="1"/>
    <col min="10" max="10" width="35.42578125" customWidth="1"/>
    <col min="11" max="61" width="9.570312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295</v>
      </c>
    </row>
    <row r="3" spans="2:10" s="1" customFormat="1" ht="21" customHeight="1">
      <c r="B3" s="4" t="s">
        <v>296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36" customHeight="1">
      <c r="B7" s="12" t="s">
        <v>298</v>
      </c>
      <c r="C7" s="12" t="s">
        <v>299</v>
      </c>
      <c r="D7" s="12" t="s">
        <v>300</v>
      </c>
      <c r="E7" s="12" t="s">
        <v>301</v>
      </c>
      <c r="F7" s="12" t="s">
        <v>302</v>
      </c>
      <c r="G7" s="12" t="s">
        <v>303</v>
      </c>
      <c r="H7" s="12" t="s">
        <v>304</v>
      </c>
      <c r="I7" s="12" t="s">
        <v>305</v>
      </c>
      <c r="J7" s="12" t="s">
        <v>306</v>
      </c>
    </row>
    <row r="8" spans="2:10" ht="22" customHeight="1">
      <c r="B8" s="46"/>
      <c r="C8" s="24"/>
      <c r="D8" s="24"/>
      <c r="E8" s="24"/>
      <c r="F8" s="24"/>
      <c r="G8" s="47">
        <f>SUM(G9:G24)</f>
        <v>21</v>
      </c>
      <c r="H8" s="24"/>
      <c r="I8" s="24"/>
      <c r="J8" s="24"/>
    </row>
    <row r="9" spans="2:10" ht="46.5" customHeight="1">
      <c r="B9" s="46" t="s">
        <v>307</v>
      </c>
      <c r="C9" s="24" t="s">
        <v>308</v>
      </c>
      <c r="D9" s="24" t="s">
        <v>309</v>
      </c>
      <c r="E9" s="24" t="s">
        <v>310</v>
      </c>
      <c r="F9" s="24" t="s">
        <v>311</v>
      </c>
      <c r="G9" s="48">
        <v>4</v>
      </c>
      <c r="H9" s="24" t="s">
        <v>312</v>
      </c>
      <c r="I9" s="24" t="s">
        <v>313</v>
      </c>
      <c r="J9" s="24"/>
    </row>
    <row r="10" spans="2:10" ht="46.5" customHeight="1">
      <c r="B10" s="46" t="s">
        <v>314</v>
      </c>
      <c r="C10" s="24" t="s">
        <v>315</v>
      </c>
      <c r="D10" s="24" t="s">
        <v>316</v>
      </c>
      <c r="E10" s="24" t="s">
        <v>317</v>
      </c>
      <c r="F10" s="24" t="s">
        <v>160</v>
      </c>
      <c r="G10" s="48">
        <v>1</v>
      </c>
      <c r="H10" s="24" t="s">
        <v>318</v>
      </c>
      <c r="I10" s="24" t="s">
        <v>319</v>
      </c>
      <c r="J10" s="24" t="s">
        <v>320</v>
      </c>
    </row>
    <row r="11" spans="2:10" ht="46.5" customHeight="1">
      <c r="B11" s="46" t="s">
        <v>321</v>
      </c>
      <c r="C11" s="24" t="s">
        <v>322</v>
      </c>
      <c r="D11" s="24" t="s">
        <v>323</v>
      </c>
      <c r="E11" s="24" t="s">
        <v>317</v>
      </c>
      <c r="F11" s="24" t="s">
        <v>167</v>
      </c>
      <c r="G11" s="48">
        <v>1</v>
      </c>
      <c r="H11" s="24" t="s">
        <v>324</v>
      </c>
      <c r="I11" s="24" t="s">
        <v>319</v>
      </c>
      <c r="J11" s="24"/>
    </row>
    <row r="12" spans="2:10" ht="46.5" customHeight="1">
      <c r="B12" s="46" t="s">
        <v>325</v>
      </c>
      <c r="C12" s="24" t="s">
        <v>326</v>
      </c>
      <c r="D12" s="24" t="s">
        <v>327</v>
      </c>
      <c r="E12" s="24" t="s">
        <v>317</v>
      </c>
      <c r="F12" s="24" t="s">
        <v>328</v>
      </c>
      <c r="G12" s="48">
        <v>1</v>
      </c>
      <c r="H12" s="24" t="s">
        <v>329</v>
      </c>
      <c r="I12" s="24" t="s">
        <v>319</v>
      </c>
      <c r="J12" s="24"/>
    </row>
    <row r="13" spans="2:10" ht="46.5" customHeight="1">
      <c r="B13" s="46" t="s">
        <v>330</v>
      </c>
      <c r="C13" s="24" t="s">
        <v>331</v>
      </c>
      <c r="D13" s="24" t="s">
        <v>332</v>
      </c>
      <c r="E13" s="24" t="s">
        <v>317</v>
      </c>
      <c r="F13" s="24" t="s">
        <v>333</v>
      </c>
      <c r="G13" s="48">
        <v>1</v>
      </c>
      <c r="H13" s="24" t="s">
        <v>329</v>
      </c>
      <c r="I13" s="24" t="s">
        <v>319</v>
      </c>
      <c r="J13" s="24"/>
    </row>
    <row r="14" spans="2:10" ht="46.5" customHeight="1">
      <c r="B14" s="46" t="s">
        <v>334</v>
      </c>
      <c r="C14" s="24" t="s">
        <v>335</v>
      </c>
      <c r="D14" s="24" t="s">
        <v>336</v>
      </c>
      <c r="E14" s="24" t="s">
        <v>317</v>
      </c>
      <c r="F14" s="24" t="s">
        <v>337</v>
      </c>
      <c r="G14" s="48">
        <v>1</v>
      </c>
      <c r="H14" s="24" t="s">
        <v>338</v>
      </c>
      <c r="I14" s="24" t="s">
        <v>319</v>
      </c>
      <c r="J14" s="24"/>
    </row>
    <row r="15" spans="2:10" ht="46.5" customHeight="1">
      <c r="B15" s="46" t="s">
        <v>339</v>
      </c>
      <c r="C15" s="24" t="s">
        <v>340</v>
      </c>
      <c r="D15" s="24" t="s">
        <v>341</v>
      </c>
      <c r="E15" s="24" t="s">
        <v>342</v>
      </c>
      <c r="F15" s="24" t="s">
        <v>343</v>
      </c>
      <c r="G15" s="48">
        <v>1</v>
      </c>
      <c r="H15" s="24" t="s">
        <v>344</v>
      </c>
      <c r="I15" s="24" t="s">
        <v>319</v>
      </c>
      <c r="J15" s="24"/>
    </row>
    <row r="16" spans="2:10" ht="46.5" customHeight="1">
      <c r="B16" s="46" t="s">
        <v>345</v>
      </c>
      <c r="C16" s="24" t="s">
        <v>346</v>
      </c>
      <c r="D16" s="24" t="s">
        <v>347</v>
      </c>
      <c r="E16" s="24" t="s">
        <v>342</v>
      </c>
      <c r="F16" s="24" t="s">
        <v>348</v>
      </c>
      <c r="G16" s="48">
        <v>1</v>
      </c>
      <c r="H16" s="24" t="s">
        <v>349</v>
      </c>
      <c r="I16" s="24" t="s">
        <v>319</v>
      </c>
      <c r="J16" s="24"/>
    </row>
    <row r="17" spans="2:10" ht="46.5" customHeight="1">
      <c r="B17" s="46" t="s">
        <v>350</v>
      </c>
      <c r="C17" s="24" t="s">
        <v>351</v>
      </c>
      <c r="D17" s="24" t="s">
        <v>352</v>
      </c>
      <c r="E17" s="24" t="s">
        <v>353</v>
      </c>
      <c r="F17" s="24" t="s">
        <v>146</v>
      </c>
      <c r="G17" s="48">
        <v>1</v>
      </c>
      <c r="H17" s="24" t="s">
        <v>354</v>
      </c>
      <c r="I17" s="24" t="s">
        <v>319</v>
      </c>
      <c r="J17" s="24"/>
    </row>
    <row r="18" spans="2:10" ht="46.5" customHeight="1">
      <c r="B18" s="46" t="s">
        <v>355</v>
      </c>
      <c r="C18" s="24" t="s">
        <v>356</v>
      </c>
      <c r="D18" s="24" t="s">
        <v>357</v>
      </c>
      <c r="E18" s="24" t="s">
        <v>342</v>
      </c>
      <c r="F18" s="24" t="s">
        <v>358</v>
      </c>
      <c r="G18" s="48">
        <v>1</v>
      </c>
      <c r="H18" s="24" t="s">
        <v>359</v>
      </c>
      <c r="I18" s="24" t="s">
        <v>319</v>
      </c>
      <c r="J18" s="24"/>
    </row>
    <row r="19" spans="2:10" ht="46.5" customHeight="1">
      <c r="B19" s="46" t="s">
        <v>360</v>
      </c>
      <c r="C19" s="24" t="s">
        <v>361</v>
      </c>
      <c r="D19" s="24" t="s">
        <v>362</v>
      </c>
      <c r="E19" s="24" t="s">
        <v>363</v>
      </c>
      <c r="F19" s="24" t="s">
        <v>364</v>
      </c>
      <c r="G19" s="48">
        <v>1</v>
      </c>
      <c r="H19" s="24" t="s">
        <v>365</v>
      </c>
      <c r="I19" s="24" t="s">
        <v>319</v>
      </c>
      <c r="J19" s="24"/>
    </row>
    <row r="20" spans="2:10" ht="46.5" customHeight="1">
      <c r="B20" s="46" t="s">
        <v>366</v>
      </c>
      <c r="C20" s="24" t="s">
        <v>367</v>
      </c>
      <c r="D20" s="24" t="s">
        <v>368</v>
      </c>
      <c r="E20" s="24" t="s">
        <v>369</v>
      </c>
      <c r="F20" s="24" t="s">
        <v>370</v>
      </c>
      <c r="G20" s="48">
        <v>2</v>
      </c>
      <c r="H20" s="24" t="s">
        <v>371</v>
      </c>
      <c r="I20" s="24" t="s">
        <v>319</v>
      </c>
      <c r="J20" s="24" t="s">
        <v>372</v>
      </c>
    </row>
    <row r="21" spans="2:10" ht="46.5" customHeight="1">
      <c r="B21" s="46" t="s">
        <v>373</v>
      </c>
      <c r="C21" s="24" t="s">
        <v>374</v>
      </c>
      <c r="D21" s="24" t="s">
        <v>375</v>
      </c>
      <c r="E21" s="24" t="s">
        <v>376</v>
      </c>
      <c r="F21" s="24" t="s">
        <v>140</v>
      </c>
      <c r="G21" s="48">
        <v>1</v>
      </c>
      <c r="H21" s="24" t="s">
        <v>377</v>
      </c>
      <c r="I21" s="24" t="s">
        <v>319</v>
      </c>
      <c r="J21" s="24"/>
    </row>
    <row r="22" spans="2:10" ht="46.5" customHeight="1">
      <c r="B22" s="46" t="s">
        <v>378</v>
      </c>
      <c r="C22" s="24" t="s">
        <v>379</v>
      </c>
      <c r="D22" s="24" t="s">
        <v>380</v>
      </c>
      <c r="E22" s="24" t="s">
        <v>381</v>
      </c>
      <c r="F22" s="24" t="s">
        <v>144</v>
      </c>
      <c r="G22" s="48">
        <v>1</v>
      </c>
      <c r="H22" s="24" t="s">
        <v>382</v>
      </c>
      <c r="I22" s="24" t="s">
        <v>319</v>
      </c>
      <c r="J22" s="24"/>
    </row>
    <row r="23" spans="2:10" ht="46.5" customHeight="1">
      <c r="B23" s="46" t="s">
        <v>383</v>
      </c>
      <c r="C23" s="24" t="s">
        <v>384</v>
      </c>
      <c r="D23" s="24" t="s">
        <v>385</v>
      </c>
      <c r="E23" s="24" t="s">
        <v>386</v>
      </c>
      <c r="F23" s="24" t="s">
        <v>387</v>
      </c>
      <c r="G23" s="48">
        <v>2</v>
      </c>
      <c r="H23" s="24" t="s">
        <v>388</v>
      </c>
      <c r="I23" s="24" t="s">
        <v>389</v>
      </c>
      <c r="J23" s="24" t="s">
        <v>390</v>
      </c>
    </row>
    <row r="24" spans="2:10" ht="46.5" customHeight="1">
      <c r="B24" s="46" t="s">
        <v>391</v>
      </c>
      <c r="C24" s="24" t="s">
        <v>392</v>
      </c>
      <c r="D24" s="24" t="s">
        <v>393</v>
      </c>
      <c r="E24" s="24"/>
      <c r="F24" s="24" t="s">
        <v>148</v>
      </c>
      <c r="G24" s="48">
        <v>1</v>
      </c>
      <c r="H24" s="24" t="s">
        <v>394</v>
      </c>
      <c r="I24" s="24" t="s">
        <v>395</v>
      </c>
      <c r="J24" s="24"/>
    </row>
    <row r="26" spans="2:10">
      <c r="B26" s="11" t="s">
        <v>449</v>
      </c>
    </row>
    <row r="27" spans="2:10"/>
    <row r="28" spans="2:10" ht="30" customHeight="1">
      <c r="B28" s="12" t="s">
        <v>396</v>
      </c>
      <c r="C28" s="12" t="s">
        <v>397</v>
      </c>
      <c r="D28" s="12" t="s">
        <v>398</v>
      </c>
      <c r="E28" s="12" t="s">
        <v>399</v>
      </c>
      <c r="F28" s="12" t="s">
        <v>400</v>
      </c>
      <c r="G28" s="12" t="s">
        <v>306</v>
      </c>
      <c r="H28" s="12" t="s">
        <v>401</v>
      </c>
      <c r="I28" s="12" t="s">
        <v>402</v>
      </c>
    </row>
    <row r="29" spans="2:10" ht="35.25" customHeight="1">
      <c r="B29" s="25" t="s">
        <v>403</v>
      </c>
      <c r="C29" s="24" t="s">
        <v>404</v>
      </c>
      <c r="D29" s="24" t="s">
        <v>405</v>
      </c>
      <c r="E29" s="24" t="s">
        <v>406</v>
      </c>
      <c r="F29" s="24" t="s">
        <v>317</v>
      </c>
      <c r="G29" s="24" t="s">
        <v>407</v>
      </c>
      <c r="H29" s="24" t="s">
        <v>258</v>
      </c>
      <c r="I29" s="24" t="s">
        <v>408</v>
      </c>
    </row>
    <row r="30" spans="2:10" ht="35.25" customHeight="1">
      <c r="B30" s="25" t="s">
        <v>409</v>
      </c>
      <c r="C30" s="24" t="s">
        <v>410</v>
      </c>
      <c r="D30" s="24" t="s">
        <v>411</v>
      </c>
      <c r="E30" s="24" t="s">
        <v>412</v>
      </c>
      <c r="F30" s="24" t="s">
        <v>342</v>
      </c>
      <c r="G30" s="24" t="s">
        <v>413</v>
      </c>
      <c r="H30" s="24" t="s">
        <v>258</v>
      </c>
      <c r="I30" s="24" t="s">
        <v>414</v>
      </c>
    </row>
    <row r="31" spans="2:10" ht="57.75" customHeight="1">
      <c r="B31" s="25" t="s">
        <v>415</v>
      </c>
      <c r="C31" s="24" t="s">
        <v>416</v>
      </c>
      <c r="D31" s="24" t="s">
        <v>417</v>
      </c>
      <c r="E31" s="24" t="s">
        <v>418</v>
      </c>
      <c r="F31" s="24" t="s">
        <v>419</v>
      </c>
      <c r="G31" s="24" t="s">
        <v>420</v>
      </c>
      <c r="H31" s="24" t="s">
        <v>262</v>
      </c>
      <c r="I31" s="24" t="s">
        <v>421</v>
      </c>
    </row>
    <row r="32" spans="2:10" ht="57.75" customHeight="1">
      <c r="B32" s="25" t="s">
        <v>422</v>
      </c>
      <c r="C32" s="24" t="s">
        <v>423</v>
      </c>
      <c r="D32" s="24" t="s">
        <v>424</v>
      </c>
      <c r="E32" s="24" t="s">
        <v>425</v>
      </c>
      <c r="F32" s="24" t="s">
        <v>426</v>
      </c>
      <c r="G32" s="24" t="s">
        <v>427</v>
      </c>
      <c r="H32" s="24" t="s">
        <v>258</v>
      </c>
      <c r="I32" s="24" t="s">
        <v>428</v>
      </c>
    </row>
    <row r="33" spans="2:9" ht="46.5" customHeight="1">
      <c r="B33" s="25" t="s">
        <v>429</v>
      </c>
      <c r="C33" s="24" t="s">
        <v>430</v>
      </c>
      <c r="D33" s="24" t="s">
        <v>431</v>
      </c>
      <c r="E33" s="24" t="s">
        <v>432</v>
      </c>
      <c r="F33" s="24" t="s">
        <v>433</v>
      </c>
      <c r="G33" s="24" t="s">
        <v>434</v>
      </c>
      <c r="H33" s="24" t="s">
        <v>262</v>
      </c>
      <c r="I33" s="24" t="s">
        <v>435</v>
      </c>
    </row>
    <row r="34" spans="2:9" ht="35.25" customHeight="1">
      <c r="B34" s="25" t="s">
        <v>436</v>
      </c>
      <c r="C34" s="24" t="s">
        <v>437</v>
      </c>
      <c r="D34" s="24" t="s">
        <v>438</v>
      </c>
      <c r="E34" s="24" t="s">
        <v>439</v>
      </c>
      <c r="F34" s="24" t="s">
        <v>440</v>
      </c>
      <c r="G34" s="24" t="s">
        <v>441</v>
      </c>
      <c r="H34" s="24" t="s">
        <v>262</v>
      </c>
      <c r="I34" s="24" t="s">
        <v>442</v>
      </c>
    </row>
    <row r="35" spans="2:9" ht="24" customHeight="1">
      <c r="B35" s="25" t="s">
        <v>443</v>
      </c>
      <c r="C35" s="24" t="s">
        <v>444</v>
      </c>
      <c r="D35" s="24" t="s">
        <v>445</v>
      </c>
      <c r="E35" s="24" t="s">
        <v>439</v>
      </c>
      <c r="F35" s="24" t="s">
        <v>446</v>
      </c>
      <c r="G35" s="24" t="s">
        <v>447</v>
      </c>
      <c r="H35" s="24" t="s">
        <v>258</v>
      </c>
      <c r="I35" s="24" t="s">
        <v>448</v>
      </c>
    </row>
  </sheetData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Matrix">
    <tabColor rgb="FF94A3B8"/>
    <pageSetUpPr fitToPage="1"/>
  </sheetPr>
  <dimension ref="A1:U2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3" customWidth="1"/>
    <col min="2" max="2" width="14.85546875" customWidth="1"/>
    <col min="3" max="3" width="26.7109375" customWidth="1"/>
    <col min="4" max="4" width="28.7109375" customWidth="1"/>
    <col min="5" max="5" width="30.7109375" customWidth="1"/>
    <col min="6" max="6" width="12.5703125" customWidth="1"/>
    <col min="7" max="7" width="11.7109375" customWidth="1"/>
    <col min="8" max="8" width="9.7109375" customWidth="1"/>
    <col min="9" max="9" width="13.7109375" customWidth="1"/>
    <col min="10" max="10" width="14.85546875" customWidth="1"/>
    <col min="11" max="11" width="10.7109375" customWidth="1"/>
    <col min="12" max="12" width="24.7109375" customWidth="1"/>
    <col min="13" max="13" width="36.85546875" customWidth="1"/>
    <col min="14" max="14" width="30.7109375" customWidth="1"/>
    <col min="15" max="15" width="26.7109375" customWidth="1"/>
    <col min="16" max="16" width="36.85546875" customWidth="1"/>
    <col min="17" max="17" width="23.42578125" customWidth="1"/>
    <col min="18" max="18" width="13.7109375" customWidth="1"/>
    <col min="19" max="19" width="21.7109375" customWidth="1"/>
    <col min="20" max="20" width="19.5703125" customWidth="1"/>
    <col min="21" max="21" width="36.85546875" customWidth="1"/>
  </cols>
  <sheetData>
    <row r="1" spans="2:21" s="1" customFormat="1" ht="18" customHeight="1">
      <c r="B1" s="2" t="s">
        <v>294</v>
      </c>
    </row>
    <row r="2" spans="2:21" s="1" customFormat="1" ht="28" customHeight="1">
      <c r="B2" s="3" t="s">
        <v>450</v>
      </c>
    </row>
    <row r="3" spans="2:21" s="1" customFormat="1" ht="21" customHeight="1">
      <c r="B3" s="4" t="s">
        <v>451</v>
      </c>
    </row>
    <row r="4" spans="2:21" s="1" customFormat="1" ht="10" customHeight="1"/>
    <row r="5" spans="2:21" s="5" customFormat="1" ht="3" customHeight="1"/>
    <row r="6" spans="2:21" ht="24" customHeight="1">
      <c r="B6" s="28" t="s">
        <v>297</v>
      </c>
    </row>
    <row r="7" spans="2:21" ht="36" customHeight="1">
      <c r="B7" s="12" t="s">
        <v>175</v>
      </c>
      <c r="C7" s="12" t="s">
        <v>452</v>
      </c>
      <c r="D7" s="12" t="s">
        <v>176</v>
      </c>
      <c r="E7" s="12" t="s">
        <v>453</v>
      </c>
      <c r="F7" s="12" t="s">
        <v>2</v>
      </c>
      <c r="G7" s="12" t="s">
        <v>3</v>
      </c>
      <c r="H7" s="12" t="s">
        <v>454</v>
      </c>
      <c r="I7" s="12" t="s">
        <v>72</v>
      </c>
      <c r="J7" s="12" t="s">
        <v>51</v>
      </c>
      <c r="K7" s="12" t="s">
        <v>177</v>
      </c>
      <c r="L7" s="12" t="s">
        <v>178</v>
      </c>
      <c r="M7" s="12" t="s">
        <v>455</v>
      </c>
      <c r="N7" s="12" t="s">
        <v>456</v>
      </c>
      <c r="O7" s="12" t="s">
        <v>457</v>
      </c>
      <c r="P7" s="12" t="s">
        <v>306</v>
      </c>
      <c r="Q7" s="12" t="s">
        <v>458</v>
      </c>
      <c r="R7" s="12" t="s">
        <v>81</v>
      </c>
      <c r="S7" s="12" t="s">
        <v>6</v>
      </c>
      <c r="T7" s="12" t="s">
        <v>459</v>
      </c>
      <c r="U7" s="12" t="s">
        <v>460</v>
      </c>
    </row>
    <row r="8" spans="2:21" ht="69" customHeight="1">
      <c r="B8" s="25" t="s">
        <v>191</v>
      </c>
      <c r="C8" s="24"/>
      <c r="D8" s="24" t="s">
        <v>192</v>
      </c>
      <c r="E8" s="24" t="s">
        <v>309</v>
      </c>
      <c r="F8" s="24" t="s">
        <v>11</v>
      </c>
      <c r="G8" s="24" t="s">
        <v>12</v>
      </c>
      <c r="H8" s="24" t="s">
        <v>461</v>
      </c>
      <c r="I8" s="25" t="s">
        <v>86</v>
      </c>
      <c r="J8" s="25" t="s">
        <v>62</v>
      </c>
      <c r="K8" s="25" t="s">
        <v>193</v>
      </c>
      <c r="L8" s="24" t="s">
        <v>462</v>
      </c>
      <c r="M8" s="24" t="s">
        <v>463</v>
      </c>
      <c r="N8" s="24" t="s">
        <v>464</v>
      </c>
      <c r="O8" s="24" t="s">
        <v>465</v>
      </c>
      <c r="P8" s="24" t="s">
        <v>466</v>
      </c>
      <c r="Q8" s="24"/>
      <c r="R8" s="25" t="s">
        <v>90</v>
      </c>
      <c r="S8" s="24" t="s">
        <v>15</v>
      </c>
      <c r="T8" s="24" t="s">
        <v>16</v>
      </c>
      <c r="U8" s="24" t="s">
        <v>467</v>
      </c>
    </row>
    <row r="9" spans="2:21" ht="69" customHeight="1">
      <c r="B9" s="25" t="s">
        <v>195</v>
      </c>
      <c r="C9" s="24"/>
      <c r="D9" s="24" t="s">
        <v>196</v>
      </c>
      <c r="E9" s="24" t="s">
        <v>309</v>
      </c>
      <c r="F9" s="24" t="s">
        <v>11</v>
      </c>
      <c r="G9" s="24" t="s">
        <v>12</v>
      </c>
      <c r="H9" s="24" t="s">
        <v>461</v>
      </c>
      <c r="I9" s="25" t="s">
        <v>86</v>
      </c>
      <c r="J9" s="25" t="s">
        <v>67</v>
      </c>
      <c r="K9" s="25" t="s">
        <v>197</v>
      </c>
      <c r="L9" s="24" t="s">
        <v>462</v>
      </c>
      <c r="M9" s="24" t="s">
        <v>468</v>
      </c>
      <c r="N9" s="24" t="s">
        <v>464</v>
      </c>
      <c r="O9" s="24" t="s">
        <v>465</v>
      </c>
      <c r="P9" s="24" t="s">
        <v>469</v>
      </c>
      <c r="Q9" s="24"/>
      <c r="R9" s="25" t="s">
        <v>90</v>
      </c>
      <c r="S9" s="24" t="s">
        <v>15</v>
      </c>
      <c r="T9" s="24" t="s">
        <v>16</v>
      </c>
      <c r="U9" s="24" t="s">
        <v>467</v>
      </c>
    </row>
    <row r="10" spans="2:21" ht="69" customHeight="1">
      <c r="B10" s="25" t="s">
        <v>199</v>
      </c>
      <c r="C10" s="24"/>
      <c r="D10" s="24" t="s">
        <v>200</v>
      </c>
      <c r="E10" s="24" t="s">
        <v>309</v>
      </c>
      <c r="F10" s="24" t="s">
        <v>11</v>
      </c>
      <c r="G10" s="24" t="s">
        <v>20</v>
      </c>
      <c r="H10" s="24" t="s">
        <v>461</v>
      </c>
      <c r="I10" s="25" t="s">
        <v>100</v>
      </c>
      <c r="J10" s="25" t="s">
        <v>66</v>
      </c>
      <c r="K10" s="25" t="s">
        <v>201</v>
      </c>
      <c r="L10" s="24" t="s">
        <v>470</v>
      </c>
      <c r="M10" s="24" t="s">
        <v>471</v>
      </c>
      <c r="N10" s="24" t="s">
        <v>472</v>
      </c>
      <c r="O10" s="24" t="s">
        <v>465</v>
      </c>
      <c r="P10" s="24" t="s">
        <v>473</v>
      </c>
      <c r="Q10" s="24"/>
      <c r="R10" s="25" t="s">
        <v>90</v>
      </c>
      <c r="S10" s="24" t="s">
        <v>15</v>
      </c>
      <c r="T10" s="24" t="s">
        <v>16</v>
      </c>
      <c r="U10" s="24" t="s">
        <v>474</v>
      </c>
    </row>
    <row r="11" spans="2:21" ht="69" customHeight="1">
      <c r="B11" s="25" t="s">
        <v>203</v>
      </c>
      <c r="C11" s="24" t="s">
        <v>475</v>
      </c>
      <c r="D11" s="24" t="s">
        <v>204</v>
      </c>
      <c r="E11" s="24" t="s">
        <v>309</v>
      </c>
      <c r="F11" s="24" t="s">
        <v>11</v>
      </c>
      <c r="G11" s="24" t="s">
        <v>476</v>
      </c>
      <c r="H11" s="24" t="s">
        <v>461</v>
      </c>
      <c r="I11" s="25" t="s">
        <v>95</v>
      </c>
      <c r="J11" s="25" t="s">
        <v>65</v>
      </c>
      <c r="K11" s="25" t="s">
        <v>205</v>
      </c>
      <c r="L11" s="24" t="s">
        <v>470</v>
      </c>
      <c r="M11" s="24" t="s">
        <v>477</v>
      </c>
      <c r="N11" s="24" t="s">
        <v>478</v>
      </c>
      <c r="O11" s="24" t="s">
        <v>465</v>
      </c>
      <c r="P11" s="24" t="s">
        <v>479</v>
      </c>
      <c r="Q11" s="24"/>
      <c r="R11" s="25" t="s">
        <v>98</v>
      </c>
      <c r="S11" s="24" t="s">
        <v>23</v>
      </c>
      <c r="T11" s="24" t="s">
        <v>16</v>
      </c>
      <c r="U11" s="24" t="s">
        <v>480</v>
      </c>
    </row>
    <row r="12" spans="2:21" ht="69" customHeight="1">
      <c r="B12" s="25" t="s">
        <v>207</v>
      </c>
      <c r="C12" s="24" t="s">
        <v>481</v>
      </c>
      <c r="D12" s="24" t="s">
        <v>208</v>
      </c>
      <c r="E12" s="24" t="s">
        <v>482</v>
      </c>
      <c r="F12" s="24" t="s">
        <v>11</v>
      </c>
      <c r="G12" s="24" t="s">
        <v>12</v>
      </c>
      <c r="H12" s="24" t="s">
        <v>483</v>
      </c>
      <c r="I12" s="25" t="s">
        <v>86</v>
      </c>
      <c r="J12" s="25" t="s">
        <v>68</v>
      </c>
      <c r="K12" s="25" t="s">
        <v>209</v>
      </c>
      <c r="L12" s="24" t="s">
        <v>462</v>
      </c>
      <c r="M12" s="24" t="s">
        <v>484</v>
      </c>
      <c r="N12" s="24" t="s">
        <v>485</v>
      </c>
      <c r="O12" s="24" t="s">
        <v>486</v>
      </c>
      <c r="P12" s="24" t="s">
        <v>487</v>
      </c>
      <c r="Q12" s="24"/>
      <c r="R12" s="25" t="s">
        <v>90</v>
      </c>
      <c r="S12" s="24" t="s">
        <v>15</v>
      </c>
      <c r="T12" s="24" t="s">
        <v>16</v>
      </c>
      <c r="U12" s="24" t="s">
        <v>467</v>
      </c>
    </row>
    <row r="13" spans="2:21" ht="69" customHeight="1">
      <c r="B13" s="25" t="s">
        <v>211</v>
      </c>
      <c r="C13" s="24"/>
      <c r="D13" s="24" t="s">
        <v>212</v>
      </c>
      <c r="E13" s="24" t="s">
        <v>323</v>
      </c>
      <c r="F13" s="24" t="s">
        <v>11</v>
      </c>
      <c r="G13" s="24" t="s">
        <v>12</v>
      </c>
      <c r="H13" s="24" t="s">
        <v>483</v>
      </c>
      <c r="I13" s="25" t="s">
        <v>86</v>
      </c>
      <c r="J13" s="25" t="s">
        <v>46</v>
      </c>
      <c r="K13" s="25" t="s">
        <v>213</v>
      </c>
      <c r="L13" s="24" t="s">
        <v>488</v>
      </c>
      <c r="M13" s="24" t="s">
        <v>489</v>
      </c>
      <c r="N13" s="24" t="s">
        <v>490</v>
      </c>
      <c r="O13" s="24" t="s">
        <v>486</v>
      </c>
      <c r="P13" s="24" t="s">
        <v>491</v>
      </c>
      <c r="Q13" s="24"/>
      <c r="R13" s="25" t="s">
        <v>90</v>
      </c>
      <c r="S13" s="24" t="s">
        <v>15</v>
      </c>
      <c r="T13" s="24" t="s">
        <v>16</v>
      </c>
      <c r="U13" s="24" t="s">
        <v>467</v>
      </c>
    </row>
    <row r="14" spans="2:21" ht="69" customHeight="1">
      <c r="B14" s="25" t="s">
        <v>215</v>
      </c>
      <c r="C14" s="24"/>
      <c r="D14" s="24" t="s">
        <v>216</v>
      </c>
      <c r="E14" s="24" t="s">
        <v>327</v>
      </c>
      <c r="F14" s="24" t="s">
        <v>11</v>
      </c>
      <c r="G14" s="24" t="s">
        <v>12</v>
      </c>
      <c r="H14" s="24" t="s">
        <v>461</v>
      </c>
      <c r="I14" s="25" t="s">
        <v>86</v>
      </c>
      <c r="J14" s="25" t="s">
        <v>67</v>
      </c>
      <c r="K14" s="25" t="s">
        <v>217</v>
      </c>
      <c r="L14" s="24" t="s">
        <v>462</v>
      </c>
      <c r="M14" s="24" t="s">
        <v>492</v>
      </c>
      <c r="N14" s="24" t="s">
        <v>493</v>
      </c>
      <c r="O14" s="24" t="s">
        <v>486</v>
      </c>
      <c r="P14" s="24" t="s">
        <v>494</v>
      </c>
      <c r="Q14" s="24"/>
      <c r="R14" s="25" t="s">
        <v>90</v>
      </c>
      <c r="S14" s="24" t="s">
        <v>15</v>
      </c>
      <c r="T14" s="24" t="s">
        <v>16</v>
      </c>
      <c r="U14" s="24" t="s">
        <v>467</v>
      </c>
    </row>
    <row r="15" spans="2:21" ht="69" customHeight="1">
      <c r="B15" s="25" t="s">
        <v>219</v>
      </c>
      <c r="C15" s="24"/>
      <c r="D15" s="24" t="s">
        <v>220</v>
      </c>
      <c r="E15" s="24" t="s">
        <v>332</v>
      </c>
      <c r="F15" s="24" t="s">
        <v>11</v>
      </c>
      <c r="G15" s="24" t="s">
        <v>12</v>
      </c>
      <c r="H15" s="24" t="s">
        <v>461</v>
      </c>
      <c r="I15" s="25" t="s">
        <v>86</v>
      </c>
      <c r="J15" s="25" t="s">
        <v>67</v>
      </c>
      <c r="K15" s="25" t="s">
        <v>221</v>
      </c>
      <c r="L15" s="24" t="s">
        <v>462</v>
      </c>
      <c r="M15" s="24" t="s">
        <v>495</v>
      </c>
      <c r="N15" s="24" t="s">
        <v>496</v>
      </c>
      <c r="O15" s="24" t="s">
        <v>486</v>
      </c>
      <c r="P15" s="24" t="s">
        <v>497</v>
      </c>
      <c r="Q15" s="24"/>
      <c r="R15" s="25" t="s">
        <v>90</v>
      </c>
      <c r="S15" s="24" t="s">
        <v>15</v>
      </c>
      <c r="T15" s="24" t="s">
        <v>16</v>
      </c>
      <c r="U15" s="24" t="s">
        <v>467</v>
      </c>
    </row>
    <row r="16" spans="2:21" ht="69" customHeight="1">
      <c r="B16" s="25" t="s">
        <v>223</v>
      </c>
      <c r="C16" s="24" t="s">
        <v>475</v>
      </c>
      <c r="D16" s="24" t="s">
        <v>224</v>
      </c>
      <c r="E16" s="24" t="s">
        <v>336</v>
      </c>
      <c r="F16" s="24" t="s">
        <v>11</v>
      </c>
      <c r="G16" s="24" t="s">
        <v>476</v>
      </c>
      <c r="H16" s="24" t="s">
        <v>461</v>
      </c>
      <c r="I16" s="25" t="s">
        <v>95</v>
      </c>
      <c r="J16" s="25" t="s">
        <v>62</v>
      </c>
      <c r="K16" s="25" t="s">
        <v>225</v>
      </c>
      <c r="L16" s="24" t="s">
        <v>462</v>
      </c>
      <c r="M16" s="24" t="s">
        <v>498</v>
      </c>
      <c r="N16" s="24" t="s">
        <v>499</v>
      </c>
      <c r="O16" s="24" t="s">
        <v>500</v>
      </c>
      <c r="P16" s="24" t="s">
        <v>501</v>
      </c>
      <c r="Q16" s="24"/>
      <c r="R16" s="25" t="s">
        <v>98</v>
      </c>
      <c r="S16" s="24" t="s">
        <v>23</v>
      </c>
      <c r="T16" s="24" t="s">
        <v>16</v>
      </c>
      <c r="U16" s="24" t="s">
        <v>480</v>
      </c>
    </row>
    <row r="17" spans="2:21" ht="69" customHeight="1">
      <c r="B17" s="25" t="s">
        <v>227</v>
      </c>
      <c r="C17" s="24"/>
      <c r="D17" s="24" t="s">
        <v>228</v>
      </c>
      <c r="E17" s="24" t="s">
        <v>341</v>
      </c>
      <c r="F17" s="24" t="s">
        <v>11</v>
      </c>
      <c r="G17" s="24" t="s">
        <v>12</v>
      </c>
      <c r="H17" s="24" t="s">
        <v>502</v>
      </c>
      <c r="I17" s="25" t="s">
        <v>503</v>
      </c>
      <c r="J17" s="25" t="s">
        <v>62</v>
      </c>
      <c r="K17" s="25" t="s">
        <v>229</v>
      </c>
      <c r="L17" s="24" t="s">
        <v>462</v>
      </c>
      <c r="M17" s="24" t="s">
        <v>504</v>
      </c>
      <c r="N17" s="24" t="s">
        <v>505</v>
      </c>
      <c r="O17" s="24" t="s">
        <v>486</v>
      </c>
      <c r="P17" s="24" t="s">
        <v>506</v>
      </c>
      <c r="Q17" s="24"/>
      <c r="R17" s="25" t="s">
        <v>90</v>
      </c>
      <c r="S17" s="24" t="s">
        <v>15</v>
      </c>
      <c r="T17" s="24" t="s">
        <v>16</v>
      </c>
      <c r="U17" s="24" t="s">
        <v>467</v>
      </c>
    </row>
    <row r="18" spans="2:21" ht="69" customHeight="1">
      <c r="B18" s="25" t="s">
        <v>231</v>
      </c>
      <c r="C18" s="24"/>
      <c r="D18" s="24" t="s">
        <v>232</v>
      </c>
      <c r="E18" s="24" t="s">
        <v>347</v>
      </c>
      <c r="F18" s="24" t="s">
        <v>11</v>
      </c>
      <c r="G18" s="24" t="s">
        <v>12</v>
      </c>
      <c r="H18" s="24" t="s">
        <v>461</v>
      </c>
      <c r="I18" s="25" t="s">
        <v>86</v>
      </c>
      <c r="J18" s="25" t="s">
        <v>62</v>
      </c>
      <c r="K18" s="25" t="s">
        <v>233</v>
      </c>
      <c r="L18" s="24" t="s">
        <v>462</v>
      </c>
      <c r="M18" s="24" t="s">
        <v>507</v>
      </c>
      <c r="N18" s="24" t="s">
        <v>508</v>
      </c>
      <c r="O18" s="24" t="s">
        <v>486</v>
      </c>
      <c r="P18" s="24" t="s">
        <v>509</v>
      </c>
      <c r="Q18" s="24"/>
      <c r="R18" s="25" t="s">
        <v>90</v>
      </c>
      <c r="S18" s="24" t="s">
        <v>15</v>
      </c>
      <c r="T18" s="24" t="s">
        <v>16</v>
      </c>
      <c r="U18" s="24" t="s">
        <v>467</v>
      </c>
    </row>
    <row r="19" spans="2:21" ht="69" customHeight="1">
      <c r="B19" s="25" t="s">
        <v>235</v>
      </c>
      <c r="C19" s="24"/>
      <c r="D19" s="24" t="s">
        <v>236</v>
      </c>
      <c r="E19" s="24" t="s">
        <v>352</v>
      </c>
      <c r="F19" s="24" t="s">
        <v>11</v>
      </c>
      <c r="G19" s="24" t="s">
        <v>12</v>
      </c>
      <c r="H19" s="24" t="s">
        <v>461</v>
      </c>
      <c r="I19" s="25" t="s">
        <v>110</v>
      </c>
      <c r="J19" s="25" t="s">
        <v>62</v>
      </c>
      <c r="K19" s="25" t="s">
        <v>237</v>
      </c>
      <c r="L19" s="24" t="s">
        <v>462</v>
      </c>
      <c r="M19" s="24" t="s">
        <v>510</v>
      </c>
      <c r="N19" s="24" t="s">
        <v>511</v>
      </c>
      <c r="O19" s="24" t="s">
        <v>486</v>
      </c>
      <c r="P19" s="24" t="s">
        <v>512</v>
      </c>
      <c r="Q19" s="24"/>
      <c r="R19" s="25" t="s">
        <v>513</v>
      </c>
      <c r="S19" s="24" t="s">
        <v>513</v>
      </c>
      <c r="T19" s="24" t="s">
        <v>36</v>
      </c>
      <c r="U19" s="24" t="s">
        <v>514</v>
      </c>
    </row>
    <row r="20" spans="2:21" ht="69" customHeight="1">
      <c r="B20" s="25" t="s">
        <v>239</v>
      </c>
      <c r="C20" s="24"/>
      <c r="D20" s="24" t="s">
        <v>240</v>
      </c>
      <c r="E20" s="24" t="s">
        <v>357</v>
      </c>
      <c r="F20" s="24" t="s">
        <v>11</v>
      </c>
      <c r="G20" s="24" t="s">
        <v>12</v>
      </c>
      <c r="H20" s="24" t="s">
        <v>461</v>
      </c>
      <c r="I20" s="25" t="s">
        <v>515</v>
      </c>
      <c r="J20" s="25" t="s">
        <v>62</v>
      </c>
      <c r="K20" s="25" t="s">
        <v>237</v>
      </c>
      <c r="L20" s="24" t="s">
        <v>462</v>
      </c>
      <c r="M20" s="24" t="s">
        <v>516</v>
      </c>
      <c r="N20" s="24" t="s">
        <v>517</v>
      </c>
      <c r="O20" s="24" t="s">
        <v>486</v>
      </c>
      <c r="P20" s="24" t="s">
        <v>518</v>
      </c>
      <c r="Q20" s="24"/>
      <c r="R20" s="25" t="s">
        <v>519</v>
      </c>
      <c r="S20" s="24" t="s">
        <v>520</v>
      </c>
      <c r="T20" s="24" t="s">
        <v>521</v>
      </c>
      <c r="U20" s="24" t="s">
        <v>522</v>
      </c>
    </row>
    <row r="21" spans="2:21" ht="69" customHeight="1">
      <c r="B21" s="25" t="s">
        <v>242</v>
      </c>
      <c r="C21" s="24"/>
      <c r="D21" s="24" t="s">
        <v>243</v>
      </c>
      <c r="E21" s="24" t="s">
        <v>362</v>
      </c>
      <c r="F21" s="24" t="s">
        <v>11</v>
      </c>
      <c r="G21" s="24" t="s">
        <v>12</v>
      </c>
      <c r="H21" s="24" t="s">
        <v>502</v>
      </c>
      <c r="I21" s="25" t="s">
        <v>86</v>
      </c>
      <c r="J21" s="25" t="s">
        <v>523</v>
      </c>
      <c r="K21" s="25" t="s">
        <v>229</v>
      </c>
      <c r="L21" s="24" t="s">
        <v>462</v>
      </c>
      <c r="M21" s="24" t="s">
        <v>524</v>
      </c>
      <c r="N21" s="24" t="s">
        <v>525</v>
      </c>
      <c r="O21" s="24" t="s">
        <v>486</v>
      </c>
      <c r="P21" s="24" t="s">
        <v>526</v>
      </c>
      <c r="Q21" s="24"/>
      <c r="R21" s="25" t="s">
        <v>90</v>
      </c>
      <c r="S21" s="24" t="s">
        <v>15</v>
      </c>
      <c r="T21" s="24" t="s">
        <v>16</v>
      </c>
      <c r="U21" s="24" t="s">
        <v>467</v>
      </c>
    </row>
    <row r="22" spans="2:21" ht="69" customHeight="1">
      <c r="B22" s="25" t="s">
        <v>245</v>
      </c>
      <c r="C22" s="24" t="s">
        <v>475</v>
      </c>
      <c r="D22" s="24" t="s">
        <v>246</v>
      </c>
      <c r="E22" s="24" t="s">
        <v>527</v>
      </c>
      <c r="F22" s="24" t="s">
        <v>11</v>
      </c>
      <c r="G22" s="24" t="s">
        <v>476</v>
      </c>
      <c r="H22" s="24" t="s">
        <v>461</v>
      </c>
      <c r="I22" s="25" t="s">
        <v>95</v>
      </c>
      <c r="J22" s="25" t="s">
        <v>69</v>
      </c>
      <c r="K22" s="25" t="s">
        <v>247</v>
      </c>
      <c r="L22" s="24" t="s">
        <v>462</v>
      </c>
      <c r="M22" s="24" t="s">
        <v>528</v>
      </c>
      <c r="N22" s="24" t="s">
        <v>529</v>
      </c>
      <c r="O22" s="24" t="s">
        <v>530</v>
      </c>
      <c r="P22" s="24" t="s">
        <v>531</v>
      </c>
      <c r="Q22" s="24"/>
      <c r="R22" s="25" t="s">
        <v>98</v>
      </c>
      <c r="S22" s="24" t="s">
        <v>23</v>
      </c>
      <c r="T22" s="24" t="s">
        <v>16</v>
      </c>
      <c r="U22" s="24" t="s">
        <v>480</v>
      </c>
    </row>
    <row r="23" spans="2:21" ht="69" customHeight="1">
      <c r="B23" s="25" t="s">
        <v>249</v>
      </c>
      <c r="C23" s="24"/>
      <c r="D23" s="24" t="s">
        <v>250</v>
      </c>
      <c r="E23" s="24" t="s">
        <v>532</v>
      </c>
      <c r="F23" s="24" t="s">
        <v>19</v>
      </c>
      <c r="G23" s="24" t="s">
        <v>12</v>
      </c>
      <c r="H23" s="24" t="s">
        <v>461</v>
      </c>
      <c r="I23" s="25" t="s">
        <v>86</v>
      </c>
      <c r="J23" s="25" t="s">
        <v>70</v>
      </c>
      <c r="K23" s="25" t="s">
        <v>193</v>
      </c>
      <c r="L23" s="24" t="s">
        <v>462</v>
      </c>
      <c r="M23" s="24" t="s">
        <v>533</v>
      </c>
      <c r="N23" s="24" t="s">
        <v>534</v>
      </c>
      <c r="O23" s="24" t="s">
        <v>486</v>
      </c>
      <c r="P23" s="24" t="s">
        <v>535</v>
      </c>
      <c r="Q23" s="24"/>
      <c r="R23" s="25" t="s">
        <v>90</v>
      </c>
      <c r="S23" s="24" t="s">
        <v>15</v>
      </c>
      <c r="T23" s="24" t="s">
        <v>16</v>
      </c>
      <c r="U23" s="24" t="s">
        <v>467</v>
      </c>
    </row>
    <row r="24" spans="2:21" ht="69" customHeight="1">
      <c r="B24" s="25" t="s">
        <v>252</v>
      </c>
      <c r="C24" s="24"/>
      <c r="D24" s="24" t="s">
        <v>253</v>
      </c>
      <c r="E24" s="24" t="s">
        <v>375</v>
      </c>
      <c r="F24" s="24" t="s">
        <v>11</v>
      </c>
      <c r="G24" s="24" t="s">
        <v>20</v>
      </c>
      <c r="H24" s="24" t="s">
        <v>461</v>
      </c>
      <c r="I24" s="25" t="s">
        <v>92</v>
      </c>
      <c r="J24" s="25" t="s">
        <v>62</v>
      </c>
      <c r="K24" s="25" t="s">
        <v>193</v>
      </c>
      <c r="L24" s="24" t="s">
        <v>462</v>
      </c>
      <c r="M24" s="24" t="s">
        <v>536</v>
      </c>
      <c r="N24" s="24" t="s">
        <v>537</v>
      </c>
      <c r="O24" s="24" t="s">
        <v>500</v>
      </c>
      <c r="P24" s="24" t="s">
        <v>538</v>
      </c>
      <c r="Q24" s="24"/>
      <c r="R24" s="25" t="s">
        <v>90</v>
      </c>
      <c r="S24" s="24" t="s">
        <v>15</v>
      </c>
      <c r="T24" s="24" t="s">
        <v>539</v>
      </c>
      <c r="U24" s="24" t="s">
        <v>540</v>
      </c>
    </row>
    <row r="25" spans="2:21" ht="69" customHeight="1">
      <c r="B25" s="25" t="s">
        <v>255</v>
      </c>
      <c r="C25" s="24"/>
      <c r="D25" s="24" t="s">
        <v>256</v>
      </c>
      <c r="E25" s="24" t="s">
        <v>380</v>
      </c>
      <c r="F25" s="24" t="s">
        <v>11</v>
      </c>
      <c r="G25" s="24" t="s">
        <v>20</v>
      </c>
      <c r="H25" s="24" t="s">
        <v>461</v>
      </c>
      <c r="I25" s="25" t="s">
        <v>102</v>
      </c>
      <c r="J25" s="25" t="s">
        <v>62</v>
      </c>
      <c r="K25" s="25" t="s">
        <v>193</v>
      </c>
      <c r="L25" s="24" t="s">
        <v>462</v>
      </c>
      <c r="M25" s="24" t="s">
        <v>541</v>
      </c>
      <c r="N25" s="24" t="s">
        <v>542</v>
      </c>
      <c r="O25" s="24" t="s">
        <v>500</v>
      </c>
      <c r="P25" s="24" t="s">
        <v>543</v>
      </c>
      <c r="Q25" s="24"/>
      <c r="R25" s="25" t="s">
        <v>90</v>
      </c>
      <c r="S25" s="24" t="s">
        <v>15</v>
      </c>
      <c r="T25" s="24" t="s">
        <v>544</v>
      </c>
      <c r="U25" s="24" t="s">
        <v>545</v>
      </c>
    </row>
    <row r="26" spans="2:21" ht="69" customHeight="1">
      <c r="B26" s="25" t="s">
        <v>258</v>
      </c>
      <c r="C26" s="24"/>
      <c r="D26" s="24" t="s">
        <v>259</v>
      </c>
      <c r="E26" s="24" t="s">
        <v>546</v>
      </c>
      <c r="F26" s="24" t="s">
        <v>11</v>
      </c>
      <c r="G26" s="24" t="s">
        <v>12</v>
      </c>
      <c r="H26" s="24" t="s">
        <v>461</v>
      </c>
      <c r="I26" s="25" t="s">
        <v>107</v>
      </c>
      <c r="J26" s="25" t="s">
        <v>65</v>
      </c>
      <c r="K26" s="25" t="s">
        <v>260</v>
      </c>
      <c r="L26" s="24" t="s">
        <v>547</v>
      </c>
      <c r="M26" s="24" t="s">
        <v>548</v>
      </c>
      <c r="N26" s="24" t="s">
        <v>549</v>
      </c>
      <c r="O26" s="24" t="s">
        <v>486</v>
      </c>
      <c r="P26" s="24" t="s">
        <v>550</v>
      </c>
      <c r="Q26" s="24" t="s">
        <v>551</v>
      </c>
      <c r="R26" s="25" t="s">
        <v>38</v>
      </c>
      <c r="S26" s="24" t="s">
        <v>552</v>
      </c>
      <c r="T26" s="24" t="s">
        <v>24</v>
      </c>
      <c r="U26" s="24" t="s">
        <v>553</v>
      </c>
    </row>
    <row r="27" spans="2:21" ht="69" customHeight="1">
      <c r="B27" s="25" t="s">
        <v>262</v>
      </c>
      <c r="C27" s="24"/>
      <c r="D27" s="24" t="s">
        <v>263</v>
      </c>
      <c r="E27" s="24" t="s">
        <v>554</v>
      </c>
      <c r="F27" s="24" t="s">
        <v>11</v>
      </c>
      <c r="G27" s="24" t="s">
        <v>12</v>
      </c>
      <c r="H27" s="24" t="s">
        <v>502</v>
      </c>
      <c r="I27" s="25" t="s">
        <v>104</v>
      </c>
      <c r="J27" s="25" t="s">
        <v>65</v>
      </c>
      <c r="K27" s="25" t="s">
        <v>229</v>
      </c>
      <c r="L27" s="24" t="s">
        <v>462</v>
      </c>
      <c r="M27" s="24" t="s">
        <v>555</v>
      </c>
      <c r="N27" s="24" t="s">
        <v>556</v>
      </c>
      <c r="O27" s="24" t="s">
        <v>486</v>
      </c>
      <c r="P27" s="24" t="s">
        <v>557</v>
      </c>
      <c r="Q27" s="24" t="s">
        <v>558</v>
      </c>
      <c r="R27" s="25" t="s">
        <v>105</v>
      </c>
      <c r="S27" s="24" t="s">
        <v>30</v>
      </c>
      <c r="T27" s="24" t="s">
        <v>40</v>
      </c>
      <c r="U27" s="24" t="s">
        <v>559</v>
      </c>
    </row>
    <row r="28" spans="2:21" ht="69" customHeight="1">
      <c r="B28" s="25" t="s">
        <v>265</v>
      </c>
      <c r="C28" s="24"/>
      <c r="D28" s="24" t="s">
        <v>266</v>
      </c>
      <c r="E28" s="24" t="s">
        <v>393</v>
      </c>
      <c r="F28" s="24" t="s">
        <v>19</v>
      </c>
      <c r="G28" s="24" t="s">
        <v>12</v>
      </c>
      <c r="H28" s="24" t="s">
        <v>461</v>
      </c>
      <c r="I28" s="25" t="s">
        <v>114</v>
      </c>
      <c r="J28" s="25" t="s">
        <v>62</v>
      </c>
      <c r="K28" s="25" t="s">
        <v>193</v>
      </c>
      <c r="L28" s="24" t="s">
        <v>462</v>
      </c>
      <c r="M28" s="24" t="s">
        <v>560</v>
      </c>
      <c r="N28" s="24" t="s">
        <v>561</v>
      </c>
      <c r="O28" s="24" t="s">
        <v>465</v>
      </c>
      <c r="P28" s="24" t="s">
        <v>562</v>
      </c>
      <c r="Q28" s="24"/>
      <c r="R28" s="25" t="s">
        <v>513</v>
      </c>
      <c r="S28" s="24" t="s">
        <v>513</v>
      </c>
      <c r="T28" s="24" t="s">
        <v>36</v>
      </c>
      <c r="U28" s="24" t="s">
        <v>514</v>
      </c>
    </row>
  </sheetData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genturkonst">
    <tabColor rgb="FF94A3B8"/>
    <pageSetUpPr fitToPage="1"/>
  </sheetPr>
  <dimension ref="A1:K30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30.7109375" customWidth="1"/>
    <col min="4" max="4" width="14.85546875" customWidth="1"/>
    <col min="5" max="6" width="36.85546875" customWidth="1"/>
    <col min="7" max="7" width="26.7109375" customWidth="1"/>
    <col min="8" max="8" width="15.85546875" customWidth="1"/>
    <col min="9" max="11" width="36.8554687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563</v>
      </c>
    </row>
    <row r="3" spans="2:10" s="1" customFormat="1" ht="21" customHeight="1">
      <c r="B3" s="4" t="s">
        <v>564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46" customHeight="1">
      <c r="B7" s="49">
        <v>7</v>
      </c>
      <c r="C7" s="49"/>
      <c r="D7" s="49">
        <v>1</v>
      </c>
      <c r="E7" s="49"/>
      <c r="F7" s="49">
        <v>2</v>
      </c>
      <c r="G7" s="49"/>
      <c r="H7" s="49">
        <v>1</v>
      </c>
      <c r="I7" s="49"/>
      <c r="J7" s="49"/>
    </row>
    <row r="8" spans="2:10" ht="40" customHeight="1">
      <c r="B8" s="49" t="s">
        <v>637</v>
      </c>
      <c r="C8" s="49"/>
      <c r="D8" s="49" t="s">
        <v>638</v>
      </c>
      <c r="E8" s="49"/>
      <c r="F8" s="49" t="s">
        <v>639</v>
      </c>
      <c r="G8" s="49"/>
      <c r="H8" s="49" t="s">
        <v>640</v>
      </c>
      <c r="I8" s="49"/>
      <c r="J8" s="49"/>
    </row>
    <row r="10" spans="2:10" ht="22.8" customHeight="1">
      <c r="B10" s="11" t="s">
        <v>641</v>
      </c>
    </row>
    <row r="11" spans="2:10" ht="36" customHeight="1">
      <c r="B11" s="12" t="s">
        <v>51</v>
      </c>
      <c r="C11" s="12" t="s">
        <v>52</v>
      </c>
      <c r="D11" s="12" t="s">
        <v>53</v>
      </c>
      <c r="E11" s="12" t="s">
        <v>565</v>
      </c>
      <c r="F11" s="12" t="s">
        <v>566</v>
      </c>
      <c r="G11" s="12" t="s">
        <v>567</v>
      </c>
      <c r="H11" s="12" t="s">
        <v>568</v>
      </c>
      <c r="I11" s="12" t="s">
        <v>569</v>
      </c>
      <c r="J11" s="12" t="s">
        <v>570</v>
      </c>
    </row>
    <row r="12" spans="2:10" ht="80.25" customHeight="1">
      <c r="B12" s="25" t="s">
        <v>62</v>
      </c>
      <c r="C12" s="24" t="s">
        <v>571</v>
      </c>
      <c r="D12" s="24" t="s">
        <v>97</v>
      </c>
      <c r="E12" s="24" t="s">
        <v>572</v>
      </c>
      <c r="F12" s="24" t="s">
        <v>573</v>
      </c>
      <c r="G12" s="24" t="s">
        <v>574</v>
      </c>
      <c r="H12" s="24" t="s">
        <v>575</v>
      </c>
      <c r="I12" s="24" t="s">
        <v>576</v>
      </c>
      <c r="J12" s="24" t="s">
        <v>577</v>
      </c>
    </row>
    <row r="13" spans="2:10" ht="80.25" customHeight="1">
      <c r="B13" s="25" t="s">
        <v>65</v>
      </c>
      <c r="C13" s="24" t="s">
        <v>578</v>
      </c>
      <c r="D13" s="24" t="s">
        <v>97</v>
      </c>
      <c r="E13" s="24" t="s">
        <v>579</v>
      </c>
      <c r="F13" s="24" t="s">
        <v>580</v>
      </c>
      <c r="G13" s="24" t="s">
        <v>581</v>
      </c>
      <c r="H13" s="24" t="s">
        <v>582</v>
      </c>
      <c r="I13" s="24" t="s">
        <v>583</v>
      </c>
      <c r="J13" s="24" t="s">
        <v>584</v>
      </c>
    </row>
    <row r="14" spans="2:10" ht="80.25" customHeight="1">
      <c r="B14" s="25" t="s">
        <v>66</v>
      </c>
      <c r="C14" s="24" t="s">
        <v>585</v>
      </c>
      <c r="D14" s="24" t="s">
        <v>97</v>
      </c>
      <c r="E14" s="24" t="s">
        <v>586</v>
      </c>
      <c r="F14" s="24" t="s">
        <v>587</v>
      </c>
      <c r="G14" s="24" t="s">
        <v>156</v>
      </c>
      <c r="H14" s="24" t="s">
        <v>588</v>
      </c>
      <c r="I14" s="24" t="s">
        <v>589</v>
      </c>
      <c r="J14" s="24" t="s">
        <v>590</v>
      </c>
    </row>
    <row r="15" spans="2:10" ht="80.25" customHeight="1">
      <c r="B15" s="25" t="s">
        <v>67</v>
      </c>
      <c r="C15" s="24" t="s">
        <v>591</v>
      </c>
      <c r="D15" s="24" t="s">
        <v>97</v>
      </c>
      <c r="E15" s="24" t="s">
        <v>592</v>
      </c>
      <c r="F15" s="24" t="s">
        <v>593</v>
      </c>
      <c r="G15" s="24" t="s">
        <v>158</v>
      </c>
      <c r="H15" s="24" t="s">
        <v>594</v>
      </c>
      <c r="I15" s="24" t="s">
        <v>595</v>
      </c>
      <c r="J15" s="24" t="s">
        <v>596</v>
      </c>
    </row>
    <row r="16" spans="2:10" ht="80.25" customHeight="1">
      <c r="B16" s="25" t="s">
        <v>68</v>
      </c>
      <c r="C16" s="24" t="s">
        <v>597</v>
      </c>
      <c r="D16" s="24" t="s">
        <v>97</v>
      </c>
      <c r="E16" s="24" t="s">
        <v>598</v>
      </c>
      <c r="F16" s="24" t="s">
        <v>599</v>
      </c>
      <c r="G16" s="24" t="s">
        <v>160</v>
      </c>
      <c r="H16" s="24" t="s">
        <v>594</v>
      </c>
      <c r="I16" s="24" t="s">
        <v>600</v>
      </c>
      <c r="J16" s="24" t="s">
        <v>601</v>
      </c>
    </row>
    <row r="17" spans="2:11" ht="80.25" customHeight="1">
      <c r="B17" s="25" t="s">
        <v>69</v>
      </c>
      <c r="C17" s="24" t="s">
        <v>602</v>
      </c>
      <c r="D17" s="24" t="s">
        <v>97</v>
      </c>
      <c r="E17" s="24" t="s">
        <v>603</v>
      </c>
      <c r="F17" s="24" t="s">
        <v>604</v>
      </c>
      <c r="G17" s="24" t="s">
        <v>162</v>
      </c>
      <c r="H17" s="24" t="s">
        <v>605</v>
      </c>
      <c r="I17" s="24" t="s">
        <v>606</v>
      </c>
      <c r="J17" s="24" t="s">
        <v>607</v>
      </c>
    </row>
    <row r="18" spans="2:11" ht="80.25" customHeight="1">
      <c r="B18" s="25" t="s">
        <v>70</v>
      </c>
      <c r="C18" s="24" t="s">
        <v>608</v>
      </c>
      <c r="D18" s="24" t="s">
        <v>609</v>
      </c>
      <c r="E18" s="24" t="s">
        <v>610</v>
      </c>
      <c r="F18" s="24" t="s">
        <v>611</v>
      </c>
      <c r="G18" s="24" t="s">
        <v>164</v>
      </c>
      <c r="H18" s="24" t="s">
        <v>594</v>
      </c>
      <c r="I18" s="24" t="s">
        <v>612</v>
      </c>
      <c r="J18" s="24" t="s">
        <v>613</v>
      </c>
    </row>
    <row r="19" spans="2:11" ht="80.25" customHeight="1">
      <c r="B19" s="25" t="s">
        <v>166</v>
      </c>
      <c r="C19" s="24" t="s">
        <v>614</v>
      </c>
      <c r="D19" s="24" t="s">
        <v>97</v>
      </c>
      <c r="E19" s="24" t="s">
        <v>615</v>
      </c>
      <c r="F19" s="24" t="s">
        <v>616</v>
      </c>
      <c r="G19" s="24" t="s">
        <v>167</v>
      </c>
      <c r="H19" s="24" t="s">
        <v>617</v>
      </c>
      <c r="I19" s="24" t="s">
        <v>618</v>
      </c>
      <c r="J19" s="24" t="s">
        <v>619</v>
      </c>
    </row>
    <row r="21" spans="2:11" ht="15.6" customHeight="1">
      <c r="B21" s="11" t="s">
        <v>642</v>
      </c>
      <c r="C21" s="11"/>
      <c r="D21" s="11"/>
      <c r="E21" s="11"/>
      <c r="F21" s="11"/>
      <c r="G21" s="11"/>
      <c r="H21" s="11"/>
      <c r="I21" s="11"/>
      <c r="J21" s="11"/>
    </row>
    <row r="22" spans="2:11">
      <c r="B22" s="50" t="s">
        <v>643</v>
      </c>
      <c r="C22" s="50"/>
      <c r="D22" s="50"/>
      <c r="E22" s="50"/>
      <c r="F22" s="50"/>
      <c r="G22" s="50"/>
      <c r="H22" s="50"/>
      <c r="I22" s="50"/>
      <c r="J22" s="50"/>
    </row>
    <row r="23" spans="2:11">
      <c r="B23" s="50"/>
      <c r="C23" s="50"/>
      <c r="D23" s="50"/>
      <c r="E23" s="50"/>
      <c r="F23" s="50"/>
      <c r="G23" s="50"/>
      <c r="H23" s="50"/>
      <c r="I23" s="50"/>
      <c r="J23" s="50"/>
    </row>
    <row r="24" spans="2:11" ht="8" customHeight="1"/>
    <row r="25" spans="2:11" ht="15.6" customHeight="1">
      <c r="B25" s="11" t="s">
        <v>644</v>
      </c>
      <c r="C25" s="11"/>
      <c r="D25" s="11"/>
      <c r="E25" s="11"/>
      <c r="F25" s="11"/>
      <c r="G25" s="11"/>
      <c r="H25" s="11"/>
      <c r="I25" s="11"/>
      <c r="J25" s="11"/>
      <c r="K25" s="11"/>
    </row>
    <row r="27" spans="2:11" ht="36" customHeight="1">
      <c r="B27" s="12" t="s">
        <v>81</v>
      </c>
      <c r="C27" s="12" t="s">
        <v>117</v>
      </c>
      <c r="D27" s="12" t="s">
        <v>118</v>
      </c>
      <c r="E27" s="12" t="s">
        <v>53</v>
      </c>
      <c r="F27" s="12" t="s">
        <v>620</v>
      </c>
      <c r="G27" s="12" t="s">
        <v>621</v>
      </c>
      <c r="H27" s="12" t="s">
        <v>568</v>
      </c>
      <c r="I27" s="12" t="s">
        <v>567</v>
      </c>
      <c r="J27" s="12" t="s">
        <v>569</v>
      </c>
      <c r="K27" s="12" t="s">
        <v>622</v>
      </c>
    </row>
    <row r="28" spans="2:11" ht="80.25" customHeight="1">
      <c r="B28" s="25" t="s">
        <v>90</v>
      </c>
      <c r="C28" s="24" t="s">
        <v>122</v>
      </c>
      <c r="D28" s="24" t="s">
        <v>15</v>
      </c>
      <c r="E28" s="24" t="s">
        <v>97</v>
      </c>
      <c r="F28" s="24" t="s">
        <v>623</v>
      </c>
      <c r="G28" s="24" t="s">
        <v>624</v>
      </c>
      <c r="H28" s="24" t="s">
        <v>625</v>
      </c>
      <c r="I28" s="24"/>
      <c r="J28" s="24" t="s">
        <v>626</v>
      </c>
      <c r="K28" s="24"/>
    </row>
    <row r="29" spans="2:11" ht="80.25" customHeight="1">
      <c r="B29" s="25" t="s">
        <v>98</v>
      </c>
      <c r="C29" s="24" t="s">
        <v>124</v>
      </c>
      <c r="D29" s="24" t="s">
        <v>23</v>
      </c>
      <c r="E29" s="24" t="s">
        <v>97</v>
      </c>
      <c r="F29" s="24" t="s">
        <v>627</v>
      </c>
      <c r="G29" s="24" t="s">
        <v>624</v>
      </c>
      <c r="H29" s="24" t="s">
        <v>628</v>
      </c>
      <c r="I29" s="24"/>
      <c r="J29" s="24" t="s">
        <v>629</v>
      </c>
      <c r="K29" s="24"/>
    </row>
    <row r="30" spans="2:11" ht="80.25" customHeight="1">
      <c r="B30" s="25" t="s">
        <v>105</v>
      </c>
      <c r="C30" s="24" t="s">
        <v>630</v>
      </c>
      <c r="D30" s="24" t="s">
        <v>631</v>
      </c>
      <c r="E30" s="24" t="s">
        <v>632</v>
      </c>
      <c r="F30" s="24" t="s">
        <v>633</v>
      </c>
      <c r="G30" s="24" t="s">
        <v>40</v>
      </c>
      <c r="H30" s="24" t="s">
        <v>634</v>
      </c>
      <c r="I30" s="24" t="s">
        <v>262</v>
      </c>
      <c r="J30" s="24" t="s">
        <v>635</v>
      </c>
      <c r="K30" s="24" t="s">
        <v>636</v>
      </c>
    </row>
  </sheetData>
  <mergeCells count="11">
    <mergeCell ref="B7:C7"/>
    <mergeCell ref="D7:E7"/>
    <mergeCell ref="F7:G7"/>
    <mergeCell ref="H7:J7"/>
    <mergeCell ref="B8:C8"/>
    <mergeCell ref="D8:E8"/>
    <mergeCell ref="F8:G8"/>
    <mergeCell ref="H8:J8"/>
    <mergeCell ref="B21:J21"/>
    <mergeCell ref="B22:J23"/>
    <mergeCell ref="B25:K25"/>
  </mergeCell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Vertragskonst">
    <tabColor rgb="FF94A3B8"/>
    <pageSetUpPr fitToPage="1"/>
  </sheetPr>
  <dimension ref="A1:P2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19" customWidth="1"/>
    <col min="4" max="4" width="30.7109375" customWidth="1"/>
    <col min="5" max="5" width="14.85546875" customWidth="1"/>
    <col min="6" max="6" width="11.7109375" customWidth="1"/>
    <col min="7" max="7" width="36.85546875" customWidth="1"/>
    <col min="8" max="8" width="30.7109375" customWidth="1"/>
    <col min="9" max="9" width="26.7109375" customWidth="1"/>
    <col min="10" max="10" width="28.28515625" customWidth="1"/>
    <col min="11" max="12" width="36.85546875" customWidth="1"/>
    <col min="13" max="13" width="13.7109375" customWidth="1"/>
    <col min="14" max="14" width="21.7109375" customWidth="1"/>
    <col min="15" max="15" width="19.5703125" customWidth="1"/>
    <col min="16" max="16" width="36.85546875" customWidth="1"/>
  </cols>
  <sheetData>
    <row r="1" spans="2:16" s="1" customFormat="1" ht="18" customHeight="1">
      <c r="B1" s="2" t="s">
        <v>294</v>
      </c>
    </row>
    <row r="2" spans="2:16" s="1" customFormat="1" ht="28" customHeight="1">
      <c r="B2" s="3" t="s">
        <v>645</v>
      </c>
    </row>
    <row r="3" spans="2:16" s="1" customFormat="1" ht="21" customHeight="1">
      <c r="B3" s="4" t="s">
        <v>646</v>
      </c>
    </row>
    <row r="4" spans="2:16" s="1" customFormat="1" ht="10" customHeight="1"/>
    <row r="5" spans="2:16" s="5" customFormat="1" ht="3" customHeight="1"/>
    <row r="6" spans="2:16" ht="24" customHeight="1">
      <c r="B6" s="28" t="s">
        <v>297</v>
      </c>
    </row>
    <row r="7" spans="2:16" ht="46" customHeight="1">
      <c r="B7" s="49">
        <v>9</v>
      </c>
      <c r="C7" s="49"/>
      <c r="D7" s="49" t="s">
        <v>718</v>
      </c>
      <c r="E7" s="49"/>
      <c r="F7" s="49" t="s">
        <v>86</v>
      </c>
      <c r="G7" s="49"/>
      <c r="H7" s="49">
        <f>ROWS(tblMatrix[Testfall-ID])</f>
        <v>21</v>
      </c>
      <c r="I7" s="49"/>
      <c r="J7" s="49"/>
      <c r="K7" s="49"/>
      <c r="L7" s="49"/>
    </row>
    <row r="8" spans="2:16" ht="40" customHeight="1">
      <c r="B8" s="49" t="s">
        <v>719</v>
      </c>
      <c r="C8" s="49"/>
      <c r="D8" s="49" t="s">
        <v>720</v>
      </c>
      <c r="E8" s="49"/>
      <c r="F8" s="49" t="s">
        <v>721</v>
      </c>
      <c r="G8" s="49"/>
      <c r="H8" s="49" t="s">
        <v>722</v>
      </c>
      <c r="I8" s="49"/>
      <c r="J8" s="49"/>
      <c r="K8" s="49"/>
      <c r="L8" s="49"/>
    </row>
    <row r="11" spans="2:16" ht="36" customHeight="1">
      <c r="B11" s="12" t="s">
        <v>72</v>
      </c>
      <c r="C11" s="12" t="s">
        <v>647</v>
      </c>
      <c r="D11" s="12" t="s">
        <v>73</v>
      </c>
      <c r="E11" s="12" t="s">
        <v>53</v>
      </c>
      <c r="F11" s="12" t="s">
        <v>3</v>
      </c>
      <c r="G11" s="12" t="s">
        <v>648</v>
      </c>
      <c r="H11" s="12" t="s">
        <v>566</v>
      </c>
      <c r="I11" s="12" t="s">
        <v>567</v>
      </c>
      <c r="J11" s="12" t="s">
        <v>649</v>
      </c>
      <c r="K11" s="12" t="s">
        <v>569</v>
      </c>
      <c r="L11" s="12" t="s">
        <v>570</v>
      </c>
      <c r="M11" s="12" t="s">
        <v>81</v>
      </c>
      <c r="N11" s="12" t="s">
        <v>6</v>
      </c>
      <c r="O11" s="12" t="s">
        <v>459</v>
      </c>
      <c r="P11" s="12" t="s">
        <v>650</v>
      </c>
    </row>
    <row r="12" spans="2:16" ht="80.25" customHeight="1">
      <c r="B12" s="25" t="s">
        <v>86</v>
      </c>
      <c r="C12" s="24" t="s">
        <v>651</v>
      </c>
      <c r="D12" s="24" t="s">
        <v>652</v>
      </c>
      <c r="E12" s="24" t="s">
        <v>97</v>
      </c>
      <c r="F12" s="24" t="s">
        <v>12</v>
      </c>
      <c r="G12" s="24" t="s">
        <v>653</v>
      </c>
      <c r="H12" s="24" t="s">
        <v>654</v>
      </c>
      <c r="I12" s="24" t="s">
        <v>655</v>
      </c>
      <c r="J12" s="24" t="s">
        <v>656</v>
      </c>
      <c r="K12" s="24" t="s">
        <v>657</v>
      </c>
      <c r="L12" s="24" t="s">
        <v>658</v>
      </c>
      <c r="M12" s="25" t="s">
        <v>90</v>
      </c>
      <c r="N12" s="24" t="s">
        <v>15</v>
      </c>
      <c r="O12" s="24" t="s">
        <v>16</v>
      </c>
      <c r="P12" s="24" t="s">
        <v>659</v>
      </c>
    </row>
    <row r="13" spans="2:16" ht="80.25" customHeight="1">
      <c r="B13" s="25" t="s">
        <v>92</v>
      </c>
      <c r="C13" s="24" t="s">
        <v>660</v>
      </c>
      <c r="D13" s="24" t="s">
        <v>661</v>
      </c>
      <c r="E13" s="24" t="s">
        <v>97</v>
      </c>
      <c r="F13" s="24" t="s">
        <v>20</v>
      </c>
      <c r="G13" s="24" t="s">
        <v>662</v>
      </c>
      <c r="H13" s="24" t="s">
        <v>663</v>
      </c>
      <c r="I13" s="24" t="s">
        <v>140</v>
      </c>
      <c r="J13" s="24" t="s">
        <v>664</v>
      </c>
      <c r="K13" s="24" t="s">
        <v>665</v>
      </c>
      <c r="L13" s="24" t="s">
        <v>666</v>
      </c>
      <c r="M13" s="25" t="s">
        <v>90</v>
      </c>
      <c r="N13" s="24" t="s">
        <v>15</v>
      </c>
      <c r="O13" s="24" t="s">
        <v>36</v>
      </c>
      <c r="P13" s="24" t="s">
        <v>667</v>
      </c>
    </row>
    <row r="14" spans="2:16" ht="80.25" customHeight="1">
      <c r="B14" s="25" t="s">
        <v>95</v>
      </c>
      <c r="C14" s="24" t="s">
        <v>668</v>
      </c>
      <c r="D14" s="24" t="s">
        <v>669</v>
      </c>
      <c r="E14" s="24" t="s">
        <v>97</v>
      </c>
      <c r="F14" s="24" t="s">
        <v>476</v>
      </c>
      <c r="G14" s="24" t="s">
        <v>670</v>
      </c>
      <c r="H14" s="24" t="s">
        <v>671</v>
      </c>
      <c r="I14" s="24" t="s">
        <v>672</v>
      </c>
      <c r="J14" s="24" t="s">
        <v>673</v>
      </c>
      <c r="K14" s="24" t="s">
        <v>674</v>
      </c>
      <c r="L14" s="24" t="s">
        <v>675</v>
      </c>
      <c r="M14" s="25" t="s">
        <v>98</v>
      </c>
      <c r="N14" s="24" t="s">
        <v>23</v>
      </c>
      <c r="O14" s="24" t="s">
        <v>16</v>
      </c>
      <c r="P14" s="24" t="s">
        <v>676</v>
      </c>
    </row>
    <row r="15" spans="2:16" ht="80.25" customHeight="1">
      <c r="B15" s="25" t="s">
        <v>100</v>
      </c>
      <c r="C15" s="24" t="s">
        <v>677</v>
      </c>
      <c r="D15" s="24" t="s">
        <v>678</v>
      </c>
      <c r="E15" s="24" t="s">
        <v>97</v>
      </c>
      <c r="F15" s="24" t="s">
        <v>20</v>
      </c>
      <c r="G15" s="24" t="s">
        <v>679</v>
      </c>
      <c r="H15" s="24" t="s">
        <v>680</v>
      </c>
      <c r="I15" s="24" t="s">
        <v>156</v>
      </c>
      <c r="J15" s="24" t="s">
        <v>681</v>
      </c>
      <c r="K15" s="24" t="s">
        <v>682</v>
      </c>
      <c r="L15" s="24" t="s">
        <v>683</v>
      </c>
      <c r="M15" s="25" t="s">
        <v>90</v>
      </c>
      <c r="N15" s="24" t="s">
        <v>15</v>
      </c>
      <c r="O15" s="24" t="s">
        <v>16</v>
      </c>
      <c r="P15" s="24" t="s">
        <v>684</v>
      </c>
    </row>
    <row r="16" spans="2:16" ht="80.25" customHeight="1">
      <c r="B16" s="25" t="s">
        <v>102</v>
      </c>
      <c r="C16" s="24" t="s">
        <v>685</v>
      </c>
      <c r="D16" s="24" t="s">
        <v>256</v>
      </c>
      <c r="E16" s="24" t="s">
        <v>97</v>
      </c>
      <c r="F16" s="24" t="s">
        <v>20</v>
      </c>
      <c r="G16" s="24" t="s">
        <v>686</v>
      </c>
      <c r="H16" s="24" t="s">
        <v>687</v>
      </c>
      <c r="I16" s="24" t="s">
        <v>144</v>
      </c>
      <c r="J16" s="24" t="s">
        <v>664</v>
      </c>
      <c r="K16" s="24" t="s">
        <v>688</v>
      </c>
      <c r="L16" s="24" t="s">
        <v>689</v>
      </c>
      <c r="M16" s="25" t="s">
        <v>90</v>
      </c>
      <c r="N16" s="24" t="s">
        <v>15</v>
      </c>
      <c r="O16" s="24" t="s">
        <v>36</v>
      </c>
      <c r="P16" s="24" t="s">
        <v>690</v>
      </c>
    </row>
    <row r="17" spans="2:16" ht="80.25" customHeight="1">
      <c r="B17" s="25" t="s">
        <v>104</v>
      </c>
      <c r="C17" s="24" t="s">
        <v>691</v>
      </c>
      <c r="D17" s="24" t="s">
        <v>692</v>
      </c>
      <c r="E17" s="24" t="s">
        <v>97</v>
      </c>
      <c r="F17" s="24" t="s">
        <v>12</v>
      </c>
      <c r="G17" s="24" t="s">
        <v>693</v>
      </c>
      <c r="H17" s="24" t="s">
        <v>694</v>
      </c>
      <c r="I17" s="24" t="s">
        <v>152</v>
      </c>
      <c r="J17" s="24" t="s">
        <v>695</v>
      </c>
      <c r="K17" s="24" t="s">
        <v>696</v>
      </c>
      <c r="L17" s="24" t="s">
        <v>697</v>
      </c>
      <c r="M17" s="25" t="s">
        <v>105</v>
      </c>
      <c r="N17" s="24" t="s">
        <v>30</v>
      </c>
      <c r="O17" s="24" t="s">
        <v>40</v>
      </c>
      <c r="P17" s="24" t="s">
        <v>698</v>
      </c>
    </row>
    <row r="18" spans="2:16" ht="80.25" customHeight="1">
      <c r="B18" s="25" t="s">
        <v>107</v>
      </c>
      <c r="C18" s="24" t="s">
        <v>691</v>
      </c>
      <c r="D18" s="24" t="s">
        <v>699</v>
      </c>
      <c r="E18" s="24" t="s">
        <v>97</v>
      </c>
      <c r="F18" s="24" t="s">
        <v>12</v>
      </c>
      <c r="G18" s="24" t="s">
        <v>700</v>
      </c>
      <c r="H18" s="24" t="s">
        <v>701</v>
      </c>
      <c r="I18" s="24" t="s">
        <v>154</v>
      </c>
      <c r="J18" s="24" t="s">
        <v>695</v>
      </c>
      <c r="K18" s="24" t="s">
        <v>702</v>
      </c>
      <c r="L18" s="24" t="s">
        <v>703</v>
      </c>
      <c r="M18" s="25" t="s">
        <v>38</v>
      </c>
      <c r="N18" s="24" t="s">
        <v>552</v>
      </c>
      <c r="O18" s="24" t="s">
        <v>24</v>
      </c>
      <c r="P18" s="24" t="s">
        <v>704</v>
      </c>
    </row>
    <row r="19" spans="2:16" ht="80.25" customHeight="1">
      <c r="B19" s="25" t="s">
        <v>110</v>
      </c>
      <c r="C19" s="24" t="s">
        <v>705</v>
      </c>
      <c r="D19" s="24" t="s">
        <v>706</v>
      </c>
      <c r="E19" s="24" t="s">
        <v>97</v>
      </c>
      <c r="F19" s="24" t="s">
        <v>12</v>
      </c>
      <c r="G19" s="24" t="s">
        <v>707</v>
      </c>
      <c r="H19" s="24" t="s">
        <v>708</v>
      </c>
      <c r="I19" s="24" t="s">
        <v>146</v>
      </c>
      <c r="J19" s="24" t="s">
        <v>664</v>
      </c>
      <c r="K19" s="24" t="s">
        <v>709</v>
      </c>
      <c r="L19" s="24" t="s">
        <v>710</v>
      </c>
      <c r="M19" s="25" t="s">
        <v>513</v>
      </c>
      <c r="N19" s="24" t="s">
        <v>513</v>
      </c>
      <c r="O19" s="24" t="s">
        <v>36</v>
      </c>
      <c r="P19" s="24" t="s">
        <v>711</v>
      </c>
    </row>
    <row r="20" spans="2:16" ht="80.25" customHeight="1">
      <c r="B20" s="25" t="s">
        <v>114</v>
      </c>
      <c r="C20" s="24" t="s">
        <v>712</v>
      </c>
      <c r="D20" s="24" t="s">
        <v>713</v>
      </c>
      <c r="E20" s="24" t="s">
        <v>609</v>
      </c>
      <c r="F20" s="24" t="s">
        <v>12</v>
      </c>
      <c r="G20" s="24" t="s">
        <v>714</v>
      </c>
      <c r="H20" s="24" t="s">
        <v>715</v>
      </c>
      <c r="I20" s="24" t="s">
        <v>148</v>
      </c>
      <c r="J20" s="24" t="s">
        <v>664</v>
      </c>
      <c r="K20" s="24" t="s">
        <v>716</v>
      </c>
      <c r="L20" s="24" t="s">
        <v>717</v>
      </c>
      <c r="M20" s="25" t="s">
        <v>513</v>
      </c>
      <c r="N20" s="24" t="s">
        <v>513</v>
      </c>
      <c r="O20" s="24" t="s">
        <v>36</v>
      </c>
      <c r="P20" s="24" t="s">
        <v>711</v>
      </c>
    </row>
    <row r="22" spans="2:16" ht="15.6" customHeight="1">
      <c r="B22" s="11" t="s">
        <v>642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6">
      <c r="B23" s="50" t="s">
        <v>723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6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6" ht="8" customHeight="1"/>
  </sheetData>
  <mergeCells count="10">
    <mergeCell ref="B7:C7"/>
    <mergeCell ref="D7:E7"/>
    <mergeCell ref="F7:G7"/>
    <mergeCell ref="H7:L7"/>
    <mergeCell ref="B8:C8"/>
    <mergeCell ref="D8:E8"/>
    <mergeCell ref="F8:G8"/>
    <mergeCell ref="H8:L8"/>
    <mergeCell ref="B22:L22"/>
    <mergeCell ref="B23:L24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Mailanforderungen">
    <tabColor rgb="FF94A3B8"/>
    <pageSetUpPr fitToPage="1"/>
  </sheetPr>
  <dimension ref="A1:N33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3" customWidth="1"/>
    <col min="2" max="2" width="10.7109375" customWidth="1"/>
    <col min="3" max="3" width="30.7109375" customWidth="1"/>
    <col min="4" max="4" width="37.7109375" customWidth="1"/>
    <col min="5" max="5" width="30.7109375" customWidth="1"/>
    <col min="6" max="6" width="52.7109375" customWidth="1"/>
    <col min="7" max="7" width="26.7109375" customWidth="1"/>
    <col min="8" max="9" width="40.7109375" customWidth="1"/>
    <col min="10" max="10" width="36.85546875" customWidth="1"/>
    <col min="11" max="11" width="30.7109375" customWidth="1"/>
    <col min="12" max="12" width="26.7109375" customWidth="1"/>
    <col min="13" max="13" width="36.85546875" customWidth="1"/>
    <col min="14" max="14" width="27.28515625" customWidth="1"/>
  </cols>
  <sheetData>
    <row r="1" spans="2:14" s="1" customFormat="1" ht="18" customHeight="1">
      <c r="B1" s="2" t="s">
        <v>294</v>
      </c>
    </row>
    <row r="2" spans="2:14" s="1" customFormat="1" ht="28" customHeight="1">
      <c r="B2" s="3" t="s">
        <v>724</v>
      </c>
    </row>
    <row r="3" spans="2:14" s="1" customFormat="1" ht="21" customHeight="1">
      <c r="B3" s="4" t="s">
        <v>725</v>
      </c>
    </row>
    <row r="4" spans="2:14" s="1" customFormat="1" ht="10" customHeight="1"/>
    <row r="5" spans="2:14" s="5" customFormat="1" ht="3" customHeight="1"/>
    <row r="6" spans="2:14" ht="24" customHeight="1">
      <c r="B6" s="28" t="s">
        <v>297</v>
      </c>
    </row>
    <row r="7" spans="2:14" ht="36" customHeight="1">
      <c r="B7" s="12" t="s">
        <v>177</v>
      </c>
      <c r="C7" s="12" t="s">
        <v>726</v>
      </c>
      <c r="D7" s="12" t="s">
        <v>727</v>
      </c>
      <c r="E7" s="12" t="s">
        <v>728</v>
      </c>
      <c r="F7" s="12" t="s">
        <v>729</v>
      </c>
      <c r="G7" s="12" t="s">
        <v>181</v>
      </c>
      <c r="H7" s="12" t="s">
        <v>182</v>
      </c>
      <c r="I7" s="12" t="s">
        <v>183</v>
      </c>
      <c r="J7" s="12" t="s">
        <v>730</v>
      </c>
      <c r="K7" s="12" t="s">
        <v>566</v>
      </c>
      <c r="L7" s="12" t="s">
        <v>567</v>
      </c>
      <c r="M7" s="12" t="s">
        <v>569</v>
      </c>
      <c r="N7" s="12" t="s">
        <v>731</v>
      </c>
    </row>
    <row r="8" spans="2:14" ht="80.25" customHeight="1">
      <c r="B8" s="25" t="s">
        <v>193</v>
      </c>
      <c r="C8" s="24" t="s">
        <v>732</v>
      </c>
      <c r="D8" s="24" t="s">
        <v>733</v>
      </c>
      <c r="E8" s="24" t="s">
        <v>734</v>
      </c>
      <c r="F8" s="24" t="s">
        <v>735</v>
      </c>
      <c r="G8" s="24" t="s">
        <v>736</v>
      </c>
      <c r="H8" s="24" t="s">
        <v>737</v>
      </c>
      <c r="I8" s="24" t="s">
        <v>738</v>
      </c>
      <c r="J8" s="24" t="s">
        <v>739</v>
      </c>
      <c r="K8" s="24" t="s">
        <v>740</v>
      </c>
      <c r="L8" s="24" t="s">
        <v>741</v>
      </c>
      <c r="M8" s="24" t="s">
        <v>742</v>
      </c>
      <c r="N8" s="24" t="s">
        <v>743</v>
      </c>
    </row>
    <row r="9" spans="2:14" ht="80.25" customHeight="1">
      <c r="B9" s="25" t="s">
        <v>197</v>
      </c>
      <c r="C9" s="24" t="s">
        <v>744</v>
      </c>
      <c r="D9" s="24" t="s">
        <v>745</v>
      </c>
      <c r="E9" s="24" t="s">
        <v>734</v>
      </c>
      <c r="F9" s="24" t="s">
        <v>746</v>
      </c>
      <c r="G9" s="24" t="s">
        <v>747</v>
      </c>
      <c r="H9" s="24" t="s">
        <v>748</v>
      </c>
      <c r="I9" s="24" t="s">
        <v>749</v>
      </c>
      <c r="J9" s="24" t="s">
        <v>750</v>
      </c>
      <c r="K9" s="24" t="s">
        <v>751</v>
      </c>
      <c r="L9" s="24" t="s">
        <v>752</v>
      </c>
      <c r="M9" s="24" t="s">
        <v>753</v>
      </c>
      <c r="N9" s="24" t="s">
        <v>754</v>
      </c>
    </row>
    <row r="10" spans="2:14" ht="80.25" customHeight="1">
      <c r="B10" s="25" t="s">
        <v>201</v>
      </c>
      <c r="C10" s="24" t="s">
        <v>755</v>
      </c>
      <c r="D10" s="24" t="s">
        <v>756</v>
      </c>
      <c r="E10" s="24" t="s">
        <v>734</v>
      </c>
      <c r="F10" s="24" t="s">
        <v>757</v>
      </c>
      <c r="G10" s="24" t="s">
        <v>758</v>
      </c>
      <c r="H10" s="24" t="s">
        <v>759</v>
      </c>
      <c r="I10" s="24" t="s">
        <v>760</v>
      </c>
      <c r="J10" s="24" t="s">
        <v>761</v>
      </c>
      <c r="K10" s="24" t="s">
        <v>587</v>
      </c>
      <c r="L10" s="24" t="s">
        <v>156</v>
      </c>
      <c r="M10" s="24" t="s">
        <v>762</v>
      </c>
      <c r="N10" s="24" t="s">
        <v>763</v>
      </c>
    </row>
    <row r="11" spans="2:14" ht="80.25" customHeight="1">
      <c r="B11" s="25" t="s">
        <v>205</v>
      </c>
      <c r="C11" s="24" t="s">
        <v>764</v>
      </c>
      <c r="D11" s="24" t="s">
        <v>765</v>
      </c>
      <c r="E11" s="24" t="s">
        <v>734</v>
      </c>
      <c r="F11" s="24" t="s">
        <v>766</v>
      </c>
      <c r="G11" s="24" t="s">
        <v>767</v>
      </c>
      <c r="H11" s="24" t="s">
        <v>768</v>
      </c>
      <c r="I11" s="24" t="s">
        <v>769</v>
      </c>
      <c r="J11" s="24" t="s">
        <v>770</v>
      </c>
      <c r="K11" s="24" t="s">
        <v>771</v>
      </c>
      <c r="L11" s="24" t="s">
        <v>150</v>
      </c>
      <c r="M11" s="24" t="s">
        <v>772</v>
      </c>
      <c r="N11" s="24" t="s">
        <v>773</v>
      </c>
    </row>
    <row r="12" spans="2:14" ht="80.25" customHeight="1">
      <c r="B12" s="25" t="s">
        <v>225</v>
      </c>
      <c r="C12" s="24" t="s">
        <v>774</v>
      </c>
      <c r="D12" s="24" t="s">
        <v>775</v>
      </c>
      <c r="E12" s="24" t="s">
        <v>734</v>
      </c>
      <c r="F12" s="24" t="s">
        <v>735</v>
      </c>
      <c r="G12" s="24" t="s">
        <v>776</v>
      </c>
      <c r="H12" s="24" t="s">
        <v>777</v>
      </c>
      <c r="I12" s="24" t="s">
        <v>778</v>
      </c>
      <c r="J12" s="24" t="s">
        <v>779</v>
      </c>
      <c r="K12" s="24" t="s">
        <v>780</v>
      </c>
      <c r="L12" s="24" t="s">
        <v>337</v>
      </c>
      <c r="M12" s="24" t="s">
        <v>781</v>
      </c>
      <c r="N12" s="24" t="s">
        <v>782</v>
      </c>
    </row>
    <row r="13" spans="2:14" ht="80.25" customHeight="1">
      <c r="B13" s="25" t="s">
        <v>217</v>
      </c>
      <c r="C13" s="24" t="s">
        <v>216</v>
      </c>
      <c r="D13" s="24" t="s">
        <v>783</v>
      </c>
      <c r="E13" s="24" t="s">
        <v>734</v>
      </c>
      <c r="F13" s="24" t="s">
        <v>784</v>
      </c>
      <c r="G13" s="24" t="s">
        <v>785</v>
      </c>
      <c r="H13" s="24" t="s">
        <v>786</v>
      </c>
      <c r="I13" s="24" t="s">
        <v>787</v>
      </c>
      <c r="J13" s="24" t="s">
        <v>788</v>
      </c>
      <c r="K13" s="24" t="s">
        <v>789</v>
      </c>
      <c r="L13" s="24" t="s">
        <v>328</v>
      </c>
      <c r="M13" s="24" t="s">
        <v>790</v>
      </c>
      <c r="N13" s="24" t="s">
        <v>791</v>
      </c>
    </row>
    <row r="14" spans="2:14" ht="80.25" customHeight="1">
      <c r="B14" s="25" t="s">
        <v>221</v>
      </c>
      <c r="C14" s="24" t="s">
        <v>220</v>
      </c>
      <c r="D14" s="24" t="s">
        <v>783</v>
      </c>
      <c r="E14" s="24" t="s">
        <v>734</v>
      </c>
      <c r="F14" s="24" t="s">
        <v>792</v>
      </c>
      <c r="G14" s="24" t="s">
        <v>220</v>
      </c>
      <c r="H14" s="24" t="s">
        <v>793</v>
      </c>
      <c r="I14" s="24" t="s">
        <v>794</v>
      </c>
      <c r="J14" s="24" t="s">
        <v>795</v>
      </c>
      <c r="K14" s="24" t="s">
        <v>796</v>
      </c>
      <c r="L14" s="24" t="s">
        <v>333</v>
      </c>
      <c r="M14" s="24" t="s">
        <v>797</v>
      </c>
      <c r="N14" s="24" t="s">
        <v>798</v>
      </c>
    </row>
    <row r="15" spans="2:14" ht="80.25" customHeight="1">
      <c r="B15" s="25" t="s">
        <v>209</v>
      </c>
      <c r="C15" s="24" t="s">
        <v>799</v>
      </c>
      <c r="D15" s="24" t="s">
        <v>800</v>
      </c>
      <c r="E15" s="24" t="s">
        <v>734</v>
      </c>
      <c r="F15" s="24" t="s">
        <v>735</v>
      </c>
      <c r="G15" s="24" t="s">
        <v>736</v>
      </c>
      <c r="H15" s="24" t="s">
        <v>737</v>
      </c>
      <c r="I15" s="24" t="s">
        <v>801</v>
      </c>
      <c r="J15" s="24" t="s">
        <v>802</v>
      </c>
      <c r="K15" s="24" t="s">
        <v>803</v>
      </c>
      <c r="L15" s="24" t="s">
        <v>160</v>
      </c>
      <c r="M15" s="24" t="s">
        <v>804</v>
      </c>
      <c r="N15" s="24" t="s">
        <v>805</v>
      </c>
    </row>
    <row r="16" spans="2:14" ht="80.25" customHeight="1">
      <c r="B16" s="25" t="s">
        <v>247</v>
      </c>
      <c r="C16" s="24" t="s">
        <v>806</v>
      </c>
      <c r="D16" s="24" t="s">
        <v>775</v>
      </c>
      <c r="E16" s="24" t="s">
        <v>734</v>
      </c>
      <c r="F16" s="24" t="s">
        <v>735</v>
      </c>
      <c r="G16" s="24" t="s">
        <v>807</v>
      </c>
      <c r="H16" s="24" t="s">
        <v>808</v>
      </c>
      <c r="I16" s="24" t="s">
        <v>809</v>
      </c>
      <c r="J16" s="24" t="s">
        <v>810</v>
      </c>
      <c r="K16" s="24" t="s">
        <v>811</v>
      </c>
      <c r="L16" s="24" t="s">
        <v>162</v>
      </c>
      <c r="M16" s="24" t="s">
        <v>812</v>
      </c>
      <c r="N16" s="24" t="s">
        <v>813</v>
      </c>
    </row>
    <row r="17" spans="2:14" ht="80.25" customHeight="1">
      <c r="B17" s="25" t="s">
        <v>237</v>
      </c>
      <c r="C17" s="24" t="s">
        <v>814</v>
      </c>
      <c r="D17" s="24" t="s">
        <v>775</v>
      </c>
      <c r="E17" s="24" t="s">
        <v>734</v>
      </c>
      <c r="F17" s="24" t="s">
        <v>815</v>
      </c>
      <c r="G17" s="24" t="s">
        <v>816</v>
      </c>
      <c r="H17" s="24" t="s">
        <v>817</v>
      </c>
      <c r="I17" s="24" t="s">
        <v>818</v>
      </c>
      <c r="J17" s="24" t="s">
        <v>819</v>
      </c>
      <c r="K17" s="24" t="s">
        <v>820</v>
      </c>
      <c r="L17" s="24" t="s">
        <v>821</v>
      </c>
      <c r="M17" s="24" t="s">
        <v>822</v>
      </c>
      <c r="N17" s="24" t="s">
        <v>823</v>
      </c>
    </row>
    <row r="18" spans="2:14" ht="80.25" customHeight="1">
      <c r="B18" s="25" t="s">
        <v>233</v>
      </c>
      <c r="C18" s="24" t="s">
        <v>232</v>
      </c>
      <c r="D18" s="24" t="s">
        <v>775</v>
      </c>
      <c r="E18" s="24" t="s">
        <v>734</v>
      </c>
      <c r="F18" s="24" t="s">
        <v>735</v>
      </c>
      <c r="G18" s="24" t="s">
        <v>824</v>
      </c>
      <c r="H18" s="24" t="s">
        <v>825</v>
      </c>
      <c r="I18" s="24" t="s">
        <v>826</v>
      </c>
      <c r="J18" s="24" t="s">
        <v>827</v>
      </c>
      <c r="K18" s="24" t="s">
        <v>828</v>
      </c>
      <c r="L18" s="24" t="s">
        <v>348</v>
      </c>
      <c r="M18" s="24" t="s">
        <v>829</v>
      </c>
      <c r="N18" s="24" t="s">
        <v>830</v>
      </c>
    </row>
    <row r="19" spans="2:14" ht="80.25" customHeight="1">
      <c r="B19" s="25" t="s">
        <v>213</v>
      </c>
      <c r="C19" s="24" t="s">
        <v>831</v>
      </c>
      <c r="D19" s="24" t="s">
        <v>832</v>
      </c>
      <c r="E19" s="24" t="s">
        <v>734</v>
      </c>
      <c r="F19" s="24" t="s">
        <v>833</v>
      </c>
      <c r="G19" s="24" t="s">
        <v>834</v>
      </c>
      <c r="H19" s="24" t="s">
        <v>835</v>
      </c>
      <c r="I19" s="24" t="s">
        <v>836</v>
      </c>
      <c r="J19" s="24" t="s">
        <v>837</v>
      </c>
      <c r="K19" s="24" t="s">
        <v>616</v>
      </c>
      <c r="L19" s="24" t="s">
        <v>167</v>
      </c>
      <c r="M19" s="24" t="s">
        <v>838</v>
      </c>
      <c r="N19" s="24" t="s">
        <v>839</v>
      </c>
    </row>
    <row r="20" spans="2:14" ht="80.25" customHeight="1">
      <c r="B20" s="25" t="s">
        <v>260</v>
      </c>
      <c r="C20" s="24" t="s">
        <v>840</v>
      </c>
      <c r="D20" s="24" t="s">
        <v>841</v>
      </c>
      <c r="E20" s="24" t="s">
        <v>842</v>
      </c>
      <c r="F20" s="24" t="s">
        <v>843</v>
      </c>
      <c r="G20" s="24" t="s">
        <v>844</v>
      </c>
      <c r="H20" s="24" t="s">
        <v>845</v>
      </c>
      <c r="I20" s="24" t="s">
        <v>846</v>
      </c>
      <c r="J20" s="24" t="s">
        <v>847</v>
      </c>
      <c r="K20" s="24" t="s">
        <v>701</v>
      </c>
      <c r="L20" s="24" t="s">
        <v>154</v>
      </c>
      <c r="M20" s="24" t="s">
        <v>848</v>
      </c>
      <c r="N20" s="24" t="s">
        <v>849</v>
      </c>
    </row>
    <row r="21" spans="2:14" ht="80.25" customHeight="1">
      <c r="B21" s="25" t="s">
        <v>229</v>
      </c>
      <c r="C21" s="24" t="s">
        <v>850</v>
      </c>
      <c r="D21" s="24" t="s">
        <v>851</v>
      </c>
      <c r="E21" s="24" t="s">
        <v>26</v>
      </c>
      <c r="F21" s="24" t="s">
        <v>852</v>
      </c>
      <c r="G21" s="24" t="s">
        <v>26</v>
      </c>
      <c r="H21" s="24" t="s">
        <v>26</v>
      </c>
      <c r="I21" s="24" t="s">
        <v>853</v>
      </c>
      <c r="J21" s="24" t="s">
        <v>854</v>
      </c>
      <c r="K21" s="24" t="s">
        <v>855</v>
      </c>
      <c r="L21" s="24" t="s">
        <v>856</v>
      </c>
      <c r="M21" s="24" t="s">
        <v>857</v>
      </c>
      <c r="N21" s="24" t="s">
        <v>858</v>
      </c>
    </row>
    <row r="23" spans="2:14">
      <c r="B23" s="50" t="s">
        <v>859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9" spans="2:14" ht="8" customHeight="1"/>
    <row r="33" ht="8" customHeight="1"/>
  </sheetData>
  <mergeCells count="1">
    <mergeCell ref="B23:N23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Listen">
    <tabColor rgb="FFCBD5E1"/>
  </sheetPr>
  <dimension ref="A1:K8"/>
  <sheetViews>
    <sheetView showGridLines="0" workbookViewId="0"/>
  </sheetViews>
  <sheetFormatPr defaultRowHeight="15"/>
  <cols>
    <col min="1" max="1" width="21" customWidth="1"/>
    <col min="2" max="2" width="20.140625" customWidth="1"/>
    <col min="3" max="4" width="17.42578125" customWidth="1"/>
    <col min="5" max="5" width="24.85546875" customWidth="1"/>
    <col min="6" max="6" width="29.42578125" customWidth="1"/>
    <col min="7" max="7" width="41.42578125" customWidth="1"/>
    <col min="8" max="8" width="29.42578125" customWidth="1"/>
    <col min="9" max="9" width="36" customWidth="1"/>
    <col min="10" max="10" width="3.7109375" customWidth="1"/>
    <col min="11" max="11" width="26.7109375" customWidth="1"/>
  </cols>
  <sheetData>
    <row r="1" spans="1:11" ht="42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K1" s="12" t="s">
        <v>42</v>
      </c>
    </row>
    <row r="2" spans="1:11">
      <c r="A2" s="44" t="s">
        <v>9</v>
      </c>
      <c r="B2" s="44" t="s">
        <v>10</v>
      </c>
      <c r="C2" s="44" t="s">
        <v>11</v>
      </c>
      <c r="D2" s="44" t="s">
        <v>12</v>
      </c>
      <c r="E2" s="44" t="s">
        <v>13</v>
      </c>
      <c r="F2" s="44" t="s">
        <v>14</v>
      </c>
      <c r="G2" s="44" t="s">
        <v>15</v>
      </c>
      <c r="H2" s="44" t="s">
        <v>16</v>
      </c>
      <c r="I2" s="44" t="s">
        <v>10</v>
      </c>
      <c r="K2" s="44" t="s">
        <v>43</v>
      </c>
    </row>
    <row r="3" spans="1:11">
      <c r="A3" s="44" t="s">
        <v>17</v>
      </c>
      <c r="B3" s="44" t="s">
        <v>18</v>
      </c>
      <c r="C3" s="44" t="s">
        <v>19</v>
      </c>
      <c r="D3" s="44" t="s">
        <v>20</v>
      </c>
      <c r="E3" s="44" t="s">
        <v>21</v>
      </c>
      <c r="F3" s="44" t="s">
        <v>22</v>
      </c>
      <c r="G3" s="44" t="s">
        <v>23</v>
      </c>
      <c r="H3" s="44" t="s">
        <v>24</v>
      </c>
      <c r="I3" s="44" t="s">
        <v>18</v>
      </c>
      <c r="K3" s="44" t="s">
        <v>44</v>
      </c>
    </row>
    <row r="4" spans="1:11">
      <c r="A4" s="44" t="s">
        <v>25</v>
      </c>
      <c r="B4" s="44" t="s">
        <v>26</v>
      </c>
      <c r="C4" s="44" t="s">
        <v>27</v>
      </c>
      <c r="D4" s="44" t="s">
        <v>28</v>
      </c>
      <c r="E4" s="44" t="s">
        <v>29</v>
      </c>
      <c r="F4" s="44"/>
      <c r="G4" s="44" t="s">
        <v>30</v>
      </c>
      <c r="H4" s="44" t="s">
        <v>31</v>
      </c>
      <c r="I4" s="44" t="s">
        <v>26</v>
      </c>
      <c r="K4" s="44" t="s">
        <v>45</v>
      </c>
    </row>
    <row r="5" spans="1:11">
      <c r="A5" s="44" t="s">
        <v>32</v>
      </c>
      <c r="B5" s="44" t="s">
        <v>33</v>
      </c>
      <c r="C5" s="44"/>
      <c r="D5" s="44" t="s">
        <v>9</v>
      </c>
      <c r="E5" s="44" t="s">
        <v>34</v>
      </c>
      <c r="F5" s="44"/>
      <c r="G5" s="44" t="s">
        <v>35</v>
      </c>
      <c r="H5" s="44" t="s">
        <v>36</v>
      </c>
      <c r="I5" s="44"/>
      <c r="K5" s="44" t="s">
        <v>46</v>
      </c>
    </row>
    <row r="6" spans="1:11">
      <c r="A6" s="44" t="s">
        <v>33</v>
      </c>
      <c r="B6" s="44"/>
      <c r="C6" s="44"/>
      <c r="D6" s="44"/>
      <c r="E6" s="44" t="s">
        <v>37</v>
      </c>
      <c r="F6" s="44"/>
      <c r="G6" s="44" t="s">
        <v>38</v>
      </c>
      <c r="H6" s="44" t="s">
        <v>38</v>
      </c>
      <c r="I6" s="44"/>
    </row>
    <row r="7" spans="1:11">
      <c r="A7" s="44"/>
      <c r="B7" s="44"/>
      <c r="C7" s="44"/>
      <c r="D7" s="44"/>
      <c r="E7" s="44" t="s">
        <v>39</v>
      </c>
      <c r="F7" s="44"/>
      <c r="G7" s="44"/>
      <c r="H7" s="44" t="s">
        <v>40</v>
      </c>
      <c r="I7" s="44"/>
    </row>
    <row r="8" spans="1:11">
      <c r="A8" s="44"/>
      <c r="B8" s="44"/>
      <c r="C8" s="44"/>
      <c r="D8" s="44"/>
      <c r="E8" s="44" t="s">
        <v>41</v>
      </c>
      <c r="F8" s="44"/>
      <c r="G8" s="44"/>
      <c r="H8" s="44"/>
      <c r="I8" s="4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Start &amp; Übersicht</vt:lpstr>
      <vt:lpstr>Stammdaten</vt:lpstr>
      <vt:lpstr>To-do Vertragsmapping</vt:lpstr>
      <vt:lpstr>To-do Mailerstellung</vt:lpstr>
      <vt:lpstr>Testmail-Generator</vt:lpstr>
      <vt:lpstr>Testfall-Tracking</vt:lpstr>
      <vt:lpstr>BE Übersicht</vt:lpstr>
      <vt:lpstr>Testfall-Matrix</vt:lpstr>
      <vt:lpstr>Agenturkonstellationen</vt:lpstr>
      <vt:lpstr>Vertragskonstellationen</vt:lpstr>
      <vt:lpstr>Mailanforderungen</vt:lpstr>
      <vt:lpstr>Listen &amp; Parameter</vt:lpstr>
      <vt:lpstr>cfg_AbsenderAdresse</vt:lpstr>
      <vt:lpstr>cfg_Datum</vt:lpstr>
      <vt:lpstr>cfg_EmpfaengerAdresse</vt:lpstr>
      <vt:lpstr>cfg_Ordner</vt:lpstr>
      <vt:lpstr>cfg_Ort</vt:lpstr>
      <vt:lpstr>cfg_P01Adresse</vt:lpstr>
      <vt:lpstr>cfg_P02Adresse</vt:lpstr>
      <vt:lpstr>cfg_P03Adresse</vt:lpstr>
      <vt:lpstr>cfg_P03Name</vt:lpstr>
      <vt:lpstr>cfg_P04Adresse</vt:lpstr>
      <vt:lpstr>cfg_P04Name</vt:lpstr>
      <vt:lpstr>cfg_Testvermerk</vt:lpstr>
      <vt:lpstr>Agenturkonstellationen!Print_Titles</vt:lpstr>
      <vt:lpstr>'BE Übersicht'!Print_Titles</vt:lpstr>
      <vt:lpstr>Mailanforderungen!Print_Titles</vt:lpstr>
      <vt:lpstr>Stammdaten!Print_Titles</vt:lpstr>
      <vt:lpstr>'Testfall-Matrix'!Print_Titles</vt:lpstr>
      <vt:lpstr>'Testfall-Tracking'!Print_Titles</vt:lpstr>
      <vt:lpstr>'To-do Mailerstellung'!Print_Titles</vt:lpstr>
      <vt:lpstr>'To-do Vertragsmapping'!Print_Titles</vt:lpstr>
      <vt:lpstr>Vertragskonstellationen!Print_Titles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Prüfbot-Testing</dc:title>
  <dc:subject>Testvorbereitung Prüfbot Bestandsübertragung</dc:subject>
  <dc:creator/>
  <dc:description>Neu aufgebaut aus Pruefbot_Testing.xlsx; Testmail-Generator (EML + Vollmacht-PDF).</dc:description>
  <cp:lastModifiedBy/>
  <dcterms:created xsi:type="dcterms:W3CDTF">2026-10-08T15:28:13Z</dcterms:created>
  <dcterms:modified xsi:type="dcterms:W3CDTF">2026-10-08T15:28:13Z</dcterms:modified>
</cp:coreProperties>
</file>