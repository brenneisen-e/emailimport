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<sst xmlns="http://schemas.openxmlformats.org/spreadsheetml/2006/main" count="3316" uniqueCount="1085">
  <si>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</si>
  <si>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</si>
  <si>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</si>
  <si>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</si>
  <si>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</si>
  <si>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</si>
  <si>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</si>
  <si>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</si>
  <si>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</si>
  <si>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</si>
  <si>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</si>
  <si>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</si>
  <si>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</si>
  <si>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</si>
  <si>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</si>
  <si>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</si>
  <si>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</si>
  <si>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</si>
  <si>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</si>
  <si>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</si>
  <si>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</si>
  <si>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</si>
  <si>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</si>
  <si>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</si>
  <si>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</si>
  <si>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</si>
  <si>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</si>
  <si>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</si>
  <si>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</si>
  <si>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</si>
  <si>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</si>
  <si>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</si>
  <si>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</si>
  <si>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</si>
  <si>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</si>
  <si>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</si>
  <si>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</si>
  <si>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</si>
  <si>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</si>
  <si>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</si>
  <si>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</si>
  <si>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</si>
  <si>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</si>
  <si>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</si>
  <si>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</si>
  <si>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</si>
  <si>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</si>
  <si>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</si>
  <si>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</si>
  <si>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</si>
  <si>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</si>
  <si>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</si>
  <si>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</si>
  <si>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</si>
  <si>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</si>
  <si>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</si>
  <si>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</si>
  <si>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</si>
  <si>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</si>
  <si>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</si>
  <si>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</si>
  <si>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</si>
  <si>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</si>
  <si>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</si>
  <si>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</si>
  <si>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</si>
  <si>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</si>
  <si>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</si>
  <si>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</si>
  <si>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</si>
  <si>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</si>
  <si>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</si>
  <si>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</si>
  <si>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</si>
  <si>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</si>
  <si>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</si>
  <si>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</si>
  <si>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</si>
  <si>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</si>
  <si>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</si>
  <si>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</si>
  <si>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</si>
  <si>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</si>
  <si>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</si>
  <si>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</si>
  <si>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</si>
  <si>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</si>
  <si>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</si>
  <si>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</si>
  <si>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</si>
  <si>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</si>
  <si>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</si>
  <si>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</si>
  <si>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</si>
  <si>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</si>
  <si>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</si>
  <si>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</si>
  <si>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</si>
  <si>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</si>
  <si>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</si>
  <si>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</si>
  <si>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</si>
  <si>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</si>
  <si>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</si>
  <si>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</si>
  <si>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</si>
  <si>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</si>
  <si>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</si>
  <si>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</si>
  <si>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</si>
  <si>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</si>
  <si>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</si>
  <si>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</si>
  <si>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</si>
  <si>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</si>
  <si>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</si>
  <si>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</si>
  <si>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</si>
  <si>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</si>
  <si>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</si>
  <si>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</si>
  <si>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</si>
  <si>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</si>
  <si>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</si>
  <si>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</si>
  <si>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</si>
  <si>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</si>
  <si>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</si>
  <si>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</si>
  <si>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</si>
  <si>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</si>
  <si>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</si>
  <si>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</si>
  <si>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</si>
  <si>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</si>
  <si>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</si>
  <si>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</si>
  <si>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</si>
  <si>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</si>
  <si>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</si>
  <si>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</si>
  <si>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</si>
  <si>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</si>
  <si>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</si>
  <si>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</si>
  <si>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</si>
  <si>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</si>
  <si>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</si>
  <si>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</si>
  <si>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</si>
  <si>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</si>
  <si>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</si>
  <si>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</si>
  <si>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</si>
  <si>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</si>
  <si>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</si>
  <si>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</si>
  <si>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</si>
  <si>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</si>
  <si>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</si>
  <si>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</si>
  <si>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</si>
  <si>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</si>
  <si>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</si>
  <si>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</si>
  <si>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</si>
  <si>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</si>
  <si>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</si>
  <si>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</si>
  <si>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</si>
  <si>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</si>
  <si>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</si>
  <si>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</si>
  <si>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</si>
  <si>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</si>
  <si>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</si>
  <si>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</si>
  <si>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</si>
  <si>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</si>
  <si>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</si>
  <si>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</si>
  <si>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</si>
  <si>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</si>
  <si>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</si>
  <si>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</si>
  <si>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</si>
  <si>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</si>
  <si>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</si>
  <si>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</si>
  <si>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</si>
  <si>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</si>
  <si>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</si>
  <si>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</si>
  <si>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</si>
  <si>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</si>
  <si>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</si>
  <si>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</si>
  <si>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</si>
  <si>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</si>
  <si>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</si>
  <si>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</si>
  <si>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</si>
  <si>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</si>
  <si>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</si>
  <si>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</si>
  <si>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</si>
  <si>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</si>
  <si>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</si>
  <si>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</si>
  <si>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</si>
  <si>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</si>
  <si>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</si>
  <si>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</si>
  <si>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</si>
  <si>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</si>
  <si>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</si>
  <si>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</si>
  <si>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</si>
  <si>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</si>
  <si>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</si>
  <si>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</si>
  <si>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</si>
  <si>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</si>
  <si>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</si>
  <si>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</si>
  <si>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</si>
  <si>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</si>
  <si>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</si>
  <si>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</si>
  <si>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</si>
  <si>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</si>
  <si>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</si>
  <si>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</si>
  <si>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</si>
  <si>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</si>
  <si>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</si>
  <si>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</si>
  <si>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</si>
  <si>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</si>
  <si>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</si>
  <si>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</si>
  <si>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</si>
  <si>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</si>
  <si>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</si>
  <si>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</si>
  <si>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</si>
  <si>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</si>
  <si>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</si>
  <si>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</si>
  <si>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</si>
  <si>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</si>
  <si>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</si>
  <si>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</si>
  <si>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</si>
  <si>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</si>
  <si>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</si>
  <si>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</si>
  <si>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</si>
  <si>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</si>
  <si>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</si>
  <si>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</si>
  <si>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</si>
  <si>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</si>
  <si>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</si>
  <si>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</si>
  <si>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</si>
  <si>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</si>
  <si>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</si>
  <si>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</si>
  <si>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</si>
  <si>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</si>
  <si>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</si>
  <si>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</si>
  <si>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</si>
  <si>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</si>
  <si>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</si>
  <si>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</si>
  <si>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</si>
  <si>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</si>
  <si>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</si>
  <si>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</si>
  <si>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</si>
  <si>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</si>
  <si>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</si>
  <si>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</si>
  <si>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</si>
  <si>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</si>
  <si>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</si>
  <si>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</si>
  <si>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</si>
  <si>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</si>
  <si>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</si>
  <si>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</si>
  <si>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</si>
  <si>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</si>
  <si>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</si>
  <si>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</si>
  <si>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</si>
  <si>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</si>
  <si>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</si>
  <si>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</si>
  <si>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</si>
  <si>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</si>
  <si>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</si>
  <si>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</si>
  <si>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</si>
  <si>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</si>
  <si>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</si>
  <si>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</si>
  <si>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</si>
  <si>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</si>
  <si>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</si>
  <si>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</si>
  <si>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</si>
  <si>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</si>
  <si>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</si>
  <si>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</si>
  <si>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</si>
  <si>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</si>
  <si>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</si>
  <si>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</si>
  <si>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</si>
  <si>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</si>
  <si>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</si>
  <si>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</si>
  <si>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</si>
  <si>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</si>
  <si>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</si>
  <si>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</si>
  <si>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</si>
  <si>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</si>
  <si>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</si>
  <si>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</si>
  <si>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</si>
  <si>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</si>
  <si>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</si>
  <si>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</si>
  <si>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</si>
  <si>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</si>
  <si>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</si>
  <si>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</si>
  <si>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</si>
  <si>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</si>
  <si>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</si>
  <si>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</si>
  <si>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</si>
  <si>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</si>
  <si>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</si>
  <si>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</si>
  <si>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</si>
  <si>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</si>
  <si>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</si>
  <si>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</si>
  <si>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</si>
  <si>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</si>
  <si>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</si>
  <si>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</si>
  <si>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</si>
  <si>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</si>
  <si>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</si>
  <si>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</si>
  <si>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</si>
  <si>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</si>
  <si>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</si>
  <si>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</si>
  <si>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</si>
  <si>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</si>
  <si>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</si>
  <si>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</si>
  <si>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</si>
  <si>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</si>
  <si>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</si>
  <si>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</si>
  <si>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</si>
  <si>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</si>
  <si>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</si>
  <si>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</si>
  <si>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</si>
  <si>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</si>
  <si>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</si>
  <si>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</si>
  <si>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</si>
  <si>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</si>
  <si>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</si>
  <si>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</si>
  <si>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</si>
  <si>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</si>
  <si>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</si>
  <si>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</si>
  <si>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</si>
  <si>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</si>
  <si>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</si>
  <si>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</si>
  <si>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</si>
  <si>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</si>
  <si>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</si>
  <si>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</si>
  <si>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</si>
  <si>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</si>
  <si>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</si>
  <si>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</si>
  <si>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</si>
  <si>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</si>
  <si>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</si>
  <si>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</si>
  <si>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</si>
  <si>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</si>
  <si>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</si>
  <si>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</si>
  <si>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</si>
  <si>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</si>
  <si>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</si>
  <si>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</si>
  <si>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</si>
  <si>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</si>
  <si>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</si>
  <si>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</si>
  <si>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</si>
  <si>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</si>
  <si>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</si>
  <si>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</si>
  <si>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</si>
  <si>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</si>
  <si>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</si>
  <si>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</si>
  <si>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</si>
  <si>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</si>
  <si>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</si>
  <si>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</si>
  <si>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</si>
  <si>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</si>
  <si>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</si>
  <si>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</si>
  <si>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</si>
  <si>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</si>
  <si>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</si>
  <si>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</si>
  <si>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</si>
  <si>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</si>
  <si>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</si>
  <si>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</si>
  <si>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</si>
  <si>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</si>
  <si>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</si>
  <si>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</si>
  <si>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</si>
  <si>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</si>
  <si>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</si>
  <si>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</si>
  <si>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</si>
  <si>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</si>
  <si>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</si>
  <si>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</si>
  <si>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</si>
  <si>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</si>
  <si>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</si>
  <si>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</si>
  <si>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</si>
  <si>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</si>
  <si>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</si>
  <si>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</si>
  <si>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</si>
  <si>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</si>
  <si>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</si>
  <si>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</si>
  <si>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</si>
  <si>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</si>
  <si>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</si>
  <si>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</si>
  <si>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</si>
  <si>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</si>
  <si>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</si>
  <si>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</si>
  <si>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</si>
  <si>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</si>
  <si>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</si>
  <si>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</si>
  <si>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</si>
  <si>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</si>
  <si>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</si>
  <si>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</si>
  <si>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</si>
  <si>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</si>
  <si>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</si>
  <si>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</si>
  <si>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</si>
  <si>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</si>
  <si>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</si>
  <si>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</si>
  <si>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</si>
  <si>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</si>
  <si>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</si>
  <si>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</si>
  <si>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</si>
  <si>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</si>
  <si>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</si>
  <si>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</si>
  <si>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</si>
  <si>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</si>
  <si>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</si>
  <si>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</si>
  <si>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</si>
  <si>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</si>
  <si>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</si>
  <si>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</si>
  <si>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</si>
  <si>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</si>
  <si>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</si>
  <si>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</si>
  <si>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</si>
  <si>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</si>
  <si>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</si>
  <si>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</si>
  <si>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</si>
  <si>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</si>
  <si>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</si>
  <si>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</si>
  <si>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</si>
  <si>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</si>
  <si>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</si>
  <si>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</si>
  <si>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</si>
  <si>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</si>
  <si>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</si>
  <si>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</si>
  <si>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</si>
  <si>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</si>
  <si>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</si>
  <si>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</si>
  <si>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</si>
  <si>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</si>
  <si>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</si>
  <si>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</si>
  <si>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</si>
  <si>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</si>
  <si>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</si>
  <si>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</si>
  <si>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</si>
  <si>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</si>
  <si>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</si>
  <si>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</si>
  <si>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</si>
  <si>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</si>
  <si>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</si>
  <si>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</si>
  <si>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</si>
  <si>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</si>
  <si>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</si>
  <si>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</si>
  <si>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</si>
  <si>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</si>
  <si>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</si>
  <si>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</si>
  <si>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</si>
  <si>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</si>
  <si>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</si>
  <si>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</si>
  <si>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</si>
  <si>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</si>
  <si>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</si>
  <si>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</si>
  <si>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</si>
  <si>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</si>
  <si>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</si>
  <si>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</si>
  <si>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</si>
  <si>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Platz 27</t>
  </si>
  <si>
    <t>Platz 28</t>
  </si>
  <si>
    <t>Platz 29</t>
  </si>
  <si>
    <t>Platz 30</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</si>
  <si>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</si>
  <si>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</si>
  <si>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</si>
  <si>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</si>
  <si>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</si>
  <si>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</si>
  <si>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</si>
  <si>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</si>
  <si>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</si>
  <si>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</si>
  <si>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</si>
  <si>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</si>
  <si>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</si>
  <si>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</si>
  <si>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</si>
  <si>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</si>
  <si>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</si>
  <si>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</si>
  <si>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</si>
  <si>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</si>
  <si>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</si>
  <si>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</si>
  <si>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</si>
  <si>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</si>
  <si>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</si>
  <si>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</si>
  <si>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</si>
  <si>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</si>
  <si>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</si>
  <si>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</si>
  <si>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</si>
  <si>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</si>
  <si>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</si>
  <si>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_off7V</t>
  </si>
  <si>
    <t>BÜ-Kachel 7V: Woche des Platzes</t>
  </si>
  <si>
    <t>berechnet</t>
  </si>
  <si>
    <t>_rol7V</t>
  </si>
  <si>
    <t>BÜ-Kachel 7V: Rolle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</si>
  <si>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</si>
  <si>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</si>
  <si>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</si>
  <si>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</si>
  <si>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</si>
  <si>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</si>
  <si>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</si>
  <si>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</si>
  <si>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</si>
  <si>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</si>
  <si>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</si>
  <si>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</si>
  <si>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</si>
  <si>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</si>
  <si>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</si>
  <si>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</si>
  <si>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</si>
  <si>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</si>
  <si>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</si>
  <si>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</si>
  <si>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</si>
  <si>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</si>
  <si>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</si>
  <si>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</si>
  <si>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</si>
  <si>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</si>
  <si>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</si>
  <si>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</si>
  <si>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</si>
  <si>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</si>
  <si>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</si>
  <si>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</si>
  <si>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</si>
  <si>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</si>
  <si>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</si>
  <si>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</si>
  <si>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</si>
  <si>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</si>
  <si>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</si>
  <si>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</si>
  <si>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</si>
  <si>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</si>
  <si>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</si>
  <si>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</si>
  <si>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</si>
  <si>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</si>
  <si>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</si>
  <si>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</si>
  <si>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</si>
  <si>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</si>
  <si>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</si>
  <si>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</si>
  <si>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</si>
  <si>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</si>
  <si>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</si>
  <si>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</si>
  <si>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</si>
  <si>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</si>
  <si>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</si>
  <si>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</si>
  <si>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</si>
  <si>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</si>
  <si>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</si>
  <si>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</si>
  <si>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</si>
  <si>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</si>
  <si>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</si>
  <si>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</si>
  <si>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</si>
  <si>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</si>
  <si>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</si>
  <si>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</si>
  <si>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</si>
  <si>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</si>
  <si>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</si>
  <si>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</si>
  <si>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</si>
  <si>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</si>
  <si>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</si>
  <si>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</si>
  <si>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</si>
  <si>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</si>
  <si>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</si>
  <si>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KW_7O</t>
  </si>
  <si>
    <t>BÜ-Kachel 7O: angezeigte KW</t>
  </si>
  <si>
    <t>_off7O</t>
  </si>
  <si>
    <t>BÜ-Kachel 7O: Woche des Platzes</t>
  </si>
  <si>
    <t>_rol7O</t>
  </si>
  <si>
    <t>BÜ-Kachel 7O: Rolle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</si>
  <si>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</si>
  <si>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</si>
  <si>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</si>
  <si>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</si>
  <si>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</si>
  <si>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</si>
  <si>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</si>
  <si>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</si>
  <si>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</si>
  <si>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</si>
  <si>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</si>
  <si>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</si>
  <si>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</si>
  <si>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</si>
  <si>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</si>
  <si>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</si>
  <si>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</si>
  <si>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</si>
  <si>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</si>
  <si>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</si>
  <si>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</si>
  <si>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</si>
  <si>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</si>
  <si>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</si>
  <si>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</si>
  <si>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</si>
  <si>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</si>
  <si>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</si>
  <si>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</si>
  <si>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</si>
  <si>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</si>
  <si>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</si>
  <si>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</si>
  <si>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</si>
  <si>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</si>
  <si>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</si>
  <si>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</si>
  <si>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</si>
  <si>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</si>
  <si>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</si>
  <si>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</si>
  <si>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</si>
  <si>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</si>
  <si>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</si>
  <si>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</si>
  <si>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</si>
  <si>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</si>
  <si>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</si>
  <si>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</si>
  <si>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</si>
  <si>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</si>
  <si>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</si>
  <si>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</si>
  <si>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</si>
  <si>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</si>
  <si>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</si>
  <si>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</si>
  <si>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</si>
  <si>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</si>
  <si>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</si>
  <si>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</si>
  <si>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</si>
  <si>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</si>
  <si>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</si>
  <si>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</si>
  <si>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</si>
  <si>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</si>
  <si>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</si>
  <si>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</si>
  <si>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</si>
  <si>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</si>
  <si>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</si>
  <si>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</si>
  <si>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</si>
  <si>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</si>
  <si>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</si>
  <si>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</si>
  <si>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</si>
  <si>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</si>
  <si>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</si>
  <si>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</si>
  <si>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</si>
  <si>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</si>
  <si>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</si>
  <si>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</si>
  <si>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</si>
  <si>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</si>
  <si>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</si>
  <si>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</si>
  <si>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</si>
  <si>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</si>
  <si>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</si>
  <si>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</si>
  <si>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</si>
  <si>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</si>
  <si>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</si>
  <si>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</si>
  <si>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</si>
  <si>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</si>
  <si>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</si>
  <si>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</si>
  <si>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</si>
  <si>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</si>
  <si>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</si>
  <si>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8_an</t>
  </si>
  <si>
    <t>Provisionsreklamation AO: Delta-Zeile an (1) / aus (0)</t>
  </si>
  <si>
    <t>8_dauf</t>
  </si>
  <si>
    <t>Provisionsreklamation AO: Delta-Zeile (auf)</t>
  </si>
  <si>
    <t>8_dab</t>
  </si>
  <si>
    <t>Provisionsreklamation AO: Delta-Zeile (ab)</t>
  </si>
  <si>
    <t>8_dnull</t>
  </si>
  <si>
    <t>Provisionsreklamation AO: Delta-Zeile (null)</t>
  </si>
  <si>
    <t>8_dt</t>
  </si>
  <si>
    <t>Provisionsreklamation AO: Delta Zunahmen minus Abnahmen (Text)</t>
  </si>
  <si>
    <t>11e_an</t>
  </si>
  <si>
    <t>Defect Fixing: Delta-Zeile an (1) / aus (0)</t>
  </si>
  <si>
    <t>11e_dauf</t>
  </si>
  <si>
    <t>Defect Fixing: Delta-Zeile (auf)</t>
  </si>
  <si>
    <t>11e_dab</t>
  </si>
  <si>
    <t>Defect Fixing: Delta-Zeile (ab)</t>
  </si>
  <si>
    <t>11e_dnull</t>
  </si>
  <si>
    <t>Defect Fixing: Delta-Zeile (null)</t>
  </si>
  <si>
    <t>11e_dt</t>
  </si>
  <si>
    <t>Defect Fixing: Delta Zunahmen minus Abnahmen (Text)</t>
  </si>
  <si>
    <t>11k_an</t>
  </si>
  <si>
    <t>Defects op. Betrieb: Delta-Zeile an (1) / aus (0)</t>
  </si>
  <si>
    <t>11k_dauf</t>
  </si>
  <si>
    <t>Defects op. Betrieb: Delta-Zeile (auf)</t>
  </si>
  <si>
    <t>11k_dab</t>
  </si>
  <si>
    <t>Defects op. Betrieb: Delta-Zeile (ab)</t>
  </si>
  <si>
    <t>11k_dnull</t>
  </si>
  <si>
    <t>Defects op. Betrieb: Delta-Zeile (null)</t>
  </si>
  <si>
    <t>11k_dt</t>
  </si>
  <si>
    <t>Defects op. Betrieb: Delta Zunahmen minus Abnahmen (Text)</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</si>
  <si>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</si>
  <si>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</si>
  <si>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</si>
  <si>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</si>
  <si>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</si>
  <si>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</si>
  <si>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</si>
  <si>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</si>
  <si>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</si>
  <si>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</si>
  <si>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</si>
  <si>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</si>
  <si>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</si>
  <si>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</si>
  <si>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</si>
  <si>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</si>
  <si>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</si>
  <si>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</si>
  <si>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</si>
  <si>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</si>
  <si>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</si>
  <si>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</si>
  <si>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</si>
  <si>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</si>
  <si>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</si>
  <si>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</si>
  <si>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</si>
  <si>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</si>
  <si>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</si>
  <si>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</si>
  <si>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</si>
  <si>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</si>
  <si>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</si>
  <si>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</si>
  <si>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</si>
  <si>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</si>
  <si>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</si>
  <si>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</si>
  <si>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</si>
  <si>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</si>
  <si>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</si>
  <si>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</si>
  <si>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</si>
  <si>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</si>
  <si>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</si>
  <si>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</si>
  <si>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</si>
  <si>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</si>
  <si>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</si>
  <si>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</si>
  <si>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</si>
  <si>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</si>
  <si>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</si>
  <si>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</si>
  <si>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</si>
  <si>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</si>
  <si>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</si>
  <si>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</si>
  <si>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</si>
  <si>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</si>
  <si>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</si>
  <si>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</si>
  <si>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</si>
  <si>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</si>
  <si>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</si>
  <si>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</si>
  <si>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</si>
  <si>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</si>
  <si>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</si>
  <si>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</si>
  <si>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</si>
  <si>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</si>
  <si>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</si>
  <si>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</si>
  <si>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</si>
  <si>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</si>
  <si>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</si>
  <si>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</si>
  <si>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</si>
  <si>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</si>
  <si>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</si>
  <si>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</si>
  <si>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</si>
  <si>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</si>
  <si>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</si>
  <si>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</si>
  <si>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</si>
  <si>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</si>
  <si>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</si>
  <si>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</si>
  <si>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</si>
  <si>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</si>
  <si>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</si>
  <si>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</si>
  <si>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</si>
  <si>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</si>
  <si>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</si>
  <si>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</si>
  <si>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</si>
  <si>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</si>
  <si>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</si>
  <si>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</si>
  <si>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</si>
  <si>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</si>
  <si>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</si>
  <si>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</si>
  <si>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</si>
  <si>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</si>
  <si>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</si>
  <si>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</si>
  <si>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</si>
  <si>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</si>
  <si>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</si>
  <si>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</si>
  <si>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</si>
  <si>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</si>
  <si>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</si>
  <si>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</si>
  <si>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</si>
  <si>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</si>
  <si>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</si>
  <si>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</si>
  <si>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</si>
  <si>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</si>
  <si>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</si>
  <si>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</si>
  <si>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</si>
  <si>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</si>
  <si>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</si>
  <si>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</si>
  <si>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</si>
  <si>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</si>
  <si>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</si>
  <si>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</si>
  <si>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</si>
  <si>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</si>
  <si>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</si>
  <si>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</si>
  <si>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</si>
  <si>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</si>
  <si>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</si>
  <si>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</si>
  <si>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</si>
  <si>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</si>
  <si>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</si>
  <si>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</si>
  <si>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</si>
  <si>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</si>
  <si>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</si>
  <si>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</si>
  <si>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</si>
  <si>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</si>
  <si>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</si>
  <si>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</si>
  <si>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</si>
  <si>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</si>
  <si>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</si>
  <si>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</si>
  <si>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</si>
  <si>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</si>
  <si>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</si>
  <si>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</si>
  <si>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</si>
  <si>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</si>
  <si>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</si>
  <si>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</si>
  <si>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</si>
  <si>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</si>
  <si>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</si>
  <si>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</si>
  <si>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</si>
  <si>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</si>
  <si>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</si>
  <si>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</si>
  <si>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</si>
  <si>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</si>
  <si>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</si>
  <si>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</si>
  <si>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</si>
  <si>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</si>
  <si>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</si>
  <si>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</si>
  <si>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</si>
  <si>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</si>
  <si>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</si>
  <si>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</si>
  <si>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</si>
  <si>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</si>
  <si>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</si>
  <si>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</si>
  <si>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</si>
  <si>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</si>
  <si>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</si>
  <si>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t>
  </si>
  <si>
    <t>Dashboard_Daten!$D$36</t>
  </si>
  <si>
    <t>Summe über der Säule|K1_Rueckstand&gt;Summe&gt;64|</t>
  </si>
  <si>
    <t>Werte je Sparte daneben|K1_Rueckstand&gt;Wert Komposit&gt;59,K1_Rueckstand&gt;Wert Gesundheit&gt;56,K1_Rueckstand&gt;Wert Leben&gt;62|</t>
  </si>
  <si>
    <t>Δ zur Vorwoche unter der KW|K1_Rueckstand&gt;Delta auf&gt;69,K1_Rueckstand&gt;Delta ab&gt;69,K1_Rueckstand&gt;Delta null&gt;69|</t>
  </si>
  <si>
    <t>Eingänge/Abgänge daneben|K1_Vorgaenge&gt;Wert Eingänge&gt;73,K1_Vorgaenge&gt;Wert Abgänge&gt;75|</t>
  </si>
  <si>
    <t>Saldo unter der KW|K1_Vorgaenge&gt;Delta auf&gt;79,K1_Vorgaenge&gt;Delta ab&gt;79,K1_Vorgaenge&gt;Delta null&gt;79|</t>
  </si>
  <si>
    <t>K2_Rueckstand:B;K2_Vorgaenge:B</t>
  </si>
  <si>
    <t>Dashboard_Daten!$D$80</t>
  </si>
  <si>
    <t>Summe über der Säule|K2_Rueckstand&gt;Summe&gt;108|</t>
  </si>
  <si>
    <t>Werte je Sparte daneben|K2_Rueckstand&gt;Wert Komposit&gt;103,K2_Rueckstand&gt;Wert Gesundheit&gt;100,K2_Rueckstand&gt;Wert Leben&gt;106|</t>
  </si>
  <si>
    <t>Δ zur Vorwoche unter der KW|K2_Rueckstand&gt;Delta auf&gt;113,K2_Rueckstand&gt;Delta ab&gt;113,K2_Rueckstand&gt;Delta null&gt;113|</t>
  </si>
  <si>
    <t>Eingänge/Abgänge daneben|K2_Vorgaenge&gt;Wert Eingänge&gt;117,K2_Vorgaenge&gt;Wert Abgänge&gt;119|</t>
  </si>
  <si>
    <t>Saldo unter der KW|K2_Vorgaenge&gt;Delta auf&gt;123,K2_Vorgaenge&gt;Delta ab&gt;123,K2_Vorgaenge&gt;Delta null&gt;123|</t>
  </si>
  <si>
    <t>K3_Linie:W;K3_Monate:M</t>
  </si>
  <si>
    <t>Eingang in HS|K3_Linie&gt;Eingang in HS&gt;0|</t>
  </si>
  <si>
    <t>Verpflichtungen (Anzahl)|K3_Monate&gt;Verpflichtungen je Monat&gt;0|</t>
  </si>
  <si>
    <t>Erledigungsquote|K3_Monate&gt;Erledigungsquote&gt;153|</t>
  </si>
  <si>
    <t>K4_Linie:W;K4_Bewegung:W</t>
  </si>
  <si>
    <t>Offene Vorgänge|K4_Linie&gt;Offene Vorgänge&gt;0|</t>
  </si>
  <si>
    <t>Zunahmen|K4_Bewegung&gt;Zunahmen&gt;134|</t>
  </si>
  <si>
    <t>Abnahmen|K4_Bewegung&gt;Abnahmen&gt;0|</t>
  </si>
  <si>
    <t>Δ Zunahmen − Abnahmen|K4_Bewegung&gt;Delta auf&gt;139,K4_Bewegung&gt;Delta ab&gt;139,K4_Bewegung&gt;Delta null&gt;139|Dashboard_Daten!$D$135</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</si>
  <si>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</si>
  <si>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</si>
  <si>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</si>
  <si>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</si>
  <si>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</si>
  <si>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</si>
  <si>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</si>
  <si>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</si>
  <si>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</si>
  <si>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</si>
  <si>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In Bearbeitung|K2_Treffer&gt;In Bearbeitung&gt;0|</t>
  </si>
  <si>
    <t>Erledigt|K2_Treffer&gt;Erledigt&gt;0|</t>
  </si>
  <si>
    <t>Summe über dem Stapel|K2_Treffer&gt;Summe&gt;128|</t>
  </si>
  <si>
    <t>K3_Linie:W</t>
  </si>
  <si>
    <t>Offene Arbeitsanweisungen|K3_Linie&gt;Offene Arbeitsanweisungen&gt;0|</t>
  </si>
  <si>
    <t>K4_Offen:W;K4_Bewegung:W</t>
  </si>
  <si>
    <t>Sev 4|K4_Offen&gt;Sev 4&gt;0|</t>
  </si>
  <si>
    <t>Sev 3|K4_Offen&gt;Sev 3&gt;0|</t>
  </si>
  <si>
    <t>Sev 1+2|K4_Offen&gt;Sev 1+2&gt;0|</t>
  </si>
  <si>
    <t>Summe über dem Stapel|K4_Offen&gt;Summe&gt;130|</t>
  </si>
  <si>
    <t>Zunahmen|K4_Bewegung&gt;Zunahmen&gt;0|</t>
  </si>
  <si>
    <t>Δ Zunahmen − Abnahmen|K4_Bewegung&gt;Delta auf&gt;144,K4_Bewegung&gt;Delta ab&gt;144,K4_Bewegung&gt;Delta null&gt;144|Dashboard_Daten!$D$140</t>
  </si>
  <si>
    <t>K5_Offen:W;K5_Bewegung:W</t>
  </si>
  <si>
    <t>Sev 4|K5_Offen&gt;Sev 4&gt;0|</t>
  </si>
  <si>
    <t>Sev 3|K5_Offen&gt;Sev 3&gt;0|</t>
  </si>
  <si>
    <t>Sev 1+2|K5_Offen&gt;Sev 1+2&gt;0|</t>
  </si>
  <si>
    <t>Summe über dem Stapel|K5_Offen&gt;Summe&gt;132|</t>
  </si>
  <si>
    <t>Zunahmen|K5_Bewegung&gt;Zunahmen&gt;0|</t>
  </si>
  <si>
    <t>Abnahmen|K5_Bewegung&gt;Abnahmen&gt;0|</t>
  </si>
  <si>
    <t>Δ Zunahmen − Abnahmen|K5_Bewegung&gt;Delta auf&gt;149,K5_Bewegung&gt;Delta ab&gt;149,K5_Bewegung&gt;Delta null&gt;149|Dashboard_Daten!$D$145</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</si>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</sst>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Dashboard_Daten!$AQ$57:$BD$57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Dashboard_Daten!$AQ$54:$BD$54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Dashboard_Daten!$AQ$60:$BD$60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Dashboard_Daten!$AQ$65:$BD$65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Dashboard_Daten!$AQ$64</c:f>
                  <c:strCache>
                    <c:ptCount val="1"/>
                    <c:pt idx="0">
                      <c:v>0</c:v>
                    </c:pt>
                  </c:strCache>
                </c:strRef>
              </c:tx>
              <c:dLblPos val="t"/>
              <c:showVal val="1"/>
            </c:dLbl>
            <c:dLbl>
              <c:idx val="1"/>
              <c:layout/>
              <c:tx>
                <c:strRef>
                  <c:f>Dashboard_Daten!$AR$64</c:f>
                  <c:strCache>
                    <c:ptCount val="1"/>
                    <c:pt idx="0">
                      <c:v>0</c:v>
                    </c:pt>
                  </c:strCache>
                </c:strRef>
              </c:tx>
              <c:dLblPos val="t"/>
              <c:showVal val="1"/>
            </c:dLbl>
            <c:dLbl>
              <c:idx val="2"/>
              <c:layout/>
              <c:tx>
                <c:strRef>
                  <c:f>Dashboard_Daten!$AS$64</c:f>
                  <c:strCache>
                    <c:ptCount val="1"/>
                    <c:pt idx="0">
                      <c:v>0</c:v>
                    </c:pt>
                  </c:strCache>
                </c:strRef>
              </c:tx>
              <c:dLblPos val="t"/>
              <c:showVal val="1"/>
            </c:dLbl>
            <c:dLbl>
              <c:idx val="3"/>
              <c:layout/>
              <c:tx>
                <c:strRef>
                  <c:f>Dashboard_Daten!$AT$64</c:f>
                  <c:strCache>
                    <c:ptCount val="1"/>
                    <c:pt idx="0">
                      <c:v>0</c:v>
                    </c:pt>
                  </c:strCache>
                </c:strRef>
              </c:tx>
              <c:dLblPos val="t"/>
              <c:showVal val="1"/>
            </c:dLbl>
            <c:dLbl>
              <c:idx val="4"/>
              <c:layout/>
              <c:tx>
                <c:strRef>
                  <c:f>Dashboard_Daten!$AU$64</c:f>
                  <c:strCache>
                    <c:ptCount val="1"/>
                    <c:pt idx="0">
                      <c:v>0</c:v>
                    </c:pt>
                  </c:strCache>
                </c:strRef>
              </c:tx>
              <c:dLblPos val="t"/>
              <c:showVal val="1"/>
            </c:dLbl>
            <c:dLbl>
              <c:idx val="5"/>
              <c:layout/>
              <c:tx>
                <c:strRef>
                  <c:f>Dashboard_Daten!$AV$64</c:f>
                  <c:strCache>
                    <c:ptCount val="1"/>
                    <c:pt idx="0">
                      <c:v>0</c:v>
                    </c:pt>
                  </c:strCache>
                </c:strRef>
              </c:tx>
              <c:dLblPos val="t"/>
              <c:showVal val="1"/>
            </c:dLbl>
            <c:dLbl>
              <c:idx val="6"/>
              <c:layout/>
              <c:tx>
                <c:strRef>
                  <c:f>Dashboard_Daten!$AW$64</c:f>
                  <c:strCache>
                    <c:ptCount val="1"/>
                    <c:pt idx="0">
                      <c:v>0</c:v>
                    </c:pt>
                  </c:strCache>
                </c:strRef>
              </c:tx>
              <c:dLblPos val="t"/>
              <c:showVal val="1"/>
            </c:dLbl>
            <c:dLbl>
              <c:idx val="7"/>
              <c:layout/>
              <c:tx>
                <c:strRef>
                  <c:f>Dashboard_Daten!$AX$64</c:f>
                  <c:strCache>
                    <c:ptCount val="1"/>
                    <c:pt idx="0">
                      <c:v>0</c:v>
                    </c:pt>
                  </c:strCache>
                </c:strRef>
              </c:tx>
              <c:dLblPos val="t"/>
              <c:showVal val="1"/>
            </c:dLbl>
            <c:dLbl>
              <c:idx val="8"/>
              <c:layout/>
              <c:tx>
                <c:strRef>
                  <c:f>Dashboard_Daten!$AY$64</c:f>
                  <c:strCache>
                    <c:ptCount val="1"/>
                    <c:pt idx="0">
                      <c:v>0</c:v>
                    </c:pt>
                  </c:strCache>
                </c:strRef>
              </c:tx>
              <c:dLblPos val="t"/>
              <c:showVal val="1"/>
            </c:dLbl>
            <c:dLbl>
              <c:idx val="9"/>
              <c:layout/>
              <c:tx>
                <c:strRef>
                  <c:f>Dashboard_Daten!$AZ$64</c:f>
                  <c:strCache>
                    <c:ptCount val="1"/>
                    <c:pt idx="0">
                      <c:v>0</c:v>
                    </c:pt>
                  </c:strCache>
                </c:strRef>
              </c:tx>
              <c:dLblPos val="t"/>
              <c:showVal val="1"/>
            </c:dLbl>
            <c:dLbl>
              <c:idx val="10"/>
              <c:layout/>
              <c:tx>
                <c:strRef>
                  <c:f>Dashboard_Daten!$BA$64</c:f>
                  <c:strCache>
                    <c:ptCount val="1"/>
                    <c:pt idx="0">
                      <c:v>0</c:v>
                    </c:pt>
                  </c:strCache>
                </c:strRef>
              </c:tx>
              <c:dLblPos val="t"/>
              <c:showVal val="1"/>
            </c:dLbl>
            <c:dLbl>
              <c:idx val="11"/>
              <c:layout/>
              <c:tx>
                <c:strRef>
                  <c:f>Dashboard_Daten!$BB$64</c:f>
                  <c:strCache>
                    <c:ptCount val="1"/>
                    <c:pt idx="0">
                      <c:v>0</c:v>
                    </c:pt>
                  </c:strCache>
                </c:strRef>
              </c:tx>
              <c:dLblPos val="t"/>
              <c:showVal val="1"/>
            </c:dLbl>
            <c:dLbl>
              <c:idx val="12"/>
              <c:layout/>
              <c:tx>
                <c:strRef>
                  <c:f>Dashboard_Daten!$BC$64</c:f>
                  <c:strCache>
                    <c:ptCount val="1"/>
                    <c:pt idx="0">
                      <c:v>0</c:v>
                    </c:pt>
                  </c:strCache>
                </c:strRef>
              </c:tx>
              <c:dLblPos val="t"/>
              <c:showVal val="1"/>
            </c:dLbl>
            <c:dLbl>
              <c:idx val="13"/>
              <c:layout/>
              <c:tx>
                <c:strRef>
                  <c:f>Dashboard_Daten!$BD$64</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Dashboard_Daten!$AQ$63:$BD$63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Dashboard_Daten!$AQ$59</c:f>
                  <c:strCache>
                    <c:ptCount val="1"/>
                    <c:pt idx="0">
                      <c:v>0</c:v>
                    </c:pt>
                  </c:strCache>
                </c:strRef>
              </c:tx>
              <c:showVal val="1"/>
            </c:dLbl>
            <c:dLbl>
              <c:idx val="1"/>
              <c:layout/>
              <c:tx>
                <c:strRef>
                  <c:f>Dashboard_Daten!$AR$59</c:f>
                  <c:strCache>
                    <c:ptCount val="1"/>
                    <c:pt idx="0">
                      <c:v>0</c:v>
                    </c:pt>
                  </c:strCache>
                </c:strRef>
              </c:tx>
              <c:showVal val="1"/>
            </c:dLbl>
            <c:dLbl>
              <c:idx val="2"/>
              <c:layout/>
              <c:tx>
                <c:strRef>
                  <c:f>Dashboard_Daten!$AS$59</c:f>
                  <c:strCache>
                    <c:ptCount val="1"/>
                    <c:pt idx="0">
                      <c:v>0</c:v>
                    </c:pt>
                  </c:strCache>
                </c:strRef>
              </c:tx>
              <c:showVal val="1"/>
            </c:dLbl>
            <c:dLbl>
              <c:idx val="3"/>
              <c:layout/>
              <c:tx>
                <c:strRef>
                  <c:f>Dashboard_Daten!$AT$59</c:f>
                  <c:strCache>
                    <c:ptCount val="1"/>
                    <c:pt idx="0">
                      <c:v>0</c:v>
                    </c:pt>
                  </c:strCache>
                </c:strRef>
              </c:tx>
              <c:showVal val="1"/>
            </c:dLbl>
            <c:dLbl>
              <c:idx val="4"/>
              <c:layout/>
              <c:tx>
                <c:strRef>
                  <c:f>Dashboard_Daten!$AU$59</c:f>
                  <c:strCache>
                    <c:ptCount val="1"/>
                    <c:pt idx="0">
                      <c:v>0</c:v>
                    </c:pt>
                  </c:strCache>
                </c:strRef>
              </c:tx>
              <c:showVal val="1"/>
            </c:dLbl>
            <c:dLbl>
              <c:idx val="5"/>
              <c:layout/>
              <c:tx>
                <c:strRef>
                  <c:f>Dashboard_Daten!$AV$59</c:f>
                  <c:strCache>
                    <c:ptCount val="1"/>
                    <c:pt idx="0">
                      <c:v>0</c:v>
                    </c:pt>
                  </c:strCache>
                </c:strRef>
              </c:tx>
              <c:showVal val="1"/>
            </c:dLbl>
            <c:dLbl>
              <c:idx val="6"/>
              <c:layout/>
              <c:tx>
                <c:strRef>
                  <c:f>Dashboard_Daten!$AW$59</c:f>
                  <c:strCache>
                    <c:ptCount val="1"/>
                    <c:pt idx="0">
                      <c:v>0</c:v>
                    </c:pt>
                  </c:strCache>
                </c:strRef>
              </c:tx>
              <c:showVal val="1"/>
            </c:dLbl>
            <c:dLbl>
              <c:idx val="7"/>
              <c:layout/>
              <c:tx>
                <c:strRef>
                  <c:f>Dashboard_Daten!$AX$59</c:f>
                  <c:strCache>
                    <c:ptCount val="1"/>
                    <c:pt idx="0">
                      <c:v>0</c:v>
                    </c:pt>
                  </c:strCache>
                </c:strRef>
              </c:tx>
              <c:showVal val="1"/>
            </c:dLbl>
            <c:dLbl>
              <c:idx val="8"/>
              <c:layout/>
              <c:tx>
                <c:strRef>
                  <c:f>Dashboard_Daten!$AY$59</c:f>
                  <c:strCache>
                    <c:ptCount val="1"/>
                    <c:pt idx="0">
                      <c:v>0</c:v>
                    </c:pt>
                  </c:strCache>
                </c:strRef>
              </c:tx>
              <c:showVal val="1"/>
            </c:dLbl>
            <c:dLbl>
              <c:idx val="9"/>
              <c:layout/>
              <c:tx>
                <c:strRef>
                  <c:f>Dashboard_Daten!$AZ$59</c:f>
                  <c:strCache>
                    <c:ptCount val="1"/>
                    <c:pt idx="0">
                      <c:v>0</c:v>
                    </c:pt>
                  </c:strCache>
                </c:strRef>
              </c:tx>
              <c:showVal val="1"/>
            </c:dLbl>
            <c:dLbl>
              <c:idx val="10"/>
              <c:layout/>
              <c:tx>
                <c:strRef>
                  <c:f>Dashboard_Daten!$BA$59</c:f>
                  <c:strCache>
                    <c:ptCount val="1"/>
                    <c:pt idx="0">
                      <c:v>0</c:v>
                    </c:pt>
                  </c:strCache>
                </c:strRef>
              </c:tx>
              <c:showVal val="1"/>
            </c:dLbl>
            <c:dLbl>
              <c:idx val="11"/>
              <c:layout/>
              <c:tx>
                <c:strRef>
                  <c:f>Dashboard_Daten!$BB$59</c:f>
                  <c:strCache>
                    <c:ptCount val="1"/>
                    <c:pt idx="0">
                      <c:v>0</c:v>
                    </c:pt>
                  </c:strCache>
                </c:strRef>
              </c:tx>
              <c:showVal val="1"/>
            </c:dLbl>
            <c:dLbl>
              <c:idx val="12"/>
              <c:layout/>
              <c:tx>
                <c:strRef>
                  <c:f>Dashboard_Daten!$BC$59</c:f>
                  <c:strCache>
                    <c:ptCount val="1"/>
                    <c:pt idx="0">
                      <c:v>0</c:v>
                    </c:pt>
                  </c:strCache>
                </c:strRef>
              </c:tx>
              <c:showVal val="1"/>
            </c:dLbl>
            <c:dLbl>
              <c:idx val="13"/>
              <c:layout/>
              <c:tx>
                <c:strRef>
                  <c:f>Dashboard_Daten!$BD$59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Dashboard_Daten!$AQ$58:$BD$58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Dashboard_Daten!$AQ$56</c:f>
                  <c:strCache>
                    <c:ptCount val="1"/>
                    <c:pt idx="0">
                      <c:v>0</c:v>
                    </c:pt>
                  </c:strCache>
                </c:strRef>
              </c:tx>
              <c:showVal val="1"/>
            </c:dLbl>
            <c:dLbl>
              <c:idx val="1"/>
              <c:layout/>
              <c:tx>
                <c:strRef>
                  <c:f>Dashboard_Daten!$AR$56</c:f>
                  <c:strCache>
                    <c:ptCount val="1"/>
                    <c:pt idx="0">
                      <c:v>0</c:v>
                    </c:pt>
                  </c:strCache>
                </c:strRef>
              </c:tx>
              <c:showVal val="1"/>
            </c:dLbl>
            <c:dLbl>
              <c:idx val="2"/>
              <c:layout/>
              <c:tx>
                <c:strRef>
                  <c:f>Dashboard_Daten!$AS$56</c:f>
                  <c:strCache>
                    <c:ptCount val="1"/>
                    <c:pt idx="0">
                      <c:v>0</c:v>
                    </c:pt>
                  </c:strCache>
                </c:strRef>
              </c:tx>
              <c:showVal val="1"/>
            </c:dLbl>
            <c:dLbl>
              <c:idx val="3"/>
              <c:layout/>
              <c:tx>
                <c:strRef>
                  <c:f>Dashboard_Daten!$AT$56</c:f>
                  <c:strCache>
                    <c:ptCount val="1"/>
                    <c:pt idx="0">
                      <c:v>0</c:v>
                    </c:pt>
                  </c:strCache>
                </c:strRef>
              </c:tx>
              <c:showVal val="1"/>
            </c:dLbl>
            <c:dLbl>
              <c:idx val="4"/>
              <c:layout/>
              <c:tx>
                <c:strRef>
                  <c:f>Dashboard_Daten!$AU$56</c:f>
                  <c:strCache>
                    <c:ptCount val="1"/>
                    <c:pt idx="0">
                      <c:v>0</c:v>
                    </c:pt>
                  </c:strCache>
                </c:strRef>
              </c:tx>
              <c:showVal val="1"/>
            </c:dLbl>
            <c:dLbl>
              <c:idx val="5"/>
              <c:layout/>
              <c:tx>
                <c:strRef>
                  <c:f>Dashboard_Daten!$AV$56</c:f>
                  <c:strCache>
                    <c:ptCount val="1"/>
                    <c:pt idx="0">
                      <c:v>0</c:v>
                    </c:pt>
                  </c:strCache>
                </c:strRef>
              </c:tx>
              <c:showVal val="1"/>
            </c:dLbl>
            <c:dLbl>
              <c:idx val="6"/>
              <c:layout/>
              <c:tx>
                <c:strRef>
                  <c:f>Dashboard_Daten!$AW$56</c:f>
                  <c:strCache>
                    <c:ptCount val="1"/>
                    <c:pt idx="0">
                      <c:v>0</c:v>
                    </c:pt>
                  </c:strCache>
                </c:strRef>
              </c:tx>
              <c:showVal val="1"/>
            </c:dLbl>
            <c:dLbl>
              <c:idx val="7"/>
              <c:layout/>
              <c:tx>
                <c:strRef>
                  <c:f>Dashboard_Daten!$AX$56</c:f>
                  <c:strCache>
                    <c:ptCount val="1"/>
                    <c:pt idx="0">
                      <c:v>0</c:v>
                    </c:pt>
                  </c:strCache>
                </c:strRef>
              </c:tx>
              <c:showVal val="1"/>
            </c:dLbl>
            <c:dLbl>
              <c:idx val="8"/>
              <c:layout/>
              <c:tx>
                <c:strRef>
                  <c:f>Dashboard_Daten!$AY$56</c:f>
                  <c:strCache>
                    <c:ptCount val="1"/>
                    <c:pt idx="0">
                      <c:v>0</c:v>
                    </c:pt>
                  </c:strCache>
                </c:strRef>
              </c:tx>
              <c:showVal val="1"/>
            </c:dLbl>
            <c:dLbl>
              <c:idx val="9"/>
              <c:layout/>
              <c:tx>
                <c:strRef>
                  <c:f>Dashboard_Daten!$AZ$56</c:f>
                  <c:strCache>
                    <c:ptCount val="1"/>
                    <c:pt idx="0">
                      <c:v>0</c:v>
                    </c:pt>
                  </c:strCache>
                </c:strRef>
              </c:tx>
              <c:showVal val="1"/>
            </c:dLbl>
            <c:dLbl>
              <c:idx val="10"/>
              <c:layout/>
              <c:tx>
                <c:strRef>
                  <c:f>Dashboard_Daten!$BA$56</c:f>
                  <c:strCache>
                    <c:ptCount val="1"/>
                    <c:pt idx="0">
                      <c:v>0</c:v>
                    </c:pt>
                  </c:strCache>
                </c:strRef>
              </c:tx>
              <c:showVal val="1"/>
            </c:dLbl>
            <c:dLbl>
              <c:idx val="11"/>
              <c:layout/>
              <c:tx>
                <c:strRef>
                  <c:f>Dashboard_Daten!$BB$56</c:f>
                  <c:strCache>
                    <c:ptCount val="1"/>
                    <c:pt idx="0">
                      <c:v>0</c:v>
                    </c:pt>
                  </c:strCache>
                </c:strRef>
              </c:tx>
              <c:showVal val="1"/>
            </c:dLbl>
            <c:dLbl>
              <c:idx val="12"/>
              <c:layout/>
              <c:tx>
                <c:strRef>
                  <c:f>Dashboard_Daten!$BC$56</c:f>
                  <c:strCache>
                    <c:ptCount val="1"/>
                    <c:pt idx="0">
                      <c:v>0</c:v>
                    </c:pt>
                  </c:strCache>
                </c:strRef>
              </c:tx>
              <c:showVal val="1"/>
            </c:dLbl>
            <c:dLbl>
              <c:idx val="13"/>
              <c:layout/>
              <c:tx>
                <c:strRef>
                  <c:f>Dashboard_Daten!$BD$56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Dashboard_Daten!$AQ$55:$BD$55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Dashboard_Daten!$AQ$62</c:f>
                  <c:strCache>
                    <c:ptCount val="1"/>
                    <c:pt idx="0">
                      <c:v>0</c:v>
                    </c:pt>
                  </c:strCache>
                </c:strRef>
              </c:tx>
              <c:showVal val="1"/>
            </c:dLbl>
            <c:dLbl>
              <c:idx val="1"/>
              <c:layout/>
              <c:tx>
                <c:strRef>
                  <c:f>Dashboard_Daten!$AR$62</c:f>
                  <c:strCache>
                    <c:ptCount val="1"/>
                    <c:pt idx="0">
                      <c:v>0</c:v>
                    </c:pt>
                  </c:strCache>
                </c:strRef>
              </c:tx>
              <c:showVal val="1"/>
            </c:dLbl>
            <c:dLbl>
              <c:idx val="2"/>
              <c:layout/>
              <c:tx>
                <c:strRef>
                  <c:f>Dashboard_Daten!$AS$62</c:f>
                  <c:strCache>
                    <c:ptCount val="1"/>
                    <c:pt idx="0">
                      <c:v>0</c:v>
                    </c:pt>
                  </c:strCache>
                </c:strRef>
              </c:tx>
              <c:showVal val="1"/>
            </c:dLbl>
            <c:dLbl>
              <c:idx val="3"/>
              <c:layout/>
              <c:tx>
                <c:strRef>
                  <c:f>Dashboard_Daten!$AT$62</c:f>
                  <c:strCache>
                    <c:ptCount val="1"/>
                    <c:pt idx="0">
                      <c:v>0</c:v>
                    </c:pt>
                  </c:strCache>
                </c:strRef>
              </c:tx>
              <c:showVal val="1"/>
            </c:dLbl>
            <c:dLbl>
              <c:idx val="4"/>
              <c:layout/>
              <c:tx>
                <c:strRef>
                  <c:f>Dashboard_Daten!$AU$62</c:f>
                  <c:strCache>
                    <c:ptCount val="1"/>
                    <c:pt idx="0">
                      <c:v>0</c:v>
                    </c:pt>
                  </c:strCache>
                </c:strRef>
              </c:tx>
              <c:showVal val="1"/>
            </c:dLbl>
            <c:dLbl>
              <c:idx val="5"/>
              <c:layout/>
              <c:tx>
                <c:strRef>
                  <c:f>Dashboard_Daten!$AV$62</c:f>
                  <c:strCache>
                    <c:ptCount val="1"/>
                    <c:pt idx="0">
                      <c:v>0</c:v>
                    </c:pt>
                  </c:strCache>
                </c:strRef>
              </c:tx>
              <c:showVal val="1"/>
            </c:dLbl>
            <c:dLbl>
              <c:idx val="6"/>
              <c:layout/>
              <c:tx>
                <c:strRef>
                  <c:f>Dashboard_Daten!$AW$62</c:f>
                  <c:strCache>
                    <c:ptCount val="1"/>
                    <c:pt idx="0">
                      <c:v>0</c:v>
                    </c:pt>
                  </c:strCache>
                </c:strRef>
              </c:tx>
              <c:showVal val="1"/>
            </c:dLbl>
            <c:dLbl>
              <c:idx val="7"/>
              <c:layout/>
              <c:tx>
                <c:strRef>
                  <c:f>Dashboard_Daten!$AX$62</c:f>
                  <c:strCache>
                    <c:ptCount val="1"/>
                    <c:pt idx="0">
                      <c:v>0</c:v>
                    </c:pt>
                  </c:strCache>
                </c:strRef>
              </c:tx>
              <c:showVal val="1"/>
            </c:dLbl>
            <c:dLbl>
              <c:idx val="8"/>
              <c:layout/>
              <c:tx>
                <c:strRef>
                  <c:f>Dashboard_Daten!$AY$62</c:f>
                  <c:strCache>
                    <c:ptCount val="1"/>
                    <c:pt idx="0">
                      <c:v>0</c:v>
                    </c:pt>
                  </c:strCache>
                </c:strRef>
              </c:tx>
              <c:showVal val="1"/>
            </c:dLbl>
            <c:dLbl>
              <c:idx val="9"/>
              <c:layout/>
              <c:tx>
                <c:strRef>
                  <c:f>Dashboard_Daten!$AZ$62</c:f>
                  <c:strCache>
                    <c:ptCount val="1"/>
                    <c:pt idx="0">
                      <c:v>0</c:v>
                    </c:pt>
                  </c:strCache>
                </c:strRef>
              </c:tx>
              <c:showVal val="1"/>
            </c:dLbl>
            <c:dLbl>
              <c:idx val="10"/>
              <c:layout/>
              <c:tx>
                <c:strRef>
                  <c:f>Dashboard_Daten!$BA$62</c:f>
                  <c:strCache>
                    <c:ptCount val="1"/>
                    <c:pt idx="0">
                      <c:v>0</c:v>
                    </c:pt>
                  </c:strCache>
                </c:strRef>
              </c:tx>
              <c:showVal val="1"/>
            </c:dLbl>
            <c:dLbl>
              <c:idx val="11"/>
              <c:layout/>
              <c:tx>
                <c:strRef>
                  <c:f>Dashboard_Daten!$BB$62</c:f>
                  <c:strCache>
                    <c:ptCount val="1"/>
                    <c:pt idx="0">
                      <c:v>0</c:v>
                    </c:pt>
                  </c:strCache>
                </c:strRef>
              </c:tx>
              <c:showVal val="1"/>
            </c:dLbl>
            <c:dLbl>
              <c:idx val="12"/>
              <c:layout/>
              <c:tx>
                <c:strRef>
                  <c:f>Dashboard_Daten!$BC$62</c:f>
                  <c:strCache>
                    <c:ptCount val="1"/>
                    <c:pt idx="0">
                      <c:v>0</c:v>
                    </c:pt>
                  </c:strCache>
                </c:strRef>
              </c:tx>
              <c:showVal val="1"/>
            </c:dLbl>
            <c:dLbl>
              <c:idx val="13"/>
              <c:layout/>
              <c:tx>
                <c:strRef>
                  <c:f>Dashboard_Daten!$BD$62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Dashboard_Daten!$AQ$61:$BD$61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Dashboard_Daten!$AQ$66:$BD$66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Dashboard_Daten!$AQ$67:$BD$67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Dashboard_Daten!$AQ$68:$BD$68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Dashboard_Daten!$AQ$70:$BD$70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Dashboard_Daten!$AQ$71:$BD$71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Dashboard_Daten!$AQ$73</c:f>
                  <c:strCache>
                    <c:ptCount val="1"/>
                    <c:pt idx="0">
                      <c:v>0</c:v>
                    </c:pt>
                  </c:strCache>
                </c:strRef>
              </c:tx>
              <c:showVal val="1"/>
            </c:dLbl>
            <c:dLbl>
              <c:idx val="1"/>
              <c:layout/>
              <c:tx>
                <c:strRef>
                  <c:f>Dashboard_Daten!$AR$73</c:f>
                  <c:strCache>
                    <c:ptCount val="1"/>
                    <c:pt idx="0">
                      <c:v>0</c:v>
                    </c:pt>
                  </c:strCache>
                </c:strRef>
              </c:tx>
              <c:showVal val="1"/>
            </c:dLbl>
            <c:dLbl>
              <c:idx val="2"/>
              <c:layout/>
              <c:tx>
                <c:strRef>
                  <c:f>Dashboard_Daten!$AS$73</c:f>
                  <c:strCache>
                    <c:ptCount val="1"/>
                    <c:pt idx="0">
                      <c:v>0</c:v>
                    </c:pt>
                  </c:strCache>
                </c:strRef>
              </c:tx>
              <c:showVal val="1"/>
            </c:dLbl>
            <c:dLbl>
              <c:idx val="3"/>
              <c:layout/>
              <c:tx>
                <c:strRef>
                  <c:f>Dashboard_Daten!$AT$73</c:f>
                  <c:strCache>
                    <c:ptCount val="1"/>
                    <c:pt idx="0">
                      <c:v>0</c:v>
                    </c:pt>
                  </c:strCache>
                </c:strRef>
              </c:tx>
              <c:showVal val="1"/>
            </c:dLbl>
            <c:dLbl>
              <c:idx val="4"/>
              <c:layout/>
              <c:tx>
                <c:strRef>
                  <c:f>Dashboard_Daten!$AU$73</c:f>
                  <c:strCache>
                    <c:ptCount val="1"/>
                    <c:pt idx="0">
                      <c:v>0</c:v>
                    </c:pt>
                  </c:strCache>
                </c:strRef>
              </c:tx>
              <c:showVal val="1"/>
            </c:dLbl>
            <c:dLbl>
              <c:idx val="5"/>
              <c:layout/>
              <c:tx>
                <c:strRef>
                  <c:f>Dashboard_Daten!$AV$73</c:f>
                  <c:strCache>
                    <c:ptCount val="1"/>
                    <c:pt idx="0">
                      <c:v>0</c:v>
                    </c:pt>
                  </c:strCache>
                </c:strRef>
              </c:tx>
              <c:showVal val="1"/>
            </c:dLbl>
            <c:dLbl>
              <c:idx val="6"/>
              <c:layout/>
              <c:tx>
                <c:strRef>
                  <c:f>Dashboard_Daten!$AW$73</c:f>
                  <c:strCache>
                    <c:ptCount val="1"/>
                    <c:pt idx="0">
                      <c:v>0</c:v>
                    </c:pt>
                  </c:strCache>
                </c:strRef>
              </c:tx>
              <c:showVal val="1"/>
            </c:dLbl>
            <c:dLbl>
              <c:idx val="7"/>
              <c:layout/>
              <c:tx>
                <c:strRef>
                  <c:f>Dashboard_Daten!$AX$73</c:f>
                  <c:strCache>
                    <c:ptCount val="1"/>
                    <c:pt idx="0">
                      <c:v>0</c:v>
                    </c:pt>
                  </c:strCache>
                </c:strRef>
              </c:tx>
              <c:showVal val="1"/>
            </c:dLbl>
            <c:dLbl>
              <c:idx val="8"/>
              <c:layout/>
              <c:tx>
                <c:strRef>
                  <c:f>Dashboard_Daten!$AY$73</c:f>
                  <c:strCache>
                    <c:ptCount val="1"/>
                    <c:pt idx="0">
                      <c:v>0</c:v>
                    </c:pt>
                  </c:strCache>
                </c:strRef>
              </c:tx>
              <c:showVal val="1"/>
            </c:dLbl>
            <c:dLbl>
              <c:idx val="9"/>
              <c:layout/>
              <c:tx>
                <c:strRef>
                  <c:f>Dashboard_Daten!$AZ$73</c:f>
                  <c:strCache>
                    <c:ptCount val="1"/>
                    <c:pt idx="0">
                      <c:v>0</c:v>
                    </c:pt>
                  </c:strCache>
                </c:strRef>
              </c:tx>
              <c:showVal val="1"/>
            </c:dLbl>
            <c:dLbl>
              <c:idx val="10"/>
              <c:layout/>
              <c:tx>
                <c:strRef>
                  <c:f>Dashboard_Daten!$BA$73</c:f>
                  <c:strCache>
                    <c:ptCount val="1"/>
                    <c:pt idx="0">
                      <c:v>0</c:v>
                    </c:pt>
                  </c:strCache>
                </c:strRef>
              </c:tx>
              <c:showVal val="1"/>
            </c:dLbl>
            <c:dLbl>
              <c:idx val="11"/>
              <c:layout/>
              <c:tx>
                <c:strRef>
                  <c:f>Dashboard_Daten!$BB$73</c:f>
                  <c:strCache>
                    <c:ptCount val="1"/>
                    <c:pt idx="0">
                      <c:v>0</c:v>
                    </c:pt>
                  </c:strCache>
                </c:strRef>
              </c:tx>
              <c:showVal val="1"/>
            </c:dLbl>
            <c:dLbl>
              <c:idx val="12"/>
              <c:layout/>
              <c:tx>
                <c:strRef>
                  <c:f>Dashboard_Daten!$BC$73</c:f>
                  <c:strCache>
                    <c:ptCount val="1"/>
                    <c:pt idx="0">
                      <c:v>0</c:v>
                    </c:pt>
                  </c:strCache>
                </c:strRef>
              </c:tx>
              <c:showVal val="1"/>
            </c:dLbl>
            <c:dLbl>
              <c:idx val="13"/>
              <c:layout/>
              <c:tx>
                <c:strRef>
                  <c:f>Dashboard_Daten!$BD$73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Dashboard_Daten!$AQ$72:$BD$72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Dashboard_Daten!$AQ$75</c:f>
                  <c:strCache>
                    <c:ptCount val="1"/>
                    <c:pt idx="0">
                      <c:v>0</c:v>
                    </c:pt>
                  </c:strCache>
                </c:strRef>
              </c:tx>
              <c:showVal val="1"/>
            </c:dLbl>
            <c:dLbl>
              <c:idx val="1"/>
              <c:layout/>
              <c:tx>
                <c:strRef>
                  <c:f>Dashboard_Daten!$AR$75</c:f>
                  <c:strCache>
                    <c:ptCount val="1"/>
                    <c:pt idx="0">
                      <c:v>0</c:v>
                    </c:pt>
                  </c:strCache>
                </c:strRef>
              </c:tx>
              <c:showVal val="1"/>
            </c:dLbl>
            <c:dLbl>
              <c:idx val="2"/>
              <c:layout/>
              <c:tx>
                <c:strRef>
                  <c:f>Dashboard_Daten!$AS$75</c:f>
                  <c:strCache>
                    <c:ptCount val="1"/>
                    <c:pt idx="0">
                      <c:v>0</c:v>
                    </c:pt>
                  </c:strCache>
                </c:strRef>
              </c:tx>
              <c:showVal val="1"/>
            </c:dLbl>
            <c:dLbl>
              <c:idx val="3"/>
              <c:layout/>
              <c:tx>
                <c:strRef>
                  <c:f>Dashboard_Daten!$AT$75</c:f>
                  <c:strCache>
                    <c:ptCount val="1"/>
                    <c:pt idx="0">
                      <c:v>0</c:v>
                    </c:pt>
                  </c:strCache>
                </c:strRef>
              </c:tx>
              <c:showVal val="1"/>
            </c:dLbl>
            <c:dLbl>
              <c:idx val="4"/>
              <c:layout/>
              <c:tx>
                <c:strRef>
                  <c:f>Dashboard_Daten!$AU$75</c:f>
                  <c:strCache>
                    <c:ptCount val="1"/>
                    <c:pt idx="0">
                      <c:v>0</c:v>
                    </c:pt>
                  </c:strCache>
                </c:strRef>
              </c:tx>
              <c:showVal val="1"/>
            </c:dLbl>
            <c:dLbl>
              <c:idx val="5"/>
              <c:layout/>
              <c:tx>
                <c:strRef>
                  <c:f>Dashboard_Daten!$AV$75</c:f>
                  <c:strCache>
                    <c:ptCount val="1"/>
                    <c:pt idx="0">
                      <c:v>0</c:v>
                    </c:pt>
                  </c:strCache>
                </c:strRef>
              </c:tx>
              <c:showVal val="1"/>
            </c:dLbl>
            <c:dLbl>
              <c:idx val="6"/>
              <c:layout/>
              <c:tx>
                <c:strRef>
                  <c:f>Dashboard_Daten!$AW$75</c:f>
                  <c:strCache>
                    <c:ptCount val="1"/>
                    <c:pt idx="0">
                      <c:v>0</c:v>
                    </c:pt>
                  </c:strCache>
                </c:strRef>
              </c:tx>
              <c:showVal val="1"/>
            </c:dLbl>
            <c:dLbl>
              <c:idx val="7"/>
              <c:layout/>
              <c:tx>
                <c:strRef>
                  <c:f>Dashboard_Daten!$AX$75</c:f>
                  <c:strCache>
                    <c:ptCount val="1"/>
                    <c:pt idx="0">
                      <c:v>0</c:v>
                    </c:pt>
                  </c:strCache>
                </c:strRef>
              </c:tx>
              <c:showVal val="1"/>
            </c:dLbl>
            <c:dLbl>
              <c:idx val="8"/>
              <c:layout/>
              <c:tx>
                <c:strRef>
                  <c:f>Dashboard_Daten!$AY$75</c:f>
                  <c:strCache>
                    <c:ptCount val="1"/>
                    <c:pt idx="0">
                      <c:v>0</c:v>
                    </c:pt>
                  </c:strCache>
                </c:strRef>
              </c:tx>
              <c:showVal val="1"/>
            </c:dLbl>
            <c:dLbl>
              <c:idx val="9"/>
              <c:layout/>
              <c:tx>
                <c:strRef>
                  <c:f>Dashboard_Daten!$AZ$75</c:f>
                  <c:strCache>
                    <c:ptCount val="1"/>
                    <c:pt idx="0">
                      <c:v>0</c:v>
                    </c:pt>
                  </c:strCache>
                </c:strRef>
              </c:tx>
              <c:showVal val="1"/>
            </c:dLbl>
            <c:dLbl>
              <c:idx val="10"/>
              <c:layout/>
              <c:tx>
                <c:strRef>
                  <c:f>Dashboard_Daten!$BA$75</c:f>
                  <c:strCache>
                    <c:ptCount val="1"/>
                    <c:pt idx="0">
                      <c:v>0</c:v>
                    </c:pt>
                  </c:strCache>
                </c:strRef>
              </c:tx>
              <c:showVal val="1"/>
            </c:dLbl>
            <c:dLbl>
              <c:idx val="11"/>
              <c:layout/>
              <c:tx>
                <c:strRef>
                  <c:f>Dashboard_Daten!$BB$75</c:f>
                  <c:strCache>
                    <c:ptCount val="1"/>
                    <c:pt idx="0">
                      <c:v>0</c:v>
                    </c:pt>
                  </c:strCache>
                </c:strRef>
              </c:tx>
              <c:showVal val="1"/>
            </c:dLbl>
            <c:dLbl>
              <c:idx val="12"/>
              <c:layout/>
              <c:tx>
                <c:strRef>
                  <c:f>Dashboard_Daten!$BC$75</c:f>
                  <c:strCache>
                    <c:ptCount val="1"/>
                    <c:pt idx="0">
                      <c:v>0</c:v>
                    </c:pt>
                  </c:strCache>
                </c:strRef>
              </c:tx>
              <c:showVal val="1"/>
            </c:dLbl>
            <c:dLbl>
              <c:idx val="13"/>
              <c:layout/>
              <c:tx>
                <c:strRef>
                  <c:f>Dashboard_Daten!$BD$75</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Dashboard_Daten!$AQ$74:$BD$74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Dashboard_Daten!$AQ$76:$BD$76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Dashboard_Daten!$AQ$77:$BD$77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Dashboard_Daten!$AQ$78:$BD$78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Dashboard_Daten!$AQ$101:$BD$101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Dashboard_Daten!$AQ$98:$BD$98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Dashboard_Daten!$AQ$104:$BD$104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Dashboard_Daten!$AQ$109:$BD$109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Dashboard_Daten!$AQ$108</c:f>
                  <c:strCache>
                    <c:ptCount val="1"/>
                    <c:pt idx="0">
                      <c:v>0</c:v>
                    </c:pt>
                  </c:strCache>
                </c:strRef>
              </c:tx>
              <c:dLblPos val="t"/>
              <c:showVal val="1"/>
            </c:dLbl>
            <c:dLbl>
              <c:idx val="1"/>
              <c:layout/>
              <c:tx>
                <c:strRef>
                  <c:f>Dashboard_Daten!$AR$108</c:f>
                  <c:strCache>
                    <c:ptCount val="1"/>
                    <c:pt idx="0">
                      <c:v>0</c:v>
                    </c:pt>
                  </c:strCache>
                </c:strRef>
              </c:tx>
              <c:dLblPos val="t"/>
              <c:showVal val="1"/>
            </c:dLbl>
            <c:dLbl>
              <c:idx val="2"/>
              <c:layout/>
              <c:tx>
                <c:strRef>
                  <c:f>Dashboard_Daten!$AS$108</c:f>
                  <c:strCache>
                    <c:ptCount val="1"/>
                    <c:pt idx="0">
                      <c:v>0</c:v>
                    </c:pt>
                  </c:strCache>
                </c:strRef>
              </c:tx>
              <c:dLblPos val="t"/>
              <c:showVal val="1"/>
            </c:dLbl>
            <c:dLbl>
              <c:idx val="3"/>
              <c:layout/>
              <c:tx>
                <c:strRef>
                  <c:f>Dashboard_Daten!$AT$108</c:f>
                  <c:strCache>
                    <c:ptCount val="1"/>
                    <c:pt idx="0">
                      <c:v>0</c:v>
                    </c:pt>
                  </c:strCache>
                </c:strRef>
              </c:tx>
              <c:dLblPos val="t"/>
              <c:showVal val="1"/>
            </c:dLbl>
            <c:dLbl>
              <c:idx val="4"/>
              <c:layout/>
              <c:tx>
                <c:strRef>
                  <c:f>Dashboard_Daten!$AU$108</c:f>
                  <c:strCache>
                    <c:ptCount val="1"/>
                    <c:pt idx="0">
                      <c:v>0</c:v>
                    </c:pt>
                  </c:strCache>
                </c:strRef>
              </c:tx>
              <c:dLblPos val="t"/>
              <c:showVal val="1"/>
            </c:dLbl>
            <c:dLbl>
              <c:idx val="5"/>
              <c:layout/>
              <c:tx>
                <c:strRef>
                  <c:f>Dashboard_Daten!$AV$108</c:f>
                  <c:strCache>
                    <c:ptCount val="1"/>
                    <c:pt idx="0">
                      <c:v>0</c:v>
                    </c:pt>
                  </c:strCache>
                </c:strRef>
              </c:tx>
              <c:dLblPos val="t"/>
              <c:showVal val="1"/>
            </c:dLbl>
            <c:dLbl>
              <c:idx val="6"/>
              <c:layout/>
              <c:tx>
                <c:strRef>
                  <c:f>Dashboard_Daten!$AW$108</c:f>
                  <c:strCache>
                    <c:ptCount val="1"/>
                    <c:pt idx="0">
                      <c:v>0</c:v>
                    </c:pt>
                  </c:strCache>
                </c:strRef>
              </c:tx>
              <c:dLblPos val="t"/>
              <c:showVal val="1"/>
            </c:dLbl>
            <c:dLbl>
              <c:idx val="7"/>
              <c:layout/>
              <c:tx>
                <c:strRef>
                  <c:f>Dashboard_Daten!$AX$108</c:f>
                  <c:strCache>
                    <c:ptCount val="1"/>
                    <c:pt idx="0">
                      <c:v>0</c:v>
                    </c:pt>
                  </c:strCache>
                </c:strRef>
              </c:tx>
              <c:dLblPos val="t"/>
              <c:showVal val="1"/>
            </c:dLbl>
            <c:dLbl>
              <c:idx val="8"/>
              <c:layout/>
              <c:tx>
                <c:strRef>
                  <c:f>Dashboard_Daten!$AY$108</c:f>
                  <c:strCache>
                    <c:ptCount val="1"/>
                    <c:pt idx="0">
                      <c:v>0</c:v>
                    </c:pt>
                  </c:strCache>
                </c:strRef>
              </c:tx>
              <c:dLblPos val="t"/>
              <c:showVal val="1"/>
            </c:dLbl>
            <c:dLbl>
              <c:idx val="9"/>
              <c:layout/>
              <c:tx>
                <c:strRef>
                  <c:f>Dashboard_Daten!$AZ$108</c:f>
                  <c:strCache>
                    <c:ptCount val="1"/>
                    <c:pt idx="0">
                      <c:v>0</c:v>
                    </c:pt>
                  </c:strCache>
                </c:strRef>
              </c:tx>
              <c:dLblPos val="t"/>
              <c:showVal val="1"/>
            </c:dLbl>
            <c:dLbl>
              <c:idx val="10"/>
              <c:layout/>
              <c:tx>
                <c:strRef>
                  <c:f>Dashboard_Daten!$BA$108</c:f>
                  <c:strCache>
                    <c:ptCount val="1"/>
                    <c:pt idx="0">
                      <c:v>0</c:v>
                    </c:pt>
                  </c:strCache>
                </c:strRef>
              </c:tx>
              <c:dLblPos val="t"/>
              <c:showVal val="1"/>
            </c:dLbl>
            <c:dLbl>
              <c:idx val="11"/>
              <c:layout/>
              <c:tx>
                <c:strRef>
                  <c:f>Dashboard_Daten!$BB$108</c:f>
                  <c:strCache>
                    <c:ptCount val="1"/>
                    <c:pt idx="0">
                      <c:v>0</c:v>
                    </c:pt>
                  </c:strCache>
                </c:strRef>
              </c:tx>
              <c:dLblPos val="t"/>
              <c:showVal val="1"/>
            </c:dLbl>
            <c:dLbl>
              <c:idx val="12"/>
              <c:layout/>
              <c:tx>
                <c:strRef>
                  <c:f>Dashboard_Daten!$BC$108</c:f>
                  <c:strCache>
                    <c:ptCount val="1"/>
                    <c:pt idx="0">
                      <c:v>0</c:v>
                    </c:pt>
                  </c:strCache>
                </c:strRef>
              </c:tx>
              <c:dLblPos val="t"/>
              <c:showVal val="1"/>
            </c:dLbl>
            <c:dLbl>
              <c:idx val="13"/>
              <c:layout/>
              <c:tx>
                <c:strRef>
                  <c:f>Dashboard_Daten!$BD$108</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Dashboard_Daten!$AQ$107:$BD$107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Dashboard_Daten!$AQ$103</c:f>
                  <c:strCache>
                    <c:ptCount val="1"/>
                    <c:pt idx="0">
                      <c:v>0</c:v>
                    </c:pt>
                  </c:strCache>
                </c:strRef>
              </c:tx>
              <c:showVal val="1"/>
            </c:dLbl>
            <c:dLbl>
              <c:idx val="1"/>
              <c:layout/>
              <c:tx>
                <c:strRef>
                  <c:f>Dashboard_Daten!$AR$103</c:f>
                  <c:strCache>
                    <c:ptCount val="1"/>
                    <c:pt idx="0">
                      <c:v>0</c:v>
                    </c:pt>
                  </c:strCache>
                </c:strRef>
              </c:tx>
              <c:showVal val="1"/>
            </c:dLbl>
            <c:dLbl>
              <c:idx val="2"/>
              <c:layout/>
              <c:tx>
                <c:strRef>
                  <c:f>Dashboard_Daten!$AS$103</c:f>
                  <c:strCache>
                    <c:ptCount val="1"/>
                    <c:pt idx="0">
                      <c:v>0</c:v>
                    </c:pt>
                  </c:strCache>
                </c:strRef>
              </c:tx>
              <c:showVal val="1"/>
            </c:dLbl>
            <c:dLbl>
              <c:idx val="3"/>
              <c:layout/>
              <c:tx>
                <c:strRef>
                  <c:f>Dashboard_Daten!$AT$103</c:f>
                  <c:strCache>
                    <c:ptCount val="1"/>
                    <c:pt idx="0">
                      <c:v>0</c:v>
                    </c:pt>
                  </c:strCache>
                </c:strRef>
              </c:tx>
              <c:showVal val="1"/>
            </c:dLbl>
            <c:dLbl>
              <c:idx val="4"/>
              <c:layout/>
              <c:tx>
                <c:strRef>
                  <c:f>Dashboard_Daten!$AU$103</c:f>
                  <c:strCache>
                    <c:ptCount val="1"/>
                    <c:pt idx="0">
                      <c:v>0</c:v>
                    </c:pt>
                  </c:strCache>
                </c:strRef>
              </c:tx>
              <c:showVal val="1"/>
            </c:dLbl>
            <c:dLbl>
              <c:idx val="5"/>
              <c:layout/>
              <c:tx>
                <c:strRef>
                  <c:f>Dashboard_Daten!$AV$103</c:f>
                  <c:strCache>
                    <c:ptCount val="1"/>
                    <c:pt idx="0">
                      <c:v>0</c:v>
                    </c:pt>
                  </c:strCache>
                </c:strRef>
              </c:tx>
              <c:showVal val="1"/>
            </c:dLbl>
            <c:dLbl>
              <c:idx val="6"/>
              <c:layout/>
              <c:tx>
                <c:strRef>
                  <c:f>Dashboard_Daten!$AW$103</c:f>
                  <c:strCache>
                    <c:ptCount val="1"/>
                    <c:pt idx="0">
                      <c:v>0</c:v>
                    </c:pt>
                  </c:strCache>
                </c:strRef>
              </c:tx>
              <c:showVal val="1"/>
            </c:dLbl>
            <c:dLbl>
              <c:idx val="7"/>
              <c:layout/>
              <c:tx>
                <c:strRef>
                  <c:f>Dashboard_Daten!$AX$103</c:f>
                  <c:strCache>
                    <c:ptCount val="1"/>
                    <c:pt idx="0">
                      <c:v>0</c:v>
                    </c:pt>
                  </c:strCache>
                </c:strRef>
              </c:tx>
              <c:showVal val="1"/>
            </c:dLbl>
            <c:dLbl>
              <c:idx val="8"/>
              <c:layout/>
              <c:tx>
                <c:strRef>
                  <c:f>Dashboard_Daten!$AY$103</c:f>
                  <c:strCache>
                    <c:ptCount val="1"/>
                    <c:pt idx="0">
                      <c:v>0</c:v>
                    </c:pt>
                  </c:strCache>
                </c:strRef>
              </c:tx>
              <c:showVal val="1"/>
            </c:dLbl>
            <c:dLbl>
              <c:idx val="9"/>
              <c:layout/>
              <c:tx>
                <c:strRef>
                  <c:f>Dashboard_Daten!$AZ$103</c:f>
                  <c:strCache>
                    <c:ptCount val="1"/>
                    <c:pt idx="0">
                      <c:v>0</c:v>
                    </c:pt>
                  </c:strCache>
                </c:strRef>
              </c:tx>
              <c:showVal val="1"/>
            </c:dLbl>
            <c:dLbl>
              <c:idx val="10"/>
              <c:layout/>
              <c:tx>
                <c:strRef>
                  <c:f>Dashboard_Daten!$BA$103</c:f>
                  <c:strCache>
                    <c:ptCount val="1"/>
                    <c:pt idx="0">
                      <c:v>0</c:v>
                    </c:pt>
                  </c:strCache>
                </c:strRef>
              </c:tx>
              <c:showVal val="1"/>
            </c:dLbl>
            <c:dLbl>
              <c:idx val="11"/>
              <c:layout/>
              <c:tx>
                <c:strRef>
                  <c:f>Dashboard_Daten!$BB$103</c:f>
                  <c:strCache>
                    <c:ptCount val="1"/>
                    <c:pt idx="0">
                      <c:v>0</c:v>
                    </c:pt>
                  </c:strCache>
                </c:strRef>
              </c:tx>
              <c:showVal val="1"/>
            </c:dLbl>
            <c:dLbl>
              <c:idx val="12"/>
              <c:layout/>
              <c:tx>
                <c:strRef>
                  <c:f>Dashboard_Daten!$BC$103</c:f>
                  <c:strCache>
                    <c:ptCount val="1"/>
                    <c:pt idx="0">
                      <c:v>0</c:v>
                    </c:pt>
                  </c:strCache>
                </c:strRef>
              </c:tx>
              <c:showVal val="1"/>
            </c:dLbl>
            <c:dLbl>
              <c:idx val="13"/>
              <c:layout/>
              <c:tx>
                <c:strRef>
                  <c:f>Dashboard_Daten!$BD$103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Dashboard_Daten!$AQ$102:$BD$102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Dashboard_Daten!$AQ$100</c:f>
                  <c:strCache>
                    <c:ptCount val="1"/>
                    <c:pt idx="0">
                      <c:v>0</c:v>
                    </c:pt>
                  </c:strCache>
                </c:strRef>
              </c:tx>
              <c:showVal val="1"/>
            </c:dLbl>
            <c:dLbl>
              <c:idx val="1"/>
              <c:layout/>
              <c:tx>
                <c:strRef>
                  <c:f>Dashboard_Daten!$AR$100</c:f>
                  <c:strCache>
                    <c:ptCount val="1"/>
                    <c:pt idx="0">
                      <c:v>0</c:v>
                    </c:pt>
                  </c:strCache>
                </c:strRef>
              </c:tx>
              <c:showVal val="1"/>
            </c:dLbl>
            <c:dLbl>
              <c:idx val="2"/>
              <c:layout/>
              <c:tx>
                <c:strRef>
                  <c:f>Dashboard_Daten!$AS$100</c:f>
                  <c:strCache>
                    <c:ptCount val="1"/>
                    <c:pt idx="0">
                      <c:v>0</c:v>
                    </c:pt>
                  </c:strCache>
                </c:strRef>
              </c:tx>
              <c:showVal val="1"/>
            </c:dLbl>
            <c:dLbl>
              <c:idx val="3"/>
              <c:layout/>
              <c:tx>
                <c:strRef>
                  <c:f>Dashboard_Daten!$AT$100</c:f>
                  <c:strCache>
                    <c:ptCount val="1"/>
                    <c:pt idx="0">
                      <c:v>0</c:v>
                    </c:pt>
                  </c:strCache>
                </c:strRef>
              </c:tx>
              <c:showVal val="1"/>
            </c:dLbl>
            <c:dLbl>
              <c:idx val="4"/>
              <c:layout/>
              <c:tx>
                <c:strRef>
                  <c:f>Dashboard_Daten!$AU$100</c:f>
                  <c:strCache>
                    <c:ptCount val="1"/>
                    <c:pt idx="0">
                      <c:v>0</c:v>
                    </c:pt>
                  </c:strCache>
                </c:strRef>
              </c:tx>
              <c:showVal val="1"/>
            </c:dLbl>
            <c:dLbl>
              <c:idx val="5"/>
              <c:layout/>
              <c:tx>
                <c:strRef>
                  <c:f>Dashboard_Daten!$AV$100</c:f>
                  <c:strCache>
                    <c:ptCount val="1"/>
                    <c:pt idx="0">
                      <c:v>0</c:v>
                    </c:pt>
                  </c:strCache>
                </c:strRef>
              </c:tx>
              <c:showVal val="1"/>
            </c:dLbl>
            <c:dLbl>
              <c:idx val="6"/>
              <c:layout/>
              <c:tx>
                <c:strRef>
                  <c:f>Dashboard_Daten!$AW$100</c:f>
                  <c:strCache>
                    <c:ptCount val="1"/>
                    <c:pt idx="0">
                      <c:v>0</c:v>
                    </c:pt>
                  </c:strCache>
                </c:strRef>
              </c:tx>
              <c:showVal val="1"/>
            </c:dLbl>
            <c:dLbl>
              <c:idx val="7"/>
              <c:layout/>
              <c:tx>
                <c:strRef>
                  <c:f>Dashboard_Daten!$AX$100</c:f>
                  <c:strCache>
                    <c:ptCount val="1"/>
                    <c:pt idx="0">
                      <c:v>0</c:v>
                    </c:pt>
                  </c:strCache>
                </c:strRef>
              </c:tx>
              <c:showVal val="1"/>
            </c:dLbl>
            <c:dLbl>
              <c:idx val="8"/>
              <c:layout/>
              <c:tx>
                <c:strRef>
                  <c:f>Dashboard_Daten!$AY$100</c:f>
                  <c:strCache>
                    <c:ptCount val="1"/>
                    <c:pt idx="0">
                      <c:v>0</c:v>
                    </c:pt>
                  </c:strCache>
                </c:strRef>
              </c:tx>
              <c:showVal val="1"/>
            </c:dLbl>
            <c:dLbl>
              <c:idx val="9"/>
              <c:layout/>
              <c:tx>
                <c:strRef>
                  <c:f>Dashboard_Daten!$AZ$100</c:f>
                  <c:strCache>
                    <c:ptCount val="1"/>
                    <c:pt idx="0">
                      <c:v>0</c:v>
                    </c:pt>
                  </c:strCache>
                </c:strRef>
              </c:tx>
              <c:showVal val="1"/>
            </c:dLbl>
            <c:dLbl>
              <c:idx val="10"/>
              <c:layout/>
              <c:tx>
                <c:strRef>
                  <c:f>Dashboard_Daten!$BA$100</c:f>
                  <c:strCache>
                    <c:ptCount val="1"/>
                    <c:pt idx="0">
                      <c:v>0</c:v>
                    </c:pt>
                  </c:strCache>
                </c:strRef>
              </c:tx>
              <c:showVal val="1"/>
            </c:dLbl>
            <c:dLbl>
              <c:idx val="11"/>
              <c:layout/>
              <c:tx>
                <c:strRef>
                  <c:f>Dashboard_Daten!$BB$100</c:f>
                  <c:strCache>
                    <c:ptCount val="1"/>
                    <c:pt idx="0">
                      <c:v>0</c:v>
                    </c:pt>
                  </c:strCache>
                </c:strRef>
              </c:tx>
              <c:showVal val="1"/>
            </c:dLbl>
            <c:dLbl>
              <c:idx val="12"/>
              <c:layout/>
              <c:tx>
                <c:strRef>
                  <c:f>Dashboard_Daten!$BC$100</c:f>
                  <c:strCache>
                    <c:ptCount val="1"/>
                    <c:pt idx="0">
                      <c:v>0</c:v>
                    </c:pt>
                  </c:strCache>
                </c:strRef>
              </c:tx>
              <c:showVal val="1"/>
            </c:dLbl>
            <c:dLbl>
              <c:idx val="13"/>
              <c:layout/>
              <c:tx>
                <c:strRef>
                  <c:f>Dashboard_Daten!$BD$100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Dashboard_Daten!$AQ$99:$BD$99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Dashboard_Daten!$AQ$106</c:f>
                  <c:strCache>
                    <c:ptCount val="1"/>
                    <c:pt idx="0">
                      <c:v>0</c:v>
                    </c:pt>
                  </c:strCache>
                </c:strRef>
              </c:tx>
              <c:showVal val="1"/>
            </c:dLbl>
            <c:dLbl>
              <c:idx val="1"/>
              <c:layout/>
              <c:tx>
                <c:strRef>
                  <c:f>Dashboard_Daten!$AR$106</c:f>
                  <c:strCache>
                    <c:ptCount val="1"/>
                    <c:pt idx="0">
                      <c:v>0</c:v>
                    </c:pt>
                  </c:strCache>
                </c:strRef>
              </c:tx>
              <c:showVal val="1"/>
            </c:dLbl>
            <c:dLbl>
              <c:idx val="2"/>
              <c:layout/>
              <c:tx>
                <c:strRef>
                  <c:f>Dashboard_Daten!$AS$106</c:f>
                  <c:strCache>
                    <c:ptCount val="1"/>
                    <c:pt idx="0">
                      <c:v>0</c:v>
                    </c:pt>
                  </c:strCache>
                </c:strRef>
              </c:tx>
              <c:showVal val="1"/>
            </c:dLbl>
            <c:dLbl>
              <c:idx val="3"/>
              <c:layout/>
              <c:tx>
                <c:strRef>
                  <c:f>Dashboard_Daten!$AT$106</c:f>
                  <c:strCache>
                    <c:ptCount val="1"/>
                    <c:pt idx="0">
                      <c:v>0</c:v>
                    </c:pt>
                  </c:strCache>
                </c:strRef>
              </c:tx>
              <c:showVal val="1"/>
            </c:dLbl>
            <c:dLbl>
              <c:idx val="4"/>
              <c:layout/>
              <c:tx>
                <c:strRef>
                  <c:f>Dashboard_Daten!$AU$106</c:f>
                  <c:strCache>
                    <c:ptCount val="1"/>
                    <c:pt idx="0">
                      <c:v>0</c:v>
                    </c:pt>
                  </c:strCache>
                </c:strRef>
              </c:tx>
              <c:showVal val="1"/>
            </c:dLbl>
            <c:dLbl>
              <c:idx val="5"/>
              <c:layout/>
              <c:tx>
                <c:strRef>
                  <c:f>Dashboard_Daten!$AV$106</c:f>
                  <c:strCache>
                    <c:ptCount val="1"/>
                    <c:pt idx="0">
                      <c:v>0</c:v>
                    </c:pt>
                  </c:strCache>
                </c:strRef>
              </c:tx>
              <c:showVal val="1"/>
            </c:dLbl>
            <c:dLbl>
              <c:idx val="6"/>
              <c:layout/>
              <c:tx>
                <c:strRef>
                  <c:f>Dashboard_Daten!$AW$106</c:f>
                  <c:strCache>
                    <c:ptCount val="1"/>
                    <c:pt idx="0">
                      <c:v>0</c:v>
                    </c:pt>
                  </c:strCache>
                </c:strRef>
              </c:tx>
              <c:showVal val="1"/>
            </c:dLbl>
            <c:dLbl>
              <c:idx val="7"/>
              <c:layout/>
              <c:tx>
                <c:strRef>
                  <c:f>Dashboard_Daten!$AX$106</c:f>
                  <c:strCache>
                    <c:ptCount val="1"/>
                    <c:pt idx="0">
                      <c:v>0</c:v>
                    </c:pt>
                  </c:strCache>
                </c:strRef>
              </c:tx>
              <c:showVal val="1"/>
            </c:dLbl>
            <c:dLbl>
              <c:idx val="8"/>
              <c:layout/>
              <c:tx>
                <c:strRef>
                  <c:f>Dashboard_Daten!$AY$106</c:f>
                  <c:strCache>
                    <c:ptCount val="1"/>
                    <c:pt idx="0">
                      <c:v>0</c:v>
                    </c:pt>
                  </c:strCache>
                </c:strRef>
              </c:tx>
              <c:showVal val="1"/>
            </c:dLbl>
            <c:dLbl>
              <c:idx val="9"/>
              <c:layout/>
              <c:tx>
                <c:strRef>
                  <c:f>Dashboard_Daten!$AZ$106</c:f>
                  <c:strCache>
                    <c:ptCount val="1"/>
                    <c:pt idx="0">
                      <c:v>0</c:v>
                    </c:pt>
                  </c:strCache>
                </c:strRef>
              </c:tx>
              <c:showVal val="1"/>
            </c:dLbl>
            <c:dLbl>
              <c:idx val="10"/>
              <c:layout/>
              <c:tx>
                <c:strRef>
                  <c:f>Dashboard_Daten!$BA$106</c:f>
                  <c:strCache>
                    <c:ptCount val="1"/>
                    <c:pt idx="0">
                      <c:v>0</c:v>
                    </c:pt>
                  </c:strCache>
                </c:strRef>
              </c:tx>
              <c:showVal val="1"/>
            </c:dLbl>
            <c:dLbl>
              <c:idx val="11"/>
              <c:layout/>
              <c:tx>
                <c:strRef>
                  <c:f>Dashboard_Daten!$BB$106</c:f>
                  <c:strCache>
                    <c:ptCount val="1"/>
                    <c:pt idx="0">
                      <c:v>0</c:v>
                    </c:pt>
                  </c:strCache>
                </c:strRef>
              </c:tx>
              <c:showVal val="1"/>
            </c:dLbl>
            <c:dLbl>
              <c:idx val="12"/>
              <c:layout/>
              <c:tx>
                <c:strRef>
                  <c:f>Dashboard_Daten!$BC$106</c:f>
                  <c:strCache>
                    <c:ptCount val="1"/>
                    <c:pt idx="0">
                      <c:v>0</c:v>
                    </c:pt>
                  </c:strCache>
                </c:strRef>
              </c:tx>
              <c:showVal val="1"/>
            </c:dLbl>
            <c:dLbl>
              <c:idx val="13"/>
              <c:layout/>
              <c:tx>
                <c:strRef>
                  <c:f>Dashboard_Daten!$BD$106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Dashboard_Daten!$AQ$105:$BD$105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Dashboard_Daten!$AQ$110:$BD$110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Dashboard_Daten!$AQ$111:$BD$111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Dashboard_Daten!$AQ$112:$BD$112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Dashboard_Daten!$AQ$114:$BD$114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Dashboard_Daten!$AQ$115:$BD$115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Dashboard_Daten!$AQ$117</c:f>
                  <c:strCache>
                    <c:ptCount val="1"/>
                    <c:pt idx="0">
                      <c:v>0</c:v>
                    </c:pt>
                  </c:strCache>
                </c:strRef>
              </c:tx>
              <c:showVal val="1"/>
            </c:dLbl>
            <c:dLbl>
              <c:idx val="1"/>
              <c:layout/>
              <c:tx>
                <c:strRef>
                  <c:f>Dashboard_Daten!$AR$117</c:f>
                  <c:strCache>
                    <c:ptCount val="1"/>
                    <c:pt idx="0">
                      <c:v>0</c:v>
                    </c:pt>
                  </c:strCache>
                </c:strRef>
              </c:tx>
              <c:showVal val="1"/>
            </c:dLbl>
            <c:dLbl>
              <c:idx val="2"/>
              <c:layout/>
              <c:tx>
                <c:strRef>
                  <c:f>Dashboard_Daten!$AS$117</c:f>
                  <c:strCache>
                    <c:ptCount val="1"/>
                    <c:pt idx="0">
                      <c:v>0</c:v>
                    </c:pt>
                  </c:strCache>
                </c:strRef>
              </c:tx>
              <c:showVal val="1"/>
            </c:dLbl>
            <c:dLbl>
              <c:idx val="3"/>
              <c:layout/>
              <c:tx>
                <c:strRef>
                  <c:f>Dashboard_Daten!$AT$117</c:f>
                  <c:strCache>
                    <c:ptCount val="1"/>
                    <c:pt idx="0">
                      <c:v>0</c:v>
                    </c:pt>
                  </c:strCache>
                </c:strRef>
              </c:tx>
              <c:showVal val="1"/>
            </c:dLbl>
            <c:dLbl>
              <c:idx val="4"/>
              <c:layout/>
              <c:tx>
                <c:strRef>
                  <c:f>Dashboard_Daten!$AU$117</c:f>
                  <c:strCache>
                    <c:ptCount val="1"/>
                    <c:pt idx="0">
                      <c:v>0</c:v>
                    </c:pt>
                  </c:strCache>
                </c:strRef>
              </c:tx>
              <c:showVal val="1"/>
            </c:dLbl>
            <c:dLbl>
              <c:idx val="5"/>
              <c:layout/>
              <c:tx>
                <c:strRef>
                  <c:f>Dashboard_Daten!$AV$117</c:f>
                  <c:strCache>
                    <c:ptCount val="1"/>
                    <c:pt idx="0">
                      <c:v>0</c:v>
                    </c:pt>
                  </c:strCache>
                </c:strRef>
              </c:tx>
              <c:showVal val="1"/>
            </c:dLbl>
            <c:dLbl>
              <c:idx val="6"/>
              <c:layout/>
              <c:tx>
                <c:strRef>
                  <c:f>Dashboard_Daten!$AW$117</c:f>
                  <c:strCache>
                    <c:ptCount val="1"/>
                    <c:pt idx="0">
                      <c:v>0</c:v>
                    </c:pt>
                  </c:strCache>
                </c:strRef>
              </c:tx>
              <c:showVal val="1"/>
            </c:dLbl>
            <c:dLbl>
              <c:idx val="7"/>
              <c:layout/>
              <c:tx>
                <c:strRef>
                  <c:f>Dashboard_Daten!$AX$117</c:f>
                  <c:strCache>
                    <c:ptCount val="1"/>
                    <c:pt idx="0">
                      <c:v>0</c:v>
                    </c:pt>
                  </c:strCache>
                </c:strRef>
              </c:tx>
              <c:showVal val="1"/>
            </c:dLbl>
            <c:dLbl>
              <c:idx val="8"/>
              <c:layout/>
              <c:tx>
                <c:strRef>
                  <c:f>Dashboard_Daten!$AY$117</c:f>
                  <c:strCache>
                    <c:ptCount val="1"/>
                    <c:pt idx="0">
                      <c:v>0</c:v>
                    </c:pt>
                  </c:strCache>
                </c:strRef>
              </c:tx>
              <c:showVal val="1"/>
            </c:dLbl>
            <c:dLbl>
              <c:idx val="9"/>
              <c:layout/>
              <c:tx>
                <c:strRef>
                  <c:f>Dashboard_Daten!$AZ$117</c:f>
                  <c:strCache>
                    <c:ptCount val="1"/>
                    <c:pt idx="0">
                      <c:v>0</c:v>
                    </c:pt>
                  </c:strCache>
                </c:strRef>
              </c:tx>
              <c:showVal val="1"/>
            </c:dLbl>
            <c:dLbl>
              <c:idx val="10"/>
              <c:layout/>
              <c:tx>
                <c:strRef>
                  <c:f>Dashboard_Daten!$BA$117</c:f>
                  <c:strCache>
                    <c:ptCount val="1"/>
                    <c:pt idx="0">
                      <c:v>0</c:v>
                    </c:pt>
                  </c:strCache>
                </c:strRef>
              </c:tx>
              <c:showVal val="1"/>
            </c:dLbl>
            <c:dLbl>
              <c:idx val="11"/>
              <c:layout/>
              <c:tx>
                <c:strRef>
                  <c:f>Dashboard_Daten!$BB$117</c:f>
                  <c:strCache>
                    <c:ptCount val="1"/>
                    <c:pt idx="0">
                      <c:v>0</c:v>
                    </c:pt>
                  </c:strCache>
                </c:strRef>
              </c:tx>
              <c:showVal val="1"/>
            </c:dLbl>
            <c:dLbl>
              <c:idx val="12"/>
              <c:layout/>
              <c:tx>
                <c:strRef>
                  <c:f>Dashboard_Daten!$BC$117</c:f>
                  <c:strCache>
                    <c:ptCount val="1"/>
                    <c:pt idx="0">
                      <c:v>0</c:v>
                    </c:pt>
                  </c:strCache>
                </c:strRef>
              </c:tx>
              <c:showVal val="1"/>
            </c:dLbl>
            <c:dLbl>
              <c:idx val="13"/>
              <c:layout/>
              <c:tx>
                <c:strRef>
                  <c:f>Dashboard_Daten!$BD$117</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Dashboard_Daten!$AQ$116:$BD$116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Dashboard_Daten!$AQ$119</c:f>
                  <c:strCache>
                    <c:ptCount val="1"/>
                    <c:pt idx="0">
                      <c:v>0</c:v>
                    </c:pt>
                  </c:strCache>
                </c:strRef>
              </c:tx>
              <c:showVal val="1"/>
            </c:dLbl>
            <c:dLbl>
              <c:idx val="1"/>
              <c:layout/>
              <c:tx>
                <c:strRef>
                  <c:f>Dashboard_Daten!$AR$119</c:f>
                  <c:strCache>
                    <c:ptCount val="1"/>
                    <c:pt idx="0">
                      <c:v>0</c:v>
                    </c:pt>
                  </c:strCache>
                </c:strRef>
              </c:tx>
              <c:showVal val="1"/>
            </c:dLbl>
            <c:dLbl>
              <c:idx val="2"/>
              <c:layout/>
              <c:tx>
                <c:strRef>
                  <c:f>Dashboard_Daten!$AS$119</c:f>
                  <c:strCache>
                    <c:ptCount val="1"/>
                    <c:pt idx="0">
                      <c:v>0</c:v>
                    </c:pt>
                  </c:strCache>
                </c:strRef>
              </c:tx>
              <c:showVal val="1"/>
            </c:dLbl>
            <c:dLbl>
              <c:idx val="3"/>
              <c:layout/>
              <c:tx>
                <c:strRef>
                  <c:f>Dashboard_Daten!$AT$119</c:f>
                  <c:strCache>
                    <c:ptCount val="1"/>
                    <c:pt idx="0">
                      <c:v>0</c:v>
                    </c:pt>
                  </c:strCache>
                </c:strRef>
              </c:tx>
              <c:showVal val="1"/>
            </c:dLbl>
            <c:dLbl>
              <c:idx val="4"/>
              <c:layout/>
              <c:tx>
                <c:strRef>
                  <c:f>Dashboard_Daten!$AU$119</c:f>
                  <c:strCache>
                    <c:ptCount val="1"/>
                    <c:pt idx="0">
                      <c:v>0</c:v>
                    </c:pt>
                  </c:strCache>
                </c:strRef>
              </c:tx>
              <c:showVal val="1"/>
            </c:dLbl>
            <c:dLbl>
              <c:idx val="5"/>
              <c:layout/>
              <c:tx>
                <c:strRef>
                  <c:f>Dashboard_Daten!$AV$119</c:f>
                  <c:strCache>
                    <c:ptCount val="1"/>
                    <c:pt idx="0">
                      <c:v>0</c:v>
                    </c:pt>
                  </c:strCache>
                </c:strRef>
              </c:tx>
              <c:showVal val="1"/>
            </c:dLbl>
            <c:dLbl>
              <c:idx val="6"/>
              <c:layout/>
              <c:tx>
                <c:strRef>
                  <c:f>Dashboard_Daten!$AW$119</c:f>
                  <c:strCache>
                    <c:ptCount val="1"/>
                    <c:pt idx="0">
                      <c:v>0</c:v>
                    </c:pt>
                  </c:strCache>
                </c:strRef>
              </c:tx>
              <c:showVal val="1"/>
            </c:dLbl>
            <c:dLbl>
              <c:idx val="7"/>
              <c:layout/>
              <c:tx>
                <c:strRef>
                  <c:f>Dashboard_Daten!$AX$119</c:f>
                  <c:strCache>
                    <c:ptCount val="1"/>
                    <c:pt idx="0">
                      <c:v>0</c:v>
                    </c:pt>
                  </c:strCache>
                </c:strRef>
              </c:tx>
              <c:showVal val="1"/>
            </c:dLbl>
            <c:dLbl>
              <c:idx val="8"/>
              <c:layout/>
              <c:tx>
                <c:strRef>
                  <c:f>Dashboard_Daten!$AY$119</c:f>
                  <c:strCache>
                    <c:ptCount val="1"/>
                    <c:pt idx="0">
                      <c:v>0</c:v>
                    </c:pt>
                  </c:strCache>
                </c:strRef>
              </c:tx>
              <c:showVal val="1"/>
            </c:dLbl>
            <c:dLbl>
              <c:idx val="9"/>
              <c:layout/>
              <c:tx>
                <c:strRef>
                  <c:f>Dashboard_Daten!$AZ$119</c:f>
                  <c:strCache>
                    <c:ptCount val="1"/>
                    <c:pt idx="0">
                      <c:v>0</c:v>
                    </c:pt>
                  </c:strCache>
                </c:strRef>
              </c:tx>
              <c:showVal val="1"/>
            </c:dLbl>
            <c:dLbl>
              <c:idx val="10"/>
              <c:layout/>
              <c:tx>
                <c:strRef>
                  <c:f>Dashboard_Daten!$BA$119</c:f>
                  <c:strCache>
                    <c:ptCount val="1"/>
                    <c:pt idx="0">
                      <c:v>0</c:v>
                    </c:pt>
                  </c:strCache>
                </c:strRef>
              </c:tx>
              <c:showVal val="1"/>
            </c:dLbl>
            <c:dLbl>
              <c:idx val="11"/>
              <c:layout/>
              <c:tx>
                <c:strRef>
                  <c:f>Dashboard_Daten!$BB$119</c:f>
                  <c:strCache>
                    <c:ptCount val="1"/>
                    <c:pt idx="0">
                      <c:v>0</c:v>
                    </c:pt>
                  </c:strCache>
                </c:strRef>
              </c:tx>
              <c:showVal val="1"/>
            </c:dLbl>
            <c:dLbl>
              <c:idx val="12"/>
              <c:layout/>
              <c:tx>
                <c:strRef>
                  <c:f>Dashboard_Daten!$BC$119</c:f>
                  <c:strCache>
                    <c:ptCount val="1"/>
                    <c:pt idx="0">
                      <c:v>0</c:v>
                    </c:pt>
                  </c:strCache>
                </c:strRef>
              </c:tx>
              <c:showVal val="1"/>
            </c:dLbl>
            <c:dLbl>
              <c:idx val="13"/>
              <c:layout/>
              <c:tx>
                <c:strRef>
                  <c:f>Dashboard_Daten!$BD$119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Dashboard_Daten!$AQ$118:$BD$118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Dashboard_Daten!$AQ$120:$BD$120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Dashboard_Daten!$AQ$121:$BD$121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Dashboard_Daten!$AQ$122:$BD$122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Dashboard_Daten!$U$15:$AD$15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a:lstStyle/>
              <a:p>
                <a:pPr>
                  <a:defRPr sz="650" b="1" baseline="0">
                    <a:solidFill>
                      <a:srgbClr val="009284"/>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60001"/>
        <c:axId val="50060002"/>
      </c:bar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Dashboard_Daten!$U$9:$AD$9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267175572519087"/>
          <c:w val="0.95999999999999996"/>
          <c:h val="0.47413061916878702"/>
        </c:manualLayout>
      </c:layout>
      <c:barChart>
        <c:barDir val="col"/>
        <c:grouping val="clustered"/>
        <c:ser>
          <c:idx val="0"/>
          <c:order val="0"/>
          <c:tx>
            <c:v>Zunahmen</c:v>
          </c:tx>
          <c:spPr>
            <a:solidFill>
              <a:srgbClr val="BF1528"/>
            </a:solidFill>
            <a:ln>
              <a:noFill/>
            </a:ln>
          </c:spPr>
          <c:dLbls>
            <c:dLbl>
              <c:idx val="0"/>
              <c:layout/>
              <c:tx>
                <c:strRef>
                  <c:f>Dashboard_Daten!$U$134</c:f>
                  <c:strCache>
                    <c:ptCount val="1"/>
                    <c:pt idx="0">
                      <c:v>0</c:v>
                    </c:pt>
                  </c:strCache>
                </c:strRef>
              </c:tx>
              <c:showVal val="1"/>
            </c:dLbl>
            <c:dLbl>
              <c:idx val="1"/>
              <c:layout/>
              <c:tx>
                <c:strRef>
                  <c:f>Dashboard_Daten!$V$134</c:f>
                  <c:strCache>
                    <c:ptCount val="1"/>
                    <c:pt idx="0">
                      <c:v>0</c:v>
                    </c:pt>
                  </c:strCache>
                </c:strRef>
              </c:tx>
              <c:showVal val="1"/>
            </c:dLbl>
            <c:dLbl>
              <c:idx val="2"/>
              <c:layout/>
              <c:tx>
                <c:strRef>
                  <c:f>Dashboard_Daten!$W$134</c:f>
                  <c:strCache>
                    <c:ptCount val="1"/>
                    <c:pt idx="0">
                      <c:v>0</c:v>
                    </c:pt>
                  </c:strCache>
                </c:strRef>
              </c:tx>
              <c:showVal val="1"/>
            </c:dLbl>
            <c:dLbl>
              <c:idx val="3"/>
              <c:layout/>
              <c:tx>
                <c:strRef>
                  <c:f>Dashboard_Daten!$X$134</c:f>
                  <c:strCache>
                    <c:ptCount val="1"/>
                    <c:pt idx="0">
                      <c:v>0</c:v>
                    </c:pt>
                  </c:strCache>
                </c:strRef>
              </c:tx>
              <c:showVal val="1"/>
            </c:dLbl>
            <c:dLbl>
              <c:idx val="4"/>
              <c:layout/>
              <c:tx>
                <c:strRef>
                  <c:f>Dashboard_Daten!$Y$134</c:f>
                  <c:strCache>
                    <c:ptCount val="1"/>
                    <c:pt idx="0">
                      <c:v>0</c:v>
                    </c:pt>
                  </c:strCache>
                </c:strRef>
              </c:tx>
              <c:showVal val="1"/>
            </c:dLbl>
            <c:dLbl>
              <c:idx val="5"/>
              <c:layout/>
              <c:tx>
                <c:strRef>
                  <c:f>Dashboard_Daten!$Z$134</c:f>
                  <c:strCache>
                    <c:ptCount val="1"/>
                    <c:pt idx="0">
                      <c:v>0</c:v>
                    </c:pt>
                  </c:strCache>
                </c:strRef>
              </c:tx>
              <c:showVal val="1"/>
            </c:dLbl>
            <c:dLbl>
              <c:idx val="6"/>
              <c:layout/>
              <c:tx>
                <c:strRef>
                  <c:f>Dashboard_Daten!$AA$134</c:f>
                  <c:strCache>
                    <c:ptCount val="1"/>
                    <c:pt idx="0">
                      <c:v>0</c:v>
                    </c:pt>
                  </c:strCache>
                </c:strRef>
              </c:tx>
              <c:showVal val="1"/>
            </c:dLbl>
            <c:dLbl>
              <c:idx val="7"/>
              <c:layout/>
              <c:tx>
                <c:strRef>
                  <c:f>Dashboard_Daten!$AB$134</c:f>
                  <c:strCache>
                    <c:ptCount val="1"/>
                    <c:pt idx="0">
                      <c:v>0</c:v>
                    </c:pt>
                  </c:strCache>
                </c:strRef>
              </c:tx>
              <c:showVal val="1"/>
            </c:dLbl>
            <c:dLbl>
              <c:idx val="8"/>
              <c:layout/>
              <c:tx>
                <c:strRef>
                  <c:f>Dashboard_Daten!$AC$134</c:f>
                  <c:strCache>
                    <c:ptCount val="1"/>
                    <c:pt idx="0">
                      <c:v>0</c:v>
                    </c:pt>
                  </c:strCache>
                </c:strRef>
              </c:tx>
              <c:showVal val="1"/>
            </c:dLbl>
            <c:dLbl>
              <c:idx val="9"/>
              <c:layout/>
              <c:tx>
                <c:strRef>
                  <c:f>Dashboard_Daten!$AD$134</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Dashboard_Daten!$U$10:$AD$10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dLbl>
              <c:idx val="0"/>
              <c:delete val="1"/>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Dashboard_Daten!$U$11:$AD$11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lineChart>
        <c:grouping val="standard"/>
        <c:ser>
          <c:idx val="2"/>
          <c:order val="2"/>
          <c:tx>
            <c:v>Delta auf</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Dashboard_Daten!$U$136:$AD$136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Dashboard_Daten!$U$137:$AD$137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Dashboard_Daten!$U$138:$AD$138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80001"/>
        <c:axId val="50080002"/>
      </c:line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Dashboard_Daten!$U$12:$AD$12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Dashboard_Daten!$U$13:$AD$13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Dashboard_Daten!$U$14:$AD$14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Dashboard_Daten!$U$125:$AD$125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Dashboard_Daten!$U$126:$AD$126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9906403940886699"/>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Dashboard_Daten!$U$18:$AD$18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Dashboard_Daten!$U$19:$AD$19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Dashboard_Daten!$U$128</c:f>
                  <c:strCache>
                    <c:ptCount val="1"/>
                    <c:pt idx="0">
                      <c:v>0</c:v>
                    </c:pt>
                  </c:strCache>
                </c:strRef>
              </c:tx>
              <c:dLblPos val="t"/>
              <c:showVal val="1"/>
            </c:dLbl>
            <c:dLbl>
              <c:idx val="1"/>
              <c:layout/>
              <c:tx>
                <c:strRef>
                  <c:f>Dashboard_Daten!$V$128</c:f>
                  <c:strCache>
                    <c:ptCount val="1"/>
                    <c:pt idx="0">
                      <c:v>0</c:v>
                    </c:pt>
                  </c:strCache>
                </c:strRef>
              </c:tx>
              <c:dLblPos val="t"/>
              <c:showVal val="1"/>
            </c:dLbl>
            <c:dLbl>
              <c:idx val="2"/>
              <c:layout/>
              <c:tx>
                <c:strRef>
                  <c:f>Dashboard_Daten!$W$128</c:f>
                  <c:strCache>
                    <c:ptCount val="1"/>
                    <c:pt idx="0">
                      <c:v>0</c:v>
                    </c:pt>
                  </c:strCache>
                </c:strRef>
              </c:tx>
              <c:dLblPos val="t"/>
              <c:showVal val="1"/>
            </c:dLbl>
            <c:dLbl>
              <c:idx val="3"/>
              <c:layout/>
              <c:tx>
                <c:strRef>
                  <c:f>Dashboard_Daten!$X$128</c:f>
                  <c:strCache>
                    <c:ptCount val="1"/>
                    <c:pt idx="0">
                      <c:v>0</c:v>
                    </c:pt>
                  </c:strCache>
                </c:strRef>
              </c:tx>
              <c:dLblPos val="t"/>
              <c:showVal val="1"/>
            </c:dLbl>
            <c:dLbl>
              <c:idx val="4"/>
              <c:layout/>
              <c:tx>
                <c:strRef>
                  <c:f>Dashboard_Daten!$Y$128</c:f>
                  <c:strCache>
                    <c:ptCount val="1"/>
                    <c:pt idx="0">
                      <c:v>0</c:v>
                    </c:pt>
                  </c:strCache>
                </c:strRef>
              </c:tx>
              <c:dLblPos val="t"/>
              <c:showVal val="1"/>
            </c:dLbl>
            <c:dLbl>
              <c:idx val="5"/>
              <c:layout/>
              <c:tx>
                <c:strRef>
                  <c:f>Dashboard_Daten!$Z$128</c:f>
                  <c:strCache>
                    <c:ptCount val="1"/>
                    <c:pt idx="0">
                      <c:v>0</c:v>
                    </c:pt>
                  </c:strCache>
                </c:strRef>
              </c:tx>
              <c:dLblPos val="t"/>
              <c:showVal val="1"/>
            </c:dLbl>
            <c:dLbl>
              <c:idx val="6"/>
              <c:layout/>
              <c:tx>
                <c:strRef>
                  <c:f>Dashboard_Daten!$AA$128</c:f>
                  <c:strCache>
                    <c:ptCount val="1"/>
                    <c:pt idx="0">
                      <c:v>0</c:v>
                    </c:pt>
                  </c:strCache>
                </c:strRef>
              </c:tx>
              <c:dLblPos val="t"/>
              <c:showVal val="1"/>
            </c:dLbl>
            <c:dLbl>
              <c:idx val="7"/>
              <c:layout/>
              <c:tx>
                <c:strRef>
                  <c:f>Dashboard_Daten!$AB$128</c:f>
                  <c:strCache>
                    <c:ptCount val="1"/>
                    <c:pt idx="0">
                      <c:v>0</c:v>
                    </c:pt>
                  </c:strCache>
                </c:strRef>
              </c:tx>
              <c:dLblPos val="t"/>
              <c:showVal val="1"/>
            </c:dLbl>
            <c:dLbl>
              <c:idx val="8"/>
              <c:layout/>
              <c:tx>
                <c:strRef>
                  <c:f>Dashboard_Daten!$AC$128</c:f>
                  <c:strCache>
                    <c:ptCount val="1"/>
                    <c:pt idx="0">
                      <c:v>0</c:v>
                    </c:pt>
                  </c:strCache>
                </c:strRef>
              </c:tx>
              <c:dLblPos val="t"/>
              <c:showVal val="1"/>
            </c:dLbl>
            <c:dLbl>
              <c:idx val="9"/>
              <c:layout/>
              <c:tx>
                <c:strRef>
                  <c:f>Dashboard_Daten!$AD$128</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Dashboard_Daten!$U$127:$AD$127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Dashboard_Daten!$U$8:$AD$8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Dashboard_Daten!$U$23:$AD$23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Dashboard_Daten!$U$22:$AD$22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Dashboard_Daten!$U$21:$AD$21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Dashboard_Daten!$U$130</c:f>
                  <c:strCache>
                    <c:ptCount val="1"/>
                    <c:pt idx="0">
                      <c:v>0</c:v>
                    </c:pt>
                  </c:strCache>
                </c:strRef>
              </c:tx>
              <c:dLblPos val="t"/>
              <c:showVal val="1"/>
            </c:dLbl>
            <c:dLbl>
              <c:idx val="1"/>
              <c:layout/>
              <c:tx>
                <c:strRef>
                  <c:f>Dashboard_Daten!$V$130</c:f>
                  <c:strCache>
                    <c:ptCount val="1"/>
                    <c:pt idx="0">
                      <c:v>0</c:v>
                    </c:pt>
                  </c:strCache>
                </c:strRef>
              </c:tx>
              <c:dLblPos val="t"/>
              <c:showVal val="1"/>
            </c:dLbl>
            <c:dLbl>
              <c:idx val="2"/>
              <c:layout/>
              <c:tx>
                <c:strRef>
                  <c:f>Dashboard_Daten!$W$130</c:f>
                  <c:strCache>
                    <c:ptCount val="1"/>
                    <c:pt idx="0">
                      <c:v>0</c:v>
                    </c:pt>
                  </c:strCache>
                </c:strRef>
              </c:tx>
              <c:dLblPos val="t"/>
              <c:showVal val="1"/>
            </c:dLbl>
            <c:dLbl>
              <c:idx val="3"/>
              <c:layout/>
              <c:tx>
                <c:strRef>
                  <c:f>Dashboard_Daten!$X$130</c:f>
                  <c:strCache>
                    <c:ptCount val="1"/>
                    <c:pt idx="0">
                      <c:v>0</c:v>
                    </c:pt>
                  </c:strCache>
                </c:strRef>
              </c:tx>
              <c:dLblPos val="t"/>
              <c:showVal val="1"/>
            </c:dLbl>
            <c:dLbl>
              <c:idx val="4"/>
              <c:layout/>
              <c:tx>
                <c:strRef>
                  <c:f>Dashboard_Daten!$Y$130</c:f>
                  <c:strCache>
                    <c:ptCount val="1"/>
                    <c:pt idx="0">
                      <c:v>0</c:v>
                    </c:pt>
                  </c:strCache>
                </c:strRef>
              </c:tx>
              <c:dLblPos val="t"/>
              <c:showVal val="1"/>
            </c:dLbl>
            <c:dLbl>
              <c:idx val="5"/>
              <c:layout/>
              <c:tx>
                <c:strRef>
                  <c:f>Dashboard_Daten!$Z$130</c:f>
                  <c:strCache>
                    <c:ptCount val="1"/>
                    <c:pt idx="0">
                      <c:v>0</c:v>
                    </c:pt>
                  </c:strCache>
                </c:strRef>
              </c:tx>
              <c:dLblPos val="t"/>
              <c:showVal val="1"/>
            </c:dLbl>
            <c:dLbl>
              <c:idx val="6"/>
              <c:layout/>
              <c:tx>
                <c:strRef>
                  <c:f>Dashboard_Daten!$AA$130</c:f>
                  <c:strCache>
                    <c:ptCount val="1"/>
                    <c:pt idx="0">
                      <c:v>0</c:v>
                    </c:pt>
                  </c:strCache>
                </c:strRef>
              </c:tx>
              <c:dLblPos val="t"/>
              <c:showVal val="1"/>
            </c:dLbl>
            <c:dLbl>
              <c:idx val="7"/>
              <c:layout/>
              <c:tx>
                <c:strRef>
                  <c:f>Dashboard_Daten!$AB$130</c:f>
                  <c:strCache>
                    <c:ptCount val="1"/>
                    <c:pt idx="0">
                      <c:v>0</c:v>
                    </c:pt>
                  </c:strCache>
                </c:strRef>
              </c:tx>
              <c:dLblPos val="t"/>
              <c:showVal val="1"/>
            </c:dLbl>
            <c:dLbl>
              <c:idx val="8"/>
              <c:layout/>
              <c:tx>
                <c:strRef>
                  <c:f>Dashboard_Daten!$AC$130</c:f>
                  <c:strCache>
                    <c:ptCount val="1"/>
                    <c:pt idx="0">
                      <c:v>0</c:v>
                    </c:pt>
                  </c:strCache>
                </c:strRef>
              </c:tx>
              <c:dLblPos val="t"/>
              <c:showVal val="1"/>
            </c:dLbl>
            <c:dLbl>
              <c:idx val="9"/>
              <c:layout/>
              <c:tx>
                <c:strRef>
                  <c:f>Dashboard_Daten!$AD$130</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Dashboard_Daten!$U$129:$AD$129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Dashboard_Daten!$U$24:$AD$24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Dashboard_Daten!$U$25:$AD$25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lineChart>
        <c:grouping val="standard"/>
        <c:ser>
          <c:idx val="2"/>
          <c:order val="2"/>
          <c:tx>
            <c:v>Delta auf</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Dashboard_Daten!$U$141:$AD$141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Dashboard_Daten!$U$142:$AD$142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Dashboard_Daten!$U$143:$AD$143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70001"/>
        <c:axId val="50170002"/>
      </c:line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Dashboard_Daten!$U$29:$AD$29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Dashboard_Daten!$U$28:$AD$28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Dashboard_Daten!$U$27:$AD$27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Dashboard_Daten!$U$132</c:f>
                  <c:strCache>
                    <c:ptCount val="1"/>
                    <c:pt idx="0">
                      <c:v>0</c:v>
                    </c:pt>
                  </c:strCache>
                </c:strRef>
              </c:tx>
              <c:dLblPos val="t"/>
              <c:showVal val="1"/>
            </c:dLbl>
            <c:dLbl>
              <c:idx val="1"/>
              <c:layout/>
              <c:tx>
                <c:strRef>
                  <c:f>Dashboard_Daten!$V$132</c:f>
                  <c:strCache>
                    <c:ptCount val="1"/>
                    <c:pt idx="0">
                      <c:v>0</c:v>
                    </c:pt>
                  </c:strCache>
                </c:strRef>
              </c:tx>
              <c:dLblPos val="t"/>
              <c:showVal val="1"/>
            </c:dLbl>
            <c:dLbl>
              <c:idx val="2"/>
              <c:layout/>
              <c:tx>
                <c:strRef>
                  <c:f>Dashboard_Daten!$W$132</c:f>
                  <c:strCache>
                    <c:ptCount val="1"/>
                    <c:pt idx="0">
                      <c:v>0</c:v>
                    </c:pt>
                  </c:strCache>
                </c:strRef>
              </c:tx>
              <c:dLblPos val="t"/>
              <c:showVal val="1"/>
            </c:dLbl>
            <c:dLbl>
              <c:idx val="3"/>
              <c:layout/>
              <c:tx>
                <c:strRef>
                  <c:f>Dashboard_Daten!$X$132</c:f>
                  <c:strCache>
                    <c:ptCount val="1"/>
                    <c:pt idx="0">
                      <c:v>0</c:v>
                    </c:pt>
                  </c:strCache>
                </c:strRef>
              </c:tx>
              <c:dLblPos val="t"/>
              <c:showVal val="1"/>
            </c:dLbl>
            <c:dLbl>
              <c:idx val="4"/>
              <c:layout/>
              <c:tx>
                <c:strRef>
                  <c:f>Dashboard_Daten!$Y$132</c:f>
                  <c:strCache>
                    <c:ptCount val="1"/>
                    <c:pt idx="0">
                      <c:v>0</c:v>
                    </c:pt>
                  </c:strCache>
                </c:strRef>
              </c:tx>
              <c:dLblPos val="t"/>
              <c:showVal val="1"/>
            </c:dLbl>
            <c:dLbl>
              <c:idx val="5"/>
              <c:layout/>
              <c:tx>
                <c:strRef>
                  <c:f>Dashboard_Daten!$Z$132</c:f>
                  <c:strCache>
                    <c:ptCount val="1"/>
                    <c:pt idx="0">
                      <c:v>0</c:v>
                    </c:pt>
                  </c:strCache>
                </c:strRef>
              </c:tx>
              <c:dLblPos val="t"/>
              <c:showVal val="1"/>
            </c:dLbl>
            <c:dLbl>
              <c:idx val="6"/>
              <c:layout/>
              <c:tx>
                <c:strRef>
                  <c:f>Dashboard_Daten!$AA$132</c:f>
                  <c:strCache>
                    <c:ptCount val="1"/>
                    <c:pt idx="0">
                      <c:v>0</c:v>
                    </c:pt>
                  </c:strCache>
                </c:strRef>
              </c:tx>
              <c:dLblPos val="t"/>
              <c:showVal val="1"/>
            </c:dLbl>
            <c:dLbl>
              <c:idx val="7"/>
              <c:layout/>
              <c:tx>
                <c:strRef>
                  <c:f>Dashboard_Daten!$AB$132</c:f>
                  <c:strCache>
                    <c:ptCount val="1"/>
                    <c:pt idx="0">
                      <c:v>0</c:v>
                    </c:pt>
                  </c:strCache>
                </c:strRef>
              </c:tx>
              <c:dLblPos val="t"/>
              <c:showVal val="1"/>
            </c:dLbl>
            <c:dLbl>
              <c:idx val="8"/>
              <c:layout/>
              <c:tx>
                <c:strRef>
                  <c:f>Dashboard_Daten!$AC$132</c:f>
                  <c:strCache>
                    <c:ptCount val="1"/>
                    <c:pt idx="0">
                      <c:v>0</c:v>
                    </c:pt>
                  </c:strCache>
                </c:strRef>
              </c:tx>
              <c:dLblPos val="t"/>
              <c:showVal val="1"/>
            </c:dLbl>
            <c:dLbl>
              <c:idx val="9"/>
              <c:layout/>
              <c:tx>
                <c:strRef>
                  <c:f>Dashboard_Daten!$AD$132</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Dashboard_Daten!$U$131:$AD$131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Dashboard_Daten!$U$30:$AD$30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Dashboard_Daten!$U$31:$AD$31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lineChart>
        <c:grouping val="standard"/>
        <c:ser>
          <c:idx val="2"/>
          <c:order val="2"/>
          <c:tx>
            <c:v>Delta auf</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Dashboard_Daten!$U$146:$AD$146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Dashboard_Daten!$U$147:$AD$147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Dashboard_Daten!$U$148:$AD$148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Dashboard_Daten!$U$32:$AD$32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Dashboard_Daten!$U$33:$AD$33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Dashboard_Daten!$U$34:$AD$34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Dashboard_Daten!$U$35:$AD$35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09.10.2026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4"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7"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5"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8"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6"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5"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2"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9"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8"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5"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6"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8"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9"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30"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1"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2"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3"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4"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5"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6"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7"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8"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9"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40"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1"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2"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3"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4"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6"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7"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9"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50"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1"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2"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3"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4"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5"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6"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7"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8"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9"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60"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1"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2"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3"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4"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5"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7"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7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1"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2"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3"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4"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6"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8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90"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1"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3"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4"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5"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6"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7"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8"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100"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6"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7"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9"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10"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3"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5"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6"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7"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8"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9"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20"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1"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2"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3"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4"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5"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6"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7"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2"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5"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8"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1"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8"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1"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4"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7"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8"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1"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3"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4"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6"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7"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9"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30"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2"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3"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4"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5"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6"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7"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9"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40"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2"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3"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5"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8"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9"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50"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1"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2"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3"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4"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5"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6"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7"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9"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6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7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8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8496300" y="2686050"/>
    <xdr:ext cx="228600" cy="161925"/>
    <xdr:sp macro="" textlink="">
      <xdr:nvSpPr>
        <xdr:cNvPr id="8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9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247650"/>
    <xdr:sp macro="" textlink="">
      <xdr:nvSpPr>
        <xdr:cNvPr id="9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8496300" y="4019550"/>
    <xdr:ext cx="228600" cy="161925"/>
    <xdr:sp macro="" textlink="">
      <xdr:nvSpPr>
        <xdr:cNvPr id="9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4019550"/>
    <xdr:ext cx="2581275" cy="161925"/>
    <xdr:sp macro="" textlink="">
      <xdr:nvSpPr>
        <xdr:cNvPr id="9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191000"/>
    <xdr:ext cx="2581275" cy="485775"/>
    <xdr:sp macro="" textlink="">
      <xdr:nvSpPr>
        <xdr:cNvPr id="9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7"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20"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3"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6"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9"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2"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5"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8"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3286125" cy="257175"/>
    <xdr:sp macro="" textlink="">
      <xdr:nvSpPr>
        <xdr:cNvPr id="18"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9"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1"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2"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4"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5"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7"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8"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30"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1"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3"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4"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6"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7"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9"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40"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998</v>
      </c>
    </row>
    <row r="3" spans="2:10" ht="16.5" customHeight="1">
      <c r="B3" s="2">
        <f>Konfiguration!C16</f>
        <v>0</v>
      </c>
    </row>
    <row r="5" spans="2:10" ht="16.5" customHeight="1">
      <c r="B5" s="3" t="s">
        <v>320</v>
      </c>
      <c r="G5" s="3" t="s">
        <v>1005</v>
      </c>
    </row>
    <row r="6" spans="2:10" ht="16.5" customHeight="1">
      <c r="B6" s="4">
        <f>Berichtstag</f>
        <v>0</v>
      </c>
      <c r="C6" s="4"/>
      <c r="D6" s="5">
        <f>"KW "&amp;_xlfn.ISOWEEKNUM(Berichtstag)</f>
        <v>0</v>
      </c>
      <c r="G6" s="6" t="s">
        <v>1006</v>
      </c>
      <c r="H6" s="7" t="s">
        <v>1007</v>
      </c>
      <c r="I6" s="7" t="s">
        <v>1008</v>
      </c>
      <c r="J6" s="7" t="s">
        <v>1009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999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1000</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1001</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1002</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1003</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1004</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1010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881</v>
      </c>
    </row>
    <row r="2" spans="2:8">
      <c r="B2" s="2">
        <f>"Letzter und davor liegender Eintrag je Kennzahl · Berichtstag "&amp;TEXT(DAY(Berichtstag),"00")&amp;"."&amp;TEXT(MONTH(Berichtstag),"00")&amp;"."&amp;YEAR(Berichtstag)</f>
        <v>0</v>
      </c>
    </row>
    <row r="4" spans="2:8" ht="22" customHeight="1">
      <c r="B4" s="6" t="s">
        <v>2</v>
      </c>
      <c r="C4" s="6" t="s">
        <v>3</v>
      </c>
      <c r="D4" s="7" t="s">
        <v>882</v>
      </c>
      <c r="E4" s="7" t="s">
        <v>883</v>
      </c>
      <c r="F4" s="7" t="s">
        <v>884</v>
      </c>
      <c r="G4" s="7" t="s">
        <v>883</v>
      </c>
      <c r="H4" s="7" t="s">
        <v>885</v>
      </c>
    </row>
    <row r="5" spans="2:8">
      <c r="B5" s="16" t="s">
        <v>86</v>
      </c>
      <c r="C5" s="17" t="s">
        <v>420</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886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887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888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889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890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454</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891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892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893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894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895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896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897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898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899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900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901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902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903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904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474</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476</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482</v>
      </c>
      <c r="C28" s="17" t="s">
        <v>905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484</v>
      </c>
      <c r="C29" s="17" t="s">
        <v>906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907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908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909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910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911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912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913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1011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386</v>
      </c>
      <c r="B1" s="6" t="s">
        <v>387</v>
      </c>
      <c r="C1" s="6" t="s">
        <v>388</v>
      </c>
      <c r="D1" s="6" t="s">
        <v>389</v>
      </c>
      <c r="E1" s="6" t="s">
        <v>390</v>
      </c>
      <c r="F1" s="6" t="s">
        <v>391</v>
      </c>
      <c r="G1" s="6" t="s">
        <v>392</v>
      </c>
      <c r="H1" s="6" t="s">
        <v>393</v>
      </c>
      <c r="I1" s="20">
        <v>45324</v>
      </c>
      <c r="J1" s="21" t="s">
        <v>394</v>
      </c>
      <c r="K1" s="20">
        <v>45330</v>
      </c>
      <c r="L1" s="21" t="s">
        <v>394</v>
      </c>
      <c r="M1" s="20">
        <v>45337</v>
      </c>
      <c r="N1" s="21" t="s">
        <v>394</v>
      </c>
      <c r="O1" s="20">
        <v>45344</v>
      </c>
      <c r="P1" s="21" t="s">
        <v>394</v>
      </c>
      <c r="Q1" s="20">
        <v>45351</v>
      </c>
      <c r="R1" s="21" t="s">
        <v>394</v>
      </c>
      <c r="S1" s="20">
        <v>45358</v>
      </c>
      <c r="T1" s="21" t="s">
        <v>394</v>
      </c>
      <c r="U1" s="20">
        <v>45365</v>
      </c>
      <c r="V1" s="21" t="s">
        <v>394</v>
      </c>
      <c r="W1" s="20">
        <v>45372</v>
      </c>
      <c r="X1" s="21" t="s">
        <v>394</v>
      </c>
      <c r="Y1" s="20">
        <v>45379</v>
      </c>
      <c r="Z1" s="21" t="s">
        <v>394</v>
      </c>
      <c r="AA1" s="20">
        <v>45386</v>
      </c>
      <c r="AB1" s="21" t="s">
        <v>394</v>
      </c>
      <c r="AC1" s="20">
        <v>45393</v>
      </c>
      <c r="AD1" s="21" t="s">
        <v>394</v>
      </c>
      <c r="AE1" s="20">
        <v>45400</v>
      </c>
      <c r="AF1" s="21" t="s">
        <v>394</v>
      </c>
      <c r="AG1" s="20">
        <v>45407</v>
      </c>
      <c r="AH1" s="21" t="s">
        <v>394</v>
      </c>
      <c r="AI1" s="20">
        <v>45414</v>
      </c>
      <c r="AJ1" s="21" t="s">
        <v>394</v>
      </c>
      <c r="AK1" s="20">
        <v>45420</v>
      </c>
      <c r="AL1" s="21" t="s">
        <v>394</v>
      </c>
      <c r="AM1" s="20">
        <v>45428</v>
      </c>
      <c r="AN1" s="21" t="s">
        <v>394</v>
      </c>
      <c r="AO1" s="20">
        <v>45435</v>
      </c>
      <c r="AP1" s="21" t="s">
        <v>394</v>
      </c>
      <c r="AQ1" s="20">
        <v>45443</v>
      </c>
      <c r="AR1" s="21" t="s">
        <v>394</v>
      </c>
      <c r="AS1" s="20">
        <v>45456</v>
      </c>
      <c r="AT1" s="21" t="s">
        <v>394</v>
      </c>
      <c r="AU1" s="20">
        <v>45463</v>
      </c>
      <c r="AV1" s="21" t="s">
        <v>394</v>
      </c>
      <c r="AW1" s="20">
        <v>45470</v>
      </c>
      <c r="AX1" s="21" t="s">
        <v>394</v>
      </c>
      <c r="AY1" s="20">
        <v>45477</v>
      </c>
      <c r="AZ1" s="21" t="s">
        <v>394</v>
      </c>
      <c r="BA1" s="20">
        <v>45484</v>
      </c>
      <c r="BB1" s="21" t="s">
        <v>394</v>
      </c>
      <c r="BC1" s="20">
        <v>45491</v>
      </c>
      <c r="BD1" s="21" t="s">
        <v>394</v>
      </c>
      <c r="BE1" s="20">
        <v>45498</v>
      </c>
      <c r="BF1" s="21" t="s">
        <v>394</v>
      </c>
      <c r="BG1" s="20">
        <v>45505</v>
      </c>
      <c r="BH1" s="21" t="s">
        <v>394</v>
      </c>
      <c r="BI1" s="20">
        <v>45512</v>
      </c>
      <c r="BJ1" s="21" t="s">
        <v>394</v>
      </c>
      <c r="BK1" s="20">
        <v>45520</v>
      </c>
      <c r="BL1" s="21" t="s">
        <v>394</v>
      </c>
      <c r="BM1" s="20">
        <v>45526</v>
      </c>
      <c r="BN1" s="21" t="s">
        <v>394</v>
      </c>
      <c r="BO1" s="20">
        <v>45533</v>
      </c>
      <c r="BP1" s="21" t="s">
        <v>394</v>
      </c>
      <c r="BQ1" s="20">
        <v>45540</v>
      </c>
      <c r="BR1" s="21" t="s">
        <v>394</v>
      </c>
      <c r="BS1" s="20">
        <v>45547</v>
      </c>
      <c r="BT1" s="21" t="s">
        <v>394</v>
      </c>
      <c r="BU1" s="20">
        <v>45554</v>
      </c>
      <c r="BV1" s="21" t="s">
        <v>394</v>
      </c>
      <c r="BW1" s="20">
        <v>45561</v>
      </c>
      <c r="BX1" s="21" t="s">
        <v>394</v>
      </c>
      <c r="BY1" s="20">
        <v>45567</v>
      </c>
      <c r="BZ1" s="21" t="s">
        <v>394</v>
      </c>
      <c r="CA1" s="20">
        <v>45575</v>
      </c>
      <c r="CB1" s="21" t="s">
        <v>394</v>
      </c>
      <c r="CC1" s="20">
        <v>45582</v>
      </c>
      <c r="CD1" s="21" t="s">
        <v>394</v>
      </c>
      <c r="CE1" s="20">
        <v>45589</v>
      </c>
      <c r="CF1" s="21" t="s">
        <v>394</v>
      </c>
      <c r="CG1" s="20">
        <v>45596</v>
      </c>
      <c r="CH1" s="21" t="s">
        <v>394</v>
      </c>
      <c r="CI1" s="20">
        <v>45603</v>
      </c>
      <c r="CJ1" s="21" t="s">
        <v>394</v>
      </c>
      <c r="CK1" s="20">
        <v>45610</v>
      </c>
      <c r="CL1" s="21" t="s">
        <v>394</v>
      </c>
      <c r="CM1" s="20">
        <v>45617</v>
      </c>
      <c r="CN1" s="21" t="s">
        <v>394</v>
      </c>
      <c r="CO1" s="20">
        <v>45624</v>
      </c>
      <c r="CP1" s="21" t="s">
        <v>394</v>
      </c>
      <c r="CQ1" s="20">
        <v>45631</v>
      </c>
      <c r="CR1" s="21" t="s">
        <v>394</v>
      </c>
      <c r="CS1" s="20">
        <v>45638</v>
      </c>
      <c r="CT1" s="21" t="s">
        <v>394</v>
      </c>
      <c r="CU1" s="20">
        <v>45645</v>
      </c>
      <c r="CV1" s="21" t="s">
        <v>394</v>
      </c>
      <c r="CW1" s="20">
        <v>45660</v>
      </c>
      <c r="CX1" s="21" t="s">
        <v>394</v>
      </c>
      <c r="CY1" s="20">
        <v>45663</v>
      </c>
      <c r="CZ1" s="21" t="s">
        <v>394</v>
      </c>
      <c r="DA1" s="20">
        <v>45674</v>
      </c>
      <c r="DB1" s="21" t="s">
        <v>394</v>
      </c>
      <c r="DC1" s="20">
        <v>45681</v>
      </c>
      <c r="DD1" s="21" t="s">
        <v>394</v>
      </c>
      <c r="DE1" s="20">
        <v>45688</v>
      </c>
      <c r="DF1" s="21" t="s">
        <v>394</v>
      </c>
      <c r="DG1" s="20">
        <v>45695</v>
      </c>
      <c r="DH1" s="21" t="s">
        <v>394</v>
      </c>
      <c r="DI1" s="20">
        <v>45702</v>
      </c>
      <c r="DJ1" s="21" t="s">
        <v>394</v>
      </c>
      <c r="DK1" s="20">
        <v>45709</v>
      </c>
      <c r="DL1" s="21" t="s">
        <v>394</v>
      </c>
      <c r="DM1" s="20">
        <v>45716</v>
      </c>
      <c r="DN1" s="21" t="s">
        <v>394</v>
      </c>
      <c r="DO1" s="20">
        <v>45723</v>
      </c>
      <c r="DP1" s="21" t="s">
        <v>394</v>
      </c>
      <c r="DQ1" s="20">
        <v>45730</v>
      </c>
      <c r="DR1" s="21" t="s">
        <v>394</v>
      </c>
      <c r="DS1" s="20">
        <v>45737</v>
      </c>
      <c r="DT1" s="21" t="s">
        <v>394</v>
      </c>
      <c r="DU1" s="20">
        <v>45744</v>
      </c>
      <c r="DV1" s="21" t="s">
        <v>394</v>
      </c>
      <c r="DW1" s="20">
        <v>45751</v>
      </c>
      <c r="DX1" s="21" t="s">
        <v>394</v>
      </c>
      <c r="DY1" s="20">
        <v>45758</v>
      </c>
      <c r="DZ1" s="21" t="s">
        <v>394</v>
      </c>
      <c r="EA1" s="20">
        <v>45764</v>
      </c>
      <c r="EB1" s="21" t="s">
        <v>394</v>
      </c>
      <c r="EC1" s="20">
        <v>45772</v>
      </c>
      <c r="ED1" s="21" t="s">
        <v>394</v>
      </c>
      <c r="EE1" s="20">
        <v>45779</v>
      </c>
      <c r="EF1" s="21" t="s">
        <v>394</v>
      </c>
      <c r="EG1" s="20">
        <v>45786</v>
      </c>
      <c r="EH1" s="21" t="s">
        <v>394</v>
      </c>
      <c r="EI1" s="20">
        <v>45793</v>
      </c>
      <c r="EJ1" s="21" t="s">
        <v>394</v>
      </c>
      <c r="EK1" s="20">
        <v>45800</v>
      </c>
      <c r="EL1" s="21" t="s">
        <v>394</v>
      </c>
      <c r="EM1" s="20">
        <v>45807</v>
      </c>
      <c r="EN1" s="21" t="s">
        <v>394</v>
      </c>
      <c r="EO1" s="20">
        <v>45814</v>
      </c>
      <c r="EP1" s="21" t="s">
        <v>394</v>
      </c>
      <c r="EQ1" s="20">
        <v>45821</v>
      </c>
      <c r="ER1" s="21" t="s">
        <v>394</v>
      </c>
      <c r="ES1" s="20">
        <v>45828</v>
      </c>
      <c r="ET1" s="21" t="s">
        <v>394</v>
      </c>
      <c r="EU1" s="20">
        <v>45835</v>
      </c>
      <c r="EV1" s="21" t="s">
        <v>394</v>
      </c>
      <c r="EW1" s="20">
        <v>45842</v>
      </c>
      <c r="EX1" s="21" t="s">
        <v>394</v>
      </c>
      <c r="EY1" s="20">
        <v>45849</v>
      </c>
      <c r="EZ1" s="21" t="s">
        <v>394</v>
      </c>
      <c r="FA1" s="20">
        <v>45856</v>
      </c>
      <c r="FB1" s="21" t="s">
        <v>394</v>
      </c>
      <c r="FC1" s="20">
        <v>45863</v>
      </c>
      <c r="FD1" s="21" t="s">
        <v>394</v>
      </c>
      <c r="FE1" s="20">
        <v>45870</v>
      </c>
      <c r="FF1" s="21" t="s">
        <v>394</v>
      </c>
      <c r="FG1" s="20">
        <v>45877</v>
      </c>
      <c r="FH1" s="21" t="s">
        <v>394</v>
      </c>
      <c r="FI1" s="20">
        <v>45884</v>
      </c>
      <c r="FJ1" s="21" t="s">
        <v>394</v>
      </c>
      <c r="FK1" s="20">
        <v>45891</v>
      </c>
      <c r="FL1" s="21" t="s">
        <v>394</v>
      </c>
      <c r="FM1" s="20">
        <v>45898</v>
      </c>
      <c r="FN1" s="21" t="s">
        <v>394</v>
      </c>
      <c r="FO1" s="20">
        <v>45905</v>
      </c>
      <c r="FP1" s="21" t="s">
        <v>394</v>
      </c>
      <c r="FQ1" s="20">
        <v>45912</v>
      </c>
      <c r="FR1" s="21" t="s">
        <v>394</v>
      </c>
      <c r="FS1" s="20">
        <v>45919</v>
      </c>
      <c r="FT1" s="21" t="s">
        <v>394</v>
      </c>
      <c r="FU1" s="20">
        <v>45926</v>
      </c>
      <c r="FV1" s="21" t="s">
        <v>394</v>
      </c>
      <c r="FW1" s="20">
        <v>45933</v>
      </c>
      <c r="FX1" s="21" t="s">
        <v>394</v>
      </c>
      <c r="FY1" s="20">
        <v>45940</v>
      </c>
      <c r="FZ1" s="21" t="s">
        <v>394</v>
      </c>
      <c r="GA1" s="20">
        <v>45947</v>
      </c>
      <c r="GB1" s="21" t="s">
        <v>394</v>
      </c>
      <c r="GC1" s="20">
        <v>45954</v>
      </c>
      <c r="GD1" s="21" t="s">
        <v>394</v>
      </c>
      <c r="GE1" s="20">
        <v>45961</v>
      </c>
      <c r="GF1" s="21" t="s">
        <v>394</v>
      </c>
      <c r="GG1" s="20">
        <v>45968</v>
      </c>
      <c r="GH1" s="21" t="s">
        <v>394</v>
      </c>
      <c r="GI1" s="20">
        <v>45975</v>
      </c>
      <c r="GJ1" s="21" t="s">
        <v>394</v>
      </c>
      <c r="GK1" s="20">
        <v>45982</v>
      </c>
      <c r="GL1" s="21" t="s">
        <v>394</v>
      </c>
      <c r="GM1" s="20">
        <v>45989</v>
      </c>
      <c r="GN1" s="21" t="s">
        <v>394</v>
      </c>
      <c r="GO1" s="20">
        <v>45996</v>
      </c>
      <c r="GP1" s="21" t="s">
        <v>394</v>
      </c>
      <c r="GQ1" s="20">
        <v>46003</v>
      </c>
      <c r="GR1" s="21" t="s">
        <v>394</v>
      </c>
      <c r="GS1" s="20">
        <v>46010</v>
      </c>
      <c r="GT1" s="21" t="s">
        <v>394</v>
      </c>
      <c r="GU1" s="20">
        <v>46017</v>
      </c>
      <c r="GV1" s="21" t="s">
        <v>394</v>
      </c>
      <c r="GW1" s="20">
        <v>46024</v>
      </c>
      <c r="GX1" s="21" t="s">
        <v>394</v>
      </c>
      <c r="GY1" s="20">
        <v>46031</v>
      </c>
      <c r="GZ1" s="21" t="s">
        <v>394</v>
      </c>
      <c r="HA1" s="20">
        <v>46038</v>
      </c>
      <c r="HB1" s="21" t="s">
        <v>394</v>
      </c>
      <c r="HC1" s="20">
        <v>46045</v>
      </c>
      <c r="HD1" s="21" t="s">
        <v>394</v>
      </c>
      <c r="HE1" s="20">
        <v>46052</v>
      </c>
      <c r="HF1" s="21" t="s">
        <v>394</v>
      </c>
      <c r="HG1" s="20">
        <v>46059</v>
      </c>
      <c r="HH1" s="21" t="s">
        <v>394</v>
      </c>
      <c r="HI1" s="20">
        <v>46066</v>
      </c>
      <c r="HJ1" s="21" t="s">
        <v>394</v>
      </c>
      <c r="HK1" s="20">
        <v>46073</v>
      </c>
      <c r="HL1" s="21" t="s">
        <v>394</v>
      </c>
      <c r="HM1" s="20">
        <v>46080</v>
      </c>
      <c r="HN1" s="21" t="s">
        <v>394</v>
      </c>
      <c r="HO1" s="20">
        <v>46087</v>
      </c>
      <c r="HP1" s="21" t="s">
        <v>394</v>
      </c>
      <c r="HQ1" s="20">
        <v>46094</v>
      </c>
      <c r="HR1" s="21" t="s">
        <v>394</v>
      </c>
      <c r="HS1" s="20">
        <v>46101</v>
      </c>
      <c r="HT1" s="21" t="s">
        <v>394</v>
      </c>
      <c r="HU1" s="20">
        <v>46108</v>
      </c>
      <c r="HV1" s="21" t="s">
        <v>394</v>
      </c>
      <c r="HW1" s="20">
        <v>46115</v>
      </c>
      <c r="HX1" s="21" t="s">
        <v>394</v>
      </c>
      <c r="HY1" s="20">
        <v>46122</v>
      </c>
      <c r="HZ1" s="21" t="s">
        <v>394</v>
      </c>
      <c r="IA1" s="20">
        <v>46129</v>
      </c>
      <c r="IB1" s="21" t="s">
        <v>394</v>
      </c>
      <c r="IC1" s="20">
        <v>46136</v>
      </c>
      <c r="ID1" s="21" t="s">
        <v>394</v>
      </c>
      <c r="IE1" s="20">
        <v>46143</v>
      </c>
      <c r="IF1" s="21" t="s">
        <v>394</v>
      </c>
      <c r="IG1" s="20">
        <v>46150</v>
      </c>
      <c r="IH1" s="21" t="s">
        <v>394</v>
      </c>
      <c r="II1" s="20">
        <v>46157</v>
      </c>
      <c r="IJ1" s="21" t="s">
        <v>394</v>
      </c>
      <c r="IK1" s="20">
        <v>46164</v>
      </c>
      <c r="IL1" s="21" t="s">
        <v>394</v>
      </c>
      <c r="IM1" s="20">
        <v>46171</v>
      </c>
      <c r="IN1" s="21" t="s">
        <v>394</v>
      </c>
      <c r="IO1" s="20">
        <v>46178</v>
      </c>
      <c r="IP1" s="21" t="s">
        <v>394</v>
      </c>
      <c r="IQ1" s="20">
        <v>46185</v>
      </c>
      <c r="IR1" s="21" t="s">
        <v>394</v>
      </c>
      <c r="IS1" s="20">
        <v>46192</v>
      </c>
      <c r="IT1" s="21" t="s">
        <v>394</v>
      </c>
      <c r="IU1" s="20">
        <v>46199</v>
      </c>
      <c r="IV1" s="21" t="s">
        <v>394</v>
      </c>
      <c r="IW1" s="20">
        <v>46206</v>
      </c>
      <c r="IX1" s="21" t="s">
        <v>394</v>
      </c>
      <c r="IY1" s="20">
        <v>46213</v>
      </c>
      <c r="IZ1" s="21" t="s">
        <v>394</v>
      </c>
      <c r="JA1" s="20">
        <v>46220</v>
      </c>
      <c r="JB1" s="21" t="s">
        <v>394</v>
      </c>
      <c r="JC1" s="20">
        <v>46227</v>
      </c>
      <c r="JD1" s="21" t="s">
        <v>394</v>
      </c>
      <c r="JE1" s="20">
        <v>46234</v>
      </c>
      <c r="JF1" s="21" t="s">
        <v>394</v>
      </c>
      <c r="JG1" s="20">
        <v>46241</v>
      </c>
      <c r="JH1" s="21" t="s">
        <v>394</v>
      </c>
      <c r="JI1" s="20">
        <v>46248</v>
      </c>
      <c r="JJ1" s="21" t="s">
        <v>394</v>
      </c>
      <c r="JK1" s="20">
        <v>46255</v>
      </c>
      <c r="JL1" s="21" t="s">
        <v>394</v>
      </c>
      <c r="JM1" s="20">
        <v>46262</v>
      </c>
      <c r="JN1" s="21" t="s">
        <v>394</v>
      </c>
      <c r="JO1" s="20">
        <v>46269</v>
      </c>
      <c r="JP1" s="21" t="s">
        <v>394</v>
      </c>
      <c r="JQ1" s="20">
        <v>46276</v>
      </c>
      <c r="JR1" s="21" t="s">
        <v>394</v>
      </c>
      <c r="JS1" s="20">
        <v>46283</v>
      </c>
      <c r="JT1" s="21" t="s">
        <v>394</v>
      </c>
      <c r="JU1" s="20">
        <v>46290</v>
      </c>
      <c r="JV1" s="21" t="s">
        <v>394</v>
      </c>
      <c r="JW1" s="20">
        <v>46297</v>
      </c>
      <c r="JX1" s="21" t="s">
        <v>394</v>
      </c>
      <c r="JY1" s="20">
        <v>46304</v>
      </c>
      <c r="JZ1" s="21" t="s">
        <v>394</v>
      </c>
      <c r="KA1" s="20">
        <v>46311</v>
      </c>
      <c r="KB1" s="21" t="s">
        <v>394</v>
      </c>
      <c r="KC1" s="20">
        <v>46318</v>
      </c>
      <c r="KD1" s="21" t="s">
        <v>394</v>
      </c>
      <c r="KE1" s="20">
        <v>46325</v>
      </c>
      <c r="KF1" s="21" t="s">
        <v>394</v>
      </c>
      <c r="KG1" s="20">
        <v>46332</v>
      </c>
      <c r="KH1" s="21" t="s">
        <v>394</v>
      </c>
      <c r="KI1" s="20">
        <v>46339</v>
      </c>
      <c r="KJ1" s="21" t="s">
        <v>394</v>
      </c>
      <c r="KK1" s="20">
        <v>46346</v>
      </c>
      <c r="KL1" s="21" t="s">
        <v>394</v>
      </c>
      <c r="KM1" s="20">
        <v>46353</v>
      </c>
      <c r="KN1" s="21" t="s">
        <v>394</v>
      </c>
      <c r="KO1" s="20">
        <v>46360</v>
      </c>
      <c r="KP1" s="21" t="s">
        <v>394</v>
      </c>
      <c r="KQ1" s="20">
        <v>46367</v>
      </c>
      <c r="KR1" s="21" t="s">
        <v>394</v>
      </c>
      <c r="KS1" s="20">
        <v>46374</v>
      </c>
      <c r="KT1" s="21" t="s">
        <v>394</v>
      </c>
      <c r="KU1" s="20">
        <v>46381</v>
      </c>
      <c r="KV1" s="21" t="s">
        <v>394</v>
      </c>
      <c r="KW1" s="20">
        <v>46388</v>
      </c>
      <c r="KX1" s="21" t="s">
        <v>394</v>
      </c>
      <c r="KY1" s="20">
        <v>46395</v>
      </c>
      <c r="KZ1" s="21" t="s">
        <v>394</v>
      </c>
      <c r="LA1" s="20">
        <v>46402</v>
      </c>
      <c r="LB1" s="21" t="s">
        <v>394</v>
      </c>
      <c r="LC1" s="20">
        <v>46409</v>
      </c>
      <c r="LD1" s="21" t="s">
        <v>394</v>
      </c>
      <c r="LE1" s="20">
        <v>46416</v>
      </c>
      <c r="LF1" s="21" t="s">
        <v>394</v>
      </c>
      <c r="LG1" s="20">
        <v>46423</v>
      </c>
      <c r="LH1" s="21" t="s">
        <v>394</v>
      </c>
      <c r="LJ1" s="6" t="s">
        <v>396</v>
      </c>
    </row>
    <row r="2" spans="1:322" ht="12" customHeight="1">
      <c r="I2" s="22">
        <f>IF(COUNT(I3:I157)&gt;0,"Y","X")</f>
        <v>0</v>
      </c>
      <c r="J2" s="22" t="s">
        <v>395</v>
      </c>
      <c r="K2" s="22">
        <f>IF(COUNT(K3:K157)&gt;0,"Y","X")</f>
        <v>0</v>
      </c>
      <c r="L2" s="22" t="s">
        <v>395</v>
      </c>
      <c r="M2" s="22">
        <f>IF(COUNT(M3:M157)&gt;0,"Y","X")</f>
        <v>0</v>
      </c>
      <c r="N2" s="22" t="s">
        <v>395</v>
      </c>
      <c r="O2" s="22">
        <f>IF(COUNT(O3:O157)&gt;0,"Y","X")</f>
        <v>0</v>
      </c>
      <c r="P2" s="22" t="s">
        <v>395</v>
      </c>
      <c r="Q2" s="22">
        <f>IF(COUNT(Q3:Q157)&gt;0,"Y","X")</f>
        <v>0</v>
      </c>
      <c r="R2" s="22" t="s">
        <v>395</v>
      </c>
      <c r="S2" s="22">
        <f>IF(COUNT(S3:S157)&gt;0,"Y","X")</f>
        <v>0</v>
      </c>
      <c r="T2" s="22" t="s">
        <v>395</v>
      </c>
      <c r="U2" s="22">
        <f>IF(COUNT(U3:U157)&gt;0,"Y","X")</f>
        <v>0</v>
      </c>
      <c r="V2" s="22" t="s">
        <v>395</v>
      </c>
      <c r="W2" s="22">
        <f>IF(COUNT(W3:W157)&gt;0,"Y","X")</f>
        <v>0</v>
      </c>
      <c r="X2" s="22" t="s">
        <v>395</v>
      </c>
      <c r="Y2" s="22">
        <f>IF(COUNT(Y3:Y157)&gt;0,"Y","X")</f>
        <v>0</v>
      </c>
      <c r="Z2" s="22" t="s">
        <v>395</v>
      </c>
      <c r="AA2" s="22">
        <f>IF(COUNT(AA3:AA157)&gt;0,"Y","X")</f>
        <v>0</v>
      </c>
      <c r="AB2" s="22" t="s">
        <v>395</v>
      </c>
      <c r="AC2" s="22">
        <f>IF(COUNT(AC3:AC157)&gt;0,"Y","X")</f>
        <v>0</v>
      </c>
      <c r="AD2" s="22" t="s">
        <v>395</v>
      </c>
      <c r="AE2" s="22">
        <f>IF(COUNT(AE3:AE157)&gt;0,"Y","X")</f>
        <v>0</v>
      </c>
      <c r="AF2" s="22" t="s">
        <v>395</v>
      </c>
      <c r="AG2" s="22">
        <f>IF(COUNT(AG3:AG157)&gt;0,"Y","X")</f>
        <v>0</v>
      </c>
      <c r="AH2" s="22" t="s">
        <v>395</v>
      </c>
      <c r="AI2" s="22">
        <f>IF(COUNT(AI3:AI157)&gt;0,"Y","X")</f>
        <v>0</v>
      </c>
      <c r="AJ2" s="22" t="s">
        <v>395</v>
      </c>
      <c r="AK2" s="22">
        <f>IF(COUNT(AK3:AK157)&gt;0,"Y","X")</f>
        <v>0</v>
      </c>
      <c r="AL2" s="22" t="s">
        <v>395</v>
      </c>
      <c r="AM2" s="22">
        <f>IF(COUNT(AM3:AM157)&gt;0,"Y","X")</f>
        <v>0</v>
      </c>
      <c r="AN2" s="22" t="s">
        <v>395</v>
      </c>
      <c r="AO2" s="22">
        <f>IF(COUNT(AO3:AO157)&gt;0,"Y","X")</f>
        <v>0</v>
      </c>
      <c r="AP2" s="22" t="s">
        <v>395</v>
      </c>
      <c r="AQ2" s="22">
        <f>IF(COUNT(AQ3:AQ157)&gt;0,"Y","X")</f>
        <v>0</v>
      </c>
      <c r="AR2" s="22" t="s">
        <v>395</v>
      </c>
      <c r="AS2" s="22">
        <f>IF(COUNT(AS3:AS157)&gt;0,"Y","X")</f>
        <v>0</v>
      </c>
      <c r="AT2" s="22" t="s">
        <v>395</v>
      </c>
      <c r="AU2" s="22">
        <f>IF(COUNT(AU3:AU157)&gt;0,"Y","X")</f>
        <v>0</v>
      </c>
      <c r="AV2" s="22" t="s">
        <v>395</v>
      </c>
      <c r="AW2" s="22">
        <f>IF(COUNT(AW3:AW157)&gt;0,"Y","X")</f>
        <v>0</v>
      </c>
      <c r="AX2" s="22" t="s">
        <v>395</v>
      </c>
      <c r="AY2" s="22">
        <f>IF(COUNT(AY3:AY157)&gt;0,"Y","X")</f>
        <v>0</v>
      </c>
      <c r="AZ2" s="22" t="s">
        <v>395</v>
      </c>
      <c r="BA2" s="22">
        <f>IF(COUNT(BA3:BA157)&gt;0,"Y","X")</f>
        <v>0</v>
      </c>
      <c r="BB2" s="22" t="s">
        <v>395</v>
      </c>
      <c r="BC2" s="22">
        <f>IF(COUNT(BC3:BC157)&gt;0,"Y","X")</f>
        <v>0</v>
      </c>
      <c r="BD2" s="22" t="s">
        <v>395</v>
      </c>
      <c r="BE2" s="22">
        <f>IF(COUNT(BE3:BE157)&gt;0,"Y","X")</f>
        <v>0</v>
      </c>
      <c r="BF2" s="22" t="s">
        <v>395</v>
      </c>
      <c r="BG2" s="22">
        <f>IF(COUNT(BG3:BG157)&gt;0,"Y","X")</f>
        <v>0</v>
      </c>
      <c r="BH2" s="22" t="s">
        <v>395</v>
      </c>
      <c r="BI2" s="22">
        <f>IF(COUNT(BI3:BI157)&gt;0,"Y","X")</f>
        <v>0</v>
      </c>
      <c r="BJ2" s="22" t="s">
        <v>395</v>
      </c>
      <c r="BK2" s="22">
        <f>IF(COUNT(BK3:BK157)&gt;0,"Y","X")</f>
        <v>0</v>
      </c>
      <c r="BL2" s="22" t="s">
        <v>395</v>
      </c>
      <c r="BM2" s="22">
        <f>IF(COUNT(BM3:BM157)&gt;0,"Y","X")</f>
        <v>0</v>
      </c>
      <c r="BN2" s="22" t="s">
        <v>395</v>
      </c>
      <c r="BO2" s="22">
        <f>IF(COUNT(BO3:BO157)&gt;0,"Y","X")</f>
        <v>0</v>
      </c>
      <c r="BP2" s="22" t="s">
        <v>395</v>
      </c>
      <c r="BQ2" s="22">
        <f>IF(COUNT(BQ3:BQ157)&gt;0,"Y","X")</f>
        <v>0</v>
      </c>
      <c r="BR2" s="22" t="s">
        <v>395</v>
      </c>
      <c r="BS2" s="22">
        <f>IF(COUNT(BS3:BS157)&gt;0,"Y","X")</f>
        <v>0</v>
      </c>
      <c r="BT2" s="22" t="s">
        <v>395</v>
      </c>
      <c r="BU2" s="22">
        <f>IF(COUNT(BU3:BU157)&gt;0,"Y","X")</f>
        <v>0</v>
      </c>
      <c r="BV2" s="22" t="s">
        <v>395</v>
      </c>
      <c r="BW2" s="22">
        <f>IF(COUNT(BW3:BW157)&gt;0,"Y","X")</f>
        <v>0</v>
      </c>
      <c r="BX2" s="22" t="s">
        <v>395</v>
      </c>
      <c r="BY2" s="22">
        <f>IF(COUNT(BY3:BY157)&gt;0,"Y","X")</f>
        <v>0</v>
      </c>
      <c r="BZ2" s="22" t="s">
        <v>395</v>
      </c>
      <c r="CA2" s="22">
        <f>IF(COUNT(CA3:CA157)&gt;0,"Y","X")</f>
        <v>0</v>
      </c>
      <c r="CB2" s="22" t="s">
        <v>395</v>
      </c>
      <c r="CC2" s="22">
        <f>IF(COUNT(CC3:CC157)&gt;0,"Y","X")</f>
        <v>0</v>
      </c>
      <c r="CD2" s="22" t="s">
        <v>395</v>
      </c>
      <c r="CE2" s="22">
        <f>IF(COUNT(CE3:CE157)&gt;0,"Y","X")</f>
        <v>0</v>
      </c>
      <c r="CF2" s="22" t="s">
        <v>395</v>
      </c>
      <c r="CG2" s="22">
        <f>IF(COUNT(CG3:CG157)&gt;0,"Y","X")</f>
        <v>0</v>
      </c>
      <c r="CH2" s="22" t="s">
        <v>395</v>
      </c>
      <c r="CI2" s="22">
        <f>IF(COUNT(CI3:CI157)&gt;0,"Y","X")</f>
        <v>0</v>
      </c>
      <c r="CJ2" s="22" t="s">
        <v>395</v>
      </c>
      <c r="CK2" s="22">
        <f>IF(COUNT(CK3:CK157)&gt;0,"Y","X")</f>
        <v>0</v>
      </c>
      <c r="CL2" s="22" t="s">
        <v>395</v>
      </c>
      <c r="CM2" s="22">
        <f>IF(COUNT(CM3:CM157)&gt;0,"Y","X")</f>
        <v>0</v>
      </c>
      <c r="CN2" s="22" t="s">
        <v>395</v>
      </c>
      <c r="CO2" s="22">
        <f>IF(COUNT(CO3:CO157)&gt;0,"Y","X")</f>
        <v>0</v>
      </c>
      <c r="CP2" s="22" t="s">
        <v>395</v>
      </c>
      <c r="CQ2" s="22">
        <f>IF(COUNT(CQ3:CQ157)&gt;0,"Y","X")</f>
        <v>0</v>
      </c>
      <c r="CR2" s="22" t="s">
        <v>395</v>
      </c>
      <c r="CS2" s="22">
        <f>IF(COUNT(CS3:CS157)&gt;0,"Y","X")</f>
        <v>0</v>
      </c>
      <c r="CT2" s="22" t="s">
        <v>395</v>
      </c>
      <c r="CU2" s="22">
        <f>IF(COUNT(CU3:CU157)&gt;0,"Y","X")</f>
        <v>0</v>
      </c>
      <c r="CV2" s="22" t="s">
        <v>395</v>
      </c>
      <c r="CW2" s="22">
        <f>IF(COUNT(CW3:CW157)&gt;0,"Y","X")</f>
        <v>0</v>
      </c>
      <c r="CX2" s="22" t="s">
        <v>395</v>
      </c>
      <c r="CY2" s="22">
        <f>IF(COUNT(CY3:CY157)&gt;0,"Y","X")</f>
        <v>0</v>
      </c>
      <c r="CZ2" s="22" t="s">
        <v>395</v>
      </c>
      <c r="DA2" s="22">
        <f>IF(COUNT(DA3:DA157)&gt;0,"Y","X")</f>
        <v>0</v>
      </c>
      <c r="DB2" s="22" t="s">
        <v>395</v>
      </c>
      <c r="DC2" s="22">
        <f>IF(COUNT(DC3:DC157)&gt;0,"Y","X")</f>
        <v>0</v>
      </c>
      <c r="DD2" s="22" t="s">
        <v>395</v>
      </c>
      <c r="DE2" s="22">
        <f>IF(COUNT(DE3:DE157)&gt;0,"Y","X")</f>
        <v>0</v>
      </c>
      <c r="DF2" s="22" t="s">
        <v>395</v>
      </c>
      <c r="DG2" s="22">
        <f>IF(COUNT(DG3:DG157)&gt;0,"Y","X")</f>
        <v>0</v>
      </c>
      <c r="DH2" s="22" t="s">
        <v>395</v>
      </c>
      <c r="DI2" s="22">
        <f>IF(COUNT(DI3:DI157)&gt;0,"Y","X")</f>
        <v>0</v>
      </c>
      <c r="DJ2" s="22" t="s">
        <v>395</v>
      </c>
      <c r="DK2" s="22">
        <f>IF(COUNT(DK3:DK157)&gt;0,"Y","X")</f>
        <v>0</v>
      </c>
      <c r="DL2" s="22" t="s">
        <v>395</v>
      </c>
      <c r="DM2" s="22">
        <f>IF(COUNT(DM3:DM157)&gt;0,"Y","X")</f>
        <v>0</v>
      </c>
      <c r="DN2" s="22" t="s">
        <v>395</v>
      </c>
      <c r="DO2" s="22">
        <f>IF(COUNT(DO3:DO157)&gt;0,"Y","X")</f>
        <v>0</v>
      </c>
      <c r="DP2" s="22" t="s">
        <v>395</v>
      </c>
      <c r="DQ2" s="22">
        <f>IF(COUNT(DQ3:DQ157)&gt;0,"Y","X")</f>
        <v>0</v>
      </c>
      <c r="DR2" s="22" t="s">
        <v>395</v>
      </c>
      <c r="DS2" s="22">
        <f>IF(COUNT(DS3:DS157)&gt;0,"Y","X")</f>
        <v>0</v>
      </c>
      <c r="DT2" s="22" t="s">
        <v>395</v>
      </c>
      <c r="DU2" s="22">
        <f>IF(COUNT(DU3:DU157)&gt;0,"Y","X")</f>
        <v>0</v>
      </c>
      <c r="DV2" s="22" t="s">
        <v>395</v>
      </c>
      <c r="DW2" s="22">
        <f>IF(COUNT(DW3:DW157)&gt;0,"Y","X")</f>
        <v>0</v>
      </c>
      <c r="DX2" s="22" t="s">
        <v>395</v>
      </c>
      <c r="DY2" s="22">
        <f>IF(COUNT(DY3:DY157)&gt;0,"Y","X")</f>
        <v>0</v>
      </c>
      <c r="DZ2" s="22" t="s">
        <v>395</v>
      </c>
      <c r="EA2" s="22">
        <f>IF(COUNT(EA3:EA157)&gt;0,"Y","X")</f>
        <v>0</v>
      </c>
      <c r="EB2" s="22" t="s">
        <v>395</v>
      </c>
      <c r="EC2" s="22">
        <f>IF(COUNT(EC3:EC157)&gt;0,"Y","X")</f>
        <v>0</v>
      </c>
      <c r="ED2" s="22" t="s">
        <v>395</v>
      </c>
      <c r="EE2" s="22">
        <f>IF(COUNT(EE3:EE157)&gt;0,"Y","X")</f>
        <v>0</v>
      </c>
      <c r="EF2" s="22" t="s">
        <v>395</v>
      </c>
      <c r="EG2" s="22">
        <f>IF(COUNT(EG3:EG157)&gt;0,"Y","X")</f>
        <v>0</v>
      </c>
      <c r="EH2" s="22" t="s">
        <v>395</v>
      </c>
      <c r="EI2" s="22">
        <f>IF(COUNT(EI3:EI157)&gt;0,"Y","X")</f>
        <v>0</v>
      </c>
      <c r="EJ2" s="22" t="s">
        <v>395</v>
      </c>
      <c r="EK2" s="22">
        <f>IF(COUNT(EK3:EK157)&gt;0,"Y","X")</f>
        <v>0</v>
      </c>
      <c r="EL2" s="22" t="s">
        <v>395</v>
      </c>
      <c r="EM2" s="22">
        <f>IF(COUNT(EM3:EM157)&gt;0,"Y","X")</f>
        <v>0</v>
      </c>
      <c r="EN2" s="22" t="s">
        <v>395</v>
      </c>
      <c r="EO2" s="22">
        <f>IF(COUNT(EO3:EO157)&gt;0,"Y","X")</f>
        <v>0</v>
      </c>
      <c r="EP2" s="22" t="s">
        <v>395</v>
      </c>
      <c r="EQ2" s="22">
        <f>IF(COUNT(EQ3:EQ157)&gt;0,"Y","X")</f>
        <v>0</v>
      </c>
      <c r="ER2" s="22" t="s">
        <v>395</v>
      </c>
      <c r="ES2" s="22">
        <f>IF(COUNT(ES3:ES157)&gt;0,"Y","X")</f>
        <v>0</v>
      </c>
      <c r="ET2" s="22" t="s">
        <v>395</v>
      </c>
      <c r="EU2" s="22">
        <f>IF(COUNT(EU3:EU157)&gt;0,"Y","X")</f>
        <v>0</v>
      </c>
      <c r="EV2" s="22" t="s">
        <v>395</v>
      </c>
      <c r="EW2" s="22">
        <f>IF(COUNT(EW3:EW157)&gt;0,"Y","X")</f>
        <v>0</v>
      </c>
      <c r="EX2" s="22" t="s">
        <v>395</v>
      </c>
      <c r="EY2" s="22">
        <f>IF(COUNT(EY3:EY157)&gt;0,"Y","X")</f>
        <v>0</v>
      </c>
      <c r="EZ2" s="22" t="s">
        <v>395</v>
      </c>
      <c r="FA2" s="22">
        <f>IF(COUNT(FA3:FA157)&gt;0,"Y","X")</f>
        <v>0</v>
      </c>
      <c r="FB2" s="22" t="s">
        <v>395</v>
      </c>
      <c r="FC2" s="22">
        <f>IF(COUNT(FC3:FC157)&gt;0,"Y","X")</f>
        <v>0</v>
      </c>
      <c r="FD2" s="22" t="s">
        <v>395</v>
      </c>
      <c r="FE2" s="22">
        <f>IF(COUNT(FE3:FE157)&gt;0,"Y","X")</f>
        <v>0</v>
      </c>
      <c r="FF2" s="22" t="s">
        <v>395</v>
      </c>
      <c r="FG2" s="22">
        <f>IF(COUNT(FG3:FG157)&gt;0,"Y","X")</f>
        <v>0</v>
      </c>
      <c r="FH2" s="22" t="s">
        <v>395</v>
      </c>
      <c r="FI2" s="22">
        <f>IF(COUNT(FI3:FI157)&gt;0,"Y","X")</f>
        <v>0</v>
      </c>
      <c r="FJ2" s="22" t="s">
        <v>395</v>
      </c>
      <c r="FK2" s="22">
        <f>IF(COUNT(FK3:FK157)&gt;0,"Y","X")</f>
        <v>0</v>
      </c>
      <c r="FL2" s="22" t="s">
        <v>395</v>
      </c>
      <c r="FM2" s="22">
        <f>IF(COUNT(FM3:FM157)&gt;0,"Y","X")</f>
        <v>0</v>
      </c>
      <c r="FN2" s="22" t="s">
        <v>395</v>
      </c>
      <c r="FO2" s="22">
        <f>IF(COUNT(FO3:FO157)&gt;0,"Y","X")</f>
        <v>0</v>
      </c>
      <c r="FP2" s="22" t="s">
        <v>395</v>
      </c>
      <c r="FQ2" s="22">
        <f>IF(COUNT(FQ3:FQ157)&gt;0,"Y","X")</f>
        <v>0</v>
      </c>
      <c r="FR2" s="22" t="s">
        <v>395</v>
      </c>
      <c r="FS2" s="22">
        <f>IF(COUNT(FS3:FS157)&gt;0,"Y","X")</f>
        <v>0</v>
      </c>
      <c r="FT2" s="22" t="s">
        <v>395</v>
      </c>
      <c r="FU2" s="22">
        <f>IF(COUNT(FU3:FU157)&gt;0,"Y","X")</f>
        <v>0</v>
      </c>
      <c r="FV2" s="22" t="s">
        <v>395</v>
      </c>
      <c r="FW2" s="22">
        <f>IF(COUNT(FW3:FW157)&gt;0,"Y","X")</f>
        <v>0</v>
      </c>
      <c r="FX2" s="22" t="s">
        <v>395</v>
      </c>
      <c r="FY2" s="22">
        <f>IF(COUNT(FY3:FY157)&gt;0,"Y","X")</f>
        <v>0</v>
      </c>
      <c r="FZ2" s="22" t="s">
        <v>395</v>
      </c>
      <c r="GA2" s="22">
        <f>IF(COUNT(GA3:GA157)&gt;0,"Y","X")</f>
        <v>0</v>
      </c>
      <c r="GB2" s="22" t="s">
        <v>395</v>
      </c>
      <c r="GC2" s="22">
        <f>IF(COUNT(GC3:GC157)&gt;0,"Y","X")</f>
        <v>0</v>
      </c>
      <c r="GD2" s="22" t="s">
        <v>395</v>
      </c>
      <c r="GE2" s="22">
        <f>IF(COUNT(GE3:GE157)&gt;0,"Y","X")</f>
        <v>0</v>
      </c>
      <c r="GF2" s="22" t="s">
        <v>395</v>
      </c>
      <c r="GG2" s="22">
        <f>IF(COUNT(GG3:GG157)&gt;0,"Y","X")</f>
        <v>0</v>
      </c>
      <c r="GH2" s="22" t="s">
        <v>395</v>
      </c>
      <c r="GI2" s="22">
        <f>IF(COUNT(GI3:GI157)&gt;0,"Y","X")</f>
        <v>0</v>
      </c>
      <c r="GJ2" s="22" t="s">
        <v>395</v>
      </c>
      <c r="GK2" s="22">
        <f>IF(COUNT(GK3:GK157)&gt;0,"Y","X")</f>
        <v>0</v>
      </c>
      <c r="GL2" s="22" t="s">
        <v>395</v>
      </c>
      <c r="GM2" s="22">
        <f>IF(COUNT(GM3:GM157)&gt;0,"Y","X")</f>
        <v>0</v>
      </c>
      <c r="GN2" s="22" t="s">
        <v>395</v>
      </c>
      <c r="GO2" s="22">
        <f>IF(COUNT(GO3:GO157)&gt;0,"Y","X")</f>
        <v>0</v>
      </c>
      <c r="GP2" s="22" t="s">
        <v>395</v>
      </c>
      <c r="GQ2" s="22">
        <f>IF(COUNT(GQ3:GQ157)&gt;0,"Y","X")</f>
        <v>0</v>
      </c>
      <c r="GR2" s="22" t="s">
        <v>395</v>
      </c>
      <c r="GS2" s="22">
        <f>IF(COUNT(GS3:GS157)&gt;0,"Y","X")</f>
        <v>0</v>
      </c>
      <c r="GT2" s="22" t="s">
        <v>395</v>
      </c>
      <c r="GU2" s="22">
        <f>IF(COUNT(GU3:GU157)&gt;0,"Y","X")</f>
        <v>0</v>
      </c>
      <c r="GV2" s="22" t="s">
        <v>395</v>
      </c>
      <c r="GW2" s="22">
        <f>IF(COUNT(GW3:GW157)&gt;0,"Y","X")</f>
        <v>0</v>
      </c>
      <c r="GX2" s="22" t="s">
        <v>395</v>
      </c>
      <c r="GY2" s="22">
        <f>IF(COUNT(GY3:GY157)&gt;0,"Y","X")</f>
        <v>0</v>
      </c>
      <c r="GZ2" s="22" t="s">
        <v>395</v>
      </c>
      <c r="HA2" s="22">
        <f>IF(COUNT(HA3:HA157)&gt;0,"Y","X")</f>
        <v>0</v>
      </c>
      <c r="HB2" s="22" t="s">
        <v>395</v>
      </c>
      <c r="HC2" s="22">
        <f>IF(COUNT(HC3:HC157)&gt;0,"Y","X")</f>
        <v>0</v>
      </c>
      <c r="HD2" s="22" t="s">
        <v>395</v>
      </c>
      <c r="HE2" s="22">
        <f>IF(COUNT(HE3:HE157)&gt;0,"Y","X")</f>
        <v>0</v>
      </c>
      <c r="HF2" s="22" t="s">
        <v>395</v>
      </c>
      <c r="HG2" s="22">
        <f>IF(COUNT(HG3:HG157)&gt;0,"Y","X")</f>
        <v>0</v>
      </c>
      <c r="HH2" s="22" t="s">
        <v>395</v>
      </c>
      <c r="HI2" s="22">
        <f>IF(COUNT(HI3:HI157)&gt;0,"Y","X")</f>
        <v>0</v>
      </c>
      <c r="HJ2" s="22" t="s">
        <v>395</v>
      </c>
      <c r="HK2" s="22">
        <f>IF(COUNT(HK3:HK157)&gt;0,"Y","X")</f>
        <v>0</v>
      </c>
      <c r="HL2" s="22" t="s">
        <v>395</v>
      </c>
      <c r="HM2" s="22">
        <f>IF(COUNT(HM3:HM157)&gt;0,"Y","X")</f>
        <v>0</v>
      </c>
      <c r="HN2" s="22" t="s">
        <v>395</v>
      </c>
      <c r="HO2" s="22">
        <f>IF(COUNT(HO3:HO157)&gt;0,"Y","X")</f>
        <v>0</v>
      </c>
      <c r="HP2" s="22" t="s">
        <v>395</v>
      </c>
      <c r="HQ2" s="22">
        <f>IF(COUNT(HQ3:HQ157)&gt;0,"Y","X")</f>
        <v>0</v>
      </c>
      <c r="HR2" s="22" t="s">
        <v>395</v>
      </c>
      <c r="HS2" s="22">
        <f>IF(COUNT(HS3:HS157)&gt;0,"Y","X")</f>
        <v>0</v>
      </c>
      <c r="HT2" s="22" t="s">
        <v>395</v>
      </c>
      <c r="HU2" s="22">
        <f>IF(COUNT(HU3:HU157)&gt;0,"Y","X")</f>
        <v>0</v>
      </c>
      <c r="HV2" s="22" t="s">
        <v>395</v>
      </c>
      <c r="HW2" s="22">
        <f>IF(COUNT(HW3:HW157)&gt;0,"Y","X")</f>
        <v>0</v>
      </c>
      <c r="HX2" s="22" t="s">
        <v>395</v>
      </c>
      <c r="HY2" s="22">
        <f>IF(COUNT(HY3:HY157)&gt;0,"Y","X")</f>
        <v>0</v>
      </c>
      <c r="HZ2" s="22" t="s">
        <v>395</v>
      </c>
      <c r="IA2" s="22">
        <f>IF(COUNT(IA3:IA157)&gt;0,"Y","X")</f>
        <v>0</v>
      </c>
      <c r="IB2" s="22" t="s">
        <v>395</v>
      </c>
      <c r="IC2" s="22">
        <f>IF(COUNT(IC3:IC157)&gt;0,"Y","X")</f>
        <v>0</v>
      </c>
      <c r="ID2" s="22" t="s">
        <v>395</v>
      </c>
      <c r="IE2" s="22">
        <f>IF(COUNT(IE3:IE157)&gt;0,"Y","X")</f>
        <v>0</v>
      </c>
      <c r="IF2" s="22" t="s">
        <v>395</v>
      </c>
      <c r="IG2" s="22">
        <f>IF(COUNT(IG3:IG157)&gt;0,"Y","X")</f>
        <v>0</v>
      </c>
      <c r="IH2" s="22" t="s">
        <v>395</v>
      </c>
      <c r="II2" s="22">
        <f>IF(COUNT(II3:II157)&gt;0,"Y","X")</f>
        <v>0</v>
      </c>
      <c r="IJ2" s="22" t="s">
        <v>395</v>
      </c>
      <c r="IK2" s="22">
        <f>IF(COUNT(IK3:IK157)&gt;0,"Y","X")</f>
        <v>0</v>
      </c>
      <c r="IL2" s="22" t="s">
        <v>395</v>
      </c>
      <c r="IM2" s="22">
        <f>IF(COUNT(IM3:IM157)&gt;0,"Y","X")</f>
        <v>0</v>
      </c>
      <c r="IN2" s="22" t="s">
        <v>395</v>
      </c>
      <c r="IO2" s="22">
        <f>IF(COUNT(IO3:IO157)&gt;0,"Y","X")</f>
        <v>0</v>
      </c>
      <c r="IP2" s="22" t="s">
        <v>395</v>
      </c>
      <c r="IQ2" s="22">
        <f>IF(COUNT(IQ3:IQ157)&gt;0,"Y","X")</f>
        <v>0</v>
      </c>
      <c r="IR2" s="22" t="s">
        <v>395</v>
      </c>
      <c r="IS2" s="22">
        <f>IF(COUNT(IS3:IS157)&gt;0,"Y","X")</f>
        <v>0</v>
      </c>
      <c r="IT2" s="22" t="s">
        <v>395</v>
      </c>
      <c r="IU2" s="22">
        <f>IF(COUNT(IU3:IU157)&gt;0,"Y","X")</f>
        <v>0</v>
      </c>
      <c r="IV2" s="22" t="s">
        <v>395</v>
      </c>
      <c r="IW2" s="22">
        <f>IF(COUNT(IW3:IW157)&gt;0,"Y","X")</f>
        <v>0</v>
      </c>
      <c r="IX2" s="22" t="s">
        <v>395</v>
      </c>
      <c r="IY2" s="22">
        <f>IF(COUNT(IY3:IY157)&gt;0,"Y","X")</f>
        <v>0</v>
      </c>
      <c r="IZ2" s="22" t="s">
        <v>395</v>
      </c>
      <c r="JA2" s="22">
        <f>IF(COUNT(JA3:JA157)&gt;0,"Y","X")</f>
        <v>0</v>
      </c>
      <c r="JB2" s="22" t="s">
        <v>395</v>
      </c>
      <c r="JC2" s="22">
        <f>IF(COUNT(JC3:JC157)&gt;0,"Y","X")</f>
        <v>0</v>
      </c>
      <c r="JD2" s="22" t="s">
        <v>395</v>
      </c>
      <c r="JE2" s="22">
        <f>IF(COUNT(JE3:JE157)&gt;0,"Y","X")</f>
        <v>0</v>
      </c>
      <c r="JF2" s="22" t="s">
        <v>395</v>
      </c>
      <c r="JG2" s="22">
        <f>IF(COUNT(JG3:JG157)&gt;0,"Y","X")</f>
        <v>0</v>
      </c>
      <c r="JH2" s="22" t="s">
        <v>395</v>
      </c>
      <c r="JI2" s="22">
        <f>IF(COUNT(JI3:JI157)&gt;0,"Y","X")</f>
        <v>0</v>
      </c>
      <c r="JJ2" s="22" t="s">
        <v>395</v>
      </c>
      <c r="JK2" s="22">
        <f>IF(COUNT(JK3:JK157)&gt;0,"Y","X")</f>
        <v>0</v>
      </c>
      <c r="JL2" s="22" t="s">
        <v>395</v>
      </c>
      <c r="JM2" s="22">
        <f>IF(COUNT(JM3:JM157)&gt;0,"Y","X")</f>
        <v>0</v>
      </c>
      <c r="JN2" s="22" t="s">
        <v>395</v>
      </c>
      <c r="JO2" s="22">
        <f>IF(COUNT(JO3:JO157)&gt;0,"Y","X")</f>
        <v>0</v>
      </c>
      <c r="JP2" s="22" t="s">
        <v>395</v>
      </c>
      <c r="JQ2" s="22">
        <f>IF(COUNT(JQ3:JQ157)&gt;0,"Y","X")</f>
        <v>0</v>
      </c>
      <c r="JR2" s="22" t="s">
        <v>395</v>
      </c>
      <c r="JS2" s="22">
        <f>IF(COUNT(JS3:JS157)&gt;0,"Y","X")</f>
        <v>0</v>
      </c>
      <c r="JT2" s="22" t="s">
        <v>395</v>
      </c>
      <c r="JU2" s="22">
        <f>IF(COUNT(JU3:JU157)&gt;0,"Y","X")</f>
        <v>0</v>
      </c>
      <c r="JV2" s="22" t="s">
        <v>395</v>
      </c>
      <c r="JW2" s="22">
        <f>IF(COUNT(JW3:JW157)&gt;0,"Y","X")</f>
        <v>0</v>
      </c>
      <c r="JX2" s="22" t="s">
        <v>395</v>
      </c>
      <c r="JY2" s="22">
        <f>IF(COUNT(JY3:JY157)&gt;0,"Y","X")</f>
        <v>0</v>
      </c>
      <c r="JZ2" s="22" t="s">
        <v>395</v>
      </c>
      <c r="KA2" s="22">
        <f>IF(COUNT(KA3:KA157)&gt;0,"Y","X")</f>
        <v>0</v>
      </c>
      <c r="KB2" s="22" t="s">
        <v>395</v>
      </c>
      <c r="KC2" s="22">
        <f>IF(COUNT(KC3:KC157)&gt;0,"Y","X")</f>
        <v>0</v>
      </c>
      <c r="KD2" s="22" t="s">
        <v>395</v>
      </c>
      <c r="KE2" s="22">
        <f>IF(COUNT(KE3:KE157)&gt;0,"Y","X")</f>
        <v>0</v>
      </c>
      <c r="KF2" s="22" t="s">
        <v>395</v>
      </c>
      <c r="KG2" s="22">
        <f>IF(COUNT(KG3:KG157)&gt;0,"Y","X")</f>
        <v>0</v>
      </c>
      <c r="KH2" s="22" t="s">
        <v>395</v>
      </c>
      <c r="KI2" s="22">
        <f>IF(COUNT(KI3:KI157)&gt;0,"Y","X")</f>
        <v>0</v>
      </c>
      <c r="KJ2" s="22" t="s">
        <v>395</v>
      </c>
      <c r="KK2" s="22">
        <f>IF(COUNT(KK3:KK157)&gt;0,"Y","X")</f>
        <v>0</v>
      </c>
      <c r="KL2" s="22" t="s">
        <v>395</v>
      </c>
      <c r="KM2" s="22">
        <f>IF(COUNT(KM3:KM157)&gt;0,"Y","X")</f>
        <v>0</v>
      </c>
      <c r="KN2" s="22" t="s">
        <v>395</v>
      </c>
      <c r="KO2" s="22">
        <f>IF(COUNT(KO3:KO157)&gt;0,"Y","X")</f>
        <v>0</v>
      </c>
      <c r="KP2" s="22" t="s">
        <v>395</v>
      </c>
      <c r="KQ2" s="22">
        <f>IF(COUNT(KQ3:KQ157)&gt;0,"Y","X")</f>
        <v>0</v>
      </c>
      <c r="KR2" s="22" t="s">
        <v>395</v>
      </c>
      <c r="KS2" s="22">
        <f>IF(COUNT(KS3:KS157)&gt;0,"Y","X")</f>
        <v>0</v>
      </c>
      <c r="KT2" s="22" t="s">
        <v>395</v>
      </c>
      <c r="KU2" s="22">
        <f>IF(COUNT(KU3:KU157)&gt;0,"Y","X")</f>
        <v>0</v>
      </c>
      <c r="KV2" s="22" t="s">
        <v>395</v>
      </c>
      <c r="KW2" s="22">
        <f>IF(COUNT(KW3:KW157)&gt;0,"Y","X")</f>
        <v>0</v>
      </c>
      <c r="KX2" s="22" t="s">
        <v>395</v>
      </c>
      <c r="KY2" s="22">
        <f>IF(COUNT(KY3:KY157)&gt;0,"Y","X")</f>
        <v>0</v>
      </c>
      <c r="KZ2" s="22" t="s">
        <v>395</v>
      </c>
      <c r="LA2" s="22">
        <f>IF(COUNT(LA3:LA157)&gt;0,"Y","X")</f>
        <v>0</v>
      </c>
      <c r="LB2" s="22" t="s">
        <v>395</v>
      </c>
      <c r="LC2" s="22">
        <f>IF(COUNT(LC3:LC157)&gt;0,"Y","X")</f>
        <v>0</v>
      </c>
      <c r="LD2" s="22" t="s">
        <v>395</v>
      </c>
      <c r="LE2" s="22">
        <f>IF(COUNT(LE3:LE157)&gt;0,"Y","X")</f>
        <v>0</v>
      </c>
      <c r="LF2" s="22" t="s">
        <v>395</v>
      </c>
      <c r="LG2" s="22">
        <f>IF(COUNT(LG3:LG157)&gt;0,"Y","X")</f>
        <v>0</v>
      </c>
      <c r="LH2" s="22" t="s">
        <v>395</v>
      </c>
    </row>
    <row r="3" spans="1:322">
      <c r="A3" s="23" t="s">
        <v>11</v>
      </c>
      <c r="B3" s="24" t="s">
        <v>397</v>
      </c>
      <c r="C3" s="25" t="s">
        <v>12</v>
      </c>
      <c r="D3" s="25"/>
      <c r="E3" s="26" t="s">
        <v>398</v>
      </c>
      <c r="F3" s="27"/>
      <c r="G3" s="27"/>
      <c r="H3" s="27" t="s">
        <v>399</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400</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381</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370</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380</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401</v>
      </c>
    </row>
    <row r="8" spans="1:322">
      <c r="B8" s="24"/>
      <c r="D8" s="32" t="s">
        <v>23</v>
      </c>
      <c r="E8" s="33" t="s">
        <v>376</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374</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382</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402</v>
      </c>
    </row>
    <row r="11" spans="1:322">
      <c r="A11" s="37" t="s">
        <v>29</v>
      </c>
      <c r="B11" s="24"/>
      <c r="C11" s="38" t="s">
        <v>30</v>
      </c>
      <c r="E11" s="33" t="s">
        <v>398</v>
      </c>
      <c r="F11" s="39">
        <f>MIN(F15:F21)</f>
        <v>45689.0</v>
      </c>
      <c r="H11" s="39" t="s">
        <v>399</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395</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403</v>
      </c>
    </row>
    <row r="12" spans="1:322">
      <c r="B12" s="24"/>
    </row>
    <row r="13" spans="1:322">
      <c r="B13" s="24"/>
    </row>
    <row r="14" spans="1:322">
      <c r="B14" s="24"/>
    </row>
    <row r="15" spans="1:322">
      <c r="B15" s="24"/>
      <c r="D15" s="32" t="s">
        <v>13</v>
      </c>
      <c r="E15" s="33" t="s">
        <v>400</v>
      </c>
      <c r="F15" s="39" t="s">
        <v>404</v>
      </c>
      <c r="I15" s="41" t="s">
        <v>405</v>
      </c>
      <c r="J15" s="35">
        <f>IF(AND(ISNUMBER(K15),ISNUMBER(I15)),K15-I15,"")</f>
        <v>0</v>
      </c>
      <c r="K15" s="34">
        <v>5</v>
      </c>
      <c r="L15" s="35">
        <f>IF(AND(ISNUMBER(M15),ISNUMBER(K15)),M15-K15,"")</f>
        <v>0</v>
      </c>
      <c r="M15" s="41" t="s">
        <v>405</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381</v>
      </c>
      <c r="F16" s="39">
        <v>45689</v>
      </c>
      <c r="I16" s="41" t="s">
        <v>405</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370</v>
      </c>
      <c r="I17" s="41" t="s">
        <v>405</v>
      </c>
      <c r="J17" s="35">
        <f>IF(AND(ISNUMBER(K17),ISNUMBER(I17)),K17-I17,"")</f>
        <v>0</v>
      </c>
      <c r="K17" s="41" t="s">
        <v>405</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405</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380</v>
      </c>
      <c r="I18" s="41" t="s">
        <v>405</v>
      </c>
      <c r="J18" s="35">
        <f>IF(AND(ISNUMBER(K18),ISNUMBER(I18)),K18-I18,"")</f>
        <v>0</v>
      </c>
      <c r="K18" s="41" t="s">
        <v>405</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405</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401</v>
      </c>
    </row>
    <row r="19" spans="1:322">
      <c r="B19" s="24"/>
      <c r="D19" s="32" t="s">
        <v>23</v>
      </c>
      <c r="E19" s="33" t="s">
        <v>376</v>
      </c>
      <c r="F19" s="39">
        <v>45689</v>
      </c>
      <c r="I19" s="41" t="s">
        <v>405</v>
      </c>
      <c r="J19" s="35">
        <f>IF(AND(ISNUMBER(K19),ISNUMBER(I19)),K19-I19,"")</f>
        <v>0</v>
      </c>
      <c r="K19" s="41" t="s">
        <v>405</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374</v>
      </c>
      <c r="F20" s="39">
        <v>45689</v>
      </c>
      <c r="I20" s="34">
        <v>2</v>
      </c>
      <c r="J20" s="35">
        <f>IF(AND(ISNUMBER(K20),ISNUMBER(I20)),K20-I20,"")</f>
        <v>0</v>
      </c>
      <c r="K20" s="34">
        <v>0</v>
      </c>
      <c r="L20" s="35">
        <f>IF(AND(ISNUMBER(M20),ISNUMBER(K20)),M20-K20,"")</f>
        <v>0</v>
      </c>
      <c r="M20" s="34">
        <v>0</v>
      </c>
      <c r="N20" s="35">
        <f>IF(AND(ISNUMBER(O20),ISNUMBER(M20)),O20-M20,"")</f>
        <v>0</v>
      </c>
      <c r="O20" s="41" t="s">
        <v>405</v>
      </c>
      <c r="P20" s="35">
        <f>IF(AND(ISNUMBER(Q20),ISNUMBER(O20)),Q20-O20,"")</f>
        <v>0</v>
      </c>
      <c r="Q20" s="34">
        <v>0</v>
      </c>
      <c r="R20" s="35">
        <f>IF(AND(ISNUMBER(S20),ISNUMBER(Q20)),S20-Q20,"")</f>
        <v>0</v>
      </c>
      <c r="S20" s="34">
        <v>8</v>
      </c>
      <c r="T20" s="35">
        <f>IF(AND(ISNUMBER(U20),ISNUMBER(S20)),U20-S20,"")</f>
        <v>0</v>
      </c>
      <c r="U20" s="41" t="s">
        <v>405</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382</v>
      </c>
      <c r="F21" s="39">
        <v>45689</v>
      </c>
      <c r="I21" s="41" t="s">
        <v>405</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405</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405</v>
      </c>
      <c r="AP21" s="35">
        <f>IF(AND(ISNUMBER(AQ21),ISNUMBER(AO21)),AQ21-AO21,"")</f>
        <v>0</v>
      </c>
      <c r="AQ21" s="41" t="s">
        <v>405</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402</v>
      </c>
    </row>
    <row r="23" spans="1:322">
      <c r="A23" s="23" t="s">
        <v>39</v>
      </c>
      <c r="B23" s="24" t="s">
        <v>406</v>
      </c>
      <c r="C23" s="25" t="s">
        <v>12</v>
      </c>
      <c r="D23" s="25"/>
      <c r="E23" s="26" t="s">
        <v>398</v>
      </c>
      <c r="F23" s="27"/>
      <c r="G23" s="27"/>
      <c r="H23" s="27" t="s">
        <v>399</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403</v>
      </c>
    </row>
    <row r="24" spans="1:322">
      <c r="B24" s="24"/>
      <c r="D24" s="32" t="s">
        <v>13</v>
      </c>
      <c r="E24" s="33" t="s">
        <v>400</v>
      </c>
      <c r="F24" s="39" t="s">
        <v>407</v>
      </c>
      <c r="I24" s="41" t="s">
        <v>405</v>
      </c>
      <c r="J24" s="35">
        <f>IF(AND(ISNUMBER(K24),ISNUMBER(I24)),K24-I24,"")</f>
        <v>0</v>
      </c>
      <c r="K24" s="41" t="s">
        <v>405</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405</v>
      </c>
      <c r="Z24" s="35">
        <f>IF(AND(ISNUMBER(AA24),ISNUMBER(Y24)),AA24-Y24,"")</f>
        <v>0</v>
      </c>
      <c r="AA24" s="41" t="s">
        <v>405</v>
      </c>
      <c r="AB24" s="35">
        <f>IF(AND(ISNUMBER(AC24),ISNUMBER(AA24)),AC24-AA24,"")</f>
        <v>0</v>
      </c>
      <c r="AC24" s="41" t="s">
        <v>405</v>
      </c>
      <c r="AD24" s="35">
        <f>IF(AND(ISNUMBER(AE24),ISNUMBER(AC24)),AE24-AC24,"")</f>
        <v>0</v>
      </c>
      <c r="AE24" s="41" t="s">
        <v>405</v>
      </c>
      <c r="AF24" s="35">
        <f>IF(AND(ISNUMBER(AG24),ISNUMBER(AE24)),AG24-AE24,"")</f>
        <v>0</v>
      </c>
      <c r="AG24" s="41" t="s">
        <v>405</v>
      </c>
      <c r="AH24" s="35">
        <f>IF(AND(ISNUMBER(AI24),ISNUMBER(AG24)),AI24-AG24,"")</f>
        <v>0</v>
      </c>
      <c r="AI24" s="41" t="s">
        <v>405</v>
      </c>
      <c r="AJ24" s="35">
        <f>IF(AND(ISNUMBER(AK24),ISNUMBER(AI24)),AK24-AI24,"")</f>
        <v>0</v>
      </c>
      <c r="AK24" s="34">
        <v>0</v>
      </c>
      <c r="AL24" s="35">
        <f>IF(AND(ISNUMBER(AM24),ISNUMBER(AK24)),AM24-AK24,"")</f>
        <v>0</v>
      </c>
      <c r="AM24" s="41" t="s">
        <v>405</v>
      </c>
      <c r="AN24" s="35">
        <f>IF(AND(ISNUMBER(AO24),ISNUMBER(AM24)),AO24-AM24,"")</f>
        <v>0</v>
      </c>
      <c r="AO24" s="41" t="s">
        <v>405</v>
      </c>
      <c r="AP24" s="35">
        <f>IF(AND(ISNUMBER(AQ24),ISNUMBER(AO24)),AQ24-AO24,"")</f>
        <v>0</v>
      </c>
      <c r="AQ24" s="41" t="s">
        <v>405</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381</v>
      </c>
      <c r="I25" s="41" t="s">
        <v>405</v>
      </c>
      <c r="J25" s="35">
        <f>IF(AND(ISNUMBER(K25),ISNUMBER(I25)),K25-I25,"")</f>
        <v>0</v>
      </c>
      <c r="K25" s="34">
        <v>5</v>
      </c>
      <c r="L25" s="35">
        <f>IF(AND(ISNUMBER(M25),ISNUMBER(K25)),M25-K25,"")</f>
        <v>0</v>
      </c>
      <c r="M25" s="34">
        <v>0</v>
      </c>
      <c r="N25" s="35">
        <f>IF(AND(ISNUMBER(O25),ISNUMBER(M25)),O25-M25,"")</f>
        <v>0</v>
      </c>
      <c r="O25" s="41" t="s">
        <v>405</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405</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370</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380</v>
      </c>
      <c r="I27" s="41" t="s">
        <v>405</v>
      </c>
      <c r="J27" s="35">
        <f>IF(AND(ISNUMBER(K27),ISNUMBER(I27)),K27-I27,"")</f>
        <v>0</v>
      </c>
      <c r="K27" s="41" t="s">
        <v>405</v>
      </c>
      <c r="L27" s="35">
        <f>IF(AND(ISNUMBER(M27),ISNUMBER(K27)),M27-K27,"")</f>
        <v>0</v>
      </c>
      <c r="M27" s="34">
        <v>0</v>
      </c>
      <c r="N27" s="35">
        <f>IF(AND(ISNUMBER(O27),ISNUMBER(M27)),O27-M27,"")</f>
        <v>0</v>
      </c>
      <c r="O27" s="41" t="s">
        <v>405</v>
      </c>
      <c r="P27" s="35">
        <f>IF(AND(ISNUMBER(Q27),ISNUMBER(O27)),Q27-O27,"")</f>
        <v>0</v>
      </c>
      <c r="Q27" s="41" t="s">
        <v>405</v>
      </c>
      <c r="R27" s="35">
        <f>IF(AND(ISNUMBER(S27),ISNUMBER(Q27)),S27-Q27,"")</f>
        <v>0</v>
      </c>
      <c r="S27" s="34">
        <v>12</v>
      </c>
      <c r="T27" s="35">
        <f>IF(AND(ISNUMBER(U27),ISNUMBER(S27)),U27-S27,"")</f>
        <v>0</v>
      </c>
      <c r="U27" s="41" t="s">
        <v>405</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405</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408</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409</v>
      </c>
    </row>
    <row r="28" spans="1:322">
      <c r="B28" s="24"/>
      <c r="D28" s="32" t="s">
        <v>23</v>
      </c>
      <c r="E28" s="33" t="s">
        <v>376</v>
      </c>
      <c r="I28" s="41" t="s">
        <v>405</v>
      </c>
      <c r="J28" s="35">
        <f>IF(AND(ISNUMBER(K28),ISNUMBER(I28)),K28-I28,"")</f>
        <v>0</v>
      </c>
      <c r="K28" s="41" t="s">
        <v>405</v>
      </c>
      <c r="L28" s="35">
        <f>IF(AND(ISNUMBER(M28),ISNUMBER(K28)),M28-K28,"")</f>
        <v>0</v>
      </c>
      <c r="M28" s="41" t="s">
        <v>405</v>
      </c>
      <c r="N28" s="35">
        <f>IF(AND(ISNUMBER(O28),ISNUMBER(M28)),O28-M28,"")</f>
        <v>0</v>
      </c>
      <c r="O28" s="41" t="s">
        <v>405</v>
      </c>
      <c r="P28" s="35">
        <f>IF(AND(ISNUMBER(Q28),ISNUMBER(O28)),Q28-O28,"")</f>
        <v>0</v>
      </c>
      <c r="Q28" s="41" t="s">
        <v>405</v>
      </c>
      <c r="R28" s="35">
        <f>IF(AND(ISNUMBER(S28),ISNUMBER(Q28)),S28-Q28,"")</f>
        <v>0</v>
      </c>
      <c r="S28" s="41" t="s">
        <v>405</v>
      </c>
      <c r="T28" s="35">
        <f>IF(AND(ISNUMBER(U28),ISNUMBER(S28)),U28-S28,"")</f>
        <v>0</v>
      </c>
      <c r="U28" s="41" t="s">
        <v>405</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374</v>
      </c>
      <c r="I29" s="41" t="s">
        <v>405</v>
      </c>
      <c r="J29" s="35">
        <f>IF(AND(ISNUMBER(K29),ISNUMBER(I29)),K29-I29,"")</f>
        <v>0</v>
      </c>
      <c r="K29" s="41" t="s">
        <v>405</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405</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382</v>
      </c>
      <c r="I30" s="41" t="s">
        <v>405</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405</v>
      </c>
      <c r="AP30" s="35">
        <f>IF(AND(ISNUMBER(AQ30),ISNUMBER(AO30)),AQ30-AO30,"")</f>
        <v>0</v>
      </c>
      <c r="AQ30" s="41" t="s">
        <v>405</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402</v>
      </c>
    </row>
    <row r="31" spans="1:322">
      <c r="A31" s="37" t="s">
        <v>47</v>
      </c>
      <c r="B31" s="24"/>
      <c r="C31" s="38" t="s">
        <v>30</v>
      </c>
      <c r="E31" s="33" t="s">
        <v>398</v>
      </c>
      <c r="F31" s="39">
        <f>MIN(F32:F38)</f>
        <v>45689.0</v>
      </c>
      <c r="H31" s="39" t="s">
        <v>399</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395</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403</v>
      </c>
    </row>
    <row r="32" spans="1:322">
      <c r="B32" s="24"/>
      <c r="D32" s="32" t="s">
        <v>13</v>
      </c>
      <c r="E32" s="33" t="s">
        <v>400</v>
      </c>
      <c r="F32" s="39" t="s">
        <v>410</v>
      </c>
      <c r="I32" s="41" t="s">
        <v>405</v>
      </c>
      <c r="J32" s="35">
        <f>IF(AND(ISNUMBER(K32),ISNUMBER(I32)),K32-I32,"")</f>
        <v>0</v>
      </c>
      <c r="K32" s="41" t="s">
        <v>405</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405</v>
      </c>
      <c r="Z32" s="35">
        <f>IF(AND(ISNUMBER(AA32),ISNUMBER(Y32)),AA32-Y32,"")</f>
        <v>0</v>
      </c>
      <c r="AA32" s="41" t="s">
        <v>405</v>
      </c>
      <c r="AB32" s="35">
        <f>IF(AND(ISNUMBER(AC32),ISNUMBER(AA32)),AC32-AA32,"")</f>
        <v>0</v>
      </c>
      <c r="AC32" s="41" t="s">
        <v>405</v>
      </c>
      <c r="AD32" s="35">
        <f>IF(AND(ISNUMBER(AE32),ISNUMBER(AC32)),AE32-AC32,"")</f>
        <v>0</v>
      </c>
      <c r="AE32" s="41" t="s">
        <v>405</v>
      </c>
      <c r="AF32" s="35">
        <f>IF(AND(ISNUMBER(AG32),ISNUMBER(AE32)),AG32-AE32,"")</f>
        <v>0</v>
      </c>
      <c r="AG32" s="41" t="s">
        <v>405</v>
      </c>
      <c r="AH32" s="35">
        <f>IF(AND(ISNUMBER(AI32),ISNUMBER(AG32)),AI32-AG32,"")</f>
        <v>0</v>
      </c>
      <c r="AI32" s="41" t="s">
        <v>405</v>
      </c>
      <c r="AJ32" s="35">
        <f>IF(AND(ISNUMBER(AK32),ISNUMBER(AI32)),AK32-AI32,"")</f>
        <v>0</v>
      </c>
      <c r="AK32" s="34">
        <v>0</v>
      </c>
      <c r="AL32" s="35">
        <f>IF(AND(ISNUMBER(AM32),ISNUMBER(AK32)),AM32-AK32,"")</f>
        <v>0</v>
      </c>
      <c r="AM32" s="41" t="s">
        <v>405</v>
      </c>
      <c r="AN32" s="35">
        <f>IF(AND(ISNUMBER(AO32),ISNUMBER(AM32)),AO32-AM32,"")</f>
        <v>0</v>
      </c>
      <c r="AO32" s="41" t="s">
        <v>405</v>
      </c>
      <c r="AP32" s="35">
        <f>IF(AND(ISNUMBER(AQ32),ISNUMBER(AO32)),AQ32-AO32,"")</f>
        <v>0</v>
      </c>
      <c r="AQ32" s="41" t="s">
        <v>405</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381</v>
      </c>
      <c r="F33" s="39">
        <v>45689</v>
      </c>
      <c r="I33" s="41" t="s">
        <v>405</v>
      </c>
      <c r="J33" s="35">
        <f>IF(AND(ISNUMBER(K33),ISNUMBER(I33)),K33-I33,"")</f>
        <v>0</v>
      </c>
      <c r="K33" s="34">
        <v>5</v>
      </c>
      <c r="L33" s="35">
        <f>IF(AND(ISNUMBER(M33),ISNUMBER(K33)),M33-K33,"")</f>
        <v>0</v>
      </c>
      <c r="M33" s="34">
        <v>0</v>
      </c>
      <c r="N33" s="35">
        <f>IF(AND(ISNUMBER(O33),ISNUMBER(M33)),O33-M33,"")</f>
        <v>0</v>
      </c>
      <c r="O33" s="41" t="s">
        <v>405</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405</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370</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380</v>
      </c>
      <c r="F35" s="39">
        <v>45689</v>
      </c>
      <c r="I35" s="34">
        <v>3</v>
      </c>
      <c r="J35" s="35">
        <f>IF(AND(ISNUMBER(K35),ISNUMBER(I35)),K35-I35,"")</f>
        <v>0</v>
      </c>
      <c r="K35" s="34">
        <v>2</v>
      </c>
      <c r="L35" s="35">
        <f>IF(AND(ISNUMBER(M35),ISNUMBER(K35)),M35-K35,"")</f>
        <v>0</v>
      </c>
      <c r="M35" s="34">
        <v>0</v>
      </c>
      <c r="N35" s="35">
        <f>IF(AND(ISNUMBER(O35),ISNUMBER(M35)),O35-M35,"")</f>
        <v>0</v>
      </c>
      <c r="O35" s="41" t="s">
        <v>405</v>
      </c>
      <c r="P35" s="35">
        <f>IF(AND(ISNUMBER(Q35),ISNUMBER(O35)),Q35-O35,"")</f>
        <v>0</v>
      </c>
      <c r="Q35" s="41" t="s">
        <v>405</v>
      </c>
      <c r="R35" s="35">
        <f>IF(AND(ISNUMBER(S35),ISNUMBER(Q35)),S35-Q35,"")</f>
        <v>0</v>
      </c>
      <c r="S35" s="34">
        <v>12</v>
      </c>
      <c r="T35" s="35">
        <f>IF(AND(ISNUMBER(U35),ISNUMBER(S35)),U35-S35,"")</f>
        <v>0</v>
      </c>
      <c r="U35" s="41" t="s">
        <v>405</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405</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411</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409</v>
      </c>
    </row>
    <row r="36" spans="1:322">
      <c r="B36" s="24"/>
      <c r="D36" s="32" t="s">
        <v>23</v>
      </c>
      <c r="E36" s="33" t="s">
        <v>376</v>
      </c>
      <c r="F36" s="39">
        <v>45689</v>
      </c>
      <c r="I36" s="41" t="s">
        <v>405</v>
      </c>
      <c r="J36" s="35">
        <f>IF(AND(ISNUMBER(K36),ISNUMBER(I36)),K36-I36,"")</f>
        <v>0</v>
      </c>
      <c r="K36" s="41" t="s">
        <v>405</v>
      </c>
      <c r="L36" s="35">
        <f>IF(AND(ISNUMBER(M36),ISNUMBER(K36)),M36-K36,"")</f>
        <v>0</v>
      </c>
      <c r="M36" s="41" t="s">
        <v>405</v>
      </c>
      <c r="N36" s="35">
        <f>IF(AND(ISNUMBER(O36),ISNUMBER(M36)),O36-M36,"")</f>
        <v>0</v>
      </c>
      <c r="O36" s="41" t="s">
        <v>405</v>
      </c>
      <c r="P36" s="35">
        <f>IF(AND(ISNUMBER(Q36),ISNUMBER(O36)),Q36-O36,"")</f>
        <v>0</v>
      </c>
      <c r="Q36" s="41" t="s">
        <v>405</v>
      </c>
      <c r="R36" s="35">
        <f>IF(AND(ISNUMBER(S36),ISNUMBER(Q36)),S36-Q36,"")</f>
        <v>0</v>
      </c>
      <c r="S36" s="41" t="s">
        <v>405</v>
      </c>
      <c r="T36" s="35">
        <f>IF(AND(ISNUMBER(U36),ISNUMBER(S36)),U36-S36,"")</f>
        <v>0</v>
      </c>
      <c r="U36" s="41" t="s">
        <v>405</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374</v>
      </c>
      <c r="F37" s="39">
        <v>45689</v>
      </c>
      <c r="I37" s="41" t="s">
        <v>405</v>
      </c>
      <c r="J37" s="35">
        <f>IF(AND(ISNUMBER(K37),ISNUMBER(I37)),K37-I37,"")</f>
        <v>0</v>
      </c>
      <c r="K37" s="41" t="s">
        <v>405</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405</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382</v>
      </c>
      <c r="F38" s="39">
        <v>45689</v>
      </c>
      <c r="I38" s="41" t="s">
        <v>405</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405</v>
      </c>
      <c r="AP38" s="35">
        <f>IF(AND(ISNUMBER(AQ38),ISNUMBER(AO38)),AQ38-AO38,"")</f>
        <v>0</v>
      </c>
      <c r="AQ38" s="41" t="s">
        <v>405</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402</v>
      </c>
    </row>
    <row r="39" spans="1:322">
      <c r="A39" s="23">
        <v>3</v>
      </c>
      <c r="B39" s="24" t="s">
        <v>412</v>
      </c>
      <c r="C39" s="25" t="s">
        <v>30</v>
      </c>
      <c r="D39" s="25"/>
      <c r="E39" s="26" t="s">
        <v>398</v>
      </c>
      <c r="F39" s="27"/>
      <c r="G39" s="27"/>
      <c r="H39" s="27" t="s">
        <v>413</v>
      </c>
      <c r="I39" s="28">
        <v>375</v>
      </c>
      <c r="J39" s="29">
        <f>IF(AND(ISNUMBER(K39),ISNUMBER(I39)),K39-I39,"")</f>
        <v>0</v>
      </c>
      <c r="K39" s="43" t="s">
        <v>405</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405</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405</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395</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403</v>
      </c>
    </row>
    <row r="40" spans="1:322">
      <c r="B40" s="24"/>
      <c r="D40" s="32" t="s">
        <v>13</v>
      </c>
      <c r="E40" s="33" t="s">
        <v>400</v>
      </c>
      <c r="F40" s="39" t="s">
        <v>414</v>
      </c>
      <c r="I40" s="41" t="s">
        <v>395</v>
      </c>
      <c r="J40" s="35">
        <f>IF(AND(ISNUMBER(K40),ISNUMBER(I40)),K40-I40,"")</f>
        <v>0</v>
      </c>
      <c r="K40" s="41" t="s">
        <v>395</v>
      </c>
      <c r="L40" s="35">
        <f>IF(AND(ISNUMBER(M40),ISNUMBER(K40)),M40-K40,"")</f>
        <v>0</v>
      </c>
      <c r="M40" s="41" t="s">
        <v>395</v>
      </c>
      <c r="N40" s="35">
        <f>IF(AND(ISNUMBER(O40),ISNUMBER(M40)),O40-M40,"")</f>
        <v>0</v>
      </c>
      <c r="O40" s="41" t="s">
        <v>395</v>
      </c>
      <c r="P40" s="35">
        <f>IF(AND(ISNUMBER(Q40),ISNUMBER(O40)),Q40-O40,"")</f>
        <v>0</v>
      </c>
      <c r="Q40" s="41" t="s">
        <v>395</v>
      </c>
      <c r="R40" s="35">
        <f>IF(AND(ISNUMBER(S40),ISNUMBER(Q40)),S40-Q40,"")</f>
        <v>0</v>
      </c>
      <c r="S40" s="41" t="s">
        <v>395</v>
      </c>
      <c r="T40" s="35">
        <f>IF(AND(ISNUMBER(U40),ISNUMBER(S40)),U40-S40,"")</f>
        <v>0</v>
      </c>
      <c r="U40" s="41" t="s">
        <v>395</v>
      </c>
      <c r="V40" s="35">
        <f>IF(AND(ISNUMBER(W40),ISNUMBER(U40)),W40-U40,"")</f>
        <v>0</v>
      </c>
      <c r="W40" s="41" t="s">
        <v>395</v>
      </c>
      <c r="X40" s="35">
        <f>IF(AND(ISNUMBER(Y40),ISNUMBER(W40)),Y40-W40,"")</f>
        <v>0</v>
      </c>
      <c r="Y40" s="41" t="s">
        <v>395</v>
      </c>
      <c r="Z40" s="35">
        <f>IF(AND(ISNUMBER(AA40),ISNUMBER(Y40)),AA40-Y40,"")</f>
        <v>0</v>
      </c>
      <c r="AA40" s="41" t="s">
        <v>395</v>
      </c>
      <c r="AB40" s="35">
        <f>IF(AND(ISNUMBER(AC40),ISNUMBER(AA40)),AC40-AA40,"")</f>
        <v>0</v>
      </c>
      <c r="AC40" s="41" t="s">
        <v>395</v>
      </c>
      <c r="AD40" s="35">
        <f>IF(AND(ISNUMBER(AE40),ISNUMBER(AC40)),AE40-AC40,"")</f>
        <v>0</v>
      </c>
      <c r="AE40" s="41" t="s">
        <v>395</v>
      </c>
      <c r="AF40" s="35">
        <f>IF(AND(ISNUMBER(AG40),ISNUMBER(AE40)),AG40-AE40,"")</f>
        <v>0</v>
      </c>
      <c r="AG40" s="41" t="s">
        <v>395</v>
      </c>
      <c r="AH40" s="35">
        <f>IF(AND(ISNUMBER(AI40),ISNUMBER(AG40)),AI40-AG40,"")</f>
        <v>0</v>
      </c>
      <c r="AI40" s="41" t="s">
        <v>395</v>
      </c>
      <c r="AJ40" s="35">
        <f>IF(AND(ISNUMBER(AK40),ISNUMBER(AI40)),AK40-AI40,"")</f>
        <v>0</v>
      </c>
      <c r="AK40" s="41" t="s">
        <v>395</v>
      </c>
      <c r="AL40" s="35">
        <f>IF(AND(ISNUMBER(AM40),ISNUMBER(AK40)),AM40-AK40,"")</f>
        <v>0</v>
      </c>
      <c r="AM40" s="41" t="s">
        <v>395</v>
      </c>
      <c r="AN40" s="35">
        <f>IF(AND(ISNUMBER(AO40),ISNUMBER(AM40)),AO40-AM40,"")</f>
        <v>0</v>
      </c>
      <c r="AO40" s="41" t="s">
        <v>395</v>
      </c>
      <c r="AP40" s="35">
        <f>IF(AND(ISNUMBER(AQ40),ISNUMBER(AO40)),AQ40-AO40,"")</f>
        <v>0</v>
      </c>
      <c r="AQ40" s="41" t="s">
        <v>395</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381</v>
      </c>
      <c r="I41" s="41" t="s">
        <v>395</v>
      </c>
      <c r="J41" s="35">
        <f>IF(AND(ISNUMBER(K41),ISNUMBER(I41)),K41-I41,"")</f>
        <v>0</v>
      </c>
      <c r="K41" s="41" t="s">
        <v>395</v>
      </c>
      <c r="L41" s="35">
        <f>IF(AND(ISNUMBER(M41),ISNUMBER(K41)),M41-K41,"")</f>
        <v>0</v>
      </c>
      <c r="M41" s="41" t="s">
        <v>395</v>
      </c>
      <c r="N41" s="35">
        <f>IF(AND(ISNUMBER(O41),ISNUMBER(M41)),O41-M41,"")</f>
        <v>0</v>
      </c>
      <c r="O41" s="41" t="s">
        <v>395</v>
      </c>
      <c r="P41" s="35">
        <f>IF(AND(ISNUMBER(Q41),ISNUMBER(O41)),Q41-O41,"")</f>
        <v>0</v>
      </c>
      <c r="Q41" s="41" t="s">
        <v>395</v>
      </c>
      <c r="R41" s="35">
        <f>IF(AND(ISNUMBER(S41),ISNUMBER(Q41)),S41-Q41,"")</f>
        <v>0</v>
      </c>
      <c r="S41" s="41" t="s">
        <v>395</v>
      </c>
      <c r="T41" s="35">
        <f>IF(AND(ISNUMBER(U41),ISNUMBER(S41)),U41-S41,"")</f>
        <v>0</v>
      </c>
      <c r="U41" s="41" t="s">
        <v>395</v>
      </c>
      <c r="V41" s="35">
        <f>IF(AND(ISNUMBER(W41),ISNUMBER(U41)),W41-U41,"")</f>
        <v>0</v>
      </c>
      <c r="W41" s="41" t="s">
        <v>395</v>
      </c>
      <c r="X41" s="35">
        <f>IF(AND(ISNUMBER(Y41),ISNUMBER(W41)),Y41-W41,"")</f>
        <v>0</v>
      </c>
      <c r="Y41" s="41" t="s">
        <v>395</v>
      </c>
      <c r="Z41" s="35">
        <f>IF(AND(ISNUMBER(AA41),ISNUMBER(Y41)),AA41-Y41,"")</f>
        <v>0</v>
      </c>
      <c r="AA41" s="41" t="s">
        <v>395</v>
      </c>
      <c r="AB41" s="35">
        <f>IF(AND(ISNUMBER(AC41),ISNUMBER(AA41)),AC41-AA41,"")</f>
        <v>0</v>
      </c>
      <c r="AC41" s="41" t="s">
        <v>395</v>
      </c>
      <c r="AD41" s="35">
        <f>IF(AND(ISNUMBER(AE41),ISNUMBER(AC41)),AE41-AC41,"")</f>
        <v>0</v>
      </c>
      <c r="AE41" s="41" t="s">
        <v>395</v>
      </c>
      <c r="AF41" s="35">
        <f>IF(AND(ISNUMBER(AG41),ISNUMBER(AE41)),AG41-AE41,"")</f>
        <v>0</v>
      </c>
      <c r="AG41" s="41" t="s">
        <v>395</v>
      </c>
      <c r="AH41" s="35">
        <f>IF(AND(ISNUMBER(AI41),ISNUMBER(AG41)),AI41-AG41,"")</f>
        <v>0</v>
      </c>
      <c r="AI41" s="41" t="s">
        <v>395</v>
      </c>
      <c r="AJ41" s="35">
        <f>IF(AND(ISNUMBER(AK41),ISNUMBER(AI41)),AK41-AI41,"")</f>
        <v>0</v>
      </c>
      <c r="AK41" s="41" t="s">
        <v>395</v>
      </c>
      <c r="AL41" s="35">
        <f>IF(AND(ISNUMBER(AM41),ISNUMBER(AK41)),AM41-AK41,"")</f>
        <v>0</v>
      </c>
      <c r="AM41" s="41" t="s">
        <v>395</v>
      </c>
      <c r="AN41" s="35">
        <f>IF(AND(ISNUMBER(AO41),ISNUMBER(AM41)),AO41-AM41,"")</f>
        <v>0</v>
      </c>
      <c r="AO41" s="41" t="s">
        <v>395</v>
      </c>
      <c r="AP41" s="35">
        <f>IF(AND(ISNUMBER(AQ41),ISNUMBER(AO41)),AQ41-AO41,"")</f>
        <v>0</v>
      </c>
      <c r="AQ41" s="41" t="s">
        <v>395</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370</v>
      </c>
      <c r="I42" s="41" t="s">
        <v>395</v>
      </c>
      <c r="J42" s="35">
        <f>IF(AND(ISNUMBER(K42),ISNUMBER(I42)),K42-I42,"")</f>
        <v>0</v>
      </c>
      <c r="K42" s="41" t="s">
        <v>395</v>
      </c>
      <c r="L42" s="35">
        <f>IF(AND(ISNUMBER(M42),ISNUMBER(K42)),M42-K42,"")</f>
        <v>0</v>
      </c>
      <c r="M42" s="41" t="s">
        <v>395</v>
      </c>
      <c r="N42" s="35">
        <f>IF(AND(ISNUMBER(O42),ISNUMBER(M42)),O42-M42,"")</f>
        <v>0</v>
      </c>
      <c r="O42" s="41" t="s">
        <v>395</v>
      </c>
      <c r="P42" s="35">
        <f>IF(AND(ISNUMBER(Q42),ISNUMBER(O42)),Q42-O42,"")</f>
        <v>0</v>
      </c>
      <c r="Q42" s="41" t="s">
        <v>395</v>
      </c>
      <c r="R42" s="35">
        <f>IF(AND(ISNUMBER(S42),ISNUMBER(Q42)),S42-Q42,"")</f>
        <v>0</v>
      </c>
      <c r="S42" s="41" t="s">
        <v>395</v>
      </c>
      <c r="T42" s="35">
        <f>IF(AND(ISNUMBER(U42),ISNUMBER(S42)),U42-S42,"")</f>
        <v>0</v>
      </c>
      <c r="U42" s="41" t="s">
        <v>395</v>
      </c>
      <c r="V42" s="35">
        <f>IF(AND(ISNUMBER(W42),ISNUMBER(U42)),W42-U42,"")</f>
        <v>0</v>
      </c>
      <c r="W42" s="41" t="s">
        <v>395</v>
      </c>
      <c r="X42" s="35">
        <f>IF(AND(ISNUMBER(Y42),ISNUMBER(W42)),Y42-W42,"")</f>
        <v>0</v>
      </c>
      <c r="Y42" s="41" t="s">
        <v>395</v>
      </c>
      <c r="Z42" s="35">
        <f>IF(AND(ISNUMBER(AA42),ISNUMBER(Y42)),AA42-Y42,"")</f>
        <v>0</v>
      </c>
      <c r="AA42" s="41" t="s">
        <v>395</v>
      </c>
      <c r="AB42" s="35">
        <f>IF(AND(ISNUMBER(AC42),ISNUMBER(AA42)),AC42-AA42,"")</f>
        <v>0</v>
      </c>
      <c r="AC42" s="41" t="s">
        <v>395</v>
      </c>
      <c r="AD42" s="35">
        <f>IF(AND(ISNUMBER(AE42),ISNUMBER(AC42)),AE42-AC42,"")</f>
        <v>0</v>
      </c>
      <c r="AE42" s="41" t="s">
        <v>395</v>
      </c>
      <c r="AF42" s="35">
        <f>IF(AND(ISNUMBER(AG42),ISNUMBER(AE42)),AG42-AE42,"")</f>
        <v>0</v>
      </c>
      <c r="AG42" s="41" t="s">
        <v>395</v>
      </c>
      <c r="AH42" s="35">
        <f>IF(AND(ISNUMBER(AI42),ISNUMBER(AG42)),AI42-AG42,"")</f>
        <v>0</v>
      </c>
      <c r="AI42" s="41" t="s">
        <v>395</v>
      </c>
      <c r="AJ42" s="35">
        <f>IF(AND(ISNUMBER(AK42),ISNUMBER(AI42)),AK42-AI42,"")</f>
        <v>0</v>
      </c>
      <c r="AK42" s="41" t="s">
        <v>395</v>
      </c>
      <c r="AL42" s="35">
        <f>IF(AND(ISNUMBER(AM42),ISNUMBER(AK42)),AM42-AK42,"")</f>
        <v>0</v>
      </c>
      <c r="AM42" s="41" t="s">
        <v>395</v>
      </c>
      <c r="AN42" s="35">
        <f>IF(AND(ISNUMBER(AO42),ISNUMBER(AM42)),AO42-AM42,"")</f>
        <v>0</v>
      </c>
      <c r="AO42" s="41" t="s">
        <v>395</v>
      </c>
      <c r="AP42" s="35">
        <f>IF(AND(ISNUMBER(AQ42),ISNUMBER(AO42)),AQ42-AO42,"")</f>
        <v>0</v>
      </c>
      <c r="AQ42" s="41" t="s">
        <v>395</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380</v>
      </c>
      <c r="I43" s="41" t="s">
        <v>395</v>
      </c>
      <c r="J43" s="35">
        <f>IF(AND(ISNUMBER(K43),ISNUMBER(I43)),K43-I43,"")</f>
        <v>0</v>
      </c>
      <c r="K43" s="41" t="s">
        <v>395</v>
      </c>
      <c r="L43" s="35">
        <f>IF(AND(ISNUMBER(M43),ISNUMBER(K43)),M43-K43,"")</f>
        <v>0</v>
      </c>
      <c r="M43" s="34">
        <v>2</v>
      </c>
      <c r="N43" s="35">
        <f>IF(AND(ISNUMBER(O43),ISNUMBER(M43)),O43-M43,"")</f>
        <v>0</v>
      </c>
      <c r="O43" s="41" t="s">
        <v>395</v>
      </c>
      <c r="P43" s="35">
        <f>IF(AND(ISNUMBER(Q43),ISNUMBER(O43)),Q43-O43,"")</f>
        <v>0</v>
      </c>
      <c r="Q43" s="41" t="s">
        <v>395</v>
      </c>
      <c r="R43" s="35">
        <f>IF(AND(ISNUMBER(S43),ISNUMBER(Q43)),S43-Q43,"")</f>
        <v>0</v>
      </c>
      <c r="S43" s="41" t="s">
        <v>395</v>
      </c>
      <c r="T43" s="35">
        <f>IF(AND(ISNUMBER(U43),ISNUMBER(S43)),U43-S43,"")</f>
        <v>0</v>
      </c>
      <c r="U43" s="41" t="s">
        <v>395</v>
      </c>
      <c r="V43" s="35">
        <f>IF(AND(ISNUMBER(W43),ISNUMBER(U43)),W43-U43,"")</f>
        <v>0</v>
      </c>
      <c r="W43" s="41" t="s">
        <v>395</v>
      </c>
      <c r="X43" s="35">
        <f>IF(AND(ISNUMBER(Y43),ISNUMBER(W43)),Y43-W43,"")</f>
        <v>0</v>
      </c>
      <c r="Y43" s="41" t="s">
        <v>395</v>
      </c>
      <c r="Z43" s="35">
        <f>IF(AND(ISNUMBER(AA43),ISNUMBER(Y43)),AA43-Y43,"")</f>
        <v>0</v>
      </c>
      <c r="AA43" s="41" t="s">
        <v>395</v>
      </c>
      <c r="AB43" s="35">
        <f>IF(AND(ISNUMBER(AC43),ISNUMBER(AA43)),AC43-AA43,"")</f>
        <v>0</v>
      </c>
      <c r="AC43" s="41" t="s">
        <v>395</v>
      </c>
      <c r="AD43" s="35">
        <f>IF(AND(ISNUMBER(AE43),ISNUMBER(AC43)),AE43-AC43,"")</f>
        <v>0</v>
      </c>
      <c r="AE43" s="41" t="s">
        <v>395</v>
      </c>
      <c r="AF43" s="35">
        <f>IF(AND(ISNUMBER(AG43),ISNUMBER(AE43)),AG43-AE43,"")</f>
        <v>0</v>
      </c>
      <c r="AG43" s="41" t="s">
        <v>395</v>
      </c>
      <c r="AH43" s="35">
        <f>IF(AND(ISNUMBER(AI43),ISNUMBER(AG43)),AI43-AG43,"")</f>
        <v>0</v>
      </c>
      <c r="AI43" s="41" t="s">
        <v>395</v>
      </c>
      <c r="AJ43" s="35">
        <f>IF(AND(ISNUMBER(AK43),ISNUMBER(AI43)),AK43-AI43,"")</f>
        <v>0</v>
      </c>
      <c r="AK43" s="41" t="s">
        <v>395</v>
      </c>
      <c r="AL43" s="35">
        <f>IF(AND(ISNUMBER(AM43),ISNUMBER(AK43)),AM43-AK43,"")</f>
        <v>0</v>
      </c>
      <c r="AM43" s="41" t="s">
        <v>395</v>
      </c>
      <c r="AN43" s="35">
        <f>IF(AND(ISNUMBER(AO43),ISNUMBER(AM43)),AO43-AM43,"")</f>
        <v>0</v>
      </c>
      <c r="AO43" s="41" t="s">
        <v>395</v>
      </c>
      <c r="AP43" s="35">
        <f>IF(AND(ISNUMBER(AQ43),ISNUMBER(AO43)),AQ43-AO43,"")</f>
        <v>0</v>
      </c>
      <c r="AQ43" s="41" t="s">
        <v>395</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376</v>
      </c>
      <c r="I44" s="41" t="s">
        <v>395</v>
      </c>
      <c r="J44" s="35">
        <f>IF(AND(ISNUMBER(K44),ISNUMBER(I44)),K44-I44,"")</f>
        <v>0</v>
      </c>
      <c r="K44" s="41" t="s">
        <v>395</v>
      </c>
      <c r="L44" s="35">
        <f>IF(AND(ISNUMBER(M44),ISNUMBER(K44)),M44-K44,"")</f>
        <v>0</v>
      </c>
      <c r="M44" s="41" t="s">
        <v>395</v>
      </c>
      <c r="N44" s="35">
        <f>IF(AND(ISNUMBER(O44),ISNUMBER(M44)),O44-M44,"")</f>
        <v>0</v>
      </c>
      <c r="O44" s="41" t="s">
        <v>395</v>
      </c>
      <c r="P44" s="35">
        <f>IF(AND(ISNUMBER(Q44),ISNUMBER(O44)),Q44-O44,"")</f>
        <v>0</v>
      </c>
      <c r="Q44" s="41" t="s">
        <v>395</v>
      </c>
      <c r="R44" s="35">
        <f>IF(AND(ISNUMBER(S44),ISNUMBER(Q44)),S44-Q44,"")</f>
        <v>0</v>
      </c>
      <c r="S44" s="41" t="s">
        <v>395</v>
      </c>
      <c r="T44" s="35">
        <f>IF(AND(ISNUMBER(U44),ISNUMBER(S44)),U44-S44,"")</f>
        <v>0</v>
      </c>
      <c r="U44" s="41" t="s">
        <v>395</v>
      </c>
      <c r="V44" s="35">
        <f>IF(AND(ISNUMBER(W44),ISNUMBER(U44)),W44-U44,"")</f>
        <v>0</v>
      </c>
      <c r="W44" s="41" t="s">
        <v>395</v>
      </c>
      <c r="X44" s="35">
        <f>IF(AND(ISNUMBER(Y44),ISNUMBER(W44)),Y44-W44,"")</f>
        <v>0</v>
      </c>
      <c r="Y44" s="41" t="s">
        <v>395</v>
      </c>
      <c r="Z44" s="35">
        <f>IF(AND(ISNUMBER(AA44),ISNUMBER(Y44)),AA44-Y44,"")</f>
        <v>0</v>
      </c>
      <c r="AA44" s="41" t="s">
        <v>395</v>
      </c>
      <c r="AB44" s="35">
        <f>IF(AND(ISNUMBER(AC44),ISNUMBER(AA44)),AC44-AA44,"")</f>
        <v>0</v>
      </c>
      <c r="AC44" s="34">
        <v>3</v>
      </c>
      <c r="AD44" s="35">
        <f>IF(AND(ISNUMBER(AE44),ISNUMBER(AC44)),AE44-AC44,"")</f>
        <v>0</v>
      </c>
      <c r="AE44" s="41" t="s">
        <v>395</v>
      </c>
      <c r="AF44" s="35">
        <f>IF(AND(ISNUMBER(AG44),ISNUMBER(AE44)),AG44-AE44,"")</f>
        <v>0</v>
      </c>
      <c r="AG44" s="41" t="s">
        <v>395</v>
      </c>
      <c r="AH44" s="35">
        <f>IF(AND(ISNUMBER(AI44),ISNUMBER(AG44)),AI44-AG44,"")</f>
        <v>0</v>
      </c>
      <c r="AI44" s="41" t="s">
        <v>395</v>
      </c>
      <c r="AJ44" s="35">
        <f>IF(AND(ISNUMBER(AK44),ISNUMBER(AI44)),AK44-AI44,"")</f>
        <v>0</v>
      </c>
      <c r="AK44" s="41" t="s">
        <v>395</v>
      </c>
      <c r="AL44" s="35">
        <f>IF(AND(ISNUMBER(AM44),ISNUMBER(AK44)),AM44-AK44,"")</f>
        <v>0</v>
      </c>
      <c r="AM44" s="41" t="s">
        <v>395</v>
      </c>
      <c r="AN44" s="35">
        <f>IF(AND(ISNUMBER(AO44),ISNUMBER(AM44)),AO44-AM44,"")</f>
        <v>0</v>
      </c>
      <c r="AO44" s="41" t="s">
        <v>395</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374</v>
      </c>
      <c r="I45" s="41" t="s">
        <v>395</v>
      </c>
      <c r="J45" s="35">
        <f>IF(AND(ISNUMBER(K45),ISNUMBER(I45)),K45-I45,"")</f>
        <v>0</v>
      </c>
      <c r="K45" s="41" t="s">
        <v>395</v>
      </c>
      <c r="L45" s="35">
        <f>IF(AND(ISNUMBER(M45),ISNUMBER(K45)),M45-K45,"")</f>
        <v>0</v>
      </c>
      <c r="M45" s="41" t="s">
        <v>395</v>
      </c>
      <c r="N45" s="35">
        <f>IF(AND(ISNUMBER(O45),ISNUMBER(M45)),O45-M45,"")</f>
        <v>0</v>
      </c>
      <c r="O45" s="41" t="s">
        <v>395</v>
      </c>
      <c r="P45" s="35">
        <f>IF(AND(ISNUMBER(Q45),ISNUMBER(O45)),Q45-O45,"")</f>
        <v>0</v>
      </c>
      <c r="Q45" s="41" t="s">
        <v>395</v>
      </c>
      <c r="R45" s="35">
        <f>IF(AND(ISNUMBER(S45),ISNUMBER(Q45)),S45-Q45,"")</f>
        <v>0</v>
      </c>
      <c r="S45" s="41" t="s">
        <v>395</v>
      </c>
      <c r="T45" s="35">
        <f>IF(AND(ISNUMBER(U45),ISNUMBER(S45)),U45-S45,"")</f>
        <v>0</v>
      </c>
      <c r="U45" s="41" t="s">
        <v>395</v>
      </c>
      <c r="V45" s="35">
        <f>IF(AND(ISNUMBER(W45),ISNUMBER(U45)),W45-U45,"")</f>
        <v>0</v>
      </c>
      <c r="W45" s="41" t="s">
        <v>395</v>
      </c>
      <c r="X45" s="35">
        <f>IF(AND(ISNUMBER(Y45),ISNUMBER(W45)),Y45-W45,"")</f>
        <v>0</v>
      </c>
      <c r="Y45" s="41" t="s">
        <v>395</v>
      </c>
      <c r="Z45" s="35">
        <f>IF(AND(ISNUMBER(AA45),ISNUMBER(Y45)),AA45-Y45,"")</f>
        <v>0</v>
      </c>
      <c r="AA45" s="41" t="s">
        <v>395</v>
      </c>
      <c r="AB45" s="35">
        <f>IF(AND(ISNUMBER(AC45),ISNUMBER(AA45)),AC45-AA45,"")</f>
        <v>0</v>
      </c>
      <c r="AC45" s="34">
        <v>1</v>
      </c>
      <c r="AD45" s="35">
        <f>IF(AND(ISNUMBER(AE45),ISNUMBER(AC45)),AE45-AC45,"")</f>
        <v>0</v>
      </c>
      <c r="AE45" s="41" t="s">
        <v>395</v>
      </c>
      <c r="AF45" s="35">
        <f>IF(AND(ISNUMBER(AG45),ISNUMBER(AE45)),AG45-AE45,"")</f>
        <v>0</v>
      </c>
      <c r="AG45" s="41" t="s">
        <v>395</v>
      </c>
      <c r="AH45" s="35">
        <f>IF(AND(ISNUMBER(AI45),ISNUMBER(AG45)),AI45-AG45,"")</f>
        <v>0</v>
      </c>
      <c r="AI45" s="41" t="s">
        <v>395</v>
      </c>
      <c r="AJ45" s="35">
        <f>IF(AND(ISNUMBER(AK45),ISNUMBER(AI45)),AK45-AI45,"")</f>
        <v>0</v>
      </c>
      <c r="AK45" s="41" t="s">
        <v>395</v>
      </c>
      <c r="AL45" s="35">
        <f>IF(AND(ISNUMBER(AM45),ISNUMBER(AK45)),AM45-AK45,"")</f>
        <v>0</v>
      </c>
      <c r="AM45" s="41" t="s">
        <v>395</v>
      </c>
      <c r="AN45" s="35">
        <f>IF(AND(ISNUMBER(AO45),ISNUMBER(AM45)),AO45-AM45,"")</f>
        <v>0</v>
      </c>
      <c r="AO45" s="41" t="s">
        <v>395</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382</v>
      </c>
      <c r="I46" s="41" t="s">
        <v>395</v>
      </c>
      <c r="J46" s="35">
        <f>IF(AND(ISNUMBER(K46),ISNUMBER(I46)),K46-I46,"")</f>
        <v>0</v>
      </c>
      <c r="K46" s="41" t="s">
        <v>395</v>
      </c>
      <c r="L46" s="35">
        <f>IF(AND(ISNUMBER(M46),ISNUMBER(K46)),M46-K46,"")</f>
        <v>0</v>
      </c>
      <c r="M46" s="41" t="s">
        <v>395</v>
      </c>
      <c r="N46" s="35">
        <f>IF(AND(ISNUMBER(O46),ISNUMBER(M46)),O46-M46,"")</f>
        <v>0</v>
      </c>
      <c r="O46" s="41" t="s">
        <v>395</v>
      </c>
      <c r="P46" s="35">
        <f>IF(AND(ISNUMBER(Q46),ISNUMBER(O46)),Q46-O46,"")</f>
        <v>0</v>
      </c>
      <c r="Q46" s="41" t="s">
        <v>395</v>
      </c>
      <c r="R46" s="35">
        <f>IF(AND(ISNUMBER(S46),ISNUMBER(Q46)),S46-Q46,"")</f>
        <v>0</v>
      </c>
      <c r="S46" s="41" t="s">
        <v>395</v>
      </c>
      <c r="T46" s="35">
        <f>IF(AND(ISNUMBER(U46),ISNUMBER(S46)),U46-S46,"")</f>
        <v>0</v>
      </c>
      <c r="U46" s="41" t="s">
        <v>395</v>
      </c>
      <c r="V46" s="35">
        <f>IF(AND(ISNUMBER(W46),ISNUMBER(U46)),W46-U46,"")</f>
        <v>0</v>
      </c>
      <c r="W46" s="41" t="s">
        <v>395</v>
      </c>
      <c r="X46" s="35">
        <f>IF(AND(ISNUMBER(Y46),ISNUMBER(W46)),Y46-W46,"")</f>
        <v>0</v>
      </c>
      <c r="Y46" s="41" t="s">
        <v>395</v>
      </c>
      <c r="Z46" s="35">
        <f>IF(AND(ISNUMBER(AA46),ISNUMBER(Y46)),AA46-Y46,"")</f>
        <v>0</v>
      </c>
      <c r="AA46" s="41" t="s">
        <v>395</v>
      </c>
      <c r="AB46" s="35">
        <f>IF(AND(ISNUMBER(AC46),ISNUMBER(AA46)),AC46-AA46,"")</f>
        <v>0</v>
      </c>
      <c r="AC46" s="41" t="s">
        <v>395</v>
      </c>
      <c r="AD46" s="35">
        <f>IF(AND(ISNUMBER(AE46),ISNUMBER(AC46)),AE46-AC46,"")</f>
        <v>0</v>
      </c>
      <c r="AE46" s="41" t="s">
        <v>395</v>
      </c>
      <c r="AF46" s="35">
        <f>IF(AND(ISNUMBER(AG46),ISNUMBER(AE46)),AG46-AE46,"")</f>
        <v>0</v>
      </c>
      <c r="AG46" s="41" t="s">
        <v>395</v>
      </c>
      <c r="AH46" s="35">
        <f>IF(AND(ISNUMBER(AI46),ISNUMBER(AG46)),AI46-AG46,"")</f>
        <v>0</v>
      </c>
      <c r="AI46" s="41" t="s">
        <v>395</v>
      </c>
      <c r="AJ46" s="35">
        <f>IF(AND(ISNUMBER(AK46),ISNUMBER(AI46)),AK46-AI46,"")</f>
        <v>0</v>
      </c>
      <c r="AK46" s="41" t="s">
        <v>395</v>
      </c>
      <c r="AL46" s="35">
        <f>IF(AND(ISNUMBER(AM46),ISNUMBER(AK46)),AM46-AK46,"")</f>
        <v>0</v>
      </c>
      <c r="AM46" s="41" t="s">
        <v>395</v>
      </c>
      <c r="AN46" s="35">
        <f>IF(AND(ISNUMBER(AO46),ISNUMBER(AM46)),AO46-AM46,"")</f>
        <v>0</v>
      </c>
      <c r="AO46" s="41" t="s">
        <v>395</v>
      </c>
      <c r="AP46" s="35">
        <f>IF(AND(ISNUMBER(AQ46),ISNUMBER(AO46)),AQ46-AO46,"")</f>
        <v>0</v>
      </c>
      <c r="AQ46" s="41" t="s">
        <v>395</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402</v>
      </c>
    </row>
    <row r="47" spans="1:322">
      <c r="A47" s="23" t="s">
        <v>65</v>
      </c>
      <c r="B47" s="24" t="s">
        <v>415</v>
      </c>
      <c r="C47" s="25" t="s">
        <v>12</v>
      </c>
      <c r="D47" s="25"/>
      <c r="E47" s="26" t="s">
        <v>398</v>
      </c>
      <c r="F47" s="27"/>
      <c r="G47" s="27"/>
      <c r="H47" s="27" t="s">
        <v>399</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403</v>
      </c>
    </row>
    <row r="48" spans="1:322">
      <c r="B48" s="24"/>
      <c r="D48" s="32" t="s">
        <v>13</v>
      </c>
      <c r="E48" s="33" t="s">
        <v>416</v>
      </c>
      <c r="I48" s="41" t="s">
        <v>395</v>
      </c>
      <c r="J48" s="35">
        <f>IF(AND(ISNUMBER(K48),ISNUMBER(I48)),K48-I48,"")</f>
        <v>0</v>
      </c>
      <c r="K48" s="41" t="s">
        <v>395</v>
      </c>
      <c r="L48" s="35">
        <f>IF(AND(ISNUMBER(M48),ISNUMBER(K48)),M48-K48,"")</f>
        <v>0</v>
      </c>
      <c r="M48" s="41" t="s">
        <v>395</v>
      </c>
      <c r="N48" s="35">
        <f>IF(AND(ISNUMBER(O48),ISNUMBER(M48)),O48-M48,"")</f>
        <v>0</v>
      </c>
      <c r="O48" s="41" t="s">
        <v>395</v>
      </c>
      <c r="P48" s="35">
        <f>IF(AND(ISNUMBER(Q48),ISNUMBER(O48)),Q48-O48,"")</f>
        <v>0</v>
      </c>
      <c r="Q48" s="41" t="s">
        <v>395</v>
      </c>
      <c r="R48" s="35">
        <f>IF(AND(ISNUMBER(S48),ISNUMBER(Q48)),S48-Q48,"")</f>
        <v>0</v>
      </c>
      <c r="S48" s="41" t="s">
        <v>395</v>
      </c>
      <c r="T48" s="35">
        <f>IF(AND(ISNUMBER(U48),ISNUMBER(S48)),U48-S48,"")</f>
        <v>0</v>
      </c>
      <c r="U48" s="41" t="s">
        <v>395</v>
      </c>
      <c r="V48" s="35">
        <f>IF(AND(ISNUMBER(W48),ISNUMBER(U48)),W48-U48,"")</f>
        <v>0</v>
      </c>
      <c r="W48" s="41" t="s">
        <v>395</v>
      </c>
      <c r="X48" s="35">
        <f>IF(AND(ISNUMBER(Y48),ISNUMBER(W48)),Y48-W48,"")</f>
        <v>0</v>
      </c>
      <c r="Y48" s="41" t="s">
        <v>395</v>
      </c>
      <c r="Z48" s="35">
        <f>IF(AND(ISNUMBER(AA48),ISNUMBER(Y48)),AA48-Y48,"")</f>
        <v>0</v>
      </c>
      <c r="AA48" s="41" t="s">
        <v>395</v>
      </c>
      <c r="AB48" s="35">
        <f>IF(AND(ISNUMBER(AC48),ISNUMBER(AA48)),AC48-AA48,"")</f>
        <v>0</v>
      </c>
      <c r="AC48" s="41" t="s">
        <v>395</v>
      </c>
      <c r="AD48" s="35">
        <f>IF(AND(ISNUMBER(AE48),ISNUMBER(AC48)),AE48-AC48,"")</f>
        <v>0</v>
      </c>
      <c r="AE48" s="41" t="s">
        <v>395</v>
      </c>
      <c r="AF48" s="35">
        <f>IF(AND(ISNUMBER(AG48),ISNUMBER(AE48)),AG48-AE48,"")</f>
        <v>0</v>
      </c>
      <c r="AG48" s="41" t="s">
        <v>395</v>
      </c>
      <c r="AH48" s="35">
        <f>IF(AND(ISNUMBER(AI48),ISNUMBER(AG48)),AI48-AG48,"")</f>
        <v>0</v>
      </c>
      <c r="AI48" s="41" t="s">
        <v>395</v>
      </c>
      <c r="AJ48" s="35">
        <f>IF(AND(ISNUMBER(AK48),ISNUMBER(AI48)),AK48-AI48,"")</f>
        <v>0</v>
      </c>
      <c r="AK48" s="41" t="s">
        <v>395</v>
      </c>
      <c r="AL48" s="35">
        <f>IF(AND(ISNUMBER(AM48),ISNUMBER(AK48)),AM48-AK48,"")</f>
        <v>0</v>
      </c>
      <c r="AM48" s="41" t="s">
        <v>395</v>
      </c>
      <c r="AN48" s="35">
        <f>IF(AND(ISNUMBER(AO48),ISNUMBER(AM48)),AO48-AM48,"")</f>
        <v>0</v>
      </c>
      <c r="AO48" s="41" t="s">
        <v>395</v>
      </c>
      <c r="AP48" s="35">
        <f>IF(AND(ISNUMBER(AQ48),ISNUMBER(AO48)),AQ48-AO48,"")</f>
        <v>0</v>
      </c>
      <c r="AQ48" s="41" t="s">
        <v>395</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381</v>
      </c>
      <c r="I49" s="41" t="s">
        <v>395</v>
      </c>
      <c r="J49" s="35">
        <f>IF(AND(ISNUMBER(K49),ISNUMBER(I49)),K49-I49,"")</f>
        <v>0</v>
      </c>
      <c r="K49" s="41" t="s">
        <v>395</v>
      </c>
      <c r="L49" s="35">
        <f>IF(AND(ISNUMBER(M49),ISNUMBER(K49)),M49-K49,"")</f>
        <v>0</v>
      </c>
      <c r="M49" s="41" t="s">
        <v>395</v>
      </c>
      <c r="N49" s="35">
        <f>IF(AND(ISNUMBER(O49),ISNUMBER(M49)),O49-M49,"")</f>
        <v>0</v>
      </c>
      <c r="O49" s="41" t="s">
        <v>395</v>
      </c>
      <c r="P49" s="35">
        <f>IF(AND(ISNUMBER(Q49),ISNUMBER(O49)),Q49-O49,"")</f>
        <v>0</v>
      </c>
      <c r="Q49" s="41" t="s">
        <v>395</v>
      </c>
      <c r="R49" s="35">
        <f>IF(AND(ISNUMBER(S49),ISNUMBER(Q49)),S49-Q49,"")</f>
        <v>0</v>
      </c>
      <c r="S49" s="41" t="s">
        <v>395</v>
      </c>
      <c r="T49" s="35">
        <f>IF(AND(ISNUMBER(U49),ISNUMBER(S49)),U49-S49,"")</f>
        <v>0</v>
      </c>
      <c r="U49" s="41" t="s">
        <v>395</v>
      </c>
      <c r="V49" s="35">
        <f>IF(AND(ISNUMBER(W49),ISNUMBER(U49)),W49-U49,"")</f>
        <v>0</v>
      </c>
      <c r="W49" s="41" t="s">
        <v>395</v>
      </c>
      <c r="X49" s="35">
        <f>IF(AND(ISNUMBER(Y49),ISNUMBER(W49)),Y49-W49,"")</f>
        <v>0</v>
      </c>
      <c r="Y49" s="41" t="s">
        <v>395</v>
      </c>
      <c r="Z49" s="35">
        <f>IF(AND(ISNUMBER(AA49),ISNUMBER(Y49)),AA49-Y49,"")</f>
        <v>0</v>
      </c>
      <c r="AA49" s="41" t="s">
        <v>395</v>
      </c>
      <c r="AB49" s="35">
        <f>IF(AND(ISNUMBER(AC49),ISNUMBER(AA49)),AC49-AA49,"")</f>
        <v>0</v>
      </c>
      <c r="AC49" s="41" t="s">
        <v>395</v>
      </c>
      <c r="AD49" s="35">
        <f>IF(AND(ISNUMBER(AE49),ISNUMBER(AC49)),AE49-AC49,"")</f>
        <v>0</v>
      </c>
      <c r="AE49" s="41" t="s">
        <v>395</v>
      </c>
      <c r="AF49" s="35">
        <f>IF(AND(ISNUMBER(AG49),ISNUMBER(AE49)),AG49-AE49,"")</f>
        <v>0</v>
      </c>
      <c r="AG49" s="41" t="s">
        <v>395</v>
      </c>
      <c r="AH49" s="35">
        <f>IF(AND(ISNUMBER(AI49),ISNUMBER(AG49)),AI49-AG49,"")</f>
        <v>0</v>
      </c>
      <c r="AI49" s="41" t="s">
        <v>395</v>
      </c>
      <c r="AJ49" s="35">
        <f>IF(AND(ISNUMBER(AK49),ISNUMBER(AI49)),AK49-AI49,"")</f>
        <v>0</v>
      </c>
      <c r="AK49" s="41" t="s">
        <v>395</v>
      </c>
      <c r="AL49" s="35">
        <f>IF(AND(ISNUMBER(AM49),ISNUMBER(AK49)),AM49-AK49,"")</f>
        <v>0</v>
      </c>
      <c r="AM49" s="41" t="s">
        <v>395</v>
      </c>
      <c r="AN49" s="35">
        <f>IF(AND(ISNUMBER(AO49),ISNUMBER(AM49)),AO49-AM49,"")</f>
        <v>0</v>
      </c>
      <c r="AO49" s="41" t="s">
        <v>395</v>
      </c>
      <c r="AP49" s="35">
        <f>IF(AND(ISNUMBER(AQ49),ISNUMBER(AO49)),AQ49-AO49,"")</f>
        <v>0</v>
      </c>
      <c r="AQ49" s="41" t="s">
        <v>395</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370</v>
      </c>
      <c r="I50" s="41" t="s">
        <v>395</v>
      </c>
      <c r="J50" s="35">
        <f>IF(AND(ISNUMBER(K50),ISNUMBER(I50)),K50-I50,"")</f>
        <v>0</v>
      </c>
      <c r="K50" s="41" t="s">
        <v>395</v>
      </c>
      <c r="L50" s="35">
        <f>IF(AND(ISNUMBER(M50),ISNUMBER(K50)),M50-K50,"")</f>
        <v>0</v>
      </c>
      <c r="M50" s="41" t="s">
        <v>395</v>
      </c>
      <c r="N50" s="35">
        <f>IF(AND(ISNUMBER(O50),ISNUMBER(M50)),O50-M50,"")</f>
        <v>0</v>
      </c>
      <c r="O50" s="41" t="s">
        <v>395</v>
      </c>
      <c r="P50" s="35">
        <f>IF(AND(ISNUMBER(Q50),ISNUMBER(O50)),Q50-O50,"")</f>
        <v>0</v>
      </c>
      <c r="Q50" s="41" t="s">
        <v>395</v>
      </c>
      <c r="R50" s="35">
        <f>IF(AND(ISNUMBER(S50),ISNUMBER(Q50)),S50-Q50,"")</f>
        <v>0</v>
      </c>
      <c r="S50" s="41" t="s">
        <v>395</v>
      </c>
      <c r="T50" s="35">
        <f>IF(AND(ISNUMBER(U50),ISNUMBER(S50)),U50-S50,"")</f>
        <v>0</v>
      </c>
      <c r="U50" s="41" t="s">
        <v>395</v>
      </c>
      <c r="V50" s="35">
        <f>IF(AND(ISNUMBER(W50),ISNUMBER(U50)),W50-U50,"")</f>
        <v>0</v>
      </c>
      <c r="W50" s="41" t="s">
        <v>395</v>
      </c>
      <c r="X50" s="35">
        <f>IF(AND(ISNUMBER(Y50),ISNUMBER(W50)),Y50-W50,"")</f>
        <v>0</v>
      </c>
      <c r="Y50" s="41" t="s">
        <v>395</v>
      </c>
      <c r="Z50" s="35">
        <f>IF(AND(ISNUMBER(AA50),ISNUMBER(Y50)),AA50-Y50,"")</f>
        <v>0</v>
      </c>
      <c r="AA50" s="41" t="s">
        <v>395</v>
      </c>
      <c r="AB50" s="35">
        <f>IF(AND(ISNUMBER(AC50),ISNUMBER(AA50)),AC50-AA50,"")</f>
        <v>0</v>
      </c>
      <c r="AC50" s="41" t="s">
        <v>395</v>
      </c>
      <c r="AD50" s="35">
        <f>IF(AND(ISNUMBER(AE50),ISNUMBER(AC50)),AE50-AC50,"")</f>
        <v>0</v>
      </c>
      <c r="AE50" s="41" t="s">
        <v>395</v>
      </c>
      <c r="AF50" s="35">
        <f>IF(AND(ISNUMBER(AG50),ISNUMBER(AE50)),AG50-AE50,"")</f>
        <v>0</v>
      </c>
      <c r="AG50" s="41" t="s">
        <v>395</v>
      </c>
      <c r="AH50" s="35">
        <f>IF(AND(ISNUMBER(AI50),ISNUMBER(AG50)),AI50-AG50,"")</f>
        <v>0</v>
      </c>
      <c r="AI50" s="41" t="s">
        <v>395</v>
      </c>
      <c r="AJ50" s="35">
        <f>IF(AND(ISNUMBER(AK50),ISNUMBER(AI50)),AK50-AI50,"")</f>
        <v>0</v>
      </c>
      <c r="AK50" s="41" t="s">
        <v>395</v>
      </c>
      <c r="AL50" s="35">
        <f>IF(AND(ISNUMBER(AM50),ISNUMBER(AK50)),AM50-AK50,"")</f>
        <v>0</v>
      </c>
      <c r="AM50" s="41" t="s">
        <v>395</v>
      </c>
      <c r="AN50" s="35">
        <f>IF(AND(ISNUMBER(AO50),ISNUMBER(AM50)),AO50-AM50,"")</f>
        <v>0</v>
      </c>
      <c r="AO50" s="41" t="s">
        <v>395</v>
      </c>
      <c r="AP50" s="35">
        <f>IF(AND(ISNUMBER(AQ50),ISNUMBER(AO50)),AQ50-AO50,"")</f>
        <v>0</v>
      </c>
      <c r="AQ50" s="41" t="s">
        <v>395</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380</v>
      </c>
      <c r="I51" s="41" t="s">
        <v>395</v>
      </c>
      <c r="J51" s="35">
        <f>IF(AND(ISNUMBER(K51),ISNUMBER(I51)),K51-I51,"")</f>
        <v>0</v>
      </c>
      <c r="K51" s="41" t="s">
        <v>395</v>
      </c>
      <c r="L51" s="35">
        <f>IF(AND(ISNUMBER(M51),ISNUMBER(K51)),M51-K51,"")</f>
        <v>0</v>
      </c>
      <c r="M51" s="41" t="s">
        <v>395</v>
      </c>
      <c r="N51" s="35">
        <f>IF(AND(ISNUMBER(O51),ISNUMBER(M51)),O51-M51,"")</f>
        <v>0</v>
      </c>
      <c r="O51" s="41" t="s">
        <v>395</v>
      </c>
      <c r="P51" s="35">
        <f>IF(AND(ISNUMBER(Q51),ISNUMBER(O51)),Q51-O51,"")</f>
        <v>0</v>
      </c>
      <c r="Q51" s="41" t="s">
        <v>395</v>
      </c>
      <c r="R51" s="35">
        <f>IF(AND(ISNUMBER(S51),ISNUMBER(Q51)),S51-Q51,"")</f>
        <v>0</v>
      </c>
      <c r="S51" s="41" t="s">
        <v>395</v>
      </c>
      <c r="T51" s="35">
        <f>IF(AND(ISNUMBER(U51),ISNUMBER(S51)),U51-S51,"")</f>
        <v>0</v>
      </c>
      <c r="U51" s="41" t="s">
        <v>395</v>
      </c>
      <c r="V51" s="35">
        <f>IF(AND(ISNUMBER(W51),ISNUMBER(U51)),W51-U51,"")</f>
        <v>0</v>
      </c>
      <c r="W51" s="41" t="s">
        <v>395</v>
      </c>
      <c r="X51" s="35">
        <f>IF(AND(ISNUMBER(Y51),ISNUMBER(W51)),Y51-W51,"")</f>
        <v>0</v>
      </c>
      <c r="Y51" s="41" t="s">
        <v>395</v>
      </c>
      <c r="Z51" s="35">
        <f>IF(AND(ISNUMBER(AA51),ISNUMBER(Y51)),AA51-Y51,"")</f>
        <v>0</v>
      </c>
      <c r="AA51" s="41" t="s">
        <v>395</v>
      </c>
      <c r="AB51" s="35">
        <f>IF(AND(ISNUMBER(AC51),ISNUMBER(AA51)),AC51-AA51,"")</f>
        <v>0</v>
      </c>
      <c r="AC51" s="41" t="s">
        <v>395</v>
      </c>
      <c r="AD51" s="35">
        <f>IF(AND(ISNUMBER(AE51),ISNUMBER(AC51)),AE51-AC51,"")</f>
        <v>0</v>
      </c>
      <c r="AE51" s="41" t="s">
        <v>395</v>
      </c>
      <c r="AF51" s="35">
        <f>IF(AND(ISNUMBER(AG51),ISNUMBER(AE51)),AG51-AE51,"")</f>
        <v>0</v>
      </c>
      <c r="AG51" s="41" t="s">
        <v>395</v>
      </c>
      <c r="AH51" s="35">
        <f>IF(AND(ISNUMBER(AI51),ISNUMBER(AG51)),AI51-AG51,"")</f>
        <v>0</v>
      </c>
      <c r="AI51" s="41" t="s">
        <v>395</v>
      </c>
      <c r="AJ51" s="35">
        <f>IF(AND(ISNUMBER(AK51),ISNUMBER(AI51)),AK51-AI51,"")</f>
        <v>0</v>
      </c>
      <c r="AK51" s="41" t="s">
        <v>395</v>
      </c>
      <c r="AL51" s="35">
        <f>IF(AND(ISNUMBER(AM51),ISNUMBER(AK51)),AM51-AK51,"")</f>
        <v>0</v>
      </c>
      <c r="AM51" s="41" t="s">
        <v>395</v>
      </c>
      <c r="AN51" s="35">
        <f>IF(AND(ISNUMBER(AO51),ISNUMBER(AM51)),AO51-AM51,"")</f>
        <v>0</v>
      </c>
      <c r="AO51" s="41" t="s">
        <v>395</v>
      </c>
      <c r="AP51" s="35">
        <f>IF(AND(ISNUMBER(AQ51),ISNUMBER(AO51)),AQ51-AO51,"")</f>
        <v>0</v>
      </c>
      <c r="AQ51" s="41" t="s">
        <v>395</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417</v>
      </c>
    </row>
    <row r="52" spans="1:322">
      <c r="B52" s="24"/>
      <c r="D52" s="32" t="s">
        <v>23</v>
      </c>
      <c r="E52" s="33" t="s">
        <v>376</v>
      </c>
      <c r="I52" s="41" t="s">
        <v>395</v>
      </c>
      <c r="J52" s="35">
        <f>IF(AND(ISNUMBER(K52),ISNUMBER(I52)),K52-I52,"")</f>
        <v>0</v>
      </c>
      <c r="K52" s="41" t="s">
        <v>395</v>
      </c>
      <c r="L52" s="35">
        <f>IF(AND(ISNUMBER(M52),ISNUMBER(K52)),M52-K52,"")</f>
        <v>0</v>
      </c>
      <c r="M52" s="41" t="s">
        <v>395</v>
      </c>
      <c r="N52" s="35">
        <f>IF(AND(ISNUMBER(O52),ISNUMBER(M52)),O52-M52,"")</f>
        <v>0</v>
      </c>
      <c r="O52" s="41" t="s">
        <v>395</v>
      </c>
      <c r="P52" s="35">
        <f>IF(AND(ISNUMBER(Q52),ISNUMBER(O52)),Q52-O52,"")</f>
        <v>0</v>
      </c>
      <c r="Q52" s="41" t="s">
        <v>395</v>
      </c>
      <c r="R52" s="35">
        <f>IF(AND(ISNUMBER(S52),ISNUMBER(Q52)),S52-Q52,"")</f>
        <v>0</v>
      </c>
      <c r="S52" s="41" t="s">
        <v>395</v>
      </c>
      <c r="T52" s="35">
        <f>IF(AND(ISNUMBER(U52),ISNUMBER(S52)),U52-S52,"")</f>
        <v>0</v>
      </c>
      <c r="U52" s="41" t="s">
        <v>395</v>
      </c>
      <c r="V52" s="35">
        <f>IF(AND(ISNUMBER(W52),ISNUMBER(U52)),W52-U52,"")</f>
        <v>0</v>
      </c>
      <c r="W52" s="41" t="s">
        <v>395</v>
      </c>
      <c r="X52" s="35">
        <f>IF(AND(ISNUMBER(Y52),ISNUMBER(W52)),Y52-W52,"")</f>
        <v>0</v>
      </c>
      <c r="Y52" s="41" t="s">
        <v>395</v>
      </c>
      <c r="Z52" s="35">
        <f>IF(AND(ISNUMBER(AA52),ISNUMBER(Y52)),AA52-Y52,"")</f>
        <v>0</v>
      </c>
      <c r="AA52" s="41" t="s">
        <v>395</v>
      </c>
      <c r="AB52" s="35">
        <f>IF(AND(ISNUMBER(AC52),ISNUMBER(AA52)),AC52-AA52,"")</f>
        <v>0</v>
      </c>
      <c r="AC52" s="41" t="s">
        <v>395</v>
      </c>
      <c r="AD52" s="35">
        <f>IF(AND(ISNUMBER(AE52),ISNUMBER(AC52)),AE52-AC52,"")</f>
        <v>0</v>
      </c>
      <c r="AE52" s="41" t="s">
        <v>395</v>
      </c>
      <c r="AF52" s="35">
        <f>IF(AND(ISNUMBER(AG52),ISNUMBER(AE52)),AG52-AE52,"")</f>
        <v>0</v>
      </c>
      <c r="AG52" s="41" t="s">
        <v>395</v>
      </c>
      <c r="AH52" s="35">
        <f>IF(AND(ISNUMBER(AI52),ISNUMBER(AG52)),AI52-AG52,"")</f>
        <v>0</v>
      </c>
      <c r="AI52" s="41" t="s">
        <v>395</v>
      </c>
      <c r="AJ52" s="35">
        <f>IF(AND(ISNUMBER(AK52),ISNUMBER(AI52)),AK52-AI52,"")</f>
        <v>0</v>
      </c>
      <c r="AK52" s="41" t="s">
        <v>395</v>
      </c>
      <c r="AL52" s="35">
        <f>IF(AND(ISNUMBER(AM52),ISNUMBER(AK52)),AM52-AK52,"")</f>
        <v>0</v>
      </c>
      <c r="AM52" s="41" t="s">
        <v>395</v>
      </c>
      <c r="AN52" s="35">
        <f>IF(AND(ISNUMBER(AO52),ISNUMBER(AM52)),AO52-AM52,"")</f>
        <v>0</v>
      </c>
      <c r="AO52" s="41" t="s">
        <v>395</v>
      </c>
      <c r="AP52" s="35">
        <f>IF(AND(ISNUMBER(AQ52),ISNUMBER(AO52)),AQ52-AO52,"")</f>
        <v>0</v>
      </c>
      <c r="AQ52" s="41" t="s">
        <v>395</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374</v>
      </c>
      <c r="I53" s="41" t="s">
        <v>395</v>
      </c>
      <c r="J53" s="35">
        <f>IF(AND(ISNUMBER(K53),ISNUMBER(I53)),K53-I53,"")</f>
        <v>0</v>
      </c>
      <c r="K53" s="41" t="s">
        <v>395</v>
      </c>
      <c r="L53" s="35">
        <f>IF(AND(ISNUMBER(M53),ISNUMBER(K53)),M53-K53,"")</f>
        <v>0</v>
      </c>
      <c r="M53" s="41" t="s">
        <v>395</v>
      </c>
      <c r="N53" s="35">
        <f>IF(AND(ISNUMBER(O53),ISNUMBER(M53)),O53-M53,"")</f>
        <v>0</v>
      </c>
      <c r="O53" s="41" t="s">
        <v>395</v>
      </c>
      <c r="P53" s="35">
        <f>IF(AND(ISNUMBER(Q53),ISNUMBER(O53)),Q53-O53,"")</f>
        <v>0</v>
      </c>
      <c r="Q53" s="41" t="s">
        <v>395</v>
      </c>
      <c r="R53" s="35">
        <f>IF(AND(ISNUMBER(S53),ISNUMBER(Q53)),S53-Q53,"")</f>
        <v>0</v>
      </c>
      <c r="S53" s="41" t="s">
        <v>395</v>
      </c>
      <c r="T53" s="35">
        <f>IF(AND(ISNUMBER(U53),ISNUMBER(S53)),U53-S53,"")</f>
        <v>0</v>
      </c>
      <c r="U53" s="41" t="s">
        <v>395</v>
      </c>
      <c r="V53" s="35">
        <f>IF(AND(ISNUMBER(W53),ISNUMBER(U53)),W53-U53,"")</f>
        <v>0</v>
      </c>
      <c r="W53" s="41" t="s">
        <v>395</v>
      </c>
      <c r="X53" s="35">
        <f>IF(AND(ISNUMBER(Y53),ISNUMBER(W53)),Y53-W53,"")</f>
        <v>0</v>
      </c>
      <c r="Y53" s="41" t="s">
        <v>395</v>
      </c>
      <c r="Z53" s="35">
        <f>IF(AND(ISNUMBER(AA53),ISNUMBER(Y53)),AA53-Y53,"")</f>
        <v>0</v>
      </c>
      <c r="AA53" s="41" t="s">
        <v>395</v>
      </c>
      <c r="AB53" s="35">
        <f>IF(AND(ISNUMBER(AC53),ISNUMBER(AA53)),AC53-AA53,"")</f>
        <v>0</v>
      </c>
      <c r="AC53" s="41" t="s">
        <v>395</v>
      </c>
      <c r="AD53" s="35">
        <f>IF(AND(ISNUMBER(AE53),ISNUMBER(AC53)),AE53-AC53,"")</f>
        <v>0</v>
      </c>
      <c r="AE53" s="41" t="s">
        <v>395</v>
      </c>
      <c r="AF53" s="35">
        <f>IF(AND(ISNUMBER(AG53),ISNUMBER(AE53)),AG53-AE53,"")</f>
        <v>0</v>
      </c>
      <c r="AG53" s="41" t="s">
        <v>395</v>
      </c>
      <c r="AH53" s="35">
        <f>IF(AND(ISNUMBER(AI53),ISNUMBER(AG53)),AI53-AG53,"")</f>
        <v>0</v>
      </c>
      <c r="AI53" s="41" t="s">
        <v>395</v>
      </c>
      <c r="AJ53" s="35">
        <f>IF(AND(ISNUMBER(AK53),ISNUMBER(AI53)),AK53-AI53,"")</f>
        <v>0</v>
      </c>
      <c r="AK53" s="41" t="s">
        <v>395</v>
      </c>
      <c r="AL53" s="35">
        <f>IF(AND(ISNUMBER(AM53),ISNUMBER(AK53)),AM53-AK53,"")</f>
        <v>0</v>
      </c>
      <c r="AM53" s="41" t="s">
        <v>395</v>
      </c>
      <c r="AN53" s="35">
        <f>IF(AND(ISNUMBER(AO53),ISNUMBER(AM53)),AO53-AM53,"")</f>
        <v>0</v>
      </c>
      <c r="AO53" s="41" t="s">
        <v>395</v>
      </c>
      <c r="AP53" s="35">
        <f>IF(AND(ISNUMBER(AQ53),ISNUMBER(AO53)),AQ53-AO53,"")</f>
        <v>0</v>
      </c>
      <c r="AQ53" s="41" t="s">
        <v>395</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382</v>
      </c>
      <c r="I54" s="41" t="s">
        <v>395</v>
      </c>
      <c r="J54" s="35">
        <f>IF(AND(ISNUMBER(K54),ISNUMBER(I54)),K54-I54,"")</f>
        <v>0</v>
      </c>
      <c r="K54" s="41" t="s">
        <v>395</v>
      </c>
      <c r="L54" s="35">
        <f>IF(AND(ISNUMBER(M54),ISNUMBER(K54)),M54-K54,"")</f>
        <v>0</v>
      </c>
      <c r="M54" s="41" t="s">
        <v>395</v>
      </c>
      <c r="N54" s="35">
        <f>IF(AND(ISNUMBER(O54),ISNUMBER(M54)),O54-M54,"")</f>
        <v>0</v>
      </c>
      <c r="O54" s="41" t="s">
        <v>395</v>
      </c>
      <c r="P54" s="35">
        <f>IF(AND(ISNUMBER(Q54),ISNUMBER(O54)),Q54-O54,"")</f>
        <v>0</v>
      </c>
      <c r="Q54" s="41" t="s">
        <v>395</v>
      </c>
      <c r="R54" s="35">
        <f>IF(AND(ISNUMBER(S54),ISNUMBER(Q54)),S54-Q54,"")</f>
        <v>0</v>
      </c>
      <c r="S54" s="41" t="s">
        <v>395</v>
      </c>
      <c r="T54" s="35">
        <f>IF(AND(ISNUMBER(U54),ISNUMBER(S54)),U54-S54,"")</f>
        <v>0</v>
      </c>
      <c r="U54" s="41" t="s">
        <v>395</v>
      </c>
      <c r="V54" s="35">
        <f>IF(AND(ISNUMBER(W54),ISNUMBER(U54)),W54-U54,"")</f>
        <v>0</v>
      </c>
      <c r="W54" s="41" t="s">
        <v>395</v>
      </c>
      <c r="X54" s="35">
        <f>IF(AND(ISNUMBER(Y54),ISNUMBER(W54)),Y54-W54,"")</f>
        <v>0</v>
      </c>
      <c r="Y54" s="41" t="s">
        <v>395</v>
      </c>
      <c r="Z54" s="35">
        <f>IF(AND(ISNUMBER(AA54),ISNUMBER(Y54)),AA54-Y54,"")</f>
        <v>0</v>
      </c>
      <c r="AA54" s="41" t="s">
        <v>395</v>
      </c>
      <c r="AB54" s="35">
        <f>IF(AND(ISNUMBER(AC54),ISNUMBER(AA54)),AC54-AA54,"")</f>
        <v>0</v>
      </c>
      <c r="AC54" s="41" t="s">
        <v>395</v>
      </c>
      <c r="AD54" s="35">
        <f>IF(AND(ISNUMBER(AE54),ISNUMBER(AC54)),AE54-AC54,"")</f>
        <v>0</v>
      </c>
      <c r="AE54" s="41" t="s">
        <v>395</v>
      </c>
      <c r="AF54" s="35">
        <f>IF(AND(ISNUMBER(AG54),ISNUMBER(AE54)),AG54-AE54,"")</f>
        <v>0</v>
      </c>
      <c r="AG54" s="41" t="s">
        <v>395</v>
      </c>
      <c r="AH54" s="35">
        <f>IF(AND(ISNUMBER(AI54),ISNUMBER(AG54)),AI54-AG54,"")</f>
        <v>0</v>
      </c>
      <c r="AI54" s="41" t="s">
        <v>395</v>
      </c>
      <c r="AJ54" s="35">
        <f>IF(AND(ISNUMBER(AK54),ISNUMBER(AI54)),AK54-AI54,"")</f>
        <v>0</v>
      </c>
      <c r="AK54" s="41" t="s">
        <v>395</v>
      </c>
      <c r="AL54" s="35">
        <f>IF(AND(ISNUMBER(AM54),ISNUMBER(AK54)),AM54-AK54,"")</f>
        <v>0</v>
      </c>
      <c r="AM54" s="41" t="s">
        <v>395</v>
      </c>
      <c r="AN54" s="35">
        <f>IF(AND(ISNUMBER(AO54),ISNUMBER(AM54)),AO54-AM54,"")</f>
        <v>0</v>
      </c>
      <c r="AO54" s="41" t="s">
        <v>395</v>
      </c>
      <c r="AP54" s="35">
        <f>IF(AND(ISNUMBER(AQ54),ISNUMBER(AO54)),AQ54-AO54,"")</f>
        <v>0</v>
      </c>
      <c r="AQ54" s="41" t="s">
        <v>395</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402</v>
      </c>
    </row>
    <row r="55" spans="1:322">
      <c r="A55" s="37" t="s">
        <v>73</v>
      </c>
      <c r="B55" s="24"/>
      <c r="C55" s="38" t="s">
        <v>30</v>
      </c>
      <c r="E55" s="33" t="s">
        <v>398</v>
      </c>
      <c r="F55" s="39">
        <f>MIN(F56:F62)</f>
        <v>45689.0</v>
      </c>
      <c r="H55" s="39" t="s">
        <v>399</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405</v>
      </c>
      <c r="Z55" s="35">
        <f>IF(AND(ISNUMBER(AA55),ISNUMBER(Y55)),AA55-Y55,"")</f>
        <v>0</v>
      </c>
      <c r="AA55" s="41" t="s">
        <v>405</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395</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403</v>
      </c>
    </row>
    <row r="56" spans="1:322">
      <c r="B56" s="24"/>
      <c r="D56" s="32" t="s">
        <v>13</v>
      </c>
      <c r="E56" s="33" t="s">
        <v>400</v>
      </c>
      <c r="F56" s="39" t="s">
        <v>418</v>
      </c>
      <c r="I56" s="41" t="s">
        <v>395</v>
      </c>
      <c r="J56" s="35">
        <f>IF(AND(ISNUMBER(K56),ISNUMBER(I56)),K56-I56,"")</f>
        <v>0</v>
      </c>
      <c r="K56" s="41" t="s">
        <v>395</v>
      </c>
      <c r="L56" s="35">
        <f>IF(AND(ISNUMBER(M56),ISNUMBER(K56)),M56-K56,"")</f>
        <v>0</v>
      </c>
      <c r="M56" s="41" t="s">
        <v>395</v>
      </c>
      <c r="N56" s="35">
        <f>IF(AND(ISNUMBER(O56),ISNUMBER(M56)),O56-M56,"")</f>
        <v>0</v>
      </c>
      <c r="O56" s="41" t="s">
        <v>395</v>
      </c>
      <c r="P56" s="35">
        <f>IF(AND(ISNUMBER(Q56),ISNUMBER(O56)),Q56-O56,"")</f>
        <v>0</v>
      </c>
      <c r="Q56" s="41" t="s">
        <v>395</v>
      </c>
      <c r="R56" s="35">
        <f>IF(AND(ISNUMBER(S56),ISNUMBER(Q56)),S56-Q56,"")</f>
        <v>0</v>
      </c>
      <c r="S56" s="41" t="s">
        <v>395</v>
      </c>
      <c r="T56" s="35">
        <f>IF(AND(ISNUMBER(U56),ISNUMBER(S56)),U56-S56,"")</f>
        <v>0</v>
      </c>
      <c r="U56" s="41" t="s">
        <v>395</v>
      </c>
      <c r="V56" s="35">
        <f>IF(AND(ISNUMBER(W56),ISNUMBER(U56)),W56-U56,"")</f>
        <v>0</v>
      </c>
      <c r="W56" s="41" t="s">
        <v>395</v>
      </c>
      <c r="X56" s="35">
        <f>IF(AND(ISNUMBER(Y56),ISNUMBER(W56)),Y56-W56,"")</f>
        <v>0</v>
      </c>
      <c r="Y56" s="41" t="s">
        <v>395</v>
      </c>
      <c r="Z56" s="35">
        <f>IF(AND(ISNUMBER(AA56),ISNUMBER(Y56)),AA56-Y56,"")</f>
        <v>0</v>
      </c>
      <c r="AA56" s="41" t="s">
        <v>395</v>
      </c>
      <c r="AB56" s="35">
        <f>IF(AND(ISNUMBER(AC56),ISNUMBER(AA56)),AC56-AA56,"")</f>
        <v>0</v>
      </c>
      <c r="AC56" s="41" t="s">
        <v>395</v>
      </c>
      <c r="AD56" s="35">
        <f>IF(AND(ISNUMBER(AE56),ISNUMBER(AC56)),AE56-AC56,"")</f>
        <v>0</v>
      </c>
      <c r="AE56" s="41" t="s">
        <v>395</v>
      </c>
      <c r="AF56" s="35">
        <f>IF(AND(ISNUMBER(AG56),ISNUMBER(AE56)),AG56-AE56,"")</f>
        <v>0</v>
      </c>
      <c r="AG56" s="41" t="s">
        <v>395</v>
      </c>
      <c r="AH56" s="35">
        <f>IF(AND(ISNUMBER(AI56),ISNUMBER(AG56)),AI56-AG56,"")</f>
        <v>0</v>
      </c>
      <c r="AI56" s="41" t="s">
        <v>395</v>
      </c>
      <c r="AJ56" s="35">
        <f>IF(AND(ISNUMBER(AK56),ISNUMBER(AI56)),AK56-AI56,"")</f>
        <v>0</v>
      </c>
      <c r="AK56" s="41" t="s">
        <v>395</v>
      </c>
      <c r="AL56" s="35">
        <f>IF(AND(ISNUMBER(AM56),ISNUMBER(AK56)),AM56-AK56,"")</f>
        <v>0</v>
      </c>
      <c r="AM56" s="41" t="s">
        <v>395</v>
      </c>
      <c r="AN56" s="35">
        <f>IF(AND(ISNUMBER(AO56),ISNUMBER(AM56)),AO56-AM56,"")</f>
        <v>0</v>
      </c>
      <c r="AO56" s="41" t="s">
        <v>395</v>
      </c>
      <c r="AP56" s="35">
        <f>IF(AND(ISNUMBER(AQ56),ISNUMBER(AO56)),AQ56-AO56,"")</f>
        <v>0</v>
      </c>
      <c r="AQ56" s="41" t="s">
        <v>395</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381</v>
      </c>
      <c r="F57" s="39">
        <v>45689</v>
      </c>
      <c r="I57" s="41" t="s">
        <v>395</v>
      </c>
      <c r="J57" s="35">
        <f>IF(AND(ISNUMBER(K57),ISNUMBER(I57)),K57-I57,"")</f>
        <v>0</v>
      </c>
      <c r="K57" s="41" t="s">
        <v>395</v>
      </c>
      <c r="L57" s="35">
        <f>IF(AND(ISNUMBER(M57),ISNUMBER(K57)),M57-K57,"")</f>
        <v>0</v>
      </c>
      <c r="M57" s="41" t="s">
        <v>395</v>
      </c>
      <c r="N57" s="35">
        <f>IF(AND(ISNUMBER(O57),ISNUMBER(M57)),O57-M57,"")</f>
        <v>0</v>
      </c>
      <c r="O57" s="41" t="s">
        <v>395</v>
      </c>
      <c r="P57" s="35">
        <f>IF(AND(ISNUMBER(Q57),ISNUMBER(O57)),Q57-O57,"")</f>
        <v>0</v>
      </c>
      <c r="Q57" s="41" t="s">
        <v>395</v>
      </c>
      <c r="R57" s="35">
        <f>IF(AND(ISNUMBER(S57),ISNUMBER(Q57)),S57-Q57,"")</f>
        <v>0</v>
      </c>
      <c r="S57" s="41" t="s">
        <v>395</v>
      </c>
      <c r="T57" s="35">
        <f>IF(AND(ISNUMBER(U57),ISNUMBER(S57)),U57-S57,"")</f>
        <v>0</v>
      </c>
      <c r="U57" s="41" t="s">
        <v>395</v>
      </c>
      <c r="V57" s="35">
        <f>IF(AND(ISNUMBER(W57),ISNUMBER(U57)),W57-U57,"")</f>
        <v>0</v>
      </c>
      <c r="W57" s="41" t="s">
        <v>395</v>
      </c>
      <c r="X57" s="35">
        <f>IF(AND(ISNUMBER(Y57),ISNUMBER(W57)),Y57-W57,"")</f>
        <v>0</v>
      </c>
      <c r="Y57" s="41" t="s">
        <v>395</v>
      </c>
      <c r="Z57" s="35">
        <f>IF(AND(ISNUMBER(AA57),ISNUMBER(Y57)),AA57-Y57,"")</f>
        <v>0</v>
      </c>
      <c r="AA57" s="41" t="s">
        <v>395</v>
      </c>
      <c r="AB57" s="35">
        <f>IF(AND(ISNUMBER(AC57),ISNUMBER(AA57)),AC57-AA57,"")</f>
        <v>0</v>
      </c>
      <c r="AC57" s="41" t="s">
        <v>395</v>
      </c>
      <c r="AD57" s="35">
        <f>IF(AND(ISNUMBER(AE57),ISNUMBER(AC57)),AE57-AC57,"")</f>
        <v>0</v>
      </c>
      <c r="AE57" s="41" t="s">
        <v>395</v>
      </c>
      <c r="AF57" s="35">
        <f>IF(AND(ISNUMBER(AG57),ISNUMBER(AE57)),AG57-AE57,"")</f>
        <v>0</v>
      </c>
      <c r="AG57" s="41" t="s">
        <v>395</v>
      </c>
      <c r="AH57" s="35">
        <f>IF(AND(ISNUMBER(AI57),ISNUMBER(AG57)),AI57-AG57,"")</f>
        <v>0</v>
      </c>
      <c r="AI57" s="41" t="s">
        <v>395</v>
      </c>
      <c r="AJ57" s="35">
        <f>IF(AND(ISNUMBER(AK57),ISNUMBER(AI57)),AK57-AI57,"")</f>
        <v>0</v>
      </c>
      <c r="AK57" s="41" t="s">
        <v>395</v>
      </c>
      <c r="AL57" s="35">
        <f>IF(AND(ISNUMBER(AM57),ISNUMBER(AK57)),AM57-AK57,"")</f>
        <v>0</v>
      </c>
      <c r="AM57" s="41" t="s">
        <v>395</v>
      </c>
      <c r="AN57" s="35">
        <f>IF(AND(ISNUMBER(AO57),ISNUMBER(AM57)),AO57-AM57,"")</f>
        <v>0</v>
      </c>
      <c r="AO57" s="41" t="s">
        <v>395</v>
      </c>
      <c r="AP57" s="35">
        <f>IF(AND(ISNUMBER(AQ57),ISNUMBER(AO57)),AQ57-AO57,"")</f>
        <v>0</v>
      </c>
      <c r="AQ57" s="41" t="s">
        <v>395</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370</v>
      </c>
      <c r="I58" s="41" t="s">
        <v>395</v>
      </c>
      <c r="J58" s="35">
        <f>IF(AND(ISNUMBER(K58),ISNUMBER(I58)),K58-I58,"")</f>
        <v>0</v>
      </c>
      <c r="K58" s="41" t="s">
        <v>395</v>
      </c>
      <c r="L58" s="35">
        <f>IF(AND(ISNUMBER(M58),ISNUMBER(K58)),M58-K58,"")</f>
        <v>0</v>
      </c>
      <c r="M58" s="41" t="s">
        <v>395</v>
      </c>
      <c r="N58" s="35">
        <f>IF(AND(ISNUMBER(O58),ISNUMBER(M58)),O58-M58,"")</f>
        <v>0</v>
      </c>
      <c r="O58" s="41" t="s">
        <v>395</v>
      </c>
      <c r="P58" s="35">
        <f>IF(AND(ISNUMBER(Q58),ISNUMBER(O58)),Q58-O58,"")</f>
        <v>0</v>
      </c>
      <c r="Q58" s="41" t="s">
        <v>395</v>
      </c>
      <c r="R58" s="35">
        <f>IF(AND(ISNUMBER(S58),ISNUMBER(Q58)),S58-Q58,"")</f>
        <v>0</v>
      </c>
      <c r="S58" s="41" t="s">
        <v>395</v>
      </c>
      <c r="T58" s="35">
        <f>IF(AND(ISNUMBER(U58),ISNUMBER(S58)),U58-S58,"")</f>
        <v>0</v>
      </c>
      <c r="U58" s="41" t="s">
        <v>395</v>
      </c>
      <c r="V58" s="35">
        <f>IF(AND(ISNUMBER(W58),ISNUMBER(U58)),W58-U58,"")</f>
        <v>0</v>
      </c>
      <c r="W58" s="41" t="s">
        <v>395</v>
      </c>
      <c r="X58" s="35">
        <f>IF(AND(ISNUMBER(Y58),ISNUMBER(W58)),Y58-W58,"")</f>
        <v>0</v>
      </c>
      <c r="Y58" s="41" t="s">
        <v>395</v>
      </c>
      <c r="Z58" s="35">
        <f>IF(AND(ISNUMBER(AA58),ISNUMBER(Y58)),AA58-Y58,"")</f>
        <v>0</v>
      </c>
      <c r="AA58" s="41" t="s">
        <v>395</v>
      </c>
      <c r="AB58" s="35">
        <f>IF(AND(ISNUMBER(AC58),ISNUMBER(AA58)),AC58-AA58,"")</f>
        <v>0</v>
      </c>
      <c r="AC58" s="41" t="s">
        <v>395</v>
      </c>
      <c r="AD58" s="35">
        <f>IF(AND(ISNUMBER(AE58),ISNUMBER(AC58)),AE58-AC58,"")</f>
        <v>0</v>
      </c>
      <c r="AE58" s="41" t="s">
        <v>395</v>
      </c>
      <c r="AF58" s="35">
        <f>IF(AND(ISNUMBER(AG58),ISNUMBER(AE58)),AG58-AE58,"")</f>
        <v>0</v>
      </c>
      <c r="AG58" s="41" t="s">
        <v>395</v>
      </c>
      <c r="AH58" s="35">
        <f>IF(AND(ISNUMBER(AI58),ISNUMBER(AG58)),AI58-AG58,"")</f>
        <v>0</v>
      </c>
      <c r="AI58" s="41" t="s">
        <v>395</v>
      </c>
      <c r="AJ58" s="35">
        <f>IF(AND(ISNUMBER(AK58),ISNUMBER(AI58)),AK58-AI58,"")</f>
        <v>0</v>
      </c>
      <c r="AK58" s="41" t="s">
        <v>395</v>
      </c>
      <c r="AL58" s="35">
        <f>IF(AND(ISNUMBER(AM58),ISNUMBER(AK58)),AM58-AK58,"")</f>
        <v>0</v>
      </c>
      <c r="AM58" s="41" t="s">
        <v>395</v>
      </c>
      <c r="AN58" s="35">
        <f>IF(AND(ISNUMBER(AO58),ISNUMBER(AM58)),AO58-AM58,"")</f>
        <v>0</v>
      </c>
      <c r="AO58" s="41" t="s">
        <v>395</v>
      </c>
      <c r="AP58" s="35">
        <f>IF(AND(ISNUMBER(AQ58),ISNUMBER(AO58)),AQ58-AO58,"")</f>
        <v>0</v>
      </c>
      <c r="AQ58" s="41" t="s">
        <v>395</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380</v>
      </c>
      <c r="F59" s="39">
        <v>45689</v>
      </c>
      <c r="I59" s="41" t="s">
        <v>395</v>
      </c>
      <c r="J59" s="35">
        <f>IF(AND(ISNUMBER(K59),ISNUMBER(I59)),K59-I59,"")</f>
        <v>0</v>
      </c>
      <c r="K59" s="41" t="s">
        <v>395</v>
      </c>
      <c r="L59" s="35">
        <f>IF(AND(ISNUMBER(M59),ISNUMBER(K59)),M59-K59,"")</f>
        <v>0</v>
      </c>
      <c r="M59" s="41" t="s">
        <v>395</v>
      </c>
      <c r="N59" s="35">
        <f>IF(AND(ISNUMBER(O59),ISNUMBER(M59)),O59-M59,"")</f>
        <v>0</v>
      </c>
      <c r="O59" s="41" t="s">
        <v>395</v>
      </c>
      <c r="P59" s="35">
        <f>IF(AND(ISNUMBER(Q59),ISNUMBER(O59)),Q59-O59,"")</f>
        <v>0</v>
      </c>
      <c r="Q59" s="41" t="s">
        <v>395</v>
      </c>
      <c r="R59" s="35">
        <f>IF(AND(ISNUMBER(S59),ISNUMBER(Q59)),S59-Q59,"")</f>
        <v>0</v>
      </c>
      <c r="S59" s="41" t="s">
        <v>395</v>
      </c>
      <c r="T59" s="35">
        <f>IF(AND(ISNUMBER(U59),ISNUMBER(S59)),U59-S59,"")</f>
        <v>0</v>
      </c>
      <c r="U59" s="41" t="s">
        <v>395</v>
      </c>
      <c r="V59" s="35">
        <f>IF(AND(ISNUMBER(W59),ISNUMBER(U59)),W59-U59,"")</f>
        <v>0</v>
      </c>
      <c r="W59" s="41" t="s">
        <v>395</v>
      </c>
      <c r="X59" s="35">
        <f>IF(AND(ISNUMBER(Y59),ISNUMBER(W59)),Y59-W59,"")</f>
        <v>0</v>
      </c>
      <c r="Y59" s="41" t="s">
        <v>395</v>
      </c>
      <c r="Z59" s="35">
        <f>IF(AND(ISNUMBER(AA59),ISNUMBER(Y59)),AA59-Y59,"")</f>
        <v>0</v>
      </c>
      <c r="AA59" s="41" t="s">
        <v>395</v>
      </c>
      <c r="AB59" s="35">
        <f>IF(AND(ISNUMBER(AC59),ISNUMBER(AA59)),AC59-AA59,"")</f>
        <v>0</v>
      </c>
      <c r="AC59" s="41" t="s">
        <v>395</v>
      </c>
      <c r="AD59" s="35">
        <f>IF(AND(ISNUMBER(AE59),ISNUMBER(AC59)),AE59-AC59,"")</f>
        <v>0</v>
      </c>
      <c r="AE59" s="41" t="s">
        <v>395</v>
      </c>
      <c r="AF59" s="35">
        <f>IF(AND(ISNUMBER(AG59),ISNUMBER(AE59)),AG59-AE59,"")</f>
        <v>0</v>
      </c>
      <c r="AG59" s="41" t="s">
        <v>395</v>
      </c>
      <c r="AH59" s="35">
        <f>IF(AND(ISNUMBER(AI59),ISNUMBER(AG59)),AI59-AG59,"")</f>
        <v>0</v>
      </c>
      <c r="AI59" s="41" t="s">
        <v>395</v>
      </c>
      <c r="AJ59" s="35">
        <f>IF(AND(ISNUMBER(AK59),ISNUMBER(AI59)),AK59-AI59,"")</f>
        <v>0</v>
      </c>
      <c r="AK59" s="41" t="s">
        <v>395</v>
      </c>
      <c r="AL59" s="35">
        <f>IF(AND(ISNUMBER(AM59),ISNUMBER(AK59)),AM59-AK59,"")</f>
        <v>0</v>
      </c>
      <c r="AM59" s="41" t="s">
        <v>395</v>
      </c>
      <c r="AN59" s="35">
        <f>IF(AND(ISNUMBER(AO59),ISNUMBER(AM59)),AO59-AM59,"")</f>
        <v>0</v>
      </c>
      <c r="AO59" s="41" t="s">
        <v>395</v>
      </c>
      <c r="AP59" s="35">
        <f>IF(AND(ISNUMBER(AQ59),ISNUMBER(AO59)),AQ59-AO59,"")</f>
        <v>0</v>
      </c>
      <c r="AQ59" s="41" t="s">
        <v>395</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417</v>
      </c>
    </row>
    <row r="60" spans="1:322">
      <c r="B60" s="24"/>
      <c r="D60" s="32" t="s">
        <v>23</v>
      </c>
      <c r="E60" s="33" t="s">
        <v>376</v>
      </c>
      <c r="F60" s="39">
        <v>45689</v>
      </c>
      <c r="I60" s="41" t="s">
        <v>395</v>
      </c>
      <c r="J60" s="35">
        <f>IF(AND(ISNUMBER(K60),ISNUMBER(I60)),K60-I60,"")</f>
        <v>0</v>
      </c>
      <c r="K60" s="41" t="s">
        <v>395</v>
      </c>
      <c r="L60" s="35">
        <f>IF(AND(ISNUMBER(M60),ISNUMBER(K60)),M60-K60,"")</f>
        <v>0</v>
      </c>
      <c r="M60" s="41" t="s">
        <v>395</v>
      </c>
      <c r="N60" s="35">
        <f>IF(AND(ISNUMBER(O60),ISNUMBER(M60)),O60-M60,"")</f>
        <v>0</v>
      </c>
      <c r="O60" s="41" t="s">
        <v>395</v>
      </c>
      <c r="P60" s="35">
        <f>IF(AND(ISNUMBER(Q60),ISNUMBER(O60)),Q60-O60,"")</f>
        <v>0</v>
      </c>
      <c r="Q60" s="41" t="s">
        <v>395</v>
      </c>
      <c r="R60" s="35">
        <f>IF(AND(ISNUMBER(S60),ISNUMBER(Q60)),S60-Q60,"")</f>
        <v>0</v>
      </c>
      <c r="S60" s="41" t="s">
        <v>395</v>
      </c>
      <c r="T60" s="35">
        <f>IF(AND(ISNUMBER(U60),ISNUMBER(S60)),U60-S60,"")</f>
        <v>0</v>
      </c>
      <c r="U60" s="41" t="s">
        <v>395</v>
      </c>
      <c r="V60" s="35">
        <f>IF(AND(ISNUMBER(W60),ISNUMBER(U60)),W60-U60,"")</f>
        <v>0</v>
      </c>
      <c r="W60" s="41" t="s">
        <v>395</v>
      </c>
      <c r="X60" s="35">
        <f>IF(AND(ISNUMBER(Y60),ISNUMBER(W60)),Y60-W60,"")</f>
        <v>0</v>
      </c>
      <c r="Y60" s="41" t="s">
        <v>395</v>
      </c>
      <c r="Z60" s="35">
        <f>IF(AND(ISNUMBER(AA60),ISNUMBER(Y60)),AA60-Y60,"")</f>
        <v>0</v>
      </c>
      <c r="AA60" s="41" t="s">
        <v>395</v>
      </c>
      <c r="AB60" s="35">
        <f>IF(AND(ISNUMBER(AC60),ISNUMBER(AA60)),AC60-AA60,"")</f>
        <v>0</v>
      </c>
      <c r="AC60" s="34">
        <v>4</v>
      </c>
      <c r="AD60" s="35">
        <f>IF(AND(ISNUMBER(AE60),ISNUMBER(AC60)),AE60-AC60,"")</f>
        <v>0</v>
      </c>
      <c r="AE60" s="41" t="s">
        <v>395</v>
      </c>
      <c r="AF60" s="35">
        <f>IF(AND(ISNUMBER(AG60),ISNUMBER(AE60)),AG60-AE60,"")</f>
        <v>0</v>
      </c>
      <c r="AG60" s="41" t="s">
        <v>395</v>
      </c>
      <c r="AH60" s="35">
        <f>IF(AND(ISNUMBER(AI60),ISNUMBER(AG60)),AI60-AG60,"")</f>
        <v>0</v>
      </c>
      <c r="AI60" s="41" t="s">
        <v>395</v>
      </c>
      <c r="AJ60" s="35">
        <f>IF(AND(ISNUMBER(AK60),ISNUMBER(AI60)),AK60-AI60,"")</f>
        <v>0</v>
      </c>
      <c r="AK60" s="41" t="s">
        <v>395</v>
      </c>
      <c r="AL60" s="35">
        <f>IF(AND(ISNUMBER(AM60),ISNUMBER(AK60)),AM60-AK60,"")</f>
        <v>0</v>
      </c>
      <c r="AM60" s="41" t="s">
        <v>395</v>
      </c>
      <c r="AN60" s="35">
        <f>IF(AND(ISNUMBER(AO60),ISNUMBER(AM60)),AO60-AM60,"")</f>
        <v>0</v>
      </c>
      <c r="AO60" s="41" t="s">
        <v>395</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374</v>
      </c>
      <c r="F61" s="39">
        <v>45689</v>
      </c>
      <c r="I61" s="41" t="s">
        <v>395</v>
      </c>
      <c r="J61" s="35">
        <f>IF(AND(ISNUMBER(K61),ISNUMBER(I61)),K61-I61,"")</f>
        <v>0</v>
      </c>
      <c r="K61" s="41" t="s">
        <v>395</v>
      </c>
      <c r="L61" s="35">
        <f>IF(AND(ISNUMBER(M61),ISNUMBER(K61)),M61-K61,"")</f>
        <v>0</v>
      </c>
      <c r="M61" s="41" t="s">
        <v>395</v>
      </c>
      <c r="N61" s="35">
        <f>IF(AND(ISNUMBER(O61),ISNUMBER(M61)),O61-M61,"")</f>
        <v>0</v>
      </c>
      <c r="O61" s="41" t="s">
        <v>395</v>
      </c>
      <c r="P61" s="35">
        <f>IF(AND(ISNUMBER(Q61),ISNUMBER(O61)),Q61-O61,"")</f>
        <v>0</v>
      </c>
      <c r="Q61" s="41" t="s">
        <v>395</v>
      </c>
      <c r="R61" s="35">
        <f>IF(AND(ISNUMBER(S61),ISNUMBER(Q61)),S61-Q61,"")</f>
        <v>0</v>
      </c>
      <c r="S61" s="41" t="s">
        <v>395</v>
      </c>
      <c r="T61" s="35">
        <f>IF(AND(ISNUMBER(U61),ISNUMBER(S61)),U61-S61,"")</f>
        <v>0</v>
      </c>
      <c r="U61" s="41" t="s">
        <v>395</v>
      </c>
      <c r="V61" s="35">
        <f>IF(AND(ISNUMBER(W61),ISNUMBER(U61)),W61-U61,"")</f>
        <v>0</v>
      </c>
      <c r="W61" s="41" t="s">
        <v>395</v>
      </c>
      <c r="X61" s="35">
        <f>IF(AND(ISNUMBER(Y61),ISNUMBER(W61)),Y61-W61,"")</f>
        <v>0</v>
      </c>
      <c r="Y61" s="41" t="s">
        <v>395</v>
      </c>
      <c r="Z61" s="35">
        <f>IF(AND(ISNUMBER(AA61),ISNUMBER(Y61)),AA61-Y61,"")</f>
        <v>0</v>
      </c>
      <c r="AA61" s="41" t="s">
        <v>395</v>
      </c>
      <c r="AB61" s="35">
        <f>IF(AND(ISNUMBER(AC61),ISNUMBER(AA61)),AC61-AA61,"")</f>
        <v>0</v>
      </c>
      <c r="AC61" s="34">
        <v>0</v>
      </c>
      <c r="AD61" s="35">
        <f>IF(AND(ISNUMBER(AE61),ISNUMBER(AC61)),AE61-AC61,"")</f>
        <v>0</v>
      </c>
      <c r="AE61" s="41" t="s">
        <v>395</v>
      </c>
      <c r="AF61" s="35">
        <f>IF(AND(ISNUMBER(AG61),ISNUMBER(AE61)),AG61-AE61,"")</f>
        <v>0</v>
      </c>
      <c r="AG61" s="41" t="s">
        <v>395</v>
      </c>
      <c r="AH61" s="35">
        <f>IF(AND(ISNUMBER(AI61),ISNUMBER(AG61)),AI61-AG61,"")</f>
        <v>0</v>
      </c>
      <c r="AI61" s="41" t="s">
        <v>395</v>
      </c>
      <c r="AJ61" s="35">
        <f>IF(AND(ISNUMBER(AK61),ISNUMBER(AI61)),AK61-AI61,"")</f>
        <v>0</v>
      </c>
      <c r="AK61" s="41" t="s">
        <v>395</v>
      </c>
      <c r="AL61" s="35">
        <f>IF(AND(ISNUMBER(AM61),ISNUMBER(AK61)),AM61-AK61,"")</f>
        <v>0</v>
      </c>
      <c r="AM61" s="41" t="s">
        <v>395</v>
      </c>
      <c r="AN61" s="35">
        <f>IF(AND(ISNUMBER(AO61),ISNUMBER(AM61)),AO61-AM61,"")</f>
        <v>0</v>
      </c>
      <c r="AO61" s="41" t="s">
        <v>395</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382</v>
      </c>
      <c r="F62" s="39">
        <v>45689</v>
      </c>
      <c r="I62" s="41" t="s">
        <v>395</v>
      </c>
      <c r="J62" s="35">
        <f>IF(AND(ISNUMBER(K62),ISNUMBER(I62)),K62-I62,"")</f>
        <v>0</v>
      </c>
      <c r="K62" s="41" t="s">
        <v>395</v>
      </c>
      <c r="L62" s="35">
        <f>IF(AND(ISNUMBER(M62),ISNUMBER(K62)),M62-K62,"")</f>
        <v>0</v>
      </c>
      <c r="M62" s="41" t="s">
        <v>395</v>
      </c>
      <c r="N62" s="35">
        <f>IF(AND(ISNUMBER(O62),ISNUMBER(M62)),O62-M62,"")</f>
        <v>0</v>
      </c>
      <c r="O62" s="41" t="s">
        <v>395</v>
      </c>
      <c r="P62" s="35">
        <f>IF(AND(ISNUMBER(Q62),ISNUMBER(O62)),Q62-O62,"")</f>
        <v>0</v>
      </c>
      <c r="Q62" s="41" t="s">
        <v>395</v>
      </c>
      <c r="R62" s="35">
        <f>IF(AND(ISNUMBER(S62),ISNUMBER(Q62)),S62-Q62,"")</f>
        <v>0</v>
      </c>
      <c r="S62" s="41" t="s">
        <v>395</v>
      </c>
      <c r="T62" s="35">
        <f>IF(AND(ISNUMBER(U62),ISNUMBER(S62)),U62-S62,"")</f>
        <v>0</v>
      </c>
      <c r="U62" s="41" t="s">
        <v>395</v>
      </c>
      <c r="V62" s="35">
        <f>IF(AND(ISNUMBER(W62),ISNUMBER(U62)),W62-U62,"")</f>
        <v>0</v>
      </c>
      <c r="W62" s="41" t="s">
        <v>395</v>
      </c>
      <c r="X62" s="35">
        <f>IF(AND(ISNUMBER(Y62),ISNUMBER(W62)),Y62-W62,"")</f>
        <v>0</v>
      </c>
      <c r="Y62" s="41" t="s">
        <v>395</v>
      </c>
      <c r="Z62" s="35">
        <f>IF(AND(ISNUMBER(AA62),ISNUMBER(Y62)),AA62-Y62,"")</f>
        <v>0</v>
      </c>
      <c r="AA62" s="41" t="s">
        <v>395</v>
      </c>
      <c r="AB62" s="35">
        <f>IF(AND(ISNUMBER(AC62),ISNUMBER(AA62)),AC62-AA62,"")</f>
        <v>0</v>
      </c>
      <c r="AC62" s="41" t="s">
        <v>395</v>
      </c>
      <c r="AD62" s="35">
        <f>IF(AND(ISNUMBER(AE62),ISNUMBER(AC62)),AE62-AC62,"")</f>
        <v>0</v>
      </c>
      <c r="AE62" s="41" t="s">
        <v>395</v>
      </c>
      <c r="AF62" s="35">
        <f>IF(AND(ISNUMBER(AG62),ISNUMBER(AE62)),AG62-AE62,"")</f>
        <v>0</v>
      </c>
      <c r="AG62" s="41" t="s">
        <v>395</v>
      </c>
      <c r="AH62" s="35">
        <f>IF(AND(ISNUMBER(AI62),ISNUMBER(AG62)),AI62-AG62,"")</f>
        <v>0</v>
      </c>
      <c r="AI62" s="41" t="s">
        <v>395</v>
      </c>
      <c r="AJ62" s="35">
        <f>IF(AND(ISNUMBER(AK62),ISNUMBER(AI62)),AK62-AI62,"")</f>
        <v>0</v>
      </c>
      <c r="AK62" s="41" t="s">
        <v>395</v>
      </c>
      <c r="AL62" s="35">
        <f>IF(AND(ISNUMBER(AM62),ISNUMBER(AK62)),AM62-AK62,"")</f>
        <v>0</v>
      </c>
      <c r="AM62" s="41" t="s">
        <v>395</v>
      </c>
      <c r="AN62" s="35">
        <f>IF(AND(ISNUMBER(AO62),ISNUMBER(AM62)),AO62-AM62,"")</f>
        <v>0</v>
      </c>
      <c r="AO62" s="41" t="s">
        <v>395</v>
      </c>
      <c r="AP62" s="35">
        <f>IF(AND(ISNUMBER(AQ62),ISNUMBER(AO62)),AQ62-AO62,"")</f>
        <v>0</v>
      </c>
      <c r="AQ62" s="41" t="s">
        <v>395</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402</v>
      </c>
    </row>
    <row r="63" spans="1:322">
      <c r="A63" s="23">
        <v>5</v>
      </c>
      <c r="B63" s="24" t="s">
        <v>419</v>
      </c>
      <c r="C63" s="44" t="s">
        <v>30</v>
      </c>
      <c r="D63" s="44"/>
      <c r="E63" s="26" t="s">
        <v>364</v>
      </c>
      <c r="F63" s="27"/>
      <c r="G63" s="27"/>
      <c r="H63" s="27" t="s">
        <v>413</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405</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420</v>
      </c>
      <c r="C64" s="44" t="s">
        <v>30</v>
      </c>
      <c r="D64" s="44"/>
      <c r="E64" s="26" t="s">
        <v>421</v>
      </c>
      <c r="F64" s="27"/>
      <c r="G64" s="27"/>
      <c r="H64" s="27" t="s">
        <v>422</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405</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v>2635</v>
      </c>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423</v>
      </c>
    </row>
    <row r="65" spans="1:322">
      <c r="A65" s="37" t="s">
        <v>89</v>
      </c>
      <c r="B65" s="24"/>
      <c r="C65" s="32" t="s">
        <v>87</v>
      </c>
      <c r="E65" s="33" t="s">
        <v>421</v>
      </c>
      <c r="H65" s="39" t="s">
        <v>422</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405</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423</v>
      </c>
    </row>
    <row r="66" spans="1:322">
      <c r="A66" s="37" t="s">
        <v>92</v>
      </c>
      <c r="B66" s="24"/>
      <c r="C66" s="32" t="s">
        <v>90</v>
      </c>
      <c r="E66" s="33" t="s">
        <v>421</v>
      </c>
      <c r="H66" s="39" t="s">
        <v>422</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405</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423</v>
      </c>
    </row>
    <row r="67" spans="1:322">
      <c r="A67" s="23" t="s">
        <v>97</v>
      </c>
      <c r="B67" s="24" t="s">
        <v>424</v>
      </c>
      <c r="C67" s="44" t="s">
        <v>425</v>
      </c>
      <c r="D67" s="44" t="s">
        <v>426</v>
      </c>
      <c r="E67" s="26"/>
      <c r="F67" s="27"/>
      <c r="G67" s="27"/>
      <c r="H67" s="27" t="s">
        <v>399</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v>11516</v>
      </c>
      <c r="JR67" s="29">
        <f>IF(AND(ISNUMBER(JS67),ISNUMBER(JQ67)),JS67-JQ67,"")</f>
        <v>0</v>
      </c>
      <c r="JS67" s="28">
        <v>12615</v>
      </c>
      <c r="JT67" s="29">
        <f>IF(AND(ISNUMBER(JU67),ISNUMBER(JS67)),JU67-JS67,"")</f>
        <v>0</v>
      </c>
      <c r="JU67" s="28">
        <v>12187</v>
      </c>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359</v>
      </c>
      <c r="H68" s="39" t="s">
        <v>399</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v>1895</v>
      </c>
      <c r="JR68" s="35">
        <f>IF(AND(ISNUMBER(JS68),ISNUMBER(JQ68)),JS68-JQ68,"")</f>
        <v>0</v>
      </c>
      <c r="JS68" s="34">
        <v>2042</v>
      </c>
      <c r="JT68" s="35">
        <f>IF(AND(ISNUMBER(JU68),ISNUMBER(JS68)),JU68-JS68,"")</f>
        <v>0</v>
      </c>
      <c r="JU68" s="34">
        <v>2141</v>
      </c>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359</v>
      </c>
      <c r="H69" s="39" t="s">
        <v>399</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v>8128</v>
      </c>
      <c r="JR69" s="35">
        <f>IF(AND(ISNUMBER(JS69),ISNUMBER(JQ69)),JS69-JQ69,"")</f>
        <v>0</v>
      </c>
      <c r="JS69" s="34">
        <v>8934</v>
      </c>
      <c r="JT69" s="35">
        <f>IF(AND(ISNUMBER(JU69),ISNUMBER(JS69)),JU69-JS69,"")</f>
        <v>0</v>
      </c>
      <c r="JU69" s="34">
        <v>9001</v>
      </c>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359</v>
      </c>
      <c r="H70" s="39" t="s">
        <v>399</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v>1493</v>
      </c>
      <c r="JR70" s="35">
        <f>IF(AND(ISNUMBER(JS70),ISNUMBER(JQ70)),JS70-JQ70,"")</f>
        <v>0</v>
      </c>
      <c r="JS70" s="34">
        <v>1639</v>
      </c>
      <c r="JT70" s="35">
        <f>IF(AND(ISNUMBER(JU70),ISNUMBER(JS70)),JU70-JS70,"")</f>
        <v>0</v>
      </c>
      <c r="JU70" s="34">
        <v>1045</v>
      </c>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427</v>
      </c>
      <c r="D71" s="32" t="s">
        <v>426</v>
      </c>
      <c r="H71" s="39" t="s">
        <v>399</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v>5</v>
      </c>
      <c r="JR71" s="35">
        <f>IF(AND(ISNUMBER(JS71),ISNUMBER(JQ71)),JS71-JQ71,"")</f>
        <v>0</v>
      </c>
      <c r="JS71" s="34">
        <v>3438</v>
      </c>
      <c r="JT71" s="35">
        <f>IF(AND(ISNUMBER(JU71),ISNUMBER(JS71)),JU71-JS71,"")</f>
        <v>0</v>
      </c>
      <c r="JU71" s="34">
        <v>1415</v>
      </c>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359</v>
      </c>
      <c r="H72" s="39" t="s">
        <v>399</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v>5</v>
      </c>
      <c r="JR72" s="35">
        <f>IF(AND(ISNUMBER(JS72),ISNUMBER(JQ72)),JS72-JQ72,"")</f>
        <v>0</v>
      </c>
      <c r="JS72" s="34">
        <v>1023</v>
      </c>
      <c r="JT72" s="35">
        <f>IF(AND(ISNUMBER(JU72),ISNUMBER(JS72)),JU72-JS72,"")</f>
        <v>0</v>
      </c>
      <c r="JU72" s="34">
        <v>499</v>
      </c>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359</v>
      </c>
      <c r="H73" s="39" t="s">
        <v>399</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v>0</v>
      </c>
      <c r="JR73" s="35">
        <f>IF(AND(ISNUMBER(JS73),ISNUMBER(JQ73)),JS73-JQ73,"")</f>
        <v>0</v>
      </c>
      <c r="JS73" s="34">
        <v>1912</v>
      </c>
      <c r="JT73" s="35">
        <f>IF(AND(ISNUMBER(JU73),ISNUMBER(JS73)),JU73-JS73,"")</f>
        <v>0</v>
      </c>
      <c r="JU73" s="34">
        <v>549</v>
      </c>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359</v>
      </c>
      <c r="H74" s="39" t="s">
        <v>399</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v>0</v>
      </c>
      <c r="JR74" s="35">
        <f>IF(AND(ISNUMBER(JS74),ISNUMBER(JQ74)),JS74-JQ74,"")</f>
        <v>0</v>
      </c>
      <c r="JS74" s="34">
        <v>503</v>
      </c>
      <c r="JT74" s="35">
        <f>IF(AND(ISNUMBER(JU74),ISNUMBER(JS74)),JU74-JS74,"")</f>
        <v>0</v>
      </c>
      <c r="JU74" s="34">
        <v>367</v>
      </c>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428</v>
      </c>
      <c r="D75" s="32" t="s">
        <v>426</v>
      </c>
      <c r="H75" s="39" t="s">
        <v>399</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v>0</v>
      </c>
      <c r="JR75" s="35">
        <f>IF(AND(ISNUMBER(JS75),ISNUMBER(JQ75)),JS75-JQ75,"")</f>
        <v>0</v>
      </c>
      <c r="JS75" s="34">
        <v>2339</v>
      </c>
      <c r="JT75" s="35">
        <f>IF(AND(ISNUMBER(JU75),ISNUMBER(JS75)),JU75-JS75,"")</f>
        <v>0</v>
      </c>
      <c r="JU75" s="34">
        <v>1843</v>
      </c>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359</v>
      </c>
      <c r="H76" s="39" t="s">
        <v>399</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v>0</v>
      </c>
      <c r="JR76" s="35">
        <f>IF(AND(ISNUMBER(JS76),ISNUMBER(JQ76)),JS76-JQ76,"")</f>
        <v>0</v>
      </c>
      <c r="JS76" s="34">
        <v>876</v>
      </c>
      <c r="JT76" s="35">
        <f>IF(AND(ISNUMBER(JU76),ISNUMBER(JS76)),JU76-JS76,"")</f>
        <v>0</v>
      </c>
      <c r="JU76" s="34">
        <v>400</v>
      </c>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359</v>
      </c>
      <c r="H77" s="39" t="s">
        <v>399</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v>0</v>
      </c>
      <c r="JR77" s="35">
        <f>IF(AND(ISNUMBER(JS77),ISNUMBER(JQ77)),JS77-JQ77,"")</f>
        <v>0</v>
      </c>
      <c r="JS77" s="34">
        <v>1106</v>
      </c>
      <c r="JT77" s="35">
        <f>IF(AND(ISNUMBER(JU77),ISNUMBER(JS77)),JU77-JS77,"")</f>
        <v>0</v>
      </c>
      <c r="JU77" s="34">
        <v>482</v>
      </c>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359</v>
      </c>
      <c r="H78" s="39" t="s">
        <v>399</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v>0</v>
      </c>
      <c r="JR78" s="35">
        <f>IF(AND(ISNUMBER(JS78),ISNUMBER(JQ78)),JS78-JQ78,"")</f>
        <v>0</v>
      </c>
      <c r="JS78" s="34">
        <v>357</v>
      </c>
      <c r="JT78" s="35">
        <f>IF(AND(ISNUMBER(JU78),ISNUMBER(JS78)),JU78-JS78,"")</f>
        <v>0</v>
      </c>
      <c r="JU78" s="34">
        <v>961</v>
      </c>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429</v>
      </c>
      <c r="D79" s="32" t="s">
        <v>430</v>
      </c>
      <c r="H79" s="39" t="s">
        <v>399</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v>26964</v>
      </c>
      <c r="JT79" s="35">
        <f>IF(AND(ISNUMBER(JU79),ISNUMBER(JS79)),JU79-JS79,"")</f>
        <v>0</v>
      </c>
      <c r="JU79" s="34">
        <v>25748</v>
      </c>
      <c r="JV79" s="35">
        <f>IF(AND(ISNUMBER(JW79),ISNUMBER(JU79)),JW79-JU79,"")</f>
        <v>0</v>
      </c>
      <c r="JW79" s="34">
        <v>26600</v>
      </c>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359</v>
      </c>
      <c r="H80" s="39" t="s">
        <v>399</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v>4616</v>
      </c>
      <c r="JT80" s="35">
        <f>IF(AND(ISNUMBER(JU80),ISNUMBER(JS80)),JU80-JS80,"")</f>
        <v>0</v>
      </c>
      <c r="JU80" s="34">
        <v>4905</v>
      </c>
      <c r="JV80" s="35">
        <f>IF(AND(ISNUMBER(JW80),ISNUMBER(JU80)),JW80-JU80,"")</f>
        <v>0</v>
      </c>
      <c r="JW80" s="34">
        <v>4517</v>
      </c>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359</v>
      </c>
      <c r="H81" s="39" t="s">
        <v>399</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v>19629</v>
      </c>
      <c r="JT81" s="35">
        <f>IF(AND(ISNUMBER(JU81),ISNUMBER(JS81)),JU81-JS81,"")</f>
        <v>0</v>
      </c>
      <c r="JU81" s="34">
        <v>19444</v>
      </c>
      <c r="JV81" s="35">
        <f>IF(AND(ISNUMBER(JW81),ISNUMBER(JU81)),JW81-JU81,"")</f>
        <v>0</v>
      </c>
      <c r="JW81" s="34">
        <v>20368</v>
      </c>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359</v>
      </c>
      <c r="H82" s="39" t="s">
        <v>399</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v>2719</v>
      </c>
      <c r="JT82" s="35">
        <f>IF(AND(ISNUMBER(JU82),ISNUMBER(JS82)),JU82-JS82,"")</f>
        <v>0</v>
      </c>
      <c r="JU82" s="34">
        <v>1399</v>
      </c>
      <c r="JV82" s="35">
        <f>IF(AND(ISNUMBER(JW82),ISNUMBER(JU82)),JW82-JU82,"")</f>
        <v>0</v>
      </c>
      <c r="JW82" s="34">
        <v>1715</v>
      </c>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427</v>
      </c>
      <c r="D83" s="32" t="s">
        <v>430</v>
      </c>
      <c r="H83" s="39" t="s">
        <v>399</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v>2238</v>
      </c>
      <c r="JT83" s="35">
        <f>IF(AND(ISNUMBER(JU83),ISNUMBER(JS83)),JU83-JS83,"")</f>
        <v>0</v>
      </c>
      <c r="JU83" s="34">
        <v>3319</v>
      </c>
      <c r="JV83" s="35">
        <f>IF(AND(ISNUMBER(JW83),ISNUMBER(JU83)),JW83-JU83,"")</f>
        <v>0</v>
      </c>
      <c r="JW83" s="34">
        <v>4051</v>
      </c>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359</v>
      </c>
      <c r="H84" s="39" t="s">
        <v>399</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v>768</v>
      </c>
      <c r="JT84" s="35">
        <f>IF(AND(ISNUMBER(JU84),ISNUMBER(JS84)),JU84-JS84,"")</f>
        <v>0</v>
      </c>
      <c r="JU84" s="34">
        <v>1201</v>
      </c>
      <c r="JV84" s="35">
        <f>IF(AND(ISNUMBER(JW84),ISNUMBER(JU84)),JW84-JU84,"")</f>
        <v>0</v>
      </c>
      <c r="JW84" s="34">
        <v>894</v>
      </c>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359</v>
      </c>
      <c r="H85" s="39" t="s">
        <v>399</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v>1126</v>
      </c>
      <c r="JT85" s="35">
        <f>IF(AND(ISNUMBER(JU85),ISNUMBER(JS85)),JU85-JS85,"")</f>
        <v>0</v>
      </c>
      <c r="JU85" s="34">
        <v>1489</v>
      </c>
      <c r="JV85" s="35">
        <f>IF(AND(ISNUMBER(JW85),ISNUMBER(JU85)),JW85-JU85,"")</f>
        <v>0</v>
      </c>
      <c r="JW85" s="34">
        <v>2379</v>
      </c>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359</v>
      </c>
      <c r="H86" s="39" t="s">
        <v>399</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v>344</v>
      </c>
      <c r="JT86" s="35">
        <f>IF(AND(ISNUMBER(JU86),ISNUMBER(JS86)),JU86-JS86,"")</f>
        <v>0</v>
      </c>
      <c r="JU86" s="34">
        <v>629</v>
      </c>
      <c r="JV86" s="35">
        <f>IF(AND(ISNUMBER(JW86),ISNUMBER(JU86)),JW86-JU86,"")</f>
        <v>0</v>
      </c>
      <c r="JW86" s="34">
        <v>778</v>
      </c>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428</v>
      </c>
      <c r="D87" s="32" t="s">
        <v>430</v>
      </c>
      <c r="H87" s="39" t="s">
        <v>399</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v>2331</v>
      </c>
      <c r="JT87" s="35">
        <f>IF(AND(ISNUMBER(JU87),ISNUMBER(JS87)),JU87-JS87,"")</f>
        <v>0</v>
      </c>
      <c r="JU87" s="34">
        <v>4535</v>
      </c>
      <c r="JV87" s="35">
        <f>IF(AND(ISNUMBER(JW87),ISNUMBER(JU87)),JW87-JU87,"")</f>
        <v>0</v>
      </c>
      <c r="JW87" s="34">
        <v>3199</v>
      </c>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359</v>
      </c>
      <c r="H88" s="39" t="s">
        <v>399</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v>493</v>
      </c>
      <c r="JT88" s="35">
        <f>IF(AND(ISNUMBER(JU88),ISNUMBER(JS88)),JU88-JS88,"")</f>
        <v>0</v>
      </c>
      <c r="JU88" s="34">
        <v>912</v>
      </c>
      <c r="JV88" s="35">
        <f>IF(AND(ISNUMBER(JW88),ISNUMBER(JU88)),JW88-JU88,"")</f>
        <v>0</v>
      </c>
      <c r="JW88" s="34">
        <v>1282</v>
      </c>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359</v>
      </c>
      <c r="H89" s="39" t="s">
        <v>399</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v>1463</v>
      </c>
      <c r="JT89" s="35">
        <f>IF(AND(ISNUMBER(JU89),ISNUMBER(JS89)),JU89-JS89,"")</f>
        <v>0</v>
      </c>
      <c r="JU89" s="34">
        <v>1674</v>
      </c>
      <c r="JV89" s="35">
        <f>IF(AND(ISNUMBER(JW89),ISNUMBER(JU89)),JW89-JU89,"")</f>
        <v>0</v>
      </c>
      <c r="JW89" s="34">
        <v>1455</v>
      </c>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359</v>
      </c>
      <c r="H90" s="39" t="s">
        <v>399</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v>375</v>
      </c>
      <c r="JT90" s="35">
        <f>IF(AND(ISNUMBER(JU90),ISNUMBER(JS90)),JU90-JS90,"")</f>
        <v>0</v>
      </c>
      <c r="JU90" s="34">
        <v>1949</v>
      </c>
      <c r="JV90" s="35">
        <f>IF(AND(ISNUMBER(JW90),ISNUMBER(JU90)),JW90-JU90,"")</f>
        <v>0</v>
      </c>
      <c r="JW90" s="34">
        <v>462</v>
      </c>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424</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431</v>
      </c>
      <c r="E92" s="33" t="s">
        <v>359</v>
      </c>
      <c r="F92" s="39">
        <v>45597</v>
      </c>
      <c r="H92" s="39" t="s">
        <v>399</v>
      </c>
      <c r="I92" s="34">
        <v>8918</v>
      </c>
      <c r="J92" s="35">
        <f>IF(AND(ISNUMBER(K92),ISNUMBER(I92)),K92-I92,"")</f>
        <v>0</v>
      </c>
      <c r="K92" s="41" t="s">
        <v>405</v>
      </c>
      <c r="L92" s="35">
        <f>IF(AND(ISNUMBER(M92),ISNUMBER(K92)),M92-K92,"")</f>
        <v>0</v>
      </c>
      <c r="M92" s="41" t="s">
        <v>405</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v>2623</v>
      </c>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432</v>
      </c>
    </row>
    <row r="93" spans="1:322" hidden="1">
      <c r="A93" s="37" t="s">
        <v>164</v>
      </c>
      <c r="B93" s="24"/>
      <c r="C93" s="32" t="s">
        <v>30</v>
      </c>
      <c r="D93" s="32" t="s">
        <v>162</v>
      </c>
      <c r="E93" s="33" t="s">
        <v>359</v>
      </c>
      <c r="F93" s="39">
        <v>45627</v>
      </c>
      <c r="H93" s="39" t="s">
        <v>399</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433</v>
      </c>
      <c r="AZ93" s="35">
        <f>IF(AND(ISNUMBER(BA93),ISNUMBER(AY93)),BA93-AY93,"")</f>
        <v>0</v>
      </c>
      <c r="BA93" s="41" t="s">
        <v>433</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395</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v>9605</v>
      </c>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434</v>
      </c>
    </row>
    <row r="94" spans="1:322" hidden="1">
      <c r="A94" s="37" t="s">
        <v>167</v>
      </c>
      <c r="B94" s="24"/>
      <c r="C94" s="32" t="s">
        <v>30</v>
      </c>
      <c r="D94" s="32" t="s">
        <v>165</v>
      </c>
      <c r="E94" s="33" t="s">
        <v>435</v>
      </c>
      <c r="H94" s="39" t="s">
        <v>399</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427</v>
      </c>
      <c r="D95" s="38" t="s">
        <v>156</v>
      </c>
      <c r="H95" s="39" t="s">
        <v>399</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359</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436</v>
      </c>
      <c r="E97" s="33" t="s">
        <v>359</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437</v>
      </c>
      <c r="IT97" s="35">
        <f>IF(AND(ISNUMBER(IU97),ISNUMBER(IS97)),IU97-IS97,"")</f>
        <v>0</v>
      </c>
      <c r="IU97" s="34">
        <v>2535</v>
      </c>
      <c r="IV97" s="35">
        <f>IF(AND(ISNUMBER(IW97),ISNUMBER(IU97)),IW97-IU97,"")</f>
        <v>0</v>
      </c>
      <c r="IW97" s="41" t="s">
        <v>438</v>
      </c>
      <c r="IX97" s="35">
        <f>IF(AND(ISNUMBER(IY97),ISNUMBER(IW97)),IY97-IW97,"")</f>
        <v>0</v>
      </c>
      <c r="IY97" s="41" t="s">
        <v>438</v>
      </c>
      <c r="IZ97" s="35">
        <f>IF(AND(ISNUMBER(JA97),ISNUMBER(IY97)),JA97-IY97,"")</f>
        <v>0</v>
      </c>
      <c r="JA97" s="41" t="s">
        <v>438</v>
      </c>
      <c r="JB97" s="35">
        <f>IF(AND(ISNUMBER(JC97),ISNUMBER(JA97)),JC97-JA97,"")</f>
        <v>0</v>
      </c>
      <c r="JC97" s="41" t="s">
        <v>438</v>
      </c>
      <c r="JD97" s="35">
        <f>IF(AND(ISNUMBER(JE97),ISNUMBER(JC97)),JE97-JC97,"")</f>
        <v>0</v>
      </c>
      <c r="JE97" s="41" t="s">
        <v>438</v>
      </c>
      <c r="JF97" s="35">
        <f>IF(AND(ISNUMBER(JG97),ISNUMBER(JE97)),JG97-JE97,"")</f>
        <v>0</v>
      </c>
      <c r="JG97" s="41" t="s">
        <v>438</v>
      </c>
      <c r="JH97" s="35">
        <f>IF(AND(ISNUMBER(JI97),ISNUMBER(JG97)),JI97-JG97,"")</f>
        <v>0</v>
      </c>
      <c r="JI97" s="41" t="s">
        <v>438</v>
      </c>
      <c r="JJ97" s="35">
        <f>IF(AND(ISNUMBER(JK97),ISNUMBER(JI97)),JK97-JI97,"")</f>
        <v>0</v>
      </c>
      <c r="JK97" s="41" t="s">
        <v>438</v>
      </c>
      <c r="JL97" s="35">
        <f>IF(AND(ISNUMBER(JM97),ISNUMBER(JK97)),JM97-JK97,"")</f>
        <v>0</v>
      </c>
      <c r="JM97" s="41" t="s">
        <v>438</v>
      </c>
      <c r="JN97" s="35">
        <f>IF(AND(ISNUMBER(JO97),ISNUMBER(JM97)),JO97-JM97,"")</f>
        <v>0</v>
      </c>
      <c r="JO97" s="41" t="s">
        <v>438</v>
      </c>
      <c r="JP97" s="35">
        <f>IF(AND(ISNUMBER(JQ97),ISNUMBER(JO97)),JQ97-JO97,"")</f>
        <v>0</v>
      </c>
      <c r="JQ97" s="41" t="s">
        <v>438</v>
      </c>
      <c r="JR97" s="35">
        <f>IF(AND(ISNUMBER(JS97),ISNUMBER(JQ97)),JS97-JQ97,"")</f>
        <v>0</v>
      </c>
      <c r="JS97" s="41" t="s">
        <v>438</v>
      </c>
      <c r="JT97" s="35">
        <f>IF(AND(ISNUMBER(JU97),ISNUMBER(JS97)),JU97-JS97,"")</f>
        <v>0</v>
      </c>
      <c r="JU97" s="41" t="s">
        <v>438</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435</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428</v>
      </c>
      <c r="D99" s="38" t="s">
        <v>156</v>
      </c>
      <c r="H99" s="39" t="s">
        <v>399</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431</v>
      </c>
      <c r="E100" s="33" t="s">
        <v>359</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436</v>
      </c>
      <c r="E101" s="33" t="s">
        <v>359</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437</v>
      </c>
      <c r="IT101" s="35">
        <f>IF(AND(ISNUMBER(IU101),ISNUMBER(IS101)),IU101-IS101,"")</f>
        <v>0</v>
      </c>
      <c r="IU101" s="34">
        <v>2441</v>
      </c>
      <c r="IV101" s="35">
        <f>IF(AND(ISNUMBER(IW101),ISNUMBER(IU101)),IW101-IU101,"")</f>
        <v>0</v>
      </c>
      <c r="IW101" s="41" t="s">
        <v>438</v>
      </c>
      <c r="IX101" s="35">
        <f>IF(AND(ISNUMBER(IY101),ISNUMBER(IW101)),IY101-IW101,"")</f>
        <v>0</v>
      </c>
      <c r="IY101" s="41" t="s">
        <v>438</v>
      </c>
      <c r="IZ101" s="35">
        <f>IF(AND(ISNUMBER(JA101),ISNUMBER(IY101)),JA101-IY101,"")</f>
        <v>0</v>
      </c>
      <c r="JA101" s="41" t="s">
        <v>438</v>
      </c>
      <c r="JB101" s="35">
        <f>IF(AND(ISNUMBER(JC101),ISNUMBER(JA101)),JC101-JA101,"")</f>
        <v>0</v>
      </c>
      <c r="JC101" s="41" t="s">
        <v>438</v>
      </c>
      <c r="JD101" s="35">
        <f>IF(AND(ISNUMBER(JE101),ISNUMBER(JC101)),JE101-JC101,"")</f>
        <v>0</v>
      </c>
      <c r="JE101" s="41" t="s">
        <v>438</v>
      </c>
      <c r="JF101" s="35">
        <f>IF(AND(ISNUMBER(JG101),ISNUMBER(JE101)),JG101-JE101,"")</f>
        <v>0</v>
      </c>
      <c r="JG101" s="41" t="s">
        <v>438</v>
      </c>
      <c r="JH101" s="35">
        <f>IF(AND(ISNUMBER(JI101),ISNUMBER(JG101)),JI101-JG101,"")</f>
        <v>0</v>
      </c>
      <c r="JI101" s="41" t="s">
        <v>438</v>
      </c>
      <c r="JJ101" s="35">
        <f>IF(AND(ISNUMBER(JK101),ISNUMBER(JI101)),JK101-JI101,"")</f>
        <v>0</v>
      </c>
      <c r="JK101" s="41" t="s">
        <v>438</v>
      </c>
      <c r="JL101" s="35">
        <f>IF(AND(ISNUMBER(JM101),ISNUMBER(JK101)),JM101-JK101,"")</f>
        <v>0</v>
      </c>
      <c r="JM101" s="41" t="s">
        <v>438</v>
      </c>
      <c r="JN101" s="35">
        <f>IF(AND(ISNUMBER(JO101),ISNUMBER(JM101)),JO101-JM101,"")</f>
        <v>0</v>
      </c>
      <c r="JO101" s="41" t="s">
        <v>438</v>
      </c>
      <c r="JP101" s="35">
        <f>IF(AND(ISNUMBER(JQ101),ISNUMBER(JO101)),JQ101-JO101,"")</f>
        <v>0</v>
      </c>
      <c r="JQ101" s="41" t="s">
        <v>438</v>
      </c>
      <c r="JR101" s="35">
        <f>IF(AND(ISNUMBER(JS101),ISNUMBER(JQ101)),JS101-JQ101,"")</f>
        <v>0</v>
      </c>
      <c r="JS101" s="41" t="s">
        <v>438</v>
      </c>
      <c r="JT101" s="35">
        <f>IF(AND(ISNUMBER(JU101),ISNUMBER(JS101)),JU101-JS101,"")</f>
        <v>0</v>
      </c>
      <c r="JU101" s="41" t="s">
        <v>438</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435</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439</v>
      </c>
      <c r="C103" s="44" t="s">
        <v>30</v>
      </c>
      <c r="D103" s="44" t="s">
        <v>183</v>
      </c>
      <c r="E103" s="26" t="s">
        <v>440</v>
      </c>
      <c r="F103" s="27">
        <v>45388</v>
      </c>
      <c r="G103" s="27"/>
      <c r="H103" s="27" t="s">
        <v>422</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441</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v>83</v>
      </c>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422</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v>70</v>
      </c>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422</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v>91</v>
      </c>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442</v>
      </c>
      <c r="E112" s="33" t="s">
        <v>440</v>
      </c>
      <c r="F112" s="39">
        <v>45300</v>
      </c>
      <c r="H112" s="39" t="s">
        <v>422</v>
      </c>
      <c r="I112" s="41" t="s">
        <v>405</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405</v>
      </c>
      <c r="V112" s="35">
        <f>IF(AND(ISNUMBER(W112),ISNUMBER(U112)),W112-U112,"")</f>
        <v>0</v>
      </c>
      <c r="W112" s="34">
        <v>3078</v>
      </c>
      <c r="X112" s="35">
        <f>IF(AND(ISNUMBER(Y112),ISNUMBER(W112)),Y112-W112,"")</f>
        <v>0</v>
      </c>
      <c r="Y112" s="41" t="s">
        <v>405</v>
      </c>
      <c r="Z112" s="35">
        <f>IF(AND(ISNUMBER(AA112),ISNUMBER(Y112)),AA112-Y112,"")</f>
        <v>0</v>
      </c>
      <c r="AA112" s="41" t="s">
        <v>405</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405</v>
      </c>
      <c r="AP112" s="35">
        <f>IF(AND(ISNUMBER(AQ112),ISNUMBER(AO112)),AQ112-AO112,"")</f>
        <v>0</v>
      </c>
      <c r="AQ112" s="41" t="s">
        <v>405</v>
      </c>
      <c r="AR112" s="35">
        <f>IF(AND(ISNUMBER(AS112),ISNUMBER(AQ112)),AS112-AQ112,"")</f>
        <v>0</v>
      </c>
      <c r="AS112" s="41" t="s">
        <v>405</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v>0</v>
      </c>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443</v>
      </c>
    </row>
    <row r="113" spans="1:322">
      <c r="A113" s="23" t="s">
        <v>202</v>
      </c>
      <c r="B113" s="24" t="s">
        <v>444</v>
      </c>
      <c r="C113" s="44" t="s">
        <v>30</v>
      </c>
      <c r="D113" s="44"/>
      <c r="E113" s="26" t="s">
        <v>445</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v>368</v>
      </c>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446</v>
      </c>
      <c r="C114" s="44" t="s">
        <v>30</v>
      </c>
      <c r="D114" s="44"/>
      <c r="E114" s="26" t="s">
        <v>447</v>
      </c>
      <c r="F114" s="27"/>
      <c r="G114" s="27"/>
      <c r="H114" s="27" t="s">
        <v>413</v>
      </c>
      <c r="I114" s="43" t="s">
        <v>395</v>
      </c>
      <c r="J114" s="29">
        <f>IF(AND(ISNUMBER(K114),ISNUMBER(I114)),K114-I114,"")</f>
        <v>0</v>
      </c>
      <c r="K114" s="43" t="s">
        <v>395</v>
      </c>
      <c r="L114" s="29">
        <f>IF(AND(ISNUMBER(M114),ISNUMBER(K114)),M114-K114,"")</f>
        <v>0</v>
      </c>
      <c r="M114" s="43" t="s">
        <v>395</v>
      </c>
      <c r="N114" s="29">
        <f>IF(AND(ISNUMBER(O114),ISNUMBER(M114)),O114-M114,"")</f>
        <v>0</v>
      </c>
      <c r="O114" s="43" t="s">
        <v>395</v>
      </c>
      <c r="P114" s="29">
        <f>IF(AND(ISNUMBER(Q114),ISNUMBER(O114)),Q114-O114,"")</f>
        <v>0</v>
      </c>
      <c r="Q114" s="43" t="s">
        <v>395</v>
      </c>
      <c r="R114" s="29">
        <f>IF(AND(ISNUMBER(S114),ISNUMBER(Q114)),S114-Q114,"")</f>
        <v>0</v>
      </c>
      <c r="S114" s="43" t="s">
        <v>395</v>
      </c>
      <c r="T114" s="29">
        <f>IF(AND(ISNUMBER(U114),ISNUMBER(S114)),U114-S114,"")</f>
        <v>0</v>
      </c>
      <c r="U114" s="43" t="s">
        <v>395</v>
      </c>
      <c r="V114" s="29">
        <f>IF(AND(ISNUMBER(W114),ISNUMBER(U114)),W114-U114,"")</f>
        <v>0</v>
      </c>
      <c r="W114" s="43" t="s">
        <v>395</v>
      </c>
      <c r="X114" s="29">
        <f>IF(AND(ISNUMBER(Y114),ISNUMBER(W114)),Y114-W114,"")</f>
        <v>0</v>
      </c>
      <c r="Y114" s="43" t="s">
        <v>395</v>
      </c>
      <c r="Z114" s="29">
        <f>IF(AND(ISNUMBER(AA114),ISNUMBER(Y114)),AA114-Y114,"")</f>
        <v>0</v>
      </c>
      <c r="AA114" s="43" t="s">
        <v>395</v>
      </c>
      <c r="AB114" s="29">
        <f>IF(AND(ISNUMBER(AC114),ISNUMBER(AA114)),AC114-AA114,"")</f>
        <v>0</v>
      </c>
      <c r="AC114" s="28">
        <v>27</v>
      </c>
      <c r="AD114" s="29">
        <f>IF(AND(ISNUMBER(AE114),ISNUMBER(AC114)),AE114-AC114,"")</f>
        <v>0</v>
      </c>
      <c r="AE114" s="43" t="s">
        <v>395</v>
      </c>
      <c r="AF114" s="29">
        <f>IF(AND(ISNUMBER(AG114),ISNUMBER(AE114)),AG114-AE114,"")</f>
        <v>0</v>
      </c>
      <c r="AG114" s="43" t="s">
        <v>395</v>
      </c>
      <c r="AH114" s="29">
        <f>IF(AND(ISNUMBER(AI114),ISNUMBER(AG114)),AI114-AG114,"")</f>
        <v>0</v>
      </c>
      <c r="AI114" s="43" t="s">
        <v>395</v>
      </c>
      <c r="AJ114" s="29">
        <f>IF(AND(ISNUMBER(AK114),ISNUMBER(AI114)),AK114-AI114,"")</f>
        <v>0</v>
      </c>
      <c r="AK114" s="43" t="s">
        <v>395</v>
      </c>
      <c r="AL114" s="29">
        <f>IF(AND(ISNUMBER(AM114),ISNUMBER(AK114)),AM114-AK114,"")</f>
        <v>0</v>
      </c>
      <c r="AM114" s="43" t="s">
        <v>395</v>
      </c>
      <c r="AN114" s="29">
        <f>IF(AND(ISNUMBER(AO114),ISNUMBER(AM114)),AO114-AM114,"")</f>
        <v>0</v>
      </c>
      <c r="AO114" s="43" t="s">
        <v>395</v>
      </c>
      <c r="AP114" s="29">
        <f>IF(AND(ISNUMBER(AQ114),ISNUMBER(AO114)),AQ114-AO114,"")</f>
        <v>0</v>
      </c>
      <c r="AQ114" s="28">
        <v>45</v>
      </c>
      <c r="AR114" s="29">
        <f>IF(AND(ISNUMBER(AS114),ISNUMBER(AQ114)),AS114-AQ114,"")</f>
        <v>0</v>
      </c>
      <c r="AS114" s="43" t="s">
        <v>395</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448</v>
      </c>
    </row>
    <row r="115" spans="1:322">
      <c r="A115" s="23" t="s">
        <v>208</v>
      </c>
      <c r="B115" s="24" t="s">
        <v>449</v>
      </c>
      <c r="C115" s="44" t="s">
        <v>30</v>
      </c>
      <c r="D115" s="44"/>
      <c r="E115" s="26" t="s">
        <v>450</v>
      </c>
      <c r="F115" s="27"/>
      <c r="G115" s="27"/>
      <c r="H115" s="27" t="s">
        <v>451</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452</v>
      </c>
      <c r="BR115" s="29">
        <f>IF(AND(ISNUMBER(BS115),ISNUMBER(BQ115)),BS115-BQ115,"")</f>
        <v>0</v>
      </c>
      <c r="BS115" s="43" t="s">
        <v>452</v>
      </c>
      <c r="BT115" s="29">
        <f>IF(AND(ISNUMBER(BU115),ISNUMBER(BS115)),BU115-BS115,"")</f>
        <v>0</v>
      </c>
      <c r="BU115" s="43" t="s">
        <v>452</v>
      </c>
      <c r="BV115" s="29">
        <f>IF(AND(ISNUMBER(BW115),ISNUMBER(BU115)),BW115-BU115,"")</f>
        <v>0</v>
      </c>
      <c r="BW115" s="43" t="s">
        <v>452</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453</v>
      </c>
    </row>
    <row r="116" spans="1:322">
      <c r="A116" s="23" t="s">
        <v>211</v>
      </c>
      <c r="B116" s="24" t="s">
        <v>454</v>
      </c>
      <c r="C116" s="44" t="s">
        <v>30</v>
      </c>
      <c r="D116" s="44"/>
      <c r="E116" s="26" t="s">
        <v>450</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v>26</v>
      </c>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455</v>
      </c>
      <c r="C117" s="25" t="s">
        <v>30</v>
      </c>
      <c r="D117" s="25"/>
      <c r="E117" s="26" t="s">
        <v>456</v>
      </c>
      <c r="F117" s="27"/>
      <c r="G117" s="27"/>
      <c r="H117" s="27" t="s">
        <v>422</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456</v>
      </c>
      <c r="H118" s="39" t="s">
        <v>422</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456</v>
      </c>
      <c r="H119" s="39" t="s">
        <v>422</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456</v>
      </c>
      <c r="H120" s="39" t="s">
        <v>422</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456</v>
      </c>
      <c r="H121" s="39" t="s">
        <v>422</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456</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456</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456</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456</v>
      </c>
      <c r="H125" s="39" t="s">
        <v>422</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456</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456</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456</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457</v>
      </c>
      <c r="C129" s="25" t="s">
        <v>241</v>
      </c>
      <c r="D129" s="25"/>
      <c r="E129" s="26" t="s">
        <v>456</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456</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456</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456</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456</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456</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456</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456</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456</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456</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456</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456</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458</v>
      </c>
      <c r="C141" s="44" t="s">
        <v>272</v>
      </c>
      <c r="D141" s="44"/>
      <c r="E141" s="26" t="s">
        <v>459</v>
      </c>
      <c r="F141" s="27"/>
      <c r="G141" s="27"/>
      <c r="H141" s="27" t="s">
        <v>451</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460</v>
      </c>
      <c r="BR141" s="29">
        <f>IF(AND(ISNUMBER(BS141),ISNUMBER(BQ141)),BS141-BQ141,"")</f>
        <v>0</v>
      </c>
      <c r="BS141" s="43" t="s">
        <v>460</v>
      </c>
      <c r="BT141" s="29">
        <f>IF(AND(ISNUMBER(BU141),ISNUMBER(BS141)),BU141-BS141,"")</f>
        <v>0</v>
      </c>
      <c r="BU141" s="43" t="s">
        <v>460</v>
      </c>
      <c r="BV141" s="29">
        <f>IF(AND(ISNUMBER(BW141),ISNUMBER(BU141)),BW141-BU141,"")</f>
        <v>0</v>
      </c>
      <c r="BW141" s="43" t="s">
        <v>460</v>
      </c>
      <c r="BX141" s="29">
        <f>IF(AND(ISNUMBER(BY141),ISNUMBER(BW141)),BY141-BW141,"")</f>
        <v>0</v>
      </c>
      <c r="BY141" s="43" t="s">
        <v>460</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461</v>
      </c>
    </row>
    <row r="142" spans="1:322">
      <c r="A142" s="23" t="s">
        <v>278</v>
      </c>
      <c r="B142" s="24" t="s">
        <v>462</v>
      </c>
      <c r="C142" s="44" t="s">
        <v>276</v>
      </c>
      <c r="D142" s="44"/>
      <c r="E142" s="26" t="s">
        <v>463</v>
      </c>
      <c r="F142" s="27"/>
      <c r="G142" s="27"/>
      <c r="H142" s="27" t="s">
        <v>422</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v>55047</v>
      </c>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462</v>
      </c>
      <c r="C143" s="44" t="s">
        <v>279</v>
      </c>
      <c r="D143" s="44"/>
      <c r="E143" s="26" t="s">
        <v>463</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v>3439</v>
      </c>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462</v>
      </c>
      <c r="C144" s="44" t="s">
        <v>282</v>
      </c>
      <c r="D144" s="44"/>
      <c r="E144" s="26" t="s">
        <v>463</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v>782</v>
      </c>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462</v>
      </c>
      <c r="C145" s="44" t="s">
        <v>285</v>
      </c>
      <c r="D145" s="44"/>
      <c r="E145" s="26" t="s">
        <v>463</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v>2657</v>
      </c>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464</v>
      </c>
      <c r="C146" s="44" t="s">
        <v>30</v>
      </c>
      <c r="D146" s="44"/>
      <c r="E146" s="26" t="s">
        <v>465</v>
      </c>
      <c r="F146" s="27"/>
      <c r="G146" s="27"/>
      <c r="H146" s="27" t="s">
        <v>422</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v>23</v>
      </c>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466</v>
      </c>
    </row>
    <row r="147" spans="1:322">
      <c r="A147" s="23">
        <v>15</v>
      </c>
      <c r="B147" s="24" t="s">
        <v>467</v>
      </c>
      <c r="C147" s="44" t="s">
        <v>30</v>
      </c>
      <c r="D147" s="44"/>
      <c r="E147" s="26" t="s">
        <v>378</v>
      </c>
      <c r="F147" s="27"/>
      <c r="G147" s="27" t="s">
        <v>468</v>
      </c>
      <c r="H147" s="27" t="s">
        <v>469</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470</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471</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422</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472</v>
      </c>
      <c r="C150" s="44" t="s">
        <v>297</v>
      </c>
      <c r="D150" s="44"/>
      <c r="E150" s="26" t="s">
        <v>473</v>
      </c>
      <c r="F150" s="27"/>
      <c r="G150" s="27"/>
      <c r="H150" s="27" t="s">
        <v>422</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v>12</v>
      </c>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473</v>
      </c>
      <c r="F151" s="39">
        <v>45658</v>
      </c>
      <c r="H151" s="39" t="s">
        <v>422</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v>0</v>
      </c>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473</v>
      </c>
      <c r="H152" s="39" t="s">
        <v>422</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14</v>
      </c>
      <c r="JV152" s="35">
        <f>IF(AND(ISNUMBER(JW152),ISNUMBER(JU152)),JW152-JU152,"")</f>
        <v>0</v>
      </c>
      <c r="JW152" s="34">
        <v>10</v>
      </c>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422</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473</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v>18</v>
      </c>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473</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v>48</v>
      </c>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474</v>
      </c>
      <c r="C156" s="44" t="s">
        <v>30</v>
      </c>
      <c r="D156" s="44"/>
      <c r="E156" s="26" t="s">
        <v>475</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v>25</v>
      </c>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476</v>
      </c>
      <c r="C157" s="44" t="s">
        <v>30</v>
      </c>
      <c r="D157" s="44"/>
      <c r="E157" s="26" t="s">
        <v>477</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v>80</v>
      </c>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c r="AN1" s="45">
        <v>46388</v>
      </c>
      <c r="AO1" s="21" t="s">
        <v>394</v>
      </c>
      <c r="AP1" s="45">
        <v>46753</v>
      </c>
      <c r="AQ1" s="21" t="s">
        <v>394</v>
      </c>
    </row>
    <row r="2" spans="1:43" ht="12" customHeight="1">
      <c r="F2" s="22">
        <f>IF(COUNT(F3:F5)&gt;0,"Y","X")</f>
        <v>0</v>
      </c>
      <c r="G2" s="22" t="s">
        <v>395</v>
      </c>
      <c r="H2" s="22">
        <f>IF(COUNT(H3:H5)&gt;0,"Y","X")</f>
        <v>0</v>
      </c>
      <c r="I2" s="22" t="s">
        <v>395</v>
      </c>
      <c r="J2" s="22">
        <f>IF(COUNT(J3:J5)&gt;0,"Y","X")</f>
        <v>0</v>
      </c>
      <c r="K2" s="22" t="s">
        <v>395</v>
      </c>
      <c r="L2" s="22">
        <f>IF(COUNT(L3:L5)&gt;0,"Y","X")</f>
        <v>0</v>
      </c>
      <c r="M2" s="22" t="s">
        <v>395</v>
      </c>
      <c r="N2" s="22">
        <f>IF(COUNT(N3:N5)&gt;0,"Y","X")</f>
        <v>0</v>
      </c>
      <c r="O2" s="22" t="s">
        <v>395</v>
      </c>
      <c r="P2" s="22">
        <f>IF(COUNT(P3:P5)&gt;0,"Y","X")</f>
        <v>0</v>
      </c>
      <c r="Q2" s="22" t="s">
        <v>395</v>
      </c>
      <c r="R2" s="22">
        <f>IF(COUNT(R3:R5)&gt;0,"Y","X")</f>
        <v>0</v>
      </c>
      <c r="S2" s="22" t="s">
        <v>395</v>
      </c>
      <c r="T2" s="22">
        <f>IF(COUNT(T3:T5)&gt;0,"Y","X")</f>
        <v>0</v>
      </c>
      <c r="U2" s="22" t="s">
        <v>395</v>
      </c>
      <c r="V2" s="22">
        <f>IF(COUNT(V3:V5)&gt;0,"Y","X")</f>
        <v>0</v>
      </c>
      <c r="W2" s="22" t="s">
        <v>395</v>
      </c>
      <c r="X2" s="22">
        <f>IF(COUNT(X3:X5)&gt;0,"Y","X")</f>
        <v>0</v>
      </c>
      <c r="Y2" s="22" t="s">
        <v>395</v>
      </c>
      <c r="Z2" s="22">
        <f>IF(COUNT(Z3:Z5)&gt;0,"Y","X")</f>
        <v>0</v>
      </c>
      <c r="AA2" s="22" t="s">
        <v>395</v>
      </c>
      <c r="AB2" s="22">
        <f>IF(COUNT(AB3:AB5)&gt;0,"Y","X")</f>
        <v>0</v>
      </c>
      <c r="AC2" s="22" t="s">
        <v>395</v>
      </c>
      <c r="AD2" s="22">
        <f>IF(COUNT(AD3:AD5)&gt;0,"Y","X")</f>
        <v>0</v>
      </c>
      <c r="AE2" s="22" t="s">
        <v>395</v>
      </c>
      <c r="AF2" s="22">
        <f>IF(COUNT(AF3:AF5)&gt;0,"Y","X")</f>
        <v>0</v>
      </c>
      <c r="AG2" s="22" t="s">
        <v>395</v>
      </c>
      <c r="AH2" s="22">
        <f>IF(COUNT(AH3:AH5)&gt;0,"Y","X")</f>
        <v>0</v>
      </c>
      <c r="AI2" s="22" t="s">
        <v>395</v>
      </c>
      <c r="AJ2" s="22">
        <f>IF(COUNT(AJ3:AJ5)&gt;0,"Y","X")</f>
        <v>0</v>
      </c>
      <c r="AK2" s="22" t="s">
        <v>395</v>
      </c>
      <c r="AL2" s="22">
        <f>IF(COUNT(AL3:AL5)&gt;0,"Y","X")</f>
        <v>0</v>
      </c>
      <c r="AM2" s="22" t="s">
        <v>395</v>
      </c>
      <c r="AN2" s="22">
        <f>IF(COUNT(AN3:AN5)&gt;0,"Y","X")</f>
        <v>0</v>
      </c>
      <c r="AO2" s="22" t="s">
        <v>395</v>
      </c>
      <c r="AP2" s="22">
        <f>IF(COUNT(AP3:AP5)&gt;0,"Y","X")</f>
        <v>0</v>
      </c>
      <c r="AQ2" s="22" t="s">
        <v>395</v>
      </c>
    </row>
    <row r="3" spans="1:43">
      <c r="A3" s="23" t="s">
        <v>478</v>
      </c>
      <c r="B3" s="24" t="s">
        <v>479</v>
      </c>
      <c r="C3" s="44" t="s">
        <v>480</v>
      </c>
      <c r="D3" s="44" t="s">
        <v>481</v>
      </c>
      <c r="E3" s="26" t="s">
        <v>363</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482</v>
      </c>
      <c r="B4" s="24"/>
      <c r="C4" s="38" t="s">
        <v>483</v>
      </c>
      <c r="D4" s="38" t="s">
        <v>481</v>
      </c>
      <c r="E4" s="33" t="s">
        <v>363</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484</v>
      </c>
      <c r="B5" s="24"/>
      <c r="C5" s="38" t="s">
        <v>485</v>
      </c>
      <c r="D5" s="38" t="s">
        <v>481</v>
      </c>
      <c r="E5" s="33" t="s">
        <v>363</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row>
    <row r="2" spans="1:39" ht="12" customHeight="1">
      <c r="F2" s="22">
        <f>IF(COUNT(F3:F7)&gt;0,"Y","X")</f>
        <v>0</v>
      </c>
      <c r="G2" s="22" t="s">
        <v>395</v>
      </c>
      <c r="H2" s="22">
        <f>IF(COUNT(H3:H7)&gt;0,"Y","X")</f>
        <v>0</v>
      </c>
      <c r="I2" s="22" t="s">
        <v>395</v>
      </c>
      <c r="J2" s="22">
        <f>IF(COUNT(J3:J7)&gt;0,"Y","X")</f>
        <v>0</v>
      </c>
      <c r="K2" s="22" t="s">
        <v>395</v>
      </c>
      <c r="L2" s="22">
        <f>IF(COUNT(L3:L7)&gt;0,"Y","X")</f>
        <v>0</v>
      </c>
      <c r="M2" s="22" t="s">
        <v>395</v>
      </c>
      <c r="N2" s="22">
        <f>IF(COUNT(N3:N7)&gt;0,"Y","X")</f>
        <v>0</v>
      </c>
      <c r="O2" s="22" t="s">
        <v>395</v>
      </c>
      <c r="P2" s="22">
        <f>IF(COUNT(P3:P7)&gt;0,"Y","X")</f>
        <v>0</v>
      </c>
      <c r="Q2" s="22" t="s">
        <v>395</v>
      </c>
      <c r="R2" s="22">
        <f>IF(COUNT(R3:R7)&gt;0,"Y","X")</f>
        <v>0</v>
      </c>
      <c r="S2" s="22" t="s">
        <v>395</v>
      </c>
      <c r="T2" s="22">
        <f>IF(COUNT(T3:T7)&gt;0,"Y","X")</f>
        <v>0</v>
      </c>
      <c r="U2" s="22" t="s">
        <v>395</v>
      </c>
      <c r="V2" s="22">
        <f>IF(COUNT(V3:V7)&gt;0,"Y","X")</f>
        <v>0</v>
      </c>
      <c r="W2" s="22" t="s">
        <v>395</v>
      </c>
      <c r="X2" s="22">
        <f>IF(COUNT(X3:X7)&gt;0,"Y","X")</f>
        <v>0</v>
      </c>
      <c r="Y2" s="22" t="s">
        <v>395</v>
      </c>
      <c r="Z2" s="22">
        <f>IF(COUNT(Z3:Z7)&gt;0,"Y","X")</f>
        <v>0</v>
      </c>
      <c r="AA2" s="22" t="s">
        <v>395</v>
      </c>
      <c r="AB2" s="22">
        <f>IF(COUNT(AB3:AB7)&gt;0,"Y","X")</f>
        <v>0</v>
      </c>
      <c r="AC2" s="22" t="s">
        <v>395</v>
      </c>
      <c r="AD2" s="22">
        <f>IF(COUNT(AD3:AD7)&gt;0,"Y","X")</f>
        <v>0</v>
      </c>
      <c r="AE2" s="22" t="s">
        <v>395</v>
      </c>
      <c r="AF2" s="22">
        <f>IF(COUNT(AF3:AF7)&gt;0,"Y","X")</f>
        <v>0</v>
      </c>
      <c r="AG2" s="22" t="s">
        <v>395</v>
      </c>
      <c r="AH2" s="22">
        <f>IF(COUNT(AH3:AH7)&gt;0,"Y","X")</f>
        <v>0</v>
      </c>
      <c r="AI2" s="22" t="s">
        <v>395</v>
      </c>
      <c r="AJ2" s="22">
        <f>IF(COUNT(AJ3:AJ7)&gt;0,"Y","X")</f>
        <v>0</v>
      </c>
      <c r="AK2" s="22" t="s">
        <v>395</v>
      </c>
      <c r="AL2" s="22">
        <f>IF(COUNT(AL3:AL7)&gt;0,"Y","X")</f>
        <v>0</v>
      </c>
      <c r="AM2" s="22" t="s">
        <v>395</v>
      </c>
    </row>
    <row r="3" spans="1:39">
      <c r="A3" s="23" t="s">
        <v>486</v>
      </c>
      <c r="B3" s="24" t="s">
        <v>487</v>
      </c>
      <c r="C3" s="44" t="s">
        <v>488</v>
      </c>
      <c r="D3" s="44" t="s">
        <v>489</v>
      </c>
      <c r="E3" s="26" t="s">
        <v>473</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v>161</v>
      </c>
      <c r="AG3" s="29">
        <f>IF(AND(ISNUMBER(AH3),ISNUMBER(AF3)),AH3-AF3,"")</f>
        <v>0</v>
      </c>
      <c r="AH3" s="28"/>
      <c r="AI3" s="29">
        <f>IF(AND(ISNUMBER(AJ3),ISNUMBER(AH3)),AJ3-AH3,"")</f>
        <v>0</v>
      </c>
      <c r="AJ3" s="28"/>
      <c r="AK3" s="29">
        <f>IF(AND(ISNUMBER(AL3),ISNUMBER(AJ3)),AL3-AJ3,"")</f>
        <v>0</v>
      </c>
      <c r="AL3" s="28"/>
      <c r="AM3" s="31"/>
    </row>
    <row r="4" spans="1:39">
      <c r="B4" s="24"/>
      <c r="C4" s="38" t="s">
        <v>490</v>
      </c>
      <c r="D4" s="38" t="s">
        <v>489</v>
      </c>
      <c r="E4" s="33" t="s">
        <v>473</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40">
        <f>IF(COUNT(AF3,AF7)=0,"",AF3-AF7)</f>
        <v>0</v>
      </c>
      <c r="AG4" s="35">
        <f>IF(AND(ISNUMBER(AH4),ISNUMBER(AF4)),AH4-AF4,"")</f>
        <v>0</v>
      </c>
      <c r="AH4" s="34"/>
      <c r="AI4" s="35">
        <f>IF(AND(ISNUMBER(AJ4),ISNUMBER(AH4)),AJ4-AH4,"")</f>
        <v>0</v>
      </c>
      <c r="AJ4" s="34"/>
      <c r="AK4" s="35">
        <f>IF(AND(ISNUMBER(AL4),ISNUMBER(AJ4)),AL4-AJ4,"")</f>
        <v>0</v>
      </c>
      <c r="AL4" s="34"/>
    </row>
    <row r="5" spans="1:39">
      <c r="A5" s="37" t="s">
        <v>491</v>
      </c>
      <c r="B5" s="24"/>
      <c r="C5" s="38" t="s">
        <v>492</v>
      </c>
      <c r="D5" s="38" t="s">
        <v>489</v>
      </c>
      <c r="E5" s="33" t="s">
        <v>473</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40">
        <f>AF4/AF3</f>
        <v>0</v>
      </c>
      <c r="AG5" s="35">
        <f>IF(AND(ISNUMBER(AH5),ISNUMBER(AF5)),AH5-AF5,"")</f>
        <v>0</v>
      </c>
      <c r="AH5" s="34"/>
      <c r="AI5" s="35">
        <f>IF(AND(ISNUMBER(AJ5),ISNUMBER(AH5)),AJ5-AH5,"")</f>
        <v>0</v>
      </c>
      <c r="AJ5" s="34"/>
      <c r="AK5" s="35">
        <f>IF(AND(ISNUMBER(AL5),ISNUMBER(AJ5)),AL5-AJ5,"")</f>
        <v>0</v>
      </c>
      <c r="AL5" s="34"/>
    </row>
    <row r="6" spans="1:39">
      <c r="B6" s="24"/>
      <c r="C6" s="32" t="s">
        <v>493</v>
      </c>
      <c r="D6" s="32" t="s">
        <v>489</v>
      </c>
      <c r="E6" s="33" t="s">
        <v>473</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v>0</v>
      </c>
      <c r="AG6" s="35">
        <f>IF(AND(ISNUMBER(AH6),ISNUMBER(AF6)),AH6-AF6,"")</f>
        <v>0</v>
      </c>
      <c r="AH6" s="34"/>
      <c r="AI6" s="35">
        <f>IF(AND(ISNUMBER(AJ6),ISNUMBER(AH6)),AJ6-AH6,"")</f>
        <v>0</v>
      </c>
      <c r="AJ6" s="34"/>
      <c r="AK6" s="35">
        <f>IF(AND(ISNUMBER(AL6),ISNUMBER(AJ6)),AL6-AJ6,"")</f>
        <v>0</v>
      </c>
      <c r="AL6" s="34"/>
    </row>
    <row r="7" spans="1:39">
      <c r="B7" s="24"/>
      <c r="C7" s="32" t="s">
        <v>494</v>
      </c>
      <c r="D7" s="32" t="s">
        <v>489</v>
      </c>
      <c r="E7" s="33" t="s">
        <v>473</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v>10</v>
      </c>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848</v>
      </c>
    </row>
    <row r="2" spans="1:6">
      <c r="A2" s="8" t="s">
        <v>849</v>
      </c>
    </row>
    <row r="4" spans="1:6" ht="28" customHeight="1">
      <c r="A4" s="6" t="s">
        <v>342</v>
      </c>
      <c r="B4" s="6" t="s">
        <v>850</v>
      </c>
      <c r="C4" s="6" t="s">
        <v>851</v>
      </c>
      <c r="D4" s="6" t="s">
        <v>852</v>
      </c>
      <c r="E4" s="6" t="s">
        <v>853</v>
      </c>
      <c r="F4" s="6" t="s">
        <v>854</v>
      </c>
    </row>
    <row r="5" spans="1:6" ht="184" customHeight="1">
      <c r="A5" s="9" t="s">
        <v>348</v>
      </c>
      <c r="B5" s="9">
        <v>1</v>
      </c>
      <c r="C5" s="47" t="s">
        <v>855</v>
      </c>
      <c r="D5" s="48" t="s">
        <v>856</v>
      </c>
      <c r="E5" s="49" t="s">
        <v>857</v>
      </c>
      <c r="F5" s="9" t="s">
        <v>858</v>
      </c>
    </row>
    <row r="6" spans="1:6" ht="19" customHeight="1">
      <c r="A6" s="9" t="s">
        <v>348</v>
      </c>
      <c r="B6" s="9">
        <v>2</v>
      </c>
      <c r="C6" s="47" t="s">
        <v>411</v>
      </c>
      <c r="D6" s="48" t="s">
        <v>859</v>
      </c>
      <c r="E6" s="49"/>
      <c r="F6" s="9" t="s">
        <v>859</v>
      </c>
    </row>
    <row r="7" spans="1:6" ht="124" customHeight="1">
      <c r="A7" s="9" t="s">
        <v>348</v>
      </c>
      <c r="B7" s="9">
        <v>3</v>
      </c>
      <c r="C7" s="47" t="s">
        <v>56</v>
      </c>
      <c r="D7" s="48" t="s">
        <v>472</v>
      </c>
      <c r="E7" s="49" t="s">
        <v>860</v>
      </c>
      <c r="F7" s="9" t="s">
        <v>472</v>
      </c>
    </row>
    <row r="8" spans="1:6" ht="19" customHeight="1">
      <c r="A8" s="9" t="s">
        <v>348</v>
      </c>
      <c r="B8" s="9">
        <v>4</v>
      </c>
      <c r="C8" s="47" t="s">
        <v>861</v>
      </c>
      <c r="D8" s="48" t="s">
        <v>862</v>
      </c>
      <c r="E8" s="49" t="s">
        <v>863</v>
      </c>
      <c r="F8" s="9" t="s">
        <v>439</v>
      </c>
    </row>
    <row r="9" spans="1:6" ht="19" customHeight="1">
      <c r="A9" s="9" t="s">
        <v>348</v>
      </c>
      <c r="B9" s="9">
        <v>5</v>
      </c>
      <c r="C9" s="47" t="s">
        <v>83</v>
      </c>
      <c r="D9" s="48" t="s">
        <v>444</v>
      </c>
      <c r="E9" s="49"/>
      <c r="F9" s="9" t="s">
        <v>444</v>
      </c>
    </row>
    <row r="10" spans="1:6" ht="94" customHeight="1">
      <c r="A10" s="9" t="s">
        <v>348</v>
      </c>
      <c r="B10" s="9">
        <v>6</v>
      </c>
      <c r="C10" s="47" t="s">
        <v>864</v>
      </c>
      <c r="D10" s="48" t="s">
        <v>474</v>
      </c>
      <c r="E10" s="49" t="s">
        <v>865</v>
      </c>
      <c r="F10" s="9" t="s">
        <v>474</v>
      </c>
    </row>
    <row r="11" spans="1:6" ht="49" customHeight="1">
      <c r="A11" s="9" t="s">
        <v>348</v>
      </c>
      <c r="B11" s="9">
        <v>7</v>
      </c>
      <c r="C11" s="47" t="s">
        <v>866</v>
      </c>
      <c r="D11" s="48" t="s">
        <v>476</v>
      </c>
      <c r="E11" s="49" t="s">
        <v>867</v>
      </c>
      <c r="F11" s="9" t="s">
        <v>476</v>
      </c>
    </row>
    <row r="12" spans="1:6" ht="19" customHeight="1">
      <c r="A12" s="9" t="s">
        <v>351</v>
      </c>
      <c r="B12" s="9">
        <v>1</v>
      </c>
      <c r="C12" s="47" t="s">
        <v>868</v>
      </c>
      <c r="D12" s="48" t="s">
        <v>420</v>
      </c>
      <c r="E12" s="49" t="s">
        <v>869</v>
      </c>
      <c r="F12" s="9" t="s">
        <v>420</v>
      </c>
    </row>
    <row r="13" spans="1:6" ht="19" customHeight="1">
      <c r="A13" s="9" t="s">
        <v>351</v>
      </c>
      <c r="B13" s="9">
        <v>2</v>
      </c>
      <c r="C13" s="47" t="s">
        <v>411</v>
      </c>
      <c r="D13" s="48" t="s">
        <v>462</v>
      </c>
      <c r="E13" s="49" t="s">
        <v>870</v>
      </c>
      <c r="F13" s="9" t="s">
        <v>462</v>
      </c>
    </row>
    <row r="14" spans="1:6" ht="19" customHeight="1">
      <c r="A14" s="9" t="s">
        <v>351</v>
      </c>
      <c r="B14" s="9">
        <v>3</v>
      </c>
      <c r="C14" s="47" t="s">
        <v>56</v>
      </c>
      <c r="D14" s="48" t="s">
        <v>871</v>
      </c>
      <c r="E14" s="49" t="s">
        <v>872</v>
      </c>
      <c r="F14" s="9" t="s">
        <v>873</v>
      </c>
    </row>
    <row r="15" spans="1:6" ht="19" customHeight="1">
      <c r="A15" s="9" t="s">
        <v>351</v>
      </c>
      <c r="B15" s="9">
        <v>4</v>
      </c>
      <c r="C15" s="47" t="s">
        <v>874</v>
      </c>
      <c r="D15" s="48" t="s">
        <v>875</v>
      </c>
      <c r="E15" s="49" t="s">
        <v>876</v>
      </c>
      <c r="F15" s="9" t="s">
        <v>875</v>
      </c>
    </row>
    <row r="16" spans="1:6" ht="49" customHeight="1">
      <c r="A16" s="9" t="s">
        <v>351</v>
      </c>
      <c r="B16" s="9">
        <v>5</v>
      </c>
      <c r="C16" s="47" t="s">
        <v>83</v>
      </c>
      <c r="D16" s="48" t="s">
        <v>877</v>
      </c>
      <c r="E16" s="49" t="s">
        <v>878</v>
      </c>
      <c r="F16" s="9" t="s">
        <v>877</v>
      </c>
    </row>
    <row r="17" spans="1:6" ht="19" customHeight="1">
      <c r="A17" s="9" t="s">
        <v>351</v>
      </c>
      <c r="B17" s="9">
        <v>6</v>
      </c>
      <c r="C17" s="47" t="s">
        <v>864</v>
      </c>
      <c r="D17" s="48" t="s">
        <v>879</v>
      </c>
      <c r="E17" s="49"/>
      <c r="F17" s="9" t="s">
        <v>879</v>
      </c>
    </row>
    <row r="18" spans="1:6" ht="19" customHeight="1">
      <c r="A18" s="9" t="s">
        <v>353</v>
      </c>
      <c r="B18" s="9">
        <v>1</v>
      </c>
      <c r="C18" s="47" t="s">
        <v>868</v>
      </c>
      <c r="D18" s="48" t="s">
        <v>412</v>
      </c>
      <c r="E18" s="49"/>
      <c r="F18" s="9" t="s">
        <v>412</v>
      </c>
    </row>
    <row r="19" spans="1:6" ht="19" customHeight="1">
      <c r="A19" s="9" t="s">
        <v>353</v>
      </c>
      <c r="B19" s="9">
        <v>2</v>
      </c>
      <c r="C19" s="47" t="s">
        <v>411</v>
      </c>
      <c r="D19" s="48" t="s">
        <v>419</v>
      </c>
      <c r="E19" s="49"/>
      <c r="F19" s="9" t="s">
        <v>419</v>
      </c>
    </row>
    <row r="20" spans="1:6" ht="19" customHeight="1">
      <c r="A20" s="9" t="s">
        <v>353</v>
      </c>
      <c r="B20" s="9">
        <v>3</v>
      </c>
      <c r="C20" s="47" t="s">
        <v>56</v>
      </c>
      <c r="D20" s="48" t="s">
        <v>446</v>
      </c>
      <c r="E20" s="49"/>
      <c r="F20" s="9" t="s">
        <v>446</v>
      </c>
    </row>
    <row r="21" spans="1:6" ht="19" customHeight="1">
      <c r="A21" s="9" t="s">
        <v>353</v>
      </c>
      <c r="B21" s="9">
        <v>4</v>
      </c>
      <c r="C21" s="47" t="s">
        <v>874</v>
      </c>
      <c r="D21" s="48" t="s">
        <v>880</v>
      </c>
      <c r="E21" s="49"/>
      <c r="F21" s="9" t="s">
        <v>880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t="s">
        <v>331</v>
      </c>
      <c r="E10" s="11" t="s">
        <v>328</v>
      </c>
      <c r="F10" s="66"/>
    </row>
    <row r="11" spans="1:7">
      <c r="B11" s="3" t="s">
        <v>332</v>
      </c>
      <c r="E11" s="11" t="s">
        <v>329</v>
      </c>
      <c r="F11" s="10">
        <f>IF(N(F10)&gt;0,F10,IFERROR(ROUND(F9*_xlfn.AGGREGATE(1,6,Dashboard_Daten!$U$124:$AD$124),-2),""))</f>
        <v>0</v>
      </c>
      <c r="G11" s="9">
        <f>IF(N(F11)&gt;0,IF(N(F10)&gt;0,"SLA ","SLA-Vorschlag ")&amp;FIXED(F11/1000,1),"SLA OPAG: noch kein Vorschlag")</f>
        <v>0</v>
      </c>
    </row>
    <row r="12" spans="1:7">
      <c r="B12" s="11" t="s">
        <v>333</v>
      </c>
      <c r="C12" s="48"/>
    </row>
    <row r="13" spans="1:7">
      <c r="B13" s="11" t="s">
        <v>334</v>
      </c>
      <c r="C13" s="48"/>
    </row>
    <row r="14" spans="1:7">
      <c r="B14" s="3" t="s">
        <v>335</v>
      </c>
    </row>
    <row r="15" spans="1:7">
      <c r="B15" s="11" t="s">
        <v>336</v>
      </c>
      <c r="C15" s="48" t="s">
        <v>337</v>
      </c>
    </row>
    <row r="16" spans="1:7">
      <c r="B16" s="11" t="s">
        <v>338</v>
      </c>
      <c r="C16" s="48" t="s">
        <v>339</v>
      </c>
    </row>
    <row r="17" spans="2:7">
      <c r="B17" s="11" t="s">
        <v>340</v>
      </c>
      <c r="C17" s="9">
        <f>"Stand: "&amp;TEXT(DAY(Berichtstag),"00")&amp;"."&amp;TEXT(MONTH(Berichtstag),"00")&amp;"."&amp;YEAR(Berichtstag)</f>
        <v>0</v>
      </c>
    </row>
    <row r="19" spans="2:7">
      <c r="B19" s="3" t="s">
        <v>341</v>
      </c>
    </row>
    <row r="20" spans="2:7">
      <c r="B20" s="6" t="s">
        <v>342</v>
      </c>
      <c r="C20" s="6" t="s">
        <v>343</v>
      </c>
      <c r="E20" s="6" t="s">
        <v>344</v>
      </c>
      <c r="F20" s="6" t="s">
        <v>345</v>
      </c>
    </row>
    <row r="21" spans="2:7">
      <c r="B21" s="9" t="s">
        <v>346</v>
      </c>
      <c r="C21" s="9" t="s">
        <v>347</v>
      </c>
      <c r="E21" s="48"/>
      <c r="F21" s="47" t="s">
        <v>14</v>
      </c>
      <c r="G21" s="67">
        <f>E21&amp;IF(E21="","","  ·  ")&amp;"STAND "&amp;TEXT(DAY(Berichtstag),"00")&amp;"."&amp;TEXT(MONTH(Berichtstag),"00")&amp;"."&amp;YEAR(Berichtstag)</f>
        <v>0</v>
      </c>
    </row>
    <row r="22" spans="2:7">
      <c r="B22" s="9" t="s">
        <v>348</v>
      </c>
      <c r="C22" s="48" t="s">
        <v>349</v>
      </c>
      <c r="E22" s="48" t="s">
        <v>350</v>
      </c>
      <c r="F22" s="47" t="s">
        <v>14</v>
      </c>
      <c r="G22" s="67">
        <f>E22&amp;IF(E22="","","  ·  ")&amp;"STAND "&amp;TEXT(DAY(Berichtstag),"00")&amp;"."&amp;TEXT(MONTH(Berichtstag),"00")&amp;"."&amp;YEAR(Berichtstag)</f>
        <v>0</v>
      </c>
    </row>
    <row r="23" spans="2:7">
      <c r="B23" s="9" t="s">
        <v>351</v>
      </c>
      <c r="C23" s="48" t="s">
        <v>352</v>
      </c>
      <c r="E23" s="48" t="s">
        <v>350</v>
      </c>
      <c r="F23" s="47" t="s">
        <v>14</v>
      </c>
      <c r="G23" s="67">
        <f>E23&amp;IF(E23="","","  ·  ")&amp;"STAND "&amp;TEXT(DAY(Berichtstag),"00")&amp;"."&amp;TEXT(MONTH(Berichtstag),"00")&amp;"."&amp;YEAR(Berichtstag)</f>
        <v>0</v>
      </c>
    </row>
    <row r="24" spans="2:7">
      <c r="B24" s="9" t="s">
        <v>353</v>
      </c>
      <c r="C24" s="48" t="s">
        <v>354</v>
      </c>
      <c r="E24" s="48" t="s">
        <v>355</v>
      </c>
      <c r="F24" s="47" t="s">
        <v>95</v>
      </c>
      <c r="G24" s="67">
        <f>E24&amp;IF(E24="","","  ·  ")&amp;"STAND "&amp;TEXT(DAY(Berichtstag),"00")&amp;"."&amp;TEXT(MONTH(Berichtstag),"00")&amp;"."&amp;YEAR(Berichtstag)</f>
        <v>0</v>
      </c>
    </row>
    <row r="25" spans="2:7">
      <c r="B25" s="11" t="s">
        <v>356</v>
      </c>
      <c r="C25" s="9">
        <f>"Wochenwerte KW "&amp;_xlfn.ISOWEEKNUM((Berichtstag-7*(N(Dashboard_Daten!$B$3)-1)))&amp;" bis KW "&amp;_xlfn.ISOWEEKNUM(Berichtstag)&amp;" (Berichtstage "&amp;TEXT(DAY((Berichtstag-7*(N(Dashboard_Daten!$B$3)-1))),"00")&amp;"."&amp;TEXT(MONTH((Berichtstag-7*(N(Dashboard_Daten!$B$3)-1))),"00")&amp;"."&amp;YEAR((Berichtstag-7*(N(Dashboard_Daten!$B$3)-1)))&amp;" bis "&amp;TEXT(DAY(Berichtstag),"00")&amp;"."&amp;TEXT(MONTH(Berichtstag),"00")&amp;"."&amp;YEAR(Berichtstag)&amp;", jeweils freitags)  ·  Monatswerte bis "&amp;CHOOSE(MONTH(Dashboard_Daten!$AO$4),"Januar","Februar","März","April","Mai","Juni","Juli","August","September","Oktober","November","Dezember")&amp;" "&amp;YEAR(Dashboard_Daten!$AO$4)</f>
        <v>0</v>
      </c>
    </row>
    <row r="26" spans="2:7">
      <c r="B26" s="3" t="s">
        <v>357</v>
      </c>
    </row>
    <row r="27" spans="2:7">
      <c r="B27" s="8" t="s">
        <v>358</v>
      </c>
    </row>
    <row r="28" spans="2:7">
      <c r="B28" s="48" t="s">
        <v>359</v>
      </c>
    </row>
    <row r="29" spans="2:7">
      <c r="B29" s="48" t="s">
        <v>360</v>
      </c>
    </row>
    <row r="30" spans="2:7">
      <c r="B30" s="48" t="s">
        <v>361</v>
      </c>
    </row>
    <row r="31" spans="2:7">
      <c r="B31" s="48" t="s">
        <v>362</v>
      </c>
    </row>
    <row r="32" spans="2:7">
      <c r="B32" s="48" t="s">
        <v>363</v>
      </c>
    </row>
    <row r="33" spans="2:2">
      <c r="B33" s="48" t="s">
        <v>364</v>
      </c>
    </row>
    <row r="34" spans="2:2">
      <c r="B34" s="48" t="s">
        <v>365</v>
      </c>
    </row>
    <row r="35" spans="2:2">
      <c r="B35" s="48" t="s">
        <v>366</v>
      </c>
    </row>
    <row r="36" spans="2:2">
      <c r="B36" s="48" t="s">
        <v>367</v>
      </c>
    </row>
    <row r="37" spans="2:2">
      <c r="B37" s="48" t="s">
        <v>368</v>
      </c>
    </row>
    <row r="38" spans="2:2">
      <c r="B38" s="48" t="s">
        <v>369</v>
      </c>
    </row>
    <row r="39" spans="2:2">
      <c r="B39" s="48" t="s">
        <v>370</v>
      </c>
    </row>
    <row r="40" spans="2:2">
      <c r="B40" s="48" t="s">
        <v>371</v>
      </c>
    </row>
    <row r="41" spans="2:2">
      <c r="B41" s="48" t="s">
        <v>372</v>
      </c>
    </row>
    <row r="42" spans="2:2">
      <c r="B42" s="48" t="s">
        <v>373</v>
      </c>
    </row>
    <row r="43" spans="2:2">
      <c r="B43" s="48" t="s">
        <v>374</v>
      </c>
    </row>
    <row r="44" spans="2:2">
      <c r="B44" s="48" t="s">
        <v>375</v>
      </c>
    </row>
    <row r="45" spans="2:2">
      <c r="B45" s="48" t="s">
        <v>376</v>
      </c>
    </row>
    <row r="46" spans="2:2">
      <c r="B46" s="48" t="s">
        <v>377</v>
      </c>
    </row>
    <row r="47" spans="2:2">
      <c r="B47" s="48" t="s">
        <v>378</v>
      </c>
    </row>
    <row r="48" spans="2:2">
      <c r="B48" s="48" t="s">
        <v>379</v>
      </c>
    </row>
    <row r="49" spans="2:3">
      <c r="B49" s="48" t="s">
        <v>380</v>
      </c>
    </row>
    <row r="50" spans="2:3">
      <c r="B50" s="48" t="s">
        <v>381</v>
      </c>
    </row>
    <row r="51" spans="2:3">
      <c r="B51" s="48" t="s">
        <v>382</v>
      </c>
    </row>
    <row r="52" spans="2:3">
      <c r="B52" s="48" t="s">
        <v>383</v>
      </c>
    </row>
    <row r="53" spans="2:3">
      <c r="B53" s="48" t="s">
        <v>384</v>
      </c>
    </row>
    <row r="54" spans="2:3">
      <c r="B54" s="48"/>
    </row>
    <row r="55" spans="2:3">
      <c r="B55" s="48"/>
    </row>
    <row r="56" spans="2:3">
      <c r="B56" s="48"/>
    </row>
    <row r="57" spans="2:3">
      <c r="B57" s="48"/>
    </row>
    <row r="59" spans="2:3">
      <c r="B59" s="11" t="s">
        <v>385</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914</v>
      </c>
    </row>
    <row r="2" spans="2:12">
      <c r="B2" s="2">
        <f>"Werte aus Rohdaten (Zeilen 7VA bis 7OL) · Berichtstag "&amp;TEXT(DAY(Berichtstag),"00")&amp;"."&amp;TEXT(MONTH(Berichtstag),"00")&amp;"."&amp;YEAR(Berichtstag)</f>
        <v>0</v>
      </c>
    </row>
    <row r="4" spans="2:12">
      <c r="B4" s="3" t="s">
        <v>915</v>
      </c>
      <c r="H4" s="3" t="s">
        <v>922</v>
      </c>
    </row>
    <row r="5" spans="2:12">
      <c r="B5" s="6" t="s">
        <v>3</v>
      </c>
      <c r="C5" s="7" t="s">
        <v>156</v>
      </c>
      <c r="D5" s="7" t="s">
        <v>916</v>
      </c>
      <c r="E5" s="7" t="s">
        <v>917</v>
      </c>
      <c r="F5" s="7" t="s">
        <v>918</v>
      </c>
      <c r="H5" s="6" t="s">
        <v>3</v>
      </c>
      <c r="I5" s="7" t="s">
        <v>156</v>
      </c>
      <c r="J5" s="7" t="s">
        <v>916</v>
      </c>
      <c r="K5" s="7" t="s">
        <v>917</v>
      </c>
      <c r="L5" s="7" t="s">
        <v>918</v>
      </c>
    </row>
    <row r="6" spans="2:12">
      <c r="B6" s="9" t="s">
        <v>919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919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920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920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921</v>
      </c>
      <c r="C10" s="19">
        <f>IFERROR(C6-IFERROR(IF(ISNUMBER(INDEX(Rohdaten!$A$67:$LJ$67,MATCH(Berichtstag-7,RD_Kopf,0))),INDEX(Rohdaten!$A$67:$LJ$67,MATCH(Berichtstag-7,RD_Kopf,0)),"–"),"–"),"–")</f>
        <v>0</v>
      </c>
      <c r="H10" s="9" t="s">
        <v>921</v>
      </c>
      <c r="I10" s="19">
        <f>IFERROR(I6-IFERROR(IF(ISNUMBER(INDEX(Rohdaten!$A$79:$LJ$79,MATCH(Berichtstag-7,RD_Kopf,0))),INDEX(Rohdaten!$A$79:$LJ$79,MATCH(Berichtstag-7,RD_Kopf,0)),"–"),"–"),"–")</f>
        <v>0</v>
      </c>
    </row>
    <row r="12" spans="2:12">
      <c r="B12" s="8" t="s">
        <v>923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CG157"/>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72" width="8.7109375" customWidth="1"/>
    <col min="74" max="86" width="14.7109375" customWidth="1"/>
  </cols>
  <sheetData>
    <row r="1" spans="1:83">
      <c r="A1" s="15" t="s">
        <v>495</v>
      </c>
    </row>
    <row r="2" spans="1:83">
      <c r="A2" s="8" t="s">
        <v>496</v>
      </c>
      <c r="BV2" s="67" t="s">
        <v>1013</v>
      </c>
      <c r="BW2" s="67" t="s">
        <v>1014</v>
      </c>
      <c r="BX2" s="67" t="s">
        <v>1015</v>
      </c>
      <c r="BY2" s="67" t="s">
        <v>1016</v>
      </c>
      <c r="BZ2" s="67" t="s">
        <v>1017</v>
      </c>
      <c r="CA2" s="67" t="s">
        <v>1018</v>
      </c>
      <c r="CB2" s="67" t="s">
        <v>1019</v>
      </c>
    </row>
    <row r="3" spans="1:83">
      <c r="A3" s="6" t="s">
        <v>499</v>
      </c>
      <c r="B3" s="68">
        <v>10</v>
      </c>
      <c r="C3" s="67" t="s">
        <v>570</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BV3" s="68">
        <v>4</v>
      </c>
      <c r="BW3" s="68">
        <v>30</v>
      </c>
      <c r="BX3" s="68">
        <v>41</v>
      </c>
      <c r="BY3" s="68">
        <v>43</v>
      </c>
      <c r="BZ3" s="68">
        <v>4</v>
      </c>
      <c r="CA3" s="68">
        <v>26</v>
      </c>
      <c r="CB3" s="68">
        <v>10</v>
      </c>
    </row>
    <row r="4" spans="1:83">
      <c r="A4" s="6" t="s">
        <v>497</v>
      </c>
      <c r="D4" s="18">
        <f>E4-7</f>
        <v>0</v>
      </c>
      <c r="E4" s="18">
        <f>F4-7</f>
        <v>0</v>
      </c>
      <c r="F4" s="18">
        <f>G4-7</f>
        <v>0</v>
      </c>
      <c r="G4" s="18">
        <f>H4-7</f>
        <v>0</v>
      </c>
      <c r="H4" s="18">
        <f>I4-7</f>
        <v>0</v>
      </c>
      <c r="I4" s="18">
        <f>J4-7</f>
        <v>0</v>
      </c>
      <c r="J4" s="18">
        <f>K4-7</f>
        <v>0</v>
      </c>
      <c r="K4" s="18">
        <f>L4-7</f>
        <v>0</v>
      </c>
      <c r="L4" s="18">
        <f>M4-7</f>
        <v>0</v>
      </c>
      <c r="M4" s="18">
        <f>N4-7</f>
        <v>0</v>
      </c>
      <c r="N4" s="18">
        <f>O4-7</f>
        <v>0</v>
      </c>
      <c r="O4" s="18">
        <f>P4-7</f>
        <v>0</v>
      </c>
      <c r="P4" s="18">
        <f>Q4-7</f>
        <v>0</v>
      </c>
      <c r="Q4" s="18">
        <f>R4-7</f>
        <v>0</v>
      </c>
      <c r="R4" s="18">
        <f>S4-7</f>
        <v>0</v>
      </c>
      <c r="S4" s="18">
        <f>T4-7</f>
        <v>0</v>
      </c>
      <c r="T4" s="18">
        <f>U4-7</f>
        <v>0</v>
      </c>
      <c r="U4" s="18">
        <f>V4-7</f>
        <v>0</v>
      </c>
      <c r="V4" s="18">
        <f>W4-7</f>
        <v>0</v>
      </c>
      <c r="W4" s="18">
        <f>X4-7</f>
        <v>0</v>
      </c>
      <c r="X4" s="18">
        <f>Y4-7</f>
        <v>0</v>
      </c>
      <c r="Y4" s="18">
        <f>Z4-7</f>
        <v>0</v>
      </c>
      <c r="Z4" s="18">
        <f>AA4-7</f>
        <v>0</v>
      </c>
      <c r="AA4" s="18">
        <f>AB4-7</f>
        <v>0</v>
      </c>
      <c r="AB4" s="18">
        <f>AC4-7</f>
        <v>0</v>
      </c>
      <c r="AC4" s="18">
        <f>AD4-7</f>
        <v>0</v>
      </c>
      <c r="AD4" s="18">
        <f>Berichtstag</f>
        <v>0</v>
      </c>
      <c r="AF4" s="18">
        <f>DATE(YEAR(AG4),MONTH(AG4)-1,1)</f>
        <v>0</v>
      </c>
      <c r="AG4" s="18">
        <f>DATE(YEAR(AH4),MONTH(AH4)-1,1)</f>
        <v>0</v>
      </c>
      <c r="AH4" s="18">
        <f>DATE(YEAR(AI4),MONTH(AI4)-1,1)</f>
        <v>0</v>
      </c>
      <c r="AI4" s="18">
        <f>DATE(YEAR(AJ4),MONTH(AJ4)-1,1)</f>
        <v>0</v>
      </c>
      <c r="AJ4" s="18">
        <f>DATE(YEAR(AK4),MONTH(AK4)-1,1)</f>
        <v>0</v>
      </c>
      <c r="AK4" s="18">
        <f>DATE(YEAR(AL4),MONTH(AL4)-1,1)</f>
        <v>0</v>
      </c>
      <c r="AL4" s="18">
        <f>DATE(YEAR(AM4),MONTH(AM4)-1,1)</f>
        <v>0</v>
      </c>
      <c r="AM4" s="18">
        <f>DATE(YEAR(AN4),MONTH(AN4)-1,1)</f>
        <v>0</v>
      </c>
      <c r="AN4" s="18">
        <f>DATE(YEAR(AO4),MONTH(AO4)-1,1)</f>
        <v>0</v>
      </c>
      <c r="AO4" s="18">
        <f>DATE(YEAR(Berichtstag),MONTH(Berichtstag)-1,1)</f>
        <v>0</v>
      </c>
    </row>
    <row r="5" spans="1:83">
      <c r="A5" s="6" t="s">
        <v>498</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83">
      <c r="A6" s="6" t="s">
        <v>500</v>
      </c>
      <c r="B6" s="6" t="s">
        <v>501</v>
      </c>
      <c r="C6" s="6" t="s">
        <v>502</v>
      </c>
      <c r="D6" s="7" t="s">
        <v>503</v>
      </c>
      <c r="E6" s="7" t="s">
        <v>504</v>
      </c>
      <c r="F6" s="7" t="s">
        <v>505</v>
      </c>
      <c r="G6" s="7" t="s">
        <v>506</v>
      </c>
      <c r="H6" s="7" t="s">
        <v>507</v>
      </c>
      <c r="I6" s="7" t="s">
        <v>508</v>
      </c>
      <c r="J6" s="7" t="s">
        <v>509</v>
      </c>
      <c r="K6" s="7" t="s">
        <v>510</v>
      </c>
      <c r="L6" s="7" t="s">
        <v>511</v>
      </c>
      <c r="M6" s="7" t="s">
        <v>512</v>
      </c>
      <c r="N6" s="7" t="s">
        <v>513</v>
      </c>
      <c r="O6" s="7" t="s">
        <v>514</v>
      </c>
      <c r="P6" s="7" t="s">
        <v>515</v>
      </c>
      <c r="Q6" s="7" t="s">
        <v>516</v>
      </c>
      <c r="R6" s="7" t="s">
        <v>517</v>
      </c>
      <c r="S6" s="7" t="s">
        <v>518</v>
      </c>
      <c r="T6" s="7" t="s">
        <v>519</v>
      </c>
      <c r="U6" s="7" t="s">
        <v>520</v>
      </c>
      <c r="V6" s="7" t="s">
        <v>521</v>
      </c>
      <c r="W6" s="7" t="s">
        <v>522</v>
      </c>
      <c r="X6" s="7" t="s">
        <v>523</v>
      </c>
      <c r="Y6" s="7" t="s">
        <v>524</v>
      </c>
      <c r="Z6" s="7" t="s">
        <v>525</v>
      </c>
      <c r="AA6" s="7" t="s">
        <v>526</v>
      </c>
      <c r="AB6" s="7" t="s">
        <v>527</v>
      </c>
      <c r="AC6" s="7" t="s">
        <v>528</v>
      </c>
      <c r="AD6" s="7" t="s">
        <v>529</v>
      </c>
      <c r="AF6" s="7" t="s">
        <v>530</v>
      </c>
      <c r="AG6" s="7" t="s">
        <v>531</v>
      </c>
      <c r="AH6" s="7" t="s">
        <v>532</v>
      </c>
      <c r="AI6" s="7" t="s">
        <v>533</v>
      </c>
      <c r="AJ6" s="7" t="s">
        <v>534</v>
      </c>
      <c r="AK6" s="7" t="s">
        <v>535</v>
      </c>
      <c r="AL6" s="7" t="s">
        <v>536</v>
      </c>
      <c r="AM6" s="7" t="s">
        <v>537</v>
      </c>
      <c r="AN6" s="7" t="s">
        <v>538</v>
      </c>
      <c r="AO6" s="7" t="s">
        <v>539</v>
      </c>
      <c r="AQ6" s="7" t="s">
        <v>540</v>
      </c>
      <c r="AR6" s="7" t="s">
        <v>541</v>
      </c>
      <c r="AS6" s="7" t="s">
        <v>542</v>
      </c>
      <c r="AT6" s="7" t="s">
        <v>543</v>
      </c>
      <c r="AU6" s="7" t="s">
        <v>544</v>
      </c>
      <c r="AV6" s="7" t="s">
        <v>545</v>
      </c>
      <c r="AW6" s="7" t="s">
        <v>546</v>
      </c>
      <c r="AX6" s="7" t="s">
        <v>547</v>
      </c>
      <c r="AY6" s="7" t="s">
        <v>548</v>
      </c>
      <c r="AZ6" s="7" t="s">
        <v>549</v>
      </c>
      <c r="BA6" s="7" t="s">
        <v>550</v>
      </c>
      <c r="BB6" s="7" t="s">
        <v>551</v>
      </c>
      <c r="BC6" s="7" t="s">
        <v>552</v>
      </c>
      <c r="BD6" s="7" t="s">
        <v>553</v>
      </c>
      <c r="BE6" s="7" t="s">
        <v>554</v>
      </c>
      <c r="BF6" s="7" t="s">
        <v>555</v>
      </c>
      <c r="BG6" s="7" t="s">
        <v>556</v>
      </c>
      <c r="BH6" s="7" t="s">
        <v>557</v>
      </c>
      <c r="BI6" s="7" t="s">
        <v>558</v>
      </c>
      <c r="BJ6" s="7" t="s">
        <v>559</v>
      </c>
      <c r="BK6" s="7" t="s">
        <v>560</v>
      </c>
      <c r="BL6" s="7" t="s">
        <v>561</v>
      </c>
      <c r="BM6" s="7" t="s">
        <v>562</v>
      </c>
      <c r="BN6" s="7" t="s">
        <v>563</v>
      </c>
      <c r="BO6" s="7" t="s">
        <v>564</v>
      </c>
      <c r="BP6" s="7" t="s">
        <v>565</v>
      </c>
      <c r="BQ6" s="7" t="s">
        <v>566</v>
      </c>
      <c r="BR6" s="7" t="s">
        <v>567</v>
      </c>
      <c r="BS6" s="7" t="s">
        <v>568</v>
      </c>
      <c r="BT6" s="7" t="s">
        <v>569</v>
      </c>
      <c r="BU6" s="6"/>
      <c r="BV6" s="6" t="s">
        <v>1020</v>
      </c>
      <c r="BW6" s="6" t="s">
        <v>850</v>
      </c>
      <c r="BX6" s="6" t="s">
        <v>336</v>
      </c>
      <c r="BY6" s="6" t="s">
        <v>1021</v>
      </c>
      <c r="BZ6" s="6" t="s">
        <v>1022</v>
      </c>
      <c r="CA6" s="6" t="s">
        <v>1023</v>
      </c>
    </row>
    <row r="7" spans="1:83">
      <c r="A7" s="11" t="s">
        <v>86</v>
      </c>
      <c r="B7" s="11" t="s">
        <v>86</v>
      </c>
      <c r="C7" s="67" t="s">
        <v>571</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c r="N7" s="68">
        <f>IFERROR(IF(ISNUMBER(INDEX(Rohdaten!$A$64:$LJ$64,MATCH(N$4,RD_Kopf,0))),INDEX(Rohdaten!$A$64:$LJ$64,MATCH(N$4,RD_Kopf,0)),NA()),NA())</f>
        <v>0</v>
      </c>
      <c r="O7" s="68">
        <f>IFERROR(IF(ISNUMBER(INDEX(Rohdaten!$A$64:$LJ$64,MATCH(O$4,RD_Kopf,0))),INDEX(Rohdaten!$A$64:$LJ$64,MATCH(O$4,RD_Kopf,0)),NA()),NA())</f>
        <v>0</v>
      </c>
      <c r="P7" s="68">
        <f>IFERROR(IF(ISNUMBER(INDEX(Rohdaten!$A$64:$LJ$64,MATCH(P$4,RD_Kopf,0))),INDEX(Rohdaten!$A$64:$LJ$64,MATCH(P$4,RD_Kopf,0)),NA()),NA())</f>
        <v>0</v>
      </c>
      <c r="Q7" s="68">
        <f>IFERROR(IF(ISNUMBER(INDEX(Rohdaten!$A$64:$LJ$64,MATCH(Q$4,RD_Kopf,0))),INDEX(Rohdaten!$A$64:$LJ$64,MATCH(Q$4,RD_Kopf,0)),NA()),NA())</f>
        <v>0</v>
      </c>
      <c r="R7" s="68">
        <f>IFERROR(IF(ISNUMBER(INDEX(Rohdaten!$A$64:$LJ$64,MATCH(R$4,RD_Kopf,0))),INDEX(Rohdaten!$A$64:$LJ$64,MATCH(R$4,RD_Kopf,0)),NA()),NA())</f>
        <v>0</v>
      </c>
      <c r="S7" s="68">
        <f>IFERROR(IF(ISNUMBER(INDEX(Rohdaten!$A$64:$LJ$64,MATCH(S$4,RD_Kopf,0))),INDEX(Rohdaten!$A$64:$LJ$64,MATCH(S$4,RD_Kopf,0)),NA()),NA())</f>
        <v>0</v>
      </c>
      <c r="T7" s="68">
        <f>IFERROR(IF(ISNUMBER(INDEX(Rohdaten!$A$64:$LJ$64,MATCH(T$4,RD_Kopf,0))),INDEX(Rohdaten!$A$64:$LJ$64,MATCH(T$4,RD_Kopf,0)),NA()),NA())</f>
        <v>0</v>
      </c>
      <c r="U7" s="68">
        <f>IFERROR(IF(ISNUMBER(INDEX(Rohdaten!$A$64:$LJ$64,MATCH(U$4,RD_Kopf,0))),INDEX(Rohdaten!$A$64:$LJ$64,MATCH(U$4,RD_Kopf,0)),NA()),NA())</f>
        <v>0</v>
      </c>
      <c r="V7" s="68">
        <f>IFERROR(IF(ISNUMBER(INDEX(Rohdaten!$A$64:$LJ$64,MATCH(V$4,RD_Kopf,0))),INDEX(Rohdaten!$A$64:$LJ$64,MATCH(V$4,RD_Kopf,0)),NA()),NA())</f>
        <v>0</v>
      </c>
      <c r="W7" s="68">
        <f>IFERROR(IF(ISNUMBER(INDEX(Rohdaten!$A$64:$LJ$64,MATCH(W$4,RD_Kopf,0))),INDEX(Rohdaten!$A$64:$LJ$64,MATCH(W$4,RD_Kopf,0)),NA()),NA())</f>
        <v>0</v>
      </c>
      <c r="X7" s="68">
        <f>IFERROR(IF(ISNUMBER(INDEX(Rohdaten!$A$64:$LJ$64,MATCH(X$4,RD_Kopf,0))),INDEX(Rohdaten!$A$64:$LJ$64,MATCH(X$4,RD_Kopf,0)),NA()),NA())</f>
        <v>0</v>
      </c>
      <c r="Y7" s="68">
        <f>IFERROR(IF(ISNUMBER(INDEX(Rohdaten!$A$64:$LJ$64,MATCH(Y$4,RD_Kopf,0))),INDEX(Rohdaten!$A$64:$LJ$64,MATCH(Y$4,RD_Kopf,0)),NA()),NA())</f>
        <v>0</v>
      </c>
      <c r="Z7" s="68">
        <f>IFERROR(IF(ISNUMBER(INDEX(Rohdaten!$A$64:$LJ$64,MATCH(Z$4,RD_Kopf,0))),INDEX(Rohdaten!$A$64:$LJ$64,MATCH(Z$4,RD_Kopf,0)),NA()),NA())</f>
        <v>0</v>
      </c>
      <c r="AA7" s="68">
        <f>IFERROR(IF(ISNUMBER(INDEX(Rohdaten!$A$64:$LJ$64,MATCH(AA$4,RD_Kopf,0))),INDEX(Rohdaten!$A$64:$LJ$64,MATCH(AA$4,RD_Kopf,0)),NA()),NA())</f>
        <v>0</v>
      </c>
      <c r="AB7" s="68">
        <f>IFERROR(IF(ISNUMBER(INDEX(Rohdaten!$A$64:$LJ$64,MATCH(AB$4,RD_Kopf,0))),INDEX(Rohdaten!$A$64:$LJ$64,MATCH(AB$4,RD_Kopf,0)),NA()),NA())</f>
        <v>0</v>
      </c>
      <c r="AC7" s="68">
        <f>IFERROR(IF(ISNUMBER(INDEX(Rohdaten!$A$64:$LJ$64,MATCH(AC$4,RD_Kopf,0))),INDEX(Rohdaten!$A$64:$LJ$64,MATCH(AC$4,RD_Kopf,0)),NA()),NA())</f>
        <v>0</v>
      </c>
      <c r="AD7" s="68">
        <f>IFERROR(IF(ISNUMBER(INDEX(Rohdaten!$A$64:$LJ$64,MATCH(AD$4,RD_Kopf,0))),INDEX(Rohdaten!$A$64:$LJ$64,MATCH(AD$4,RD_Kopf,0)),NA()),NA())</f>
        <v>0</v>
      </c>
      <c r="BV7" s="11" t="s">
        <v>348</v>
      </c>
      <c r="BW7" s="68">
        <v>1</v>
      </c>
      <c r="BX7" s="11" t="s">
        <v>858</v>
      </c>
      <c r="BY7" s="11" t="s">
        <v>1024</v>
      </c>
      <c r="BZ7" s="11" t="s">
        <v>1025</v>
      </c>
      <c r="CA7" s="11" t="s">
        <v>1026</v>
      </c>
      <c r="CB7" s="11" t="s">
        <v>1027</v>
      </c>
      <c r="CC7" s="11" t="s">
        <v>1028</v>
      </c>
      <c r="CD7" s="11" t="s">
        <v>1029</v>
      </c>
      <c r="CE7" s="11" t="s">
        <v>1030</v>
      </c>
    </row>
    <row r="8" spans="1:83">
      <c r="A8" s="11" t="s">
        <v>211</v>
      </c>
      <c r="B8" s="11" t="s">
        <v>211</v>
      </c>
      <c r="C8" s="67" t="s">
        <v>572</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c r="N8" s="68">
        <f>IFERROR(IF(ISNUMBER(INDEX(Rohdaten!$A$116:$LJ$116,MATCH(N$4,RD_Kopf,0))),INDEX(Rohdaten!$A$116:$LJ$116,MATCH(N$4,RD_Kopf,0)),NA()),NA())</f>
        <v>0</v>
      </c>
      <c r="O8" s="68">
        <f>IFERROR(IF(ISNUMBER(INDEX(Rohdaten!$A$116:$LJ$116,MATCH(O$4,RD_Kopf,0))),INDEX(Rohdaten!$A$116:$LJ$116,MATCH(O$4,RD_Kopf,0)),NA()),NA())</f>
        <v>0</v>
      </c>
      <c r="P8" s="68">
        <f>IFERROR(IF(ISNUMBER(INDEX(Rohdaten!$A$116:$LJ$116,MATCH(P$4,RD_Kopf,0))),INDEX(Rohdaten!$A$116:$LJ$116,MATCH(P$4,RD_Kopf,0)),NA()),NA())</f>
        <v>0</v>
      </c>
      <c r="Q8" s="68">
        <f>IFERROR(IF(ISNUMBER(INDEX(Rohdaten!$A$116:$LJ$116,MATCH(Q$4,RD_Kopf,0))),INDEX(Rohdaten!$A$116:$LJ$116,MATCH(Q$4,RD_Kopf,0)),NA()),NA())</f>
        <v>0</v>
      </c>
      <c r="R8" s="68">
        <f>IFERROR(IF(ISNUMBER(INDEX(Rohdaten!$A$116:$LJ$116,MATCH(R$4,RD_Kopf,0))),INDEX(Rohdaten!$A$116:$LJ$116,MATCH(R$4,RD_Kopf,0)),NA()),NA())</f>
        <v>0</v>
      </c>
      <c r="S8" s="68">
        <f>IFERROR(IF(ISNUMBER(INDEX(Rohdaten!$A$116:$LJ$116,MATCH(S$4,RD_Kopf,0))),INDEX(Rohdaten!$A$116:$LJ$116,MATCH(S$4,RD_Kopf,0)),NA()),NA())</f>
        <v>0</v>
      </c>
      <c r="T8" s="68">
        <f>IFERROR(IF(ISNUMBER(INDEX(Rohdaten!$A$116:$LJ$116,MATCH(T$4,RD_Kopf,0))),INDEX(Rohdaten!$A$116:$LJ$116,MATCH(T$4,RD_Kopf,0)),NA()),NA())</f>
        <v>0</v>
      </c>
      <c r="U8" s="68">
        <f>IFERROR(IF(ISNUMBER(INDEX(Rohdaten!$A$116:$LJ$116,MATCH(U$4,RD_Kopf,0))),INDEX(Rohdaten!$A$116:$LJ$116,MATCH(U$4,RD_Kopf,0)),NA()),NA())</f>
        <v>0</v>
      </c>
      <c r="V8" s="68">
        <f>IFERROR(IF(ISNUMBER(INDEX(Rohdaten!$A$116:$LJ$116,MATCH(V$4,RD_Kopf,0))),INDEX(Rohdaten!$A$116:$LJ$116,MATCH(V$4,RD_Kopf,0)),NA()),NA())</f>
        <v>0</v>
      </c>
      <c r="W8" s="68">
        <f>IFERROR(IF(ISNUMBER(INDEX(Rohdaten!$A$116:$LJ$116,MATCH(W$4,RD_Kopf,0))),INDEX(Rohdaten!$A$116:$LJ$116,MATCH(W$4,RD_Kopf,0)),NA()),NA())</f>
        <v>0</v>
      </c>
      <c r="X8" s="68">
        <f>IFERROR(IF(ISNUMBER(INDEX(Rohdaten!$A$116:$LJ$116,MATCH(X$4,RD_Kopf,0))),INDEX(Rohdaten!$A$116:$LJ$116,MATCH(X$4,RD_Kopf,0)),NA()),NA())</f>
        <v>0</v>
      </c>
      <c r="Y8" s="68">
        <f>IFERROR(IF(ISNUMBER(INDEX(Rohdaten!$A$116:$LJ$116,MATCH(Y$4,RD_Kopf,0))),INDEX(Rohdaten!$A$116:$LJ$116,MATCH(Y$4,RD_Kopf,0)),NA()),NA())</f>
        <v>0</v>
      </c>
      <c r="Z8" s="68">
        <f>IFERROR(IF(ISNUMBER(INDEX(Rohdaten!$A$116:$LJ$116,MATCH(Z$4,RD_Kopf,0))),INDEX(Rohdaten!$A$116:$LJ$116,MATCH(Z$4,RD_Kopf,0)),NA()),NA())</f>
        <v>0</v>
      </c>
      <c r="AA8" s="68">
        <f>IFERROR(IF(ISNUMBER(INDEX(Rohdaten!$A$116:$LJ$116,MATCH(AA$4,RD_Kopf,0))),INDEX(Rohdaten!$A$116:$LJ$116,MATCH(AA$4,RD_Kopf,0)),NA()),NA())</f>
        <v>0</v>
      </c>
      <c r="AB8" s="68">
        <f>IFERROR(IF(ISNUMBER(INDEX(Rohdaten!$A$116:$LJ$116,MATCH(AB$4,RD_Kopf,0))),INDEX(Rohdaten!$A$116:$LJ$116,MATCH(AB$4,RD_Kopf,0)),NA()),NA())</f>
        <v>0</v>
      </c>
      <c r="AC8" s="68">
        <f>IFERROR(IF(ISNUMBER(INDEX(Rohdaten!$A$116:$LJ$116,MATCH(AC$4,RD_Kopf,0))),INDEX(Rohdaten!$A$116:$LJ$116,MATCH(AC$4,RD_Kopf,0)),NA()),NA())</f>
        <v>0</v>
      </c>
      <c r="AD8" s="68">
        <f>IFERROR(IF(ISNUMBER(INDEX(Rohdaten!$A$116:$LJ$116,MATCH(AD$4,RD_Kopf,0))),INDEX(Rohdaten!$A$116:$LJ$116,MATCH(AD$4,RD_Kopf,0)),NA()),NA())</f>
        <v>0</v>
      </c>
      <c r="BV8" s="11" t="s">
        <v>348</v>
      </c>
      <c r="BW8" s="68">
        <v>2</v>
      </c>
      <c r="BX8" s="11" t="s">
        <v>859</v>
      </c>
      <c r="BY8" s="11" t="s">
        <v>1031</v>
      </c>
      <c r="BZ8" s="11" t="s">
        <v>1032</v>
      </c>
      <c r="CA8" s="11" t="s">
        <v>1033</v>
      </c>
      <c r="CB8" s="11" t="s">
        <v>1034</v>
      </c>
      <c r="CC8" s="11" t="s">
        <v>1035</v>
      </c>
      <c r="CD8" s="11" t="s">
        <v>1036</v>
      </c>
      <c r="CE8" s="11" t="s">
        <v>1037</v>
      </c>
    </row>
    <row r="9" spans="1:83">
      <c r="A9" s="11" t="s">
        <v>188</v>
      </c>
      <c r="B9" s="11" t="s">
        <v>188</v>
      </c>
      <c r="C9" s="67" t="s">
        <v>573</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c r="N9" s="68">
        <f>IFERROR(IF(ISNUMBER(INDEX(Rohdaten!$A$105:$LJ$105,MATCH(N$4,RD_Kopf,0))),INDEX(Rohdaten!$A$105:$LJ$105,MATCH(N$4,RD_Kopf,0)),NA()),NA())</f>
        <v>0</v>
      </c>
      <c r="O9" s="68">
        <f>IFERROR(IF(ISNUMBER(INDEX(Rohdaten!$A$105:$LJ$105,MATCH(O$4,RD_Kopf,0))),INDEX(Rohdaten!$A$105:$LJ$105,MATCH(O$4,RD_Kopf,0)),NA()),NA())</f>
        <v>0</v>
      </c>
      <c r="P9" s="68">
        <f>IFERROR(IF(ISNUMBER(INDEX(Rohdaten!$A$105:$LJ$105,MATCH(P$4,RD_Kopf,0))),INDEX(Rohdaten!$A$105:$LJ$105,MATCH(P$4,RD_Kopf,0)),NA()),NA())</f>
        <v>0</v>
      </c>
      <c r="Q9" s="68">
        <f>IFERROR(IF(ISNUMBER(INDEX(Rohdaten!$A$105:$LJ$105,MATCH(Q$4,RD_Kopf,0))),INDEX(Rohdaten!$A$105:$LJ$105,MATCH(Q$4,RD_Kopf,0)),NA()),NA())</f>
        <v>0</v>
      </c>
      <c r="R9" s="68">
        <f>IFERROR(IF(ISNUMBER(INDEX(Rohdaten!$A$105:$LJ$105,MATCH(R$4,RD_Kopf,0))),INDEX(Rohdaten!$A$105:$LJ$105,MATCH(R$4,RD_Kopf,0)),NA()),NA())</f>
        <v>0</v>
      </c>
      <c r="S9" s="68">
        <f>IFERROR(IF(ISNUMBER(INDEX(Rohdaten!$A$105:$LJ$105,MATCH(S$4,RD_Kopf,0))),INDEX(Rohdaten!$A$105:$LJ$105,MATCH(S$4,RD_Kopf,0)),NA()),NA())</f>
        <v>0</v>
      </c>
      <c r="T9" s="68">
        <f>IFERROR(IF(ISNUMBER(INDEX(Rohdaten!$A$105:$LJ$105,MATCH(T$4,RD_Kopf,0))),INDEX(Rohdaten!$A$105:$LJ$105,MATCH(T$4,RD_Kopf,0)),NA()),NA())</f>
        <v>0</v>
      </c>
      <c r="U9" s="68">
        <f>IFERROR(IF(ISNUMBER(INDEX(Rohdaten!$A$105:$LJ$105,MATCH(U$4,RD_Kopf,0))),INDEX(Rohdaten!$A$105:$LJ$105,MATCH(U$4,RD_Kopf,0)),NA()),NA())</f>
        <v>0</v>
      </c>
      <c r="V9" s="68">
        <f>IFERROR(IF(ISNUMBER(INDEX(Rohdaten!$A$105:$LJ$105,MATCH(V$4,RD_Kopf,0))),INDEX(Rohdaten!$A$105:$LJ$105,MATCH(V$4,RD_Kopf,0)),NA()),NA())</f>
        <v>0</v>
      </c>
      <c r="W9" s="68">
        <f>IFERROR(IF(ISNUMBER(INDEX(Rohdaten!$A$105:$LJ$105,MATCH(W$4,RD_Kopf,0))),INDEX(Rohdaten!$A$105:$LJ$105,MATCH(W$4,RD_Kopf,0)),NA()),NA())</f>
        <v>0</v>
      </c>
      <c r="X9" s="68">
        <f>IFERROR(IF(ISNUMBER(INDEX(Rohdaten!$A$105:$LJ$105,MATCH(X$4,RD_Kopf,0))),INDEX(Rohdaten!$A$105:$LJ$105,MATCH(X$4,RD_Kopf,0)),NA()),NA())</f>
        <v>0</v>
      </c>
      <c r="Y9" s="68">
        <f>IFERROR(IF(ISNUMBER(INDEX(Rohdaten!$A$105:$LJ$105,MATCH(Y$4,RD_Kopf,0))),INDEX(Rohdaten!$A$105:$LJ$105,MATCH(Y$4,RD_Kopf,0)),NA()),NA())</f>
        <v>0</v>
      </c>
      <c r="Z9" s="68">
        <f>IFERROR(IF(ISNUMBER(INDEX(Rohdaten!$A$105:$LJ$105,MATCH(Z$4,RD_Kopf,0))),INDEX(Rohdaten!$A$105:$LJ$105,MATCH(Z$4,RD_Kopf,0)),NA()),NA())</f>
        <v>0</v>
      </c>
      <c r="AA9" s="68">
        <f>IFERROR(IF(ISNUMBER(INDEX(Rohdaten!$A$105:$LJ$105,MATCH(AA$4,RD_Kopf,0))),INDEX(Rohdaten!$A$105:$LJ$105,MATCH(AA$4,RD_Kopf,0)),NA()),NA())</f>
        <v>0</v>
      </c>
      <c r="AB9" s="68">
        <f>IFERROR(IF(ISNUMBER(INDEX(Rohdaten!$A$105:$LJ$105,MATCH(AB$4,RD_Kopf,0))),INDEX(Rohdaten!$A$105:$LJ$105,MATCH(AB$4,RD_Kopf,0)),NA()),NA())</f>
        <v>0</v>
      </c>
      <c r="AC9" s="68">
        <f>IFERROR(IF(ISNUMBER(INDEX(Rohdaten!$A$105:$LJ$105,MATCH(AC$4,RD_Kopf,0))),INDEX(Rohdaten!$A$105:$LJ$105,MATCH(AC$4,RD_Kopf,0)),NA()),NA())</f>
        <v>0</v>
      </c>
      <c r="AD9" s="68">
        <f>IFERROR(IF(ISNUMBER(INDEX(Rohdaten!$A$105:$LJ$105,MATCH(AD$4,RD_Kopf,0))),INDEX(Rohdaten!$A$105:$LJ$105,MATCH(AD$4,RD_Kopf,0)),NA()),NA())</f>
        <v>0</v>
      </c>
      <c r="BV9" s="11" t="s">
        <v>348</v>
      </c>
      <c r="BW9" s="68">
        <v>3</v>
      </c>
      <c r="BX9" s="11" t="s">
        <v>472</v>
      </c>
      <c r="BY9" s="11" t="s">
        <v>1038</v>
      </c>
      <c r="BZ9" s="11"/>
      <c r="CA9" s="11" t="s">
        <v>1039</v>
      </c>
      <c r="CB9" s="11" t="s">
        <v>1040</v>
      </c>
      <c r="CC9" s="11" t="s">
        <v>1041</v>
      </c>
    </row>
    <row r="10" spans="1:83">
      <c r="A10" s="11" t="s">
        <v>192</v>
      </c>
      <c r="B10" s="11" t="s">
        <v>192</v>
      </c>
      <c r="C10" s="67" t="s">
        <v>574</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c r="N10" s="68">
        <f>IFERROR(IF(ISNUMBER(INDEX(Rohdaten!$A$108:$LJ$108,MATCH(N$4,RD_Kopf,0))),INDEX(Rohdaten!$A$108:$LJ$108,MATCH(N$4,RD_Kopf,0)),NA()),NA())</f>
        <v>0</v>
      </c>
      <c r="O10" s="68">
        <f>IFERROR(IF(ISNUMBER(INDEX(Rohdaten!$A$108:$LJ$108,MATCH(O$4,RD_Kopf,0))),INDEX(Rohdaten!$A$108:$LJ$108,MATCH(O$4,RD_Kopf,0)),NA()),NA())</f>
        <v>0</v>
      </c>
      <c r="P10" s="68">
        <f>IFERROR(IF(ISNUMBER(INDEX(Rohdaten!$A$108:$LJ$108,MATCH(P$4,RD_Kopf,0))),INDEX(Rohdaten!$A$108:$LJ$108,MATCH(P$4,RD_Kopf,0)),NA()),NA())</f>
        <v>0</v>
      </c>
      <c r="Q10" s="68">
        <f>IFERROR(IF(ISNUMBER(INDEX(Rohdaten!$A$108:$LJ$108,MATCH(Q$4,RD_Kopf,0))),INDEX(Rohdaten!$A$108:$LJ$108,MATCH(Q$4,RD_Kopf,0)),NA()),NA())</f>
        <v>0</v>
      </c>
      <c r="R10" s="68">
        <f>IFERROR(IF(ISNUMBER(INDEX(Rohdaten!$A$108:$LJ$108,MATCH(R$4,RD_Kopf,0))),INDEX(Rohdaten!$A$108:$LJ$108,MATCH(R$4,RD_Kopf,0)),NA()),NA())</f>
        <v>0</v>
      </c>
      <c r="S10" s="68">
        <f>IFERROR(IF(ISNUMBER(INDEX(Rohdaten!$A$108:$LJ$108,MATCH(S$4,RD_Kopf,0))),INDEX(Rohdaten!$A$108:$LJ$108,MATCH(S$4,RD_Kopf,0)),NA()),NA())</f>
        <v>0</v>
      </c>
      <c r="T10" s="68">
        <f>IFERROR(IF(ISNUMBER(INDEX(Rohdaten!$A$108:$LJ$108,MATCH(T$4,RD_Kopf,0))),INDEX(Rohdaten!$A$108:$LJ$108,MATCH(T$4,RD_Kopf,0)),NA()),NA())</f>
        <v>0</v>
      </c>
      <c r="U10" s="68">
        <f>IFERROR(IF(ISNUMBER(INDEX(Rohdaten!$A$108:$LJ$108,MATCH(U$4,RD_Kopf,0))),INDEX(Rohdaten!$A$108:$LJ$108,MATCH(U$4,RD_Kopf,0)),NA()),NA())</f>
        <v>0</v>
      </c>
      <c r="V10" s="68">
        <f>IFERROR(IF(ISNUMBER(INDEX(Rohdaten!$A$108:$LJ$108,MATCH(V$4,RD_Kopf,0))),INDEX(Rohdaten!$A$108:$LJ$108,MATCH(V$4,RD_Kopf,0)),NA()),NA())</f>
        <v>0</v>
      </c>
      <c r="W10" s="68">
        <f>IFERROR(IF(ISNUMBER(INDEX(Rohdaten!$A$108:$LJ$108,MATCH(W$4,RD_Kopf,0))),INDEX(Rohdaten!$A$108:$LJ$108,MATCH(W$4,RD_Kopf,0)),NA()),NA())</f>
        <v>0</v>
      </c>
      <c r="X10" s="68">
        <f>IFERROR(IF(ISNUMBER(INDEX(Rohdaten!$A$108:$LJ$108,MATCH(X$4,RD_Kopf,0))),INDEX(Rohdaten!$A$108:$LJ$108,MATCH(X$4,RD_Kopf,0)),NA()),NA())</f>
        <v>0</v>
      </c>
      <c r="Y10" s="68">
        <f>IFERROR(IF(ISNUMBER(INDEX(Rohdaten!$A$108:$LJ$108,MATCH(Y$4,RD_Kopf,0))),INDEX(Rohdaten!$A$108:$LJ$108,MATCH(Y$4,RD_Kopf,0)),NA()),NA())</f>
        <v>0</v>
      </c>
      <c r="Z10" s="68">
        <f>IFERROR(IF(ISNUMBER(INDEX(Rohdaten!$A$108:$LJ$108,MATCH(Z$4,RD_Kopf,0))),INDEX(Rohdaten!$A$108:$LJ$108,MATCH(Z$4,RD_Kopf,0)),NA()),NA())</f>
        <v>0</v>
      </c>
      <c r="AA10" s="68">
        <f>IFERROR(IF(ISNUMBER(INDEX(Rohdaten!$A$108:$LJ$108,MATCH(AA$4,RD_Kopf,0))),INDEX(Rohdaten!$A$108:$LJ$108,MATCH(AA$4,RD_Kopf,0)),NA()),NA())</f>
        <v>0</v>
      </c>
      <c r="AB10" s="68">
        <f>IFERROR(IF(ISNUMBER(INDEX(Rohdaten!$A$108:$LJ$108,MATCH(AB$4,RD_Kopf,0))),INDEX(Rohdaten!$A$108:$LJ$108,MATCH(AB$4,RD_Kopf,0)),NA()),NA())</f>
        <v>0</v>
      </c>
      <c r="AC10" s="68">
        <f>IFERROR(IF(ISNUMBER(INDEX(Rohdaten!$A$108:$LJ$108,MATCH(AC$4,RD_Kopf,0))),INDEX(Rohdaten!$A$108:$LJ$108,MATCH(AC$4,RD_Kopf,0)),NA()),NA())</f>
        <v>0</v>
      </c>
      <c r="AD10" s="68">
        <f>IFERROR(IF(ISNUMBER(INDEX(Rohdaten!$A$108:$LJ$108,MATCH(AD$4,RD_Kopf,0))),INDEX(Rohdaten!$A$108:$LJ$108,MATCH(AD$4,RD_Kopf,0)),NA()),NA())</f>
        <v>0</v>
      </c>
      <c r="BV10" s="11" t="s">
        <v>348</v>
      </c>
      <c r="BW10" s="68">
        <v>4</v>
      </c>
      <c r="BX10" s="11" t="s">
        <v>439</v>
      </c>
      <c r="BY10" s="11" t="s">
        <v>1042</v>
      </c>
      <c r="BZ10" s="11"/>
      <c r="CA10" s="11" t="s">
        <v>1043</v>
      </c>
      <c r="CB10" s="11" t="s">
        <v>1044</v>
      </c>
      <c r="CC10" s="11" t="s">
        <v>1045</v>
      </c>
      <c r="CD10" s="11" t="s">
        <v>1046</v>
      </c>
    </row>
    <row r="11" spans="1:83">
      <c r="A11" s="11" t="s">
        <v>196</v>
      </c>
      <c r="B11" s="11" t="s">
        <v>196</v>
      </c>
      <c r="C11" s="67" t="s">
        <v>575</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c r="N11" s="68">
        <f>IFERROR(IF(ISNUMBER(INDEX(Rohdaten!$A$111:$LJ$111,MATCH(N$4,RD_Kopf,0))),INDEX(Rohdaten!$A$111:$LJ$111,MATCH(N$4,RD_Kopf,0)),NA()),NA())</f>
        <v>0</v>
      </c>
      <c r="O11" s="68">
        <f>IFERROR(IF(ISNUMBER(INDEX(Rohdaten!$A$111:$LJ$111,MATCH(O$4,RD_Kopf,0))),INDEX(Rohdaten!$A$111:$LJ$111,MATCH(O$4,RD_Kopf,0)),NA()),NA())</f>
        <v>0</v>
      </c>
      <c r="P11" s="68">
        <f>IFERROR(IF(ISNUMBER(INDEX(Rohdaten!$A$111:$LJ$111,MATCH(P$4,RD_Kopf,0))),INDEX(Rohdaten!$A$111:$LJ$111,MATCH(P$4,RD_Kopf,0)),NA()),NA())</f>
        <v>0</v>
      </c>
      <c r="Q11" s="68">
        <f>IFERROR(IF(ISNUMBER(INDEX(Rohdaten!$A$111:$LJ$111,MATCH(Q$4,RD_Kopf,0))),INDEX(Rohdaten!$A$111:$LJ$111,MATCH(Q$4,RD_Kopf,0)),NA()),NA())</f>
        <v>0</v>
      </c>
      <c r="R11" s="68">
        <f>IFERROR(IF(ISNUMBER(INDEX(Rohdaten!$A$111:$LJ$111,MATCH(R$4,RD_Kopf,0))),INDEX(Rohdaten!$A$111:$LJ$111,MATCH(R$4,RD_Kopf,0)),NA()),NA())</f>
        <v>0</v>
      </c>
      <c r="S11" s="68">
        <f>IFERROR(IF(ISNUMBER(INDEX(Rohdaten!$A$111:$LJ$111,MATCH(S$4,RD_Kopf,0))),INDEX(Rohdaten!$A$111:$LJ$111,MATCH(S$4,RD_Kopf,0)),NA()),NA())</f>
        <v>0</v>
      </c>
      <c r="T11" s="68">
        <f>IFERROR(IF(ISNUMBER(INDEX(Rohdaten!$A$111:$LJ$111,MATCH(T$4,RD_Kopf,0))),INDEX(Rohdaten!$A$111:$LJ$111,MATCH(T$4,RD_Kopf,0)),NA()),NA())</f>
        <v>0</v>
      </c>
      <c r="U11" s="68">
        <f>IFERROR(IF(ISNUMBER(INDEX(Rohdaten!$A$111:$LJ$111,MATCH(U$4,RD_Kopf,0))),INDEX(Rohdaten!$A$111:$LJ$111,MATCH(U$4,RD_Kopf,0)),NA()),NA())</f>
        <v>0</v>
      </c>
      <c r="V11" s="68">
        <f>IFERROR(IF(ISNUMBER(INDEX(Rohdaten!$A$111:$LJ$111,MATCH(V$4,RD_Kopf,0))),INDEX(Rohdaten!$A$111:$LJ$111,MATCH(V$4,RD_Kopf,0)),NA()),NA())</f>
        <v>0</v>
      </c>
      <c r="W11" s="68">
        <f>IFERROR(IF(ISNUMBER(INDEX(Rohdaten!$A$111:$LJ$111,MATCH(W$4,RD_Kopf,0))),INDEX(Rohdaten!$A$111:$LJ$111,MATCH(W$4,RD_Kopf,0)),NA()),NA())</f>
        <v>0</v>
      </c>
      <c r="X11" s="68">
        <f>IFERROR(IF(ISNUMBER(INDEX(Rohdaten!$A$111:$LJ$111,MATCH(X$4,RD_Kopf,0))),INDEX(Rohdaten!$A$111:$LJ$111,MATCH(X$4,RD_Kopf,0)),NA()),NA())</f>
        <v>0</v>
      </c>
      <c r="Y11" s="68">
        <f>IFERROR(IF(ISNUMBER(INDEX(Rohdaten!$A$111:$LJ$111,MATCH(Y$4,RD_Kopf,0))),INDEX(Rohdaten!$A$111:$LJ$111,MATCH(Y$4,RD_Kopf,0)),NA()),NA())</f>
        <v>0</v>
      </c>
      <c r="Z11" s="68">
        <f>IFERROR(IF(ISNUMBER(INDEX(Rohdaten!$A$111:$LJ$111,MATCH(Z$4,RD_Kopf,0))),INDEX(Rohdaten!$A$111:$LJ$111,MATCH(Z$4,RD_Kopf,0)),NA()),NA())</f>
        <v>0</v>
      </c>
      <c r="AA11" s="68">
        <f>IFERROR(IF(ISNUMBER(INDEX(Rohdaten!$A$111:$LJ$111,MATCH(AA$4,RD_Kopf,0))),INDEX(Rohdaten!$A$111:$LJ$111,MATCH(AA$4,RD_Kopf,0)),NA()),NA())</f>
        <v>0</v>
      </c>
      <c r="AB11" s="68">
        <f>IFERROR(IF(ISNUMBER(INDEX(Rohdaten!$A$111:$LJ$111,MATCH(AB$4,RD_Kopf,0))),INDEX(Rohdaten!$A$111:$LJ$111,MATCH(AB$4,RD_Kopf,0)),NA()),NA())</f>
        <v>0</v>
      </c>
      <c r="AC11" s="68">
        <f>IFERROR(IF(ISNUMBER(INDEX(Rohdaten!$A$111:$LJ$111,MATCH(AC$4,RD_Kopf,0))),INDEX(Rohdaten!$A$111:$LJ$111,MATCH(AC$4,RD_Kopf,0)),NA()),NA())</f>
        <v>0</v>
      </c>
      <c r="AD11" s="68">
        <f>IFERROR(IF(ISNUMBER(INDEX(Rohdaten!$A$111:$LJ$111,MATCH(AD$4,RD_Kopf,0))),INDEX(Rohdaten!$A$111:$LJ$111,MATCH(AD$4,RD_Kopf,0)),NA()),NA())</f>
        <v>0</v>
      </c>
      <c r="BV11" s="11" t="s">
        <v>348</v>
      </c>
      <c r="BW11" s="68">
        <v>5</v>
      </c>
      <c r="BX11" s="11" t="s">
        <v>444</v>
      </c>
      <c r="BY11" s="11" t="s">
        <v>1047</v>
      </c>
      <c r="BZ11" s="11"/>
      <c r="CA11" s="11" t="s">
        <v>1048</v>
      </c>
    </row>
    <row r="12" spans="1:83">
      <c r="A12" s="11" t="s">
        <v>202</v>
      </c>
      <c r="B12" s="11" t="s">
        <v>202</v>
      </c>
      <c r="C12" s="67" t="s">
        <v>576</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c r="N12" s="68">
        <f>IFERROR(IF(ISNUMBER(INDEX(Rohdaten!$A$113:$LJ$113,MATCH(N$4,RD_Kopf,0))),INDEX(Rohdaten!$A$113:$LJ$113,MATCH(N$4,RD_Kopf,0)),NA()),NA())</f>
        <v>0</v>
      </c>
      <c r="O12" s="68">
        <f>IFERROR(IF(ISNUMBER(INDEX(Rohdaten!$A$113:$LJ$113,MATCH(O$4,RD_Kopf,0))),INDEX(Rohdaten!$A$113:$LJ$113,MATCH(O$4,RD_Kopf,0)),NA()),NA())</f>
        <v>0</v>
      </c>
      <c r="P12" s="68">
        <f>IFERROR(IF(ISNUMBER(INDEX(Rohdaten!$A$113:$LJ$113,MATCH(P$4,RD_Kopf,0))),INDEX(Rohdaten!$A$113:$LJ$113,MATCH(P$4,RD_Kopf,0)),NA()),NA())</f>
        <v>0</v>
      </c>
      <c r="Q12" s="68">
        <f>IFERROR(IF(ISNUMBER(INDEX(Rohdaten!$A$113:$LJ$113,MATCH(Q$4,RD_Kopf,0))),INDEX(Rohdaten!$A$113:$LJ$113,MATCH(Q$4,RD_Kopf,0)),NA()),NA())</f>
        <v>0</v>
      </c>
      <c r="R12" s="68">
        <f>IFERROR(IF(ISNUMBER(INDEX(Rohdaten!$A$113:$LJ$113,MATCH(R$4,RD_Kopf,0))),INDEX(Rohdaten!$A$113:$LJ$113,MATCH(R$4,RD_Kopf,0)),NA()),NA())</f>
        <v>0</v>
      </c>
      <c r="S12" s="68">
        <f>IFERROR(IF(ISNUMBER(INDEX(Rohdaten!$A$113:$LJ$113,MATCH(S$4,RD_Kopf,0))),INDEX(Rohdaten!$A$113:$LJ$113,MATCH(S$4,RD_Kopf,0)),NA()),NA())</f>
        <v>0</v>
      </c>
      <c r="T12" s="68">
        <f>IFERROR(IF(ISNUMBER(INDEX(Rohdaten!$A$113:$LJ$113,MATCH(T$4,RD_Kopf,0))),INDEX(Rohdaten!$A$113:$LJ$113,MATCH(T$4,RD_Kopf,0)),NA()),NA())</f>
        <v>0</v>
      </c>
      <c r="U12" s="68">
        <f>IFERROR(IF(ISNUMBER(INDEX(Rohdaten!$A$113:$LJ$113,MATCH(U$4,RD_Kopf,0))),INDEX(Rohdaten!$A$113:$LJ$113,MATCH(U$4,RD_Kopf,0)),NA()),NA())</f>
        <v>0</v>
      </c>
      <c r="V12" s="68">
        <f>IFERROR(IF(ISNUMBER(INDEX(Rohdaten!$A$113:$LJ$113,MATCH(V$4,RD_Kopf,0))),INDEX(Rohdaten!$A$113:$LJ$113,MATCH(V$4,RD_Kopf,0)),NA()),NA())</f>
        <v>0</v>
      </c>
      <c r="W12" s="68">
        <f>IFERROR(IF(ISNUMBER(INDEX(Rohdaten!$A$113:$LJ$113,MATCH(W$4,RD_Kopf,0))),INDEX(Rohdaten!$A$113:$LJ$113,MATCH(W$4,RD_Kopf,0)),NA()),NA())</f>
        <v>0</v>
      </c>
      <c r="X12" s="68">
        <f>IFERROR(IF(ISNUMBER(INDEX(Rohdaten!$A$113:$LJ$113,MATCH(X$4,RD_Kopf,0))),INDEX(Rohdaten!$A$113:$LJ$113,MATCH(X$4,RD_Kopf,0)),NA()),NA())</f>
        <v>0</v>
      </c>
      <c r="Y12" s="68">
        <f>IFERROR(IF(ISNUMBER(INDEX(Rohdaten!$A$113:$LJ$113,MATCH(Y$4,RD_Kopf,0))),INDEX(Rohdaten!$A$113:$LJ$113,MATCH(Y$4,RD_Kopf,0)),NA()),NA())</f>
        <v>0</v>
      </c>
      <c r="Z12" s="68">
        <f>IFERROR(IF(ISNUMBER(INDEX(Rohdaten!$A$113:$LJ$113,MATCH(Z$4,RD_Kopf,0))),INDEX(Rohdaten!$A$113:$LJ$113,MATCH(Z$4,RD_Kopf,0)),NA()),NA())</f>
        <v>0</v>
      </c>
      <c r="AA12" s="68">
        <f>IFERROR(IF(ISNUMBER(INDEX(Rohdaten!$A$113:$LJ$113,MATCH(AA$4,RD_Kopf,0))),INDEX(Rohdaten!$A$113:$LJ$113,MATCH(AA$4,RD_Kopf,0)),NA()),NA())</f>
        <v>0</v>
      </c>
      <c r="AB12" s="68">
        <f>IFERROR(IF(ISNUMBER(INDEX(Rohdaten!$A$113:$LJ$113,MATCH(AB$4,RD_Kopf,0))),INDEX(Rohdaten!$A$113:$LJ$113,MATCH(AB$4,RD_Kopf,0)),NA()),NA())</f>
        <v>0</v>
      </c>
      <c r="AC12" s="68">
        <f>IFERROR(IF(ISNUMBER(INDEX(Rohdaten!$A$113:$LJ$113,MATCH(AC$4,RD_Kopf,0))),INDEX(Rohdaten!$A$113:$LJ$113,MATCH(AC$4,RD_Kopf,0)),NA()),NA())</f>
        <v>0</v>
      </c>
      <c r="AD12" s="68">
        <f>IFERROR(IF(ISNUMBER(INDEX(Rohdaten!$A$113:$LJ$113,MATCH(AD$4,RD_Kopf,0))),INDEX(Rohdaten!$A$113:$LJ$113,MATCH(AD$4,RD_Kopf,0)),NA()),NA())</f>
        <v>0</v>
      </c>
      <c r="BV12" s="11" t="s">
        <v>348</v>
      </c>
      <c r="BW12" s="68">
        <v>6</v>
      </c>
      <c r="BX12" s="11" t="s">
        <v>474</v>
      </c>
      <c r="BY12" s="11" t="s">
        <v>1049</v>
      </c>
      <c r="BZ12" s="11"/>
      <c r="CA12" s="11" t="s">
        <v>1050</v>
      </c>
    </row>
    <row r="13" spans="1:83">
      <c r="A13" s="11" t="s">
        <v>314</v>
      </c>
      <c r="B13" s="11" t="s">
        <v>314</v>
      </c>
      <c r="C13" s="67" t="s">
        <v>577</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c r="N13" s="68">
        <f>IFERROR(IF(ISNUMBER(INDEX(Rohdaten!$A$156:$LJ$156,MATCH(N$4,RD_Kopf,0))),INDEX(Rohdaten!$A$156:$LJ$156,MATCH(N$4,RD_Kopf,0)),NA()),NA())</f>
        <v>0</v>
      </c>
      <c r="O13" s="68">
        <f>IFERROR(IF(ISNUMBER(INDEX(Rohdaten!$A$156:$LJ$156,MATCH(O$4,RD_Kopf,0))),INDEX(Rohdaten!$A$156:$LJ$156,MATCH(O$4,RD_Kopf,0)),NA()),NA())</f>
        <v>0</v>
      </c>
      <c r="P13" s="68">
        <f>IFERROR(IF(ISNUMBER(INDEX(Rohdaten!$A$156:$LJ$156,MATCH(P$4,RD_Kopf,0))),INDEX(Rohdaten!$A$156:$LJ$156,MATCH(P$4,RD_Kopf,0)),NA()),NA())</f>
        <v>0</v>
      </c>
      <c r="Q13" s="68">
        <f>IFERROR(IF(ISNUMBER(INDEX(Rohdaten!$A$156:$LJ$156,MATCH(Q$4,RD_Kopf,0))),INDEX(Rohdaten!$A$156:$LJ$156,MATCH(Q$4,RD_Kopf,0)),NA()),NA())</f>
        <v>0</v>
      </c>
      <c r="R13" s="68">
        <f>IFERROR(IF(ISNUMBER(INDEX(Rohdaten!$A$156:$LJ$156,MATCH(R$4,RD_Kopf,0))),INDEX(Rohdaten!$A$156:$LJ$156,MATCH(R$4,RD_Kopf,0)),NA()),NA())</f>
        <v>0</v>
      </c>
      <c r="S13" s="68">
        <f>IFERROR(IF(ISNUMBER(INDEX(Rohdaten!$A$156:$LJ$156,MATCH(S$4,RD_Kopf,0))),INDEX(Rohdaten!$A$156:$LJ$156,MATCH(S$4,RD_Kopf,0)),NA()),NA())</f>
        <v>0</v>
      </c>
      <c r="T13" s="68">
        <f>IFERROR(IF(ISNUMBER(INDEX(Rohdaten!$A$156:$LJ$156,MATCH(T$4,RD_Kopf,0))),INDEX(Rohdaten!$A$156:$LJ$156,MATCH(T$4,RD_Kopf,0)),NA()),NA())</f>
        <v>0</v>
      </c>
      <c r="U13" s="68">
        <f>IFERROR(IF(ISNUMBER(INDEX(Rohdaten!$A$156:$LJ$156,MATCH(U$4,RD_Kopf,0))),INDEX(Rohdaten!$A$156:$LJ$156,MATCH(U$4,RD_Kopf,0)),NA()),NA())</f>
        <v>0</v>
      </c>
      <c r="V13" s="68">
        <f>IFERROR(IF(ISNUMBER(INDEX(Rohdaten!$A$156:$LJ$156,MATCH(V$4,RD_Kopf,0))),INDEX(Rohdaten!$A$156:$LJ$156,MATCH(V$4,RD_Kopf,0)),NA()),NA())</f>
        <v>0</v>
      </c>
      <c r="W13" s="68">
        <f>IFERROR(IF(ISNUMBER(INDEX(Rohdaten!$A$156:$LJ$156,MATCH(W$4,RD_Kopf,0))),INDEX(Rohdaten!$A$156:$LJ$156,MATCH(W$4,RD_Kopf,0)),NA()),NA())</f>
        <v>0</v>
      </c>
      <c r="X13" s="68">
        <f>IFERROR(IF(ISNUMBER(INDEX(Rohdaten!$A$156:$LJ$156,MATCH(X$4,RD_Kopf,0))),INDEX(Rohdaten!$A$156:$LJ$156,MATCH(X$4,RD_Kopf,0)),NA()),NA())</f>
        <v>0</v>
      </c>
      <c r="Y13" s="68">
        <f>IFERROR(IF(ISNUMBER(INDEX(Rohdaten!$A$156:$LJ$156,MATCH(Y$4,RD_Kopf,0))),INDEX(Rohdaten!$A$156:$LJ$156,MATCH(Y$4,RD_Kopf,0)),NA()),NA())</f>
        <v>0</v>
      </c>
      <c r="Z13" s="68">
        <f>IFERROR(IF(ISNUMBER(INDEX(Rohdaten!$A$156:$LJ$156,MATCH(Z$4,RD_Kopf,0))),INDEX(Rohdaten!$A$156:$LJ$156,MATCH(Z$4,RD_Kopf,0)),NA()),NA())</f>
        <v>0</v>
      </c>
      <c r="AA13" s="68">
        <f>IFERROR(IF(ISNUMBER(INDEX(Rohdaten!$A$156:$LJ$156,MATCH(AA$4,RD_Kopf,0))),INDEX(Rohdaten!$A$156:$LJ$156,MATCH(AA$4,RD_Kopf,0)),NA()),NA())</f>
        <v>0</v>
      </c>
      <c r="AB13" s="68">
        <f>IFERROR(IF(ISNUMBER(INDEX(Rohdaten!$A$156:$LJ$156,MATCH(AB$4,RD_Kopf,0))),INDEX(Rohdaten!$A$156:$LJ$156,MATCH(AB$4,RD_Kopf,0)),NA()),NA())</f>
        <v>0</v>
      </c>
      <c r="AC13" s="68">
        <f>IFERROR(IF(ISNUMBER(INDEX(Rohdaten!$A$156:$LJ$156,MATCH(AC$4,RD_Kopf,0))),INDEX(Rohdaten!$A$156:$LJ$156,MATCH(AC$4,RD_Kopf,0)),NA()),NA())</f>
        <v>0</v>
      </c>
      <c r="AD13" s="68">
        <f>IFERROR(IF(ISNUMBER(INDEX(Rohdaten!$A$156:$LJ$156,MATCH(AD$4,RD_Kopf,0))),INDEX(Rohdaten!$A$156:$LJ$156,MATCH(AD$4,RD_Kopf,0)),NA()),NA())</f>
        <v>0</v>
      </c>
      <c r="BV13" s="11" t="s">
        <v>348</v>
      </c>
      <c r="BW13" s="68">
        <v>7</v>
      </c>
      <c r="BX13" s="11" t="s">
        <v>476</v>
      </c>
      <c r="BY13" s="11" t="s">
        <v>1051</v>
      </c>
      <c r="BZ13" s="11"/>
      <c r="CA13" s="11" t="s">
        <v>1052</v>
      </c>
    </row>
    <row r="14" spans="1:83">
      <c r="A14" s="11" t="s">
        <v>317</v>
      </c>
      <c r="B14" s="11" t="s">
        <v>317</v>
      </c>
      <c r="C14" s="67" t="s">
        <v>578</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c r="N14" s="68">
        <f>IFERROR(IF(ISNUMBER(INDEX(Rohdaten!$A$157:$LJ$157,MATCH(N$4,RD_Kopf,0))),INDEX(Rohdaten!$A$157:$LJ$157,MATCH(N$4,RD_Kopf,0)),NA()),NA())</f>
        <v>0</v>
      </c>
      <c r="O14" s="68">
        <f>IFERROR(IF(ISNUMBER(INDEX(Rohdaten!$A$157:$LJ$157,MATCH(O$4,RD_Kopf,0))),INDEX(Rohdaten!$A$157:$LJ$157,MATCH(O$4,RD_Kopf,0)),NA()),NA())</f>
        <v>0</v>
      </c>
      <c r="P14" s="68">
        <f>IFERROR(IF(ISNUMBER(INDEX(Rohdaten!$A$157:$LJ$157,MATCH(P$4,RD_Kopf,0))),INDEX(Rohdaten!$A$157:$LJ$157,MATCH(P$4,RD_Kopf,0)),NA()),NA())</f>
        <v>0</v>
      </c>
      <c r="Q14" s="68">
        <f>IFERROR(IF(ISNUMBER(INDEX(Rohdaten!$A$157:$LJ$157,MATCH(Q$4,RD_Kopf,0))),INDEX(Rohdaten!$A$157:$LJ$157,MATCH(Q$4,RD_Kopf,0)),NA()),NA())</f>
        <v>0</v>
      </c>
      <c r="R14" s="68">
        <f>IFERROR(IF(ISNUMBER(INDEX(Rohdaten!$A$157:$LJ$157,MATCH(R$4,RD_Kopf,0))),INDEX(Rohdaten!$A$157:$LJ$157,MATCH(R$4,RD_Kopf,0)),NA()),NA())</f>
        <v>0</v>
      </c>
      <c r="S14" s="68">
        <f>IFERROR(IF(ISNUMBER(INDEX(Rohdaten!$A$157:$LJ$157,MATCH(S$4,RD_Kopf,0))),INDEX(Rohdaten!$A$157:$LJ$157,MATCH(S$4,RD_Kopf,0)),NA()),NA())</f>
        <v>0</v>
      </c>
      <c r="T14" s="68">
        <f>IFERROR(IF(ISNUMBER(INDEX(Rohdaten!$A$157:$LJ$157,MATCH(T$4,RD_Kopf,0))),INDEX(Rohdaten!$A$157:$LJ$157,MATCH(T$4,RD_Kopf,0)),NA()),NA())</f>
        <v>0</v>
      </c>
      <c r="U14" s="68">
        <f>IFERROR(IF(ISNUMBER(INDEX(Rohdaten!$A$157:$LJ$157,MATCH(U$4,RD_Kopf,0))),INDEX(Rohdaten!$A$157:$LJ$157,MATCH(U$4,RD_Kopf,0)),NA()),NA())</f>
        <v>0</v>
      </c>
      <c r="V14" s="68">
        <f>IFERROR(IF(ISNUMBER(INDEX(Rohdaten!$A$157:$LJ$157,MATCH(V$4,RD_Kopf,0))),INDEX(Rohdaten!$A$157:$LJ$157,MATCH(V$4,RD_Kopf,0)),NA()),NA())</f>
        <v>0</v>
      </c>
      <c r="W14" s="68">
        <f>IFERROR(IF(ISNUMBER(INDEX(Rohdaten!$A$157:$LJ$157,MATCH(W$4,RD_Kopf,0))),INDEX(Rohdaten!$A$157:$LJ$157,MATCH(W$4,RD_Kopf,0)),NA()),NA())</f>
        <v>0</v>
      </c>
      <c r="X14" s="68">
        <f>IFERROR(IF(ISNUMBER(INDEX(Rohdaten!$A$157:$LJ$157,MATCH(X$4,RD_Kopf,0))),INDEX(Rohdaten!$A$157:$LJ$157,MATCH(X$4,RD_Kopf,0)),NA()),NA())</f>
        <v>0</v>
      </c>
      <c r="Y14" s="68">
        <f>IFERROR(IF(ISNUMBER(INDEX(Rohdaten!$A$157:$LJ$157,MATCH(Y$4,RD_Kopf,0))),INDEX(Rohdaten!$A$157:$LJ$157,MATCH(Y$4,RD_Kopf,0)),NA()),NA())</f>
        <v>0</v>
      </c>
      <c r="Z14" s="68">
        <f>IFERROR(IF(ISNUMBER(INDEX(Rohdaten!$A$157:$LJ$157,MATCH(Z$4,RD_Kopf,0))),INDEX(Rohdaten!$A$157:$LJ$157,MATCH(Z$4,RD_Kopf,0)),NA()),NA())</f>
        <v>0</v>
      </c>
      <c r="AA14" s="68">
        <f>IFERROR(IF(ISNUMBER(INDEX(Rohdaten!$A$157:$LJ$157,MATCH(AA$4,RD_Kopf,0))),INDEX(Rohdaten!$A$157:$LJ$157,MATCH(AA$4,RD_Kopf,0)),NA()),NA())</f>
        <v>0</v>
      </c>
      <c r="AB14" s="68">
        <f>IFERROR(IF(ISNUMBER(INDEX(Rohdaten!$A$157:$LJ$157,MATCH(AB$4,RD_Kopf,0))),INDEX(Rohdaten!$A$157:$LJ$157,MATCH(AB$4,RD_Kopf,0)),NA()),NA())</f>
        <v>0</v>
      </c>
      <c r="AC14" s="68">
        <f>IFERROR(IF(ISNUMBER(INDEX(Rohdaten!$A$157:$LJ$157,MATCH(AC$4,RD_Kopf,0))),INDEX(Rohdaten!$A$157:$LJ$157,MATCH(AC$4,RD_Kopf,0)),NA()),NA())</f>
        <v>0</v>
      </c>
      <c r="AD14" s="68">
        <f>IFERROR(IF(ISNUMBER(INDEX(Rohdaten!$A$157:$LJ$157,MATCH(AD$4,RD_Kopf,0))),INDEX(Rohdaten!$A$157:$LJ$157,MATCH(AD$4,RD_Kopf,0)),NA()),NA())</f>
        <v>0</v>
      </c>
      <c r="BV14" s="11" t="s">
        <v>351</v>
      </c>
      <c r="BW14" s="68">
        <v>1</v>
      </c>
      <c r="BX14" s="11" t="s">
        <v>420</v>
      </c>
      <c r="BY14" s="11" t="s">
        <v>1053</v>
      </c>
      <c r="BZ14" s="11"/>
      <c r="CA14" s="11" t="s">
        <v>1054</v>
      </c>
    </row>
    <row r="15" spans="1:83">
      <c r="A15" s="11" t="s">
        <v>304</v>
      </c>
      <c r="B15" s="11" t="s">
        <v>304</v>
      </c>
      <c r="C15" s="67" t="s">
        <v>579</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c r="N15" s="68">
        <f>IFERROR(IF(ISNUMBER(INDEX(Rohdaten!$A$152:$LJ$152,MATCH(N$4,RD_Kopf,0))),INDEX(Rohdaten!$A$152:$LJ$152,MATCH(N$4,RD_Kopf,0)),NA()),NA())</f>
        <v>0</v>
      </c>
      <c r="O15" s="68">
        <f>IFERROR(IF(ISNUMBER(INDEX(Rohdaten!$A$152:$LJ$152,MATCH(O$4,RD_Kopf,0))),INDEX(Rohdaten!$A$152:$LJ$152,MATCH(O$4,RD_Kopf,0)),NA()),NA())</f>
        <v>0</v>
      </c>
      <c r="P15" s="68">
        <f>IFERROR(IF(ISNUMBER(INDEX(Rohdaten!$A$152:$LJ$152,MATCH(P$4,RD_Kopf,0))),INDEX(Rohdaten!$A$152:$LJ$152,MATCH(P$4,RD_Kopf,0)),NA()),NA())</f>
        <v>0</v>
      </c>
      <c r="Q15" s="68">
        <f>IFERROR(IF(ISNUMBER(INDEX(Rohdaten!$A$152:$LJ$152,MATCH(Q$4,RD_Kopf,0))),INDEX(Rohdaten!$A$152:$LJ$152,MATCH(Q$4,RD_Kopf,0)),NA()),NA())</f>
        <v>0</v>
      </c>
      <c r="R15" s="68">
        <f>IFERROR(IF(ISNUMBER(INDEX(Rohdaten!$A$152:$LJ$152,MATCH(R$4,RD_Kopf,0))),INDEX(Rohdaten!$A$152:$LJ$152,MATCH(R$4,RD_Kopf,0)),NA()),NA())</f>
        <v>0</v>
      </c>
      <c r="S15" s="68">
        <f>IFERROR(IF(ISNUMBER(INDEX(Rohdaten!$A$152:$LJ$152,MATCH(S$4,RD_Kopf,0))),INDEX(Rohdaten!$A$152:$LJ$152,MATCH(S$4,RD_Kopf,0)),NA()),NA())</f>
        <v>0</v>
      </c>
      <c r="T15" s="68">
        <f>IFERROR(IF(ISNUMBER(INDEX(Rohdaten!$A$152:$LJ$152,MATCH(T$4,RD_Kopf,0))),INDEX(Rohdaten!$A$152:$LJ$152,MATCH(T$4,RD_Kopf,0)),NA()),NA())</f>
        <v>0</v>
      </c>
      <c r="U15" s="68">
        <f>IFERROR(IF(ISNUMBER(INDEX(Rohdaten!$A$152:$LJ$152,MATCH(U$4,RD_Kopf,0))),INDEX(Rohdaten!$A$152:$LJ$152,MATCH(U$4,RD_Kopf,0)),NA()),NA())</f>
        <v>0</v>
      </c>
      <c r="V15" s="68">
        <f>IFERROR(IF(ISNUMBER(INDEX(Rohdaten!$A$152:$LJ$152,MATCH(V$4,RD_Kopf,0))),INDEX(Rohdaten!$A$152:$LJ$152,MATCH(V$4,RD_Kopf,0)),NA()),NA())</f>
        <v>0</v>
      </c>
      <c r="W15" s="68">
        <f>IFERROR(IF(ISNUMBER(INDEX(Rohdaten!$A$152:$LJ$152,MATCH(W$4,RD_Kopf,0))),INDEX(Rohdaten!$A$152:$LJ$152,MATCH(W$4,RD_Kopf,0)),NA()),NA())</f>
        <v>0</v>
      </c>
      <c r="X15" s="68">
        <f>IFERROR(IF(ISNUMBER(INDEX(Rohdaten!$A$152:$LJ$152,MATCH(X$4,RD_Kopf,0))),INDEX(Rohdaten!$A$152:$LJ$152,MATCH(X$4,RD_Kopf,0)),NA()),NA())</f>
        <v>0</v>
      </c>
      <c r="Y15" s="68">
        <f>IFERROR(IF(ISNUMBER(INDEX(Rohdaten!$A$152:$LJ$152,MATCH(Y$4,RD_Kopf,0))),INDEX(Rohdaten!$A$152:$LJ$152,MATCH(Y$4,RD_Kopf,0)),NA()),NA())</f>
        <v>0</v>
      </c>
      <c r="Z15" s="68">
        <f>IFERROR(IF(ISNUMBER(INDEX(Rohdaten!$A$152:$LJ$152,MATCH(Z$4,RD_Kopf,0))),INDEX(Rohdaten!$A$152:$LJ$152,MATCH(Z$4,RD_Kopf,0)),NA()),NA())</f>
        <v>0</v>
      </c>
      <c r="AA15" s="68">
        <f>IFERROR(IF(ISNUMBER(INDEX(Rohdaten!$A$152:$LJ$152,MATCH(AA$4,RD_Kopf,0))),INDEX(Rohdaten!$A$152:$LJ$152,MATCH(AA$4,RD_Kopf,0)),NA()),NA())</f>
        <v>0</v>
      </c>
      <c r="AB15" s="68">
        <f>IFERROR(IF(ISNUMBER(INDEX(Rohdaten!$A$152:$LJ$152,MATCH(AB$4,RD_Kopf,0))),INDEX(Rohdaten!$A$152:$LJ$152,MATCH(AB$4,RD_Kopf,0)),NA()),NA())</f>
        <v>0</v>
      </c>
      <c r="AC15" s="68">
        <f>IFERROR(IF(ISNUMBER(INDEX(Rohdaten!$A$152:$LJ$152,MATCH(AC$4,RD_Kopf,0))),INDEX(Rohdaten!$A$152:$LJ$152,MATCH(AC$4,RD_Kopf,0)),NA()),NA())</f>
        <v>0</v>
      </c>
      <c r="AD15" s="68">
        <f>IFERROR(IF(ISNUMBER(INDEX(Rohdaten!$A$152:$LJ$152,MATCH(AD$4,RD_Kopf,0))),INDEX(Rohdaten!$A$152:$LJ$152,MATCH(AD$4,RD_Kopf,0)),NA()),NA())</f>
        <v>0</v>
      </c>
      <c r="BV15" s="11" t="s">
        <v>351</v>
      </c>
      <c r="BW15" s="68">
        <v>2</v>
      </c>
      <c r="BX15" s="11" t="s">
        <v>462</v>
      </c>
      <c r="BY15" s="11" t="s">
        <v>1055</v>
      </c>
      <c r="BZ15" s="11"/>
      <c r="CA15" s="11" t="s">
        <v>1056</v>
      </c>
      <c r="CB15" s="11" t="s">
        <v>1057</v>
      </c>
      <c r="CC15" s="11" t="s">
        <v>1058</v>
      </c>
      <c r="CD15" s="11" t="s">
        <v>1059</v>
      </c>
    </row>
    <row r="16" spans="1:83">
      <c r="A16" s="11" t="s">
        <v>278</v>
      </c>
      <c r="B16" s="11" t="s">
        <v>278</v>
      </c>
      <c r="C16" s="67" t="s">
        <v>580</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c r="N16" s="68">
        <f>IFERROR(IF(ISNUMBER(INDEX(Rohdaten!$A$142:$LJ$142,MATCH(N$4,RD_Kopf,0))),INDEX(Rohdaten!$A$142:$LJ$142,MATCH(N$4,RD_Kopf,0)),NA()),NA())</f>
        <v>0</v>
      </c>
      <c r="O16" s="68">
        <f>IFERROR(IF(ISNUMBER(INDEX(Rohdaten!$A$142:$LJ$142,MATCH(O$4,RD_Kopf,0))),INDEX(Rohdaten!$A$142:$LJ$142,MATCH(O$4,RD_Kopf,0)),NA()),NA())</f>
        <v>0</v>
      </c>
      <c r="P16" s="68">
        <f>IFERROR(IF(ISNUMBER(INDEX(Rohdaten!$A$142:$LJ$142,MATCH(P$4,RD_Kopf,0))),INDEX(Rohdaten!$A$142:$LJ$142,MATCH(P$4,RD_Kopf,0)),NA()),NA())</f>
        <v>0</v>
      </c>
      <c r="Q16" s="68">
        <f>IFERROR(IF(ISNUMBER(INDEX(Rohdaten!$A$142:$LJ$142,MATCH(Q$4,RD_Kopf,0))),INDEX(Rohdaten!$A$142:$LJ$142,MATCH(Q$4,RD_Kopf,0)),NA()),NA())</f>
        <v>0</v>
      </c>
      <c r="R16" s="68">
        <f>IFERROR(IF(ISNUMBER(INDEX(Rohdaten!$A$142:$LJ$142,MATCH(R$4,RD_Kopf,0))),INDEX(Rohdaten!$A$142:$LJ$142,MATCH(R$4,RD_Kopf,0)),NA()),NA())</f>
        <v>0</v>
      </c>
      <c r="S16" s="68">
        <f>IFERROR(IF(ISNUMBER(INDEX(Rohdaten!$A$142:$LJ$142,MATCH(S$4,RD_Kopf,0))),INDEX(Rohdaten!$A$142:$LJ$142,MATCH(S$4,RD_Kopf,0)),NA()),NA())</f>
        <v>0</v>
      </c>
      <c r="T16" s="68">
        <f>IFERROR(IF(ISNUMBER(INDEX(Rohdaten!$A$142:$LJ$142,MATCH(T$4,RD_Kopf,0))),INDEX(Rohdaten!$A$142:$LJ$142,MATCH(T$4,RD_Kopf,0)),NA()),NA())</f>
        <v>0</v>
      </c>
      <c r="U16" s="68">
        <f>IFERROR(IF(ISNUMBER(INDEX(Rohdaten!$A$142:$LJ$142,MATCH(U$4,RD_Kopf,0))),INDEX(Rohdaten!$A$142:$LJ$142,MATCH(U$4,RD_Kopf,0)),NA()),NA())</f>
        <v>0</v>
      </c>
      <c r="V16" s="68">
        <f>IFERROR(IF(ISNUMBER(INDEX(Rohdaten!$A$142:$LJ$142,MATCH(V$4,RD_Kopf,0))),INDEX(Rohdaten!$A$142:$LJ$142,MATCH(V$4,RD_Kopf,0)),NA()),NA())</f>
        <v>0</v>
      </c>
      <c r="W16" s="68">
        <f>IFERROR(IF(ISNUMBER(INDEX(Rohdaten!$A$142:$LJ$142,MATCH(W$4,RD_Kopf,0))),INDEX(Rohdaten!$A$142:$LJ$142,MATCH(W$4,RD_Kopf,0)),NA()),NA())</f>
        <v>0</v>
      </c>
      <c r="X16" s="68">
        <f>IFERROR(IF(ISNUMBER(INDEX(Rohdaten!$A$142:$LJ$142,MATCH(X$4,RD_Kopf,0))),INDEX(Rohdaten!$A$142:$LJ$142,MATCH(X$4,RD_Kopf,0)),NA()),NA())</f>
        <v>0</v>
      </c>
      <c r="Y16" s="68">
        <f>IFERROR(IF(ISNUMBER(INDEX(Rohdaten!$A$142:$LJ$142,MATCH(Y$4,RD_Kopf,0))),INDEX(Rohdaten!$A$142:$LJ$142,MATCH(Y$4,RD_Kopf,0)),NA()),NA())</f>
        <v>0</v>
      </c>
      <c r="Z16" s="68">
        <f>IFERROR(IF(ISNUMBER(INDEX(Rohdaten!$A$142:$LJ$142,MATCH(Z$4,RD_Kopf,0))),INDEX(Rohdaten!$A$142:$LJ$142,MATCH(Z$4,RD_Kopf,0)),NA()),NA())</f>
        <v>0</v>
      </c>
      <c r="AA16" s="68">
        <f>IFERROR(IF(ISNUMBER(INDEX(Rohdaten!$A$142:$LJ$142,MATCH(AA$4,RD_Kopf,0))),INDEX(Rohdaten!$A$142:$LJ$142,MATCH(AA$4,RD_Kopf,0)),NA()),NA())</f>
        <v>0</v>
      </c>
      <c r="AB16" s="68">
        <f>IFERROR(IF(ISNUMBER(INDEX(Rohdaten!$A$142:$LJ$142,MATCH(AB$4,RD_Kopf,0))),INDEX(Rohdaten!$A$142:$LJ$142,MATCH(AB$4,RD_Kopf,0)),NA()),NA())</f>
        <v>0</v>
      </c>
      <c r="AC16" s="68">
        <f>IFERROR(IF(ISNUMBER(INDEX(Rohdaten!$A$142:$LJ$142,MATCH(AC$4,RD_Kopf,0))),INDEX(Rohdaten!$A$142:$LJ$142,MATCH(AC$4,RD_Kopf,0)),NA()),NA())</f>
        <v>0</v>
      </c>
      <c r="AD16" s="68">
        <f>IFERROR(IF(ISNUMBER(INDEX(Rohdaten!$A$142:$LJ$142,MATCH(AD$4,RD_Kopf,0))),INDEX(Rohdaten!$A$142:$LJ$142,MATCH(AD$4,RD_Kopf,0)),NA()),NA())</f>
        <v>0</v>
      </c>
      <c r="BV16" s="11" t="s">
        <v>351</v>
      </c>
      <c r="BW16" s="68">
        <v>3</v>
      </c>
      <c r="BX16" s="11" t="s">
        <v>873</v>
      </c>
      <c r="BY16" s="11" t="s">
        <v>1060</v>
      </c>
      <c r="BZ16" s="11"/>
      <c r="CA16" s="11" t="s">
        <v>1061</v>
      </c>
    </row>
    <row r="17" spans="1:85">
      <c r="A17" s="11" t="s">
        <v>281</v>
      </c>
      <c r="B17" s="11" t="s">
        <v>281</v>
      </c>
      <c r="C17" s="67" t="s">
        <v>581</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c r="N17" s="68">
        <f>IFERROR(IF(ISNUMBER(INDEX(Rohdaten!$A$143:$LJ$143,MATCH(N$4,RD_Kopf,0))),INDEX(Rohdaten!$A$143:$LJ$143,MATCH(N$4,RD_Kopf,0)),NA()),NA())</f>
        <v>0</v>
      </c>
      <c r="O17" s="68">
        <f>IFERROR(IF(ISNUMBER(INDEX(Rohdaten!$A$143:$LJ$143,MATCH(O$4,RD_Kopf,0))),INDEX(Rohdaten!$A$143:$LJ$143,MATCH(O$4,RD_Kopf,0)),NA()),NA())</f>
        <v>0</v>
      </c>
      <c r="P17" s="68">
        <f>IFERROR(IF(ISNUMBER(INDEX(Rohdaten!$A$143:$LJ$143,MATCH(P$4,RD_Kopf,0))),INDEX(Rohdaten!$A$143:$LJ$143,MATCH(P$4,RD_Kopf,0)),NA()),NA())</f>
        <v>0</v>
      </c>
      <c r="Q17" s="68">
        <f>IFERROR(IF(ISNUMBER(INDEX(Rohdaten!$A$143:$LJ$143,MATCH(Q$4,RD_Kopf,0))),INDEX(Rohdaten!$A$143:$LJ$143,MATCH(Q$4,RD_Kopf,0)),NA()),NA())</f>
        <v>0</v>
      </c>
      <c r="R17" s="68">
        <f>IFERROR(IF(ISNUMBER(INDEX(Rohdaten!$A$143:$LJ$143,MATCH(R$4,RD_Kopf,0))),INDEX(Rohdaten!$A$143:$LJ$143,MATCH(R$4,RD_Kopf,0)),NA()),NA())</f>
        <v>0</v>
      </c>
      <c r="S17" s="68">
        <f>IFERROR(IF(ISNUMBER(INDEX(Rohdaten!$A$143:$LJ$143,MATCH(S$4,RD_Kopf,0))),INDEX(Rohdaten!$A$143:$LJ$143,MATCH(S$4,RD_Kopf,0)),NA()),NA())</f>
        <v>0</v>
      </c>
      <c r="T17" s="68">
        <f>IFERROR(IF(ISNUMBER(INDEX(Rohdaten!$A$143:$LJ$143,MATCH(T$4,RD_Kopf,0))),INDEX(Rohdaten!$A$143:$LJ$143,MATCH(T$4,RD_Kopf,0)),NA()),NA())</f>
        <v>0</v>
      </c>
      <c r="U17" s="68">
        <f>IFERROR(IF(ISNUMBER(INDEX(Rohdaten!$A$143:$LJ$143,MATCH(U$4,RD_Kopf,0))),INDEX(Rohdaten!$A$143:$LJ$143,MATCH(U$4,RD_Kopf,0)),NA()),NA())</f>
        <v>0</v>
      </c>
      <c r="V17" s="68">
        <f>IFERROR(IF(ISNUMBER(INDEX(Rohdaten!$A$143:$LJ$143,MATCH(V$4,RD_Kopf,0))),INDEX(Rohdaten!$A$143:$LJ$143,MATCH(V$4,RD_Kopf,0)),NA()),NA())</f>
        <v>0</v>
      </c>
      <c r="W17" s="68">
        <f>IFERROR(IF(ISNUMBER(INDEX(Rohdaten!$A$143:$LJ$143,MATCH(W$4,RD_Kopf,0))),INDEX(Rohdaten!$A$143:$LJ$143,MATCH(W$4,RD_Kopf,0)),NA()),NA())</f>
        <v>0</v>
      </c>
      <c r="X17" s="68">
        <f>IFERROR(IF(ISNUMBER(INDEX(Rohdaten!$A$143:$LJ$143,MATCH(X$4,RD_Kopf,0))),INDEX(Rohdaten!$A$143:$LJ$143,MATCH(X$4,RD_Kopf,0)),NA()),NA())</f>
        <v>0</v>
      </c>
      <c r="Y17" s="68">
        <f>IFERROR(IF(ISNUMBER(INDEX(Rohdaten!$A$143:$LJ$143,MATCH(Y$4,RD_Kopf,0))),INDEX(Rohdaten!$A$143:$LJ$143,MATCH(Y$4,RD_Kopf,0)),NA()),NA())</f>
        <v>0</v>
      </c>
      <c r="Z17" s="68">
        <f>IFERROR(IF(ISNUMBER(INDEX(Rohdaten!$A$143:$LJ$143,MATCH(Z$4,RD_Kopf,0))),INDEX(Rohdaten!$A$143:$LJ$143,MATCH(Z$4,RD_Kopf,0)),NA()),NA())</f>
        <v>0</v>
      </c>
      <c r="AA17" s="68">
        <f>IFERROR(IF(ISNUMBER(INDEX(Rohdaten!$A$143:$LJ$143,MATCH(AA$4,RD_Kopf,0))),INDEX(Rohdaten!$A$143:$LJ$143,MATCH(AA$4,RD_Kopf,0)),NA()),NA())</f>
        <v>0</v>
      </c>
      <c r="AB17" s="68">
        <f>IFERROR(IF(ISNUMBER(INDEX(Rohdaten!$A$143:$LJ$143,MATCH(AB$4,RD_Kopf,0))),INDEX(Rohdaten!$A$143:$LJ$143,MATCH(AB$4,RD_Kopf,0)),NA()),NA())</f>
        <v>0</v>
      </c>
      <c r="AC17" s="68">
        <f>IFERROR(IF(ISNUMBER(INDEX(Rohdaten!$A$143:$LJ$143,MATCH(AC$4,RD_Kopf,0))),INDEX(Rohdaten!$A$143:$LJ$143,MATCH(AC$4,RD_Kopf,0)),NA()),NA())</f>
        <v>0</v>
      </c>
      <c r="AD17" s="68">
        <f>IFERROR(IF(ISNUMBER(INDEX(Rohdaten!$A$143:$LJ$143,MATCH(AD$4,RD_Kopf,0))),INDEX(Rohdaten!$A$143:$LJ$143,MATCH(AD$4,RD_Kopf,0)),NA()),NA())</f>
        <v>0</v>
      </c>
      <c r="BV17" s="11" t="s">
        <v>351</v>
      </c>
      <c r="BW17" s="68">
        <v>4</v>
      </c>
      <c r="BX17" s="11" t="s">
        <v>875</v>
      </c>
      <c r="BY17" s="11" t="s">
        <v>1062</v>
      </c>
      <c r="BZ17" s="11"/>
      <c r="CA17" s="11" t="s">
        <v>1063</v>
      </c>
      <c r="CB17" s="11" t="s">
        <v>1064</v>
      </c>
      <c r="CC17" s="11" t="s">
        <v>1065</v>
      </c>
      <c r="CD17" s="11" t="s">
        <v>1066</v>
      </c>
      <c r="CE17" s="11" t="s">
        <v>1067</v>
      </c>
      <c r="CF17" s="11" t="s">
        <v>1045</v>
      </c>
      <c r="CG17" s="11" t="s">
        <v>1068</v>
      </c>
    </row>
    <row r="18" spans="1:85">
      <c r="A18" s="11" t="s">
        <v>284</v>
      </c>
      <c r="B18" s="11" t="s">
        <v>284</v>
      </c>
      <c r="C18" s="67" t="s">
        <v>582</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c r="N18" s="68">
        <f>IFERROR(IF(ISNUMBER(INDEX(Rohdaten!$A$144:$LJ$144,MATCH(N$4,RD_Kopf,0))),INDEX(Rohdaten!$A$144:$LJ$144,MATCH(N$4,RD_Kopf,0)),NA()),NA())</f>
        <v>0</v>
      </c>
      <c r="O18" s="68">
        <f>IFERROR(IF(ISNUMBER(INDEX(Rohdaten!$A$144:$LJ$144,MATCH(O$4,RD_Kopf,0))),INDEX(Rohdaten!$A$144:$LJ$144,MATCH(O$4,RD_Kopf,0)),NA()),NA())</f>
        <v>0</v>
      </c>
      <c r="P18" s="68">
        <f>IFERROR(IF(ISNUMBER(INDEX(Rohdaten!$A$144:$LJ$144,MATCH(P$4,RD_Kopf,0))),INDEX(Rohdaten!$A$144:$LJ$144,MATCH(P$4,RD_Kopf,0)),NA()),NA())</f>
        <v>0</v>
      </c>
      <c r="Q18" s="68">
        <f>IFERROR(IF(ISNUMBER(INDEX(Rohdaten!$A$144:$LJ$144,MATCH(Q$4,RD_Kopf,0))),INDEX(Rohdaten!$A$144:$LJ$144,MATCH(Q$4,RD_Kopf,0)),NA()),NA())</f>
        <v>0</v>
      </c>
      <c r="R18" s="68">
        <f>IFERROR(IF(ISNUMBER(INDEX(Rohdaten!$A$144:$LJ$144,MATCH(R$4,RD_Kopf,0))),INDEX(Rohdaten!$A$144:$LJ$144,MATCH(R$4,RD_Kopf,0)),NA()),NA())</f>
        <v>0</v>
      </c>
      <c r="S18" s="68">
        <f>IFERROR(IF(ISNUMBER(INDEX(Rohdaten!$A$144:$LJ$144,MATCH(S$4,RD_Kopf,0))),INDEX(Rohdaten!$A$144:$LJ$144,MATCH(S$4,RD_Kopf,0)),NA()),NA())</f>
        <v>0</v>
      </c>
      <c r="T18" s="68">
        <f>IFERROR(IF(ISNUMBER(INDEX(Rohdaten!$A$144:$LJ$144,MATCH(T$4,RD_Kopf,0))),INDEX(Rohdaten!$A$144:$LJ$144,MATCH(T$4,RD_Kopf,0)),NA()),NA())</f>
        <v>0</v>
      </c>
      <c r="U18" s="68">
        <f>IFERROR(IF(ISNUMBER(INDEX(Rohdaten!$A$144:$LJ$144,MATCH(U$4,RD_Kopf,0))),INDEX(Rohdaten!$A$144:$LJ$144,MATCH(U$4,RD_Kopf,0)),NA()),NA())</f>
        <v>0</v>
      </c>
      <c r="V18" s="68">
        <f>IFERROR(IF(ISNUMBER(INDEX(Rohdaten!$A$144:$LJ$144,MATCH(V$4,RD_Kopf,0))),INDEX(Rohdaten!$A$144:$LJ$144,MATCH(V$4,RD_Kopf,0)),NA()),NA())</f>
        <v>0</v>
      </c>
      <c r="W18" s="68">
        <f>IFERROR(IF(ISNUMBER(INDEX(Rohdaten!$A$144:$LJ$144,MATCH(W$4,RD_Kopf,0))),INDEX(Rohdaten!$A$144:$LJ$144,MATCH(W$4,RD_Kopf,0)),NA()),NA())</f>
        <v>0</v>
      </c>
      <c r="X18" s="68">
        <f>IFERROR(IF(ISNUMBER(INDEX(Rohdaten!$A$144:$LJ$144,MATCH(X$4,RD_Kopf,0))),INDEX(Rohdaten!$A$144:$LJ$144,MATCH(X$4,RD_Kopf,0)),NA()),NA())</f>
        <v>0</v>
      </c>
      <c r="Y18" s="68">
        <f>IFERROR(IF(ISNUMBER(INDEX(Rohdaten!$A$144:$LJ$144,MATCH(Y$4,RD_Kopf,0))),INDEX(Rohdaten!$A$144:$LJ$144,MATCH(Y$4,RD_Kopf,0)),NA()),NA())</f>
        <v>0</v>
      </c>
      <c r="Z18" s="68">
        <f>IFERROR(IF(ISNUMBER(INDEX(Rohdaten!$A$144:$LJ$144,MATCH(Z$4,RD_Kopf,0))),INDEX(Rohdaten!$A$144:$LJ$144,MATCH(Z$4,RD_Kopf,0)),NA()),NA())</f>
        <v>0</v>
      </c>
      <c r="AA18" s="68">
        <f>IFERROR(IF(ISNUMBER(INDEX(Rohdaten!$A$144:$LJ$144,MATCH(AA$4,RD_Kopf,0))),INDEX(Rohdaten!$A$144:$LJ$144,MATCH(AA$4,RD_Kopf,0)),NA()),NA())</f>
        <v>0</v>
      </c>
      <c r="AB18" s="68">
        <f>IFERROR(IF(ISNUMBER(INDEX(Rohdaten!$A$144:$LJ$144,MATCH(AB$4,RD_Kopf,0))),INDEX(Rohdaten!$A$144:$LJ$144,MATCH(AB$4,RD_Kopf,0)),NA()),NA())</f>
        <v>0</v>
      </c>
      <c r="AC18" s="68">
        <f>IFERROR(IF(ISNUMBER(INDEX(Rohdaten!$A$144:$LJ$144,MATCH(AC$4,RD_Kopf,0))),INDEX(Rohdaten!$A$144:$LJ$144,MATCH(AC$4,RD_Kopf,0)),NA()),NA())</f>
        <v>0</v>
      </c>
      <c r="AD18" s="68">
        <f>IFERROR(IF(ISNUMBER(INDEX(Rohdaten!$A$144:$LJ$144,MATCH(AD$4,RD_Kopf,0))),INDEX(Rohdaten!$A$144:$LJ$144,MATCH(AD$4,RD_Kopf,0)),NA()),NA())</f>
        <v>0</v>
      </c>
      <c r="BV18" s="11" t="s">
        <v>351</v>
      </c>
      <c r="BW18" s="68">
        <v>5</v>
      </c>
      <c r="BX18" s="11" t="s">
        <v>877</v>
      </c>
      <c r="BY18" s="11" t="s">
        <v>1069</v>
      </c>
      <c r="BZ18" s="11"/>
      <c r="CA18" s="11" t="s">
        <v>1070</v>
      </c>
      <c r="CB18" s="11" t="s">
        <v>1071</v>
      </c>
      <c r="CC18" s="11" t="s">
        <v>1072</v>
      </c>
      <c r="CD18" s="11" t="s">
        <v>1073</v>
      </c>
      <c r="CE18" s="11" t="s">
        <v>1074</v>
      </c>
      <c r="CF18" s="11" t="s">
        <v>1075</v>
      </c>
      <c r="CG18" s="11" t="s">
        <v>1076</v>
      </c>
    </row>
    <row r="19" spans="1:85">
      <c r="A19" s="11" t="s">
        <v>287</v>
      </c>
      <c r="B19" s="11" t="s">
        <v>287</v>
      </c>
      <c r="C19" s="67" t="s">
        <v>583</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c r="N19" s="68">
        <f>IFERROR(IF(ISNUMBER(INDEX(Rohdaten!$A$145:$LJ$145,MATCH(N$4,RD_Kopf,0))),INDEX(Rohdaten!$A$145:$LJ$145,MATCH(N$4,RD_Kopf,0)),NA()),NA())</f>
        <v>0</v>
      </c>
      <c r="O19" s="68">
        <f>IFERROR(IF(ISNUMBER(INDEX(Rohdaten!$A$145:$LJ$145,MATCH(O$4,RD_Kopf,0))),INDEX(Rohdaten!$A$145:$LJ$145,MATCH(O$4,RD_Kopf,0)),NA()),NA())</f>
        <v>0</v>
      </c>
      <c r="P19" s="68">
        <f>IFERROR(IF(ISNUMBER(INDEX(Rohdaten!$A$145:$LJ$145,MATCH(P$4,RD_Kopf,0))),INDEX(Rohdaten!$A$145:$LJ$145,MATCH(P$4,RD_Kopf,0)),NA()),NA())</f>
        <v>0</v>
      </c>
      <c r="Q19" s="68">
        <f>IFERROR(IF(ISNUMBER(INDEX(Rohdaten!$A$145:$LJ$145,MATCH(Q$4,RD_Kopf,0))),INDEX(Rohdaten!$A$145:$LJ$145,MATCH(Q$4,RD_Kopf,0)),NA()),NA())</f>
        <v>0</v>
      </c>
      <c r="R19" s="68">
        <f>IFERROR(IF(ISNUMBER(INDEX(Rohdaten!$A$145:$LJ$145,MATCH(R$4,RD_Kopf,0))),INDEX(Rohdaten!$A$145:$LJ$145,MATCH(R$4,RD_Kopf,0)),NA()),NA())</f>
        <v>0</v>
      </c>
      <c r="S19" s="68">
        <f>IFERROR(IF(ISNUMBER(INDEX(Rohdaten!$A$145:$LJ$145,MATCH(S$4,RD_Kopf,0))),INDEX(Rohdaten!$A$145:$LJ$145,MATCH(S$4,RD_Kopf,0)),NA()),NA())</f>
        <v>0</v>
      </c>
      <c r="T19" s="68">
        <f>IFERROR(IF(ISNUMBER(INDEX(Rohdaten!$A$145:$LJ$145,MATCH(T$4,RD_Kopf,0))),INDEX(Rohdaten!$A$145:$LJ$145,MATCH(T$4,RD_Kopf,0)),NA()),NA())</f>
        <v>0</v>
      </c>
      <c r="U19" s="68">
        <f>IFERROR(IF(ISNUMBER(INDEX(Rohdaten!$A$145:$LJ$145,MATCH(U$4,RD_Kopf,0))),INDEX(Rohdaten!$A$145:$LJ$145,MATCH(U$4,RD_Kopf,0)),NA()),NA())</f>
        <v>0</v>
      </c>
      <c r="V19" s="68">
        <f>IFERROR(IF(ISNUMBER(INDEX(Rohdaten!$A$145:$LJ$145,MATCH(V$4,RD_Kopf,0))),INDEX(Rohdaten!$A$145:$LJ$145,MATCH(V$4,RD_Kopf,0)),NA()),NA())</f>
        <v>0</v>
      </c>
      <c r="W19" s="68">
        <f>IFERROR(IF(ISNUMBER(INDEX(Rohdaten!$A$145:$LJ$145,MATCH(W$4,RD_Kopf,0))),INDEX(Rohdaten!$A$145:$LJ$145,MATCH(W$4,RD_Kopf,0)),NA()),NA())</f>
        <v>0</v>
      </c>
      <c r="X19" s="68">
        <f>IFERROR(IF(ISNUMBER(INDEX(Rohdaten!$A$145:$LJ$145,MATCH(X$4,RD_Kopf,0))),INDEX(Rohdaten!$A$145:$LJ$145,MATCH(X$4,RD_Kopf,0)),NA()),NA())</f>
        <v>0</v>
      </c>
      <c r="Y19" s="68">
        <f>IFERROR(IF(ISNUMBER(INDEX(Rohdaten!$A$145:$LJ$145,MATCH(Y$4,RD_Kopf,0))),INDEX(Rohdaten!$A$145:$LJ$145,MATCH(Y$4,RD_Kopf,0)),NA()),NA())</f>
        <v>0</v>
      </c>
      <c r="Z19" s="68">
        <f>IFERROR(IF(ISNUMBER(INDEX(Rohdaten!$A$145:$LJ$145,MATCH(Z$4,RD_Kopf,0))),INDEX(Rohdaten!$A$145:$LJ$145,MATCH(Z$4,RD_Kopf,0)),NA()),NA())</f>
        <v>0</v>
      </c>
      <c r="AA19" s="68">
        <f>IFERROR(IF(ISNUMBER(INDEX(Rohdaten!$A$145:$LJ$145,MATCH(AA$4,RD_Kopf,0))),INDEX(Rohdaten!$A$145:$LJ$145,MATCH(AA$4,RD_Kopf,0)),NA()),NA())</f>
        <v>0</v>
      </c>
      <c r="AB19" s="68">
        <f>IFERROR(IF(ISNUMBER(INDEX(Rohdaten!$A$145:$LJ$145,MATCH(AB$4,RD_Kopf,0))),INDEX(Rohdaten!$A$145:$LJ$145,MATCH(AB$4,RD_Kopf,0)),NA()),NA())</f>
        <v>0</v>
      </c>
      <c r="AC19" s="68">
        <f>IFERROR(IF(ISNUMBER(INDEX(Rohdaten!$A$145:$LJ$145,MATCH(AC$4,RD_Kopf,0))),INDEX(Rohdaten!$A$145:$LJ$145,MATCH(AC$4,RD_Kopf,0)),NA()),NA())</f>
        <v>0</v>
      </c>
      <c r="AD19" s="68">
        <f>IFERROR(IF(ISNUMBER(INDEX(Rohdaten!$A$145:$LJ$145,MATCH(AD$4,RD_Kopf,0))),INDEX(Rohdaten!$A$145:$LJ$145,MATCH(AD$4,RD_Kopf,0)),NA()),NA())</f>
        <v>0</v>
      </c>
      <c r="BV19" s="11" t="s">
        <v>351</v>
      </c>
      <c r="BW19" s="68">
        <v>6</v>
      </c>
      <c r="BX19" s="11" t="s">
        <v>879</v>
      </c>
      <c r="BY19" s="11" t="s">
        <v>1077</v>
      </c>
      <c r="BZ19" s="11"/>
      <c r="CA19" s="11" t="s">
        <v>1078</v>
      </c>
      <c r="CB19" s="11" t="s">
        <v>1079</v>
      </c>
    </row>
    <row r="20" spans="1:85">
      <c r="A20" s="11" t="s">
        <v>214</v>
      </c>
      <c r="B20" s="11" t="s">
        <v>214</v>
      </c>
      <c r="C20" s="67" t="s">
        <v>584</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c r="N20" s="68">
        <f>IFERROR(IF(ISNUMBER(INDEX(Rohdaten!$A$117:$LJ$117,MATCH(N$4,RD_Kopf,0))),INDEX(Rohdaten!$A$117:$LJ$117,MATCH(N$4,RD_Kopf,0)),NA()),NA())</f>
        <v>0</v>
      </c>
      <c r="O20" s="68">
        <f>IFERROR(IF(ISNUMBER(INDEX(Rohdaten!$A$117:$LJ$117,MATCH(O$4,RD_Kopf,0))),INDEX(Rohdaten!$A$117:$LJ$117,MATCH(O$4,RD_Kopf,0)),NA()),NA())</f>
        <v>0</v>
      </c>
      <c r="P20" s="68">
        <f>IFERROR(IF(ISNUMBER(INDEX(Rohdaten!$A$117:$LJ$117,MATCH(P$4,RD_Kopf,0))),INDEX(Rohdaten!$A$117:$LJ$117,MATCH(P$4,RD_Kopf,0)),NA()),NA())</f>
        <v>0</v>
      </c>
      <c r="Q20" s="68">
        <f>IFERROR(IF(ISNUMBER(INDEX(Rohdaten!$A$117:$LJ$117,MATCH(Q$4,RD_Kopf,0))),INDEX(Rohdaten!$A$117:$LJ$117,MATCH(Q$4,RD_Kopf,0)),NA()),NA())</f>
        <v>0</v>
      </c>
      <c r="R20" s="68">
        <f>IFERROR(IF(ISNUMBER(INDEX(Rohdaten!$A$117:$LJ$117,MATCH(R$4,RD_Kopf,0))),INDEX(Rohdaten!$A$117:$LJ$117,MATCH(R$4,RD_Kopf,0)),NA()),NA())</f>
        <v>0</v>
      </c>
      <c r="S20" s="68">
        <f>IFERROR(IF(ISNUMBER(INDEX(Rohdaten!$A$117:$LJ$117,MATCH(S$4,RD_Kopf,0))),INDEX(Rohdaten!$A$117:$LJ$117,MATCH(S$4,RD_Kopf,0)),NA()),NA())</f>
        <v>0</v>
      </c>
      <c r="T20" s="68">
        <f>IFERROR(IF(ISNUMBER(INDEX(Rohdaten!$A$117:$LJ$117,MATCH(T$4,RD_Kopf,0))),INDEX(Rohdaten!$A$117:$LJ$117,MATCH(T$4,RD_Kopf,0)),NA()),NA())</f>
        <v>0</v>
      </c>
      <c r="U20" s="68">
        <f>IFERROR(IF(ISNUMBER(INDEX(Rohdaten!$A$117:$LJ$117,MATCH(U$4,RD_Kopf,0))),INDEX(Rohdaten!$A$117:$LJ$117,MATCH(U$4,RD_Kopf,0)),NA()),NA())</f>
        <v>0</v>
      </c>
      <c r="V20" s="68">
        <f>IFERROR(IF(ISNUMBER(INDEX(Rohdaten!$A$117:$LJ$117,MATCH(V$4,RD_Kopf,0))),INDEX(Rohdaten!$A$117:$LJ$117,MATCH(V$4,RD_Kopf,0)),NA()),NA())</f>
        <v>0</v>
      </c>
      <c r="W20" s="68">
        <f>IFERROR(IF(ISNUMBER(INDEX(Rohdaten!$A$117:$LJ$117,MATCH(W$4,RD_Kopf,0))),INDEX(Rohdaten!$A$117:$LJ$117,MATCH(W$4,RD_Kopf,0)),NA()),NA())</f>
        <v>0</v>
      </c>
      <c r="X20" s="68">
        <f>IFERROR(IF(ISNUMBER(INDEX(Rohdaten!$A$117:$LJ$117,MATCH(X$4,RD_Kopf,0))),INDEX(Rohdaten!$A$117:$LJ$117,MATCH(X$4,RD_Kopf,0)),NA()),NA())</f>
        <v>0</v>
      </c>
      <c r="Y20" s="68">
        <f>IFERROR(IF(ISNUMBER(INDEX(Rohdaten!$A$117:$LJ$117,MATCH(Y$4,RD_Kopf,0))),INDEX(Rohdaten!$A$117:$LJ$117,MATCH(Y$4,RD_Kopf,0)),NA()),NA())</f>
        <v>0</v>
      </c>
      <c r="Z20" s="68">
        <f>IFERROR(IF(ISNUMBER(INDEX(Rohdaten!$A$117:$LJ$117,MATCH(Z$4,RD_Kopf,0))),INDEX(Rohdaten!$A$117:$LJ$117,MATCH(Z$4,RD_Kopf,0)),NA()),NA())</f>
        <v>0</v>
      </c>
      <c r="AA20" s="68">
        <f>IFERROR(IF(ISNUMBER(INDEX(Rohdaten!$A$117:$LJ$117,MATCH(AA$4,RD_Kopf,0))),INDEX(Rohdaten!$A$117:$LJ$117,MATCH(AA$4,RD_Kopf,0)),NA()),NA())</f>
        <v>0</v>
      </c>
      <c r="AB20" s="68">
        <f>IFERROR(IF(ISNUMBER(INDEX(Rohdaten!$A$117:$LJ$117,MATCH(AB$4,RD_Kopf,0))),INDEX(Rohdaten!$A$117:$LJ$117,MATCH(AB$4,RD_Kopf,0)),NA()),NA())</f>
        <v>0</v>
      </c>
      <c r="AC20" s="68">
        <f>IFERROR(IF(ISNUMBER(INDEX(Rohdaten!$A$117:$LJ$117,MATCH(AC$4,RD_Kopf,0))),INDEX(Rohdaten!$A$117:$LJ$117,MATCH(AC$4,RD_Kopf,0)),NA()),NA())</f>
        <v>0</v>
      </c>
      <c r="AD20" s="68">
        <f>IFERROR(IF(ISNUMBER(INDEX(Rohdaten!$A$117:$LJ$117,MATCH(AD$4,RD_Kopf,0))),INDEX(Rohdaten!$A$117:$LJ$117,MATCH(AD$4,RD_Kopf,0)),NA()),NA())</f>
        <v>0</v>
      </c>
      <c r="BV20" s="11" t="s">
        <v>353</v>
      </c>
      <c r="BW20" s="68">
        <v>1</v>
      </c>
      <c r="BX20" s="11" t="s">
        <v>412</v>
      </c>
      <c r="BY20" s="11" t="s">
        <v>1053</v>
      </c>
      <c r="BZ20" s="11"/>
      <c r="CA20" s="11" t="s">
        <v>1080</v>
      </c>
    </row>
    <row r="21" spans="1:85">
      <c r="A21" s="11" t="s">
        <v>217</v>
      </c>
      <c r="B21" s="11" t="s">
        <v>217</v>
      </c>
      <c r="C21" s="67" t="s">
        <v>585</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c r="N21" s="68">
        <f>IFERROR(IF(ISNUMBER(INDEX(Rohdaten!$A$118:$LJ$118,MATCH(N$4,RD_Kopf,0))),INDEX(Rohdaten!$A$118:$LJ$118,MATCH(N$4,RD_Kopf,0)),NA()),NA())</f>
        <v>0</v>
      </c>
      <c r="O21" s="68">
        <f>IFERROR(IF(ISNUMBER(INDEX(Rohdaten!$A$118:$LJ$118,MATCH(O$4,RD_Kopf,0))),INDEX(Rohdaten!$A$118:$LJ$118,MATCH(O$4,RD_Kopf,0)),NA()),NA())</f>
        <v>0</v>
      </c>
      <c r="P21" s="68">
        <f>IFERROR(IF(ISNUMBER(INDEX(Rohdaten!$A$118:$LJ$118,MATCH(P$4,RD_Kopf,0))),INDEX(Rohdaten!$A$118:$LJ$118,MATCH(P$4,RD_Kopf,0)),NA()),NA())</f>
        <v>0</v>
      </c>
      <c r="Q21" s="68">
        <f>IFERROR(IF(ISNUMBER(INDEX(Rohdaten!$A$118:$LJ$118,MATCH(Q$4,RD_Kopf,0))),INDEX(Rohdaten!$A$118:$LJ$118,MATCH(Q$4,RD_Kopf,0)),NA()),NA())</f>
        <v>0</v>
      </c>
      <c r="R21" s="68">
        <f>IFERROR(IF(ISNUMBER(INDEX(Rohdaten!$A$118:$LJ$118,MATCH(R$4,RD_Kopf,0))),INDEX(Rohdaten!$A$118:$LJ$118,MATCH(R$4,RD_Kopf,0)),NA()),NA())</f>
        <v>0</v>
      </c>
      <c r="S21" s="68">
        <f>IFERROR(IF(ISNUMBER(INDEX(Rohdaten!$A$118:$LJ$118,MATCH(S$4,RD_Kopf,0))),INDEX(Rohdaten!$A$118:$LJ$118,MATCH(S$4,RD_Kopf,0)),NA()),NA())</f>
        <v>0</v>
      </c>
      <c r="T21" s="68">
        <f>IFERROR(IF(ISNUMBER(INDEX(Rohdaten!$A$118:$LJ$118,MATCH(T$4,RD_Kopf,0))),INDEX(Rohdaten!$A$118:$LJ$118,MATCH(T$4,RD_Kopf,0)),NA()),NA())</f>
        <v>0</v>
      </c>
      <c r="U21" s="68">
        <f>IFERROR(IF(ISNUMBER(INDEX(Rohdaten!$A$118:$LJ$118,MATCH(U$4,RD_Kopf,0))),INDEX(Rohdaten!$A$118:$LJ$118,MATCH(U$4,RD_Kopf,0)),NA()),NA())</f>
        <v>0</v>
      </c>
      <c r="V21" s="68">
        <f>IFERROR(IF(ISNUMBER(INDEX(Rohdaten!$A$118:$LJ$118,MATCH(V$4,RD_Kopf,0))),INDEX(Rohdaten!$A$118:$LJ$118,MATCH(V$4,RD_Kopf,0)),NA()),NA())</f>
        <v>0</v>
      </c>
      <c r="W21" s="68">
        <f>IFERROR(IF(ISNUMBER(INDEX(Rohdaten!$A$118:$LJ$118,MATCH(W$4,RD_Kopf,0))),INDEX(Rohdaten!$A$118:$LJ$118,MATCH(W$4,RD_Kopf,0)),NA()),NA())</f>
        <v>0</v>
      </c>
      <c r="X21" s="68">
        <f>IFERROR(IF(ISNUMBER(INDEX(Rohdaten!$A$118:$LJ$118,MATCH(X$4,RD_Kopf,0))),INDEX(Rohdaten!$A$118:$LJ$118,MATCH(X$4,RD_Kopf,0)),NA()),NA())</f>
        <v>0</v>
      </c>
      <c r="Y21" s="68">
        <f>IFERROR(IF(ISNUMBER(INDEX(Rohdaten!$A$118:$LJ$118,MATCH(Y$4,RD_Kopf,0))),INDEX(Rohdaten!$A$118:$LJ$118,MATCH(Y$4,RD_Kopf,0)),NA()),NA())</f>
        <v>0</v>
      </c>
      <c r="Z21" s="68">
        <f>IFERROR(IF(ISNUMBER(INDEX(Rohdaten!$A$118:$LJ$118,MATCH(Z$4,RD_Kopf,0))),INDEX(Rohdaten!$A$118:$LJ$118,MATCH(Z$4,RD_Kopf,0)),NA()),NA())</f>
        <v>0</v>
      </c>
      <c r="AA21" s="68">
        <f>IFERROR(IF(ISNUMBER(INDEX(Rohdaten!$A$118:$LJ$118,MATCH(AA$4,RD_Kopf,0))),INDEX(Rohdaten!$A$118:$LJ$118,MATCH(AA$4,RD_Kopf,0)),NA()),NA())</f>
        <v>0</v>
      </c>
      <c r="AB21" s="68">
        <f>IFERROR(IF(ISNUMBER(INDEX(Rohdaten!$A$118:$LJ$118,MATCH(AB$4,RD_Kopf,0))),INDEX(Rohdaten!$A$118:$LJ$118,MATCH(AB$4,RD_Kopf,0)),NA()),NA())</f>
        <v>0</v>
      </c>
      <c r="AC21" s="68">
        <f>IFERROR(IF(ISNUMBER(INDEX(Rohdaten!$A$118:$LJ$118,MATCH(AC$4,RD_Kopf,0))),INDEX(Rohdaten!$A$118:$LJ$118,MATCH(AC$4,RD_Kopf,0)),NA()),NA())</f>
        <v>0</v>
      </c>
      <c r="AD21" s="68">
        <f>IFERROR(IF(ISNUMBER(INDEX(Rohdaten!$A$118:$LJ$118,MATCH(AD$4,RD_Kopf,0))),INDEX(Rohdaten!$A$118:$LJ$118,MATCH(AD$4,RD_Kopf,0)),NA()),NA())</f>
        <v>0</v>
      </c>
      <c r="BV21" s="11" t="s">
        <v>353</v>
      </c>
      <c r="BW21" s="68">
        <v>2</v>
      </c>
      <c r="BX21" s="11" t="s">
        <v>419</v>
      </c>
      <c r="BY21" s="11" t="s">
        <v>1081</v>
      </c>
      <c r="BZ21" s="11"/>
      <c r="CA21" s="11" t="s">
        <v>1082</v>
      </c>
    </row>
    <row r="22" spans="1:85">
      <c r="A22" s="11" t="s">
        <v>220</v>
      </c>
      <c r="B22" s="11" t="s">
        <v>220</v>
      </c>
      <c r="C22" s="67" t="s">
        <v>586</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c r="N22" s="68">
        <f>IFERROR(IF(ISNUMBER(INDEX(Rohdaten!$A$119:$LJ$119,MATCH(N$4,RD_Kopf,0))),INDEX(Rohdaten!$A$119:$LJ$119,MATCH(N$4,RD_Kopf,0)),NA()),NA())</f>
        <v>0</v>
      </c>
      <c r="O22" s="68">
        <f>IFERROR(IF(ISNUMBER(INDEX(Rohdaten!$A$119:$LJ$119,MATCH(O$4,RD_Kopf,0))),INDEX(Rohdaten!$A$119:$LJ$119,MATCH(O$4,RD_Kopf,0)),NA()),NA())</f>
        <v>0</v>
      </c>
      <c r="P22" s="68">
        <f>IFERROR(IF(ISNUMBER(INDEX(Rohdaten!$A$119:$LJ$119,MATCH(P$4,RD_Kopf,0))),INDEX(Rohdaten!$A$119:$LJ$119,MATCH(P$4,RD_Kopf,0)),NA()),NA())</f>
        <v>0</v>
      </c>
      <c r="Q22" s="68">
        <f>IFERROR(IF(ISNUMBER(INDEX(Rohdaten!$A$119:$LJ$119,MATCH(Q$4,RD_Kopf,0))),INDEX(Rohdaten!$A$119:$LJ$119,MATCH(Q$4,RD_Kopf,0)),NA()),NA())</f>
        <v>0</v>
      </c>
      <c r="R22" s="68">
        <f>IFERROR(IF(ISNUMBER(INDEX(Rohdaten!$A$119:$LJ$119,MATCH(R$4,RD_Kopf,0))),INDEX(Rohdaten!$A$119:$LJ$119,MATCH(R$4,RD_Kopf,0)),NA()),NA())</f>
        <v>0</v>
      </c>
      <c r="S22" s="68">
        <f>IFERROR(IF(ISNUMBER(INDEX(Rohdaten!$A$119:$LJ$119,MATCH(S$4,RD_Kopf,0))),INDEX(Rohdaten!$A$119:$LJ$119,MATCH(S$4,RD_Kopf,0)),NA()),NA())</f>
        <v>0</v>
      </c>
      <c r="T22" s="68">
        <f>IFERROR(IF(ISNUMBER(INDEX(Rohdaten!$A$119:$LJ$119,MATCH(T$4,RD_Kopf,0))),INDEX(Rohdaten!$A$119:$LJ$119,MATCH(T$4,RD_Kopf,0)),NA()),NA())</f>
        <v>0</v>
      </c>
      <c r="U22" s="68">
        <f>IFERROR(IF(ISNUMBER(INDEX(Rohdaten!$A$119:$LJ$119,MATCH(U$4,RD_Kopf,0))),INDEX(Rohdaten!$A$119:$LJ$119,MATCH(U$4,RD_Kopf,0)),NA()),NA())</f>
        <v>0</v>
      </c>
      <c r="V22" s="68">
        <f>IFERROR(IF(ISNUMBER(INDEX(Rohdaten!$A$119:$LJ$119,MATCH(V$4,RD_Kopf,0))),INDEX(Rohdaten!$A$119:$LJ$119,MATCH(V$4,RD_Kopf,0)),NA()),NA())</f>
        <v>0</v>
      </c>
      <c r="W22" s="68">
        <f>IFERROR(IF(ISNUMBER(INDEX(Rohdaten!$A$119:$LJ$119,MATCH(W$4,RD_Kopf,0))),INDEX(Rohdaten!$A$119:$LJ$119,MATCH(W$4,RD_Kopf,0)),NA()),NA())</f>
        <v>0</v>
      </c>
      <c r="X22" s="68">
        <f>IFERROR(IF(ISNUMBER(INDEX(Rohdaten!$A$119:$LJ$119,MATCH(X$4,RD_Kopf,0))),INDEX(Rohdaten!$A$119:$LJ$119,MATCH(X$4,RD_Kopf,0)),NA()),NA())</f>
        <v>0</v>
      </c>
      <c r="Y22" s="68">
        <f>IFERROR(IF(ISNUMBER(INDEX(Rohdaten!$A$119:$LJ$119,MATCH(Y$4,RD_Kopf,0))),INDEX(Rohdaten!$A$119:$LJ$119,MATCH(Y$4,RD_Kopf,0)),NA()),NA())</f>
        <v>0</v>
      </c>
      <c r="Z22" s="68">
        <f>IFERROR(IF(ISNUMBER(INDEX(Rohdaten!$A$119:$LJ$119,MATCH(Z$4,RD_Kopf,0))),INDEX(Rohdaten!$A$119:$LJ$119,MATCH(Z$4,RD_Kopf,0)),NA()),NA())</f>
        <v>0</v>
      </c>
      <c r="AA22" s="68">
        <f>IFERROR(IF(ISNUMBER(INDEX(Rohdaten!$A$119:$LJ$119,MATCH(AA$4,RD_Kopf,0))),INDEX(Rohdaten!$A$119:$LJ$119,MATCH(AA$4,RD_Kopf,0)),NA()),NA())</f>
        <v>0</v>
      </c>
      <c r="AB22" s="68">
        <f>IFERROR(IF(ISNUMBER(INDEX(Rohdaten!$A$119:$LJ$119,MATCH(AB$4,RD_Kopf,0))),INDEX(Rohdaten!$A$119:$LJ$119,MATCH(AB$4,RD_Kopf,0)),NA()),NA())</f>
        <v>0</v>
      </c>
      <c r="AC22" s="68">
        <f>IFERROR(IF(ISNUMBER(INDEX(Rohdaten!$A$119:$LJ$119,MATCH(AC$4,RD_Kopf,0))),INDEX(Rohdaten!$A$119:$LJ$119,MATCH(AC$4,RD_Kopf,0)),NA()),NA())</f>
        <v>0</v>
      </c>
      <c r="AD22" s="68">
        <f>IFERROR(IF(ISNUMBER(INDEX(Rohdaten!$A$119:$LJ$119,MATCH(AD$4,RD_Kopf,0))),INDEX(Rohdaten!$A$119:$LJ$119,MATCH(AD$4,RD_Kopf,0)),NA()),NA())</f>
        <v>0</v>
      </c>
      <c r="BV22" s="11" t="s">
        <v>353</v>
      </c>
      <c r="BW22" s="68">
        <v>3</v>
      </c>
      <c r="BX22" s="11" t="s">
        <v>446</v>
      </c>
      <c r="BY22" s="11" t="s">
        <v>1060</v>
      </c>
      <c r="BZ22" s="11"/>
      <c r="CA22" s="11" t="s">
        <v>1083</v>
      </c>
    </row>
    <row r="23" spans="1:85">
      <c r="A23" s="11" t="s">
        <v>223</v>
      </c>
      <c r="B23" s="11" t="s">
        <v>223</v>
      </c>
      <c r="C23" s="67" t="s">
        <v>587</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c r="N23" s="68">
        <f>IFERROR(IF(ISNUMBER(INDEX(Rohdaten!$A$120:$LJ$120,MATCH(N$4,RD_Kopf,0))),INDEX(Rohdaten!$A$120:$LJ$120,MATCH(N$4,RD_Kopf,0)),NA()),NA())</f>
        <v>0</v>
      </c>
      <c r="O23" s="68">
        <f>IFERROR(IF(ISNUMBER(INDEX(Rohdaten!$A$120:$LJ$120,MATCH(O$4,RD_Kopf,0))),INDEX(Rohdaten!$A$120:$LJ$120,MATCH(O$4,RD_Kopf,0)),NA()),NA())</f>
        <v>0</v>
      </c>
      <c r="P23" s="68">
        <f>IFERROR(IF(ISNUMBER(INDEX(Rohdaten!$A$120:$LJ$120,MATCH(P$4,RD_Kopf,0))),INDEX(Rohdaten!$A$120:$LJ$120,MATCH(P$4,RD_Kopf,0)),NA()),NA())</f>
        <v>0</v>
      </c>
      <c r="Q23" s="68">
        <f>IFERROR(IF(ISNUMBER(INDEX(Rohdaten!$A$120:$LJ$120,MATCH(Q$4,RD_Kopf,0))),INDEX(Rohdaten!$A$120:$LJ$120,MATCH(Q$4,RD_Kopf,0)),NA()),NA())</f>
        <v>0</v>
      </c>
      <c r="R23" s="68">
        <f>IFERROR(IF(ISNUMBER(INDEX(Rohdaten!$A$120:$LJ$120,MATCH(R$4,RD_Kopf,0))),INDEX(Rohdaten!$A$120:$LJ$120,MATCH(R$4,RD_Kopf,0)),NA()),NA())</f>
        <v>0</v>
      </c>
      <c r="S23" s="68">
        <f>IFERROR(IF(ISNUMBER(INDEX(Rohdaten!$A$120:$LJ$120,MATCH(S$4,RD_Kopf,0))),INDEX(Rohdaten!$A$120:$LJ$120,MATCH(S$4,RD_Kopf,0)),NA()),NA())</f>
        <v>0</v>
      </c>
      <c r="T23" s="68">
        <f>IFERROR(IF(ISNUMBER(INDEX(Rohdaten!$A$120:$LJ$120,MATCH(T$4,RD_Kopf,0))),INDEX(Rohdaten!$A$120:$LJ$120,MATCH(T$4,RD_Kopf,0)),NA()),NA())</f>
        <v>0</v>
      </c>
      <c r="U23" s="68">
        <f>IFERROR(IF(ISNUMBER(INDEX(Rohdaten!$A$120:$LJ$120,MATCH(U$4,RD_Kopf,0))),INDEX(Rohdaten!$A$120:$LJ$120,MATCH(U$4,RD_Kopf,0)),NA()),NA())</f>
        <v>0</v>
      </c>
      <c r="V23" s="68">
        <f>IFERROR(IF(ISNUMBER(INDEX(Rohdaten!$A$120:$LJ$120,MATCH(V$4,RD_Kopf,0))),INDEX(Rohdaten!$A$120:$LJ$120,MATCH(V$4,RD_Kopf,0)),NA()),NA())</f>
        <v>0</v>
      </c>
      <c r="W23" s="68">
        <f>IFERROR(IF(ISNUMBER(INDEX(Rohdaten!$A$120:$LJ$120,MATCH(W$4,RD_Kopf,0))),INDEX(Rohdaten!$A$120:$LJ$120,MATCH(W$4,RD_Kopf,0)),NA()),NA())</f>
        <v>0</v>
      </c>
      <c r="X23" s="68">
        <f>IFERROR(IF(ISNUMBER(INDEX(Rohdaten!$A$120:$LJ$120,MATCH(X$4,RD_Kopf,0))),INDEX(Rohdaten!$A$120:$LJ$120,MATCH(X$4,RD_Kopf,0)),NA()),NA())</f>
        <v>0</v>
      </c>
      <c r="Y23" s="68">
        <f>IFERROR(IF(ISNUMBER(INDEX(Rohdaten!$A$120:$LJ$120,MATCH(Y$4,RD_Kopf,0))),INDEX(Rohdaten!$A$120:$LJ$120,MATCH(Y$4,RD_Kopf,0)),NA()),NA())</f>
        <v>0</v>
      </c>
      <c r="Z23" s="68">
        <f>IFERROR(IF(ISNUMBER(INDEX(Rohdaten!$A$120:$LJ$120,MATCH(Z$4,RD_Kopf,0))),INDEX(Rohdaten!$A$120:$LJ$120,MATCH(Z$4,RD_Kopf,0)),NA()),NA())</f>
        <v>0</v>
      </c>
      <c r="AA23" s="68">
        <f>IFERROR(IF(ISNUMBER(INDEX(Rohdaten!$A$120:$LJ$120,MATCH(AA$4,RD_Kopf,0))),INDEX(Rohdaten!$A$120:$LJ$120,MATCH(AA$4,RD_Kopf,0)),NA()),NA())</f>
        <v>0</v>
      </c>
      <c r="AB23" s="68">
        <f>IFERROR(IF(ISNUMBER(INDEX(Rohdaten!$A$120:$LJ$120,MATCH(AB$4,RD_Kopf,0))),INDEX(Rohdaten!$A$120:$LJ$120,MATCH(AB$4,RD_Kopf,0)),NA()),NA())</f>
        <v>0</v>
      </c>
      <c r="AC23" s="68">
        <f>IFERROR(IF(ISNUMBER(INDEX(Rohdaten!$A$120:$LJ$120,MATCH(AC$4,RD_Kopf,0))),INDEX(Rohdaten!$A$120:$LJ$120,MATCH(AC$4,RD_Kopf,0)),NA()),NA())</f>
        <v>0</v>
      </c>
      <c r="AD23" s="68">
        <f>IFERROR(IF(ISNUMBER(INDEX(Rohdaten!$A$120:$LJ$120,MATCH(AD$4,RD_Kopf,0))),INDEX(Rohdaten!$A$120:$LJ$120,MATCH(AD$4,RD_Kopf,0)),NA()),NA())</f>
        <v>0</v>
      </c>
      <c r="BV23" s="11" t="s">
        <v>353</v>
      </c>
      <c r="BW23" s="68">
        <v>4</v>
      </c>
      <c r="BX23" s="11" t="s">
        <v>880</v>
      </c>
      <c r="BY23" s="11" t="s">
        <v>1084</v>
      </c>
      <c r="BZ23" s="11"/>
      <c r="CA23" s="11" t="s">
        <v>1043</v>
      </c>
    </row>
    <row r="24" spans="1:85">
      <c r="A24" s="11" t="s">
        <v>225</v>
      </c>
      <c r="B24" s="11" t="s">
        <v>225</v>
      </c>
      <c r="C24" s="67" t="s">
        <v>588</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c r="N24" s="68">
        <f>IFERROR(IF(ISNUMBER(INDEX(Rohdaten!$A$121:$LJ$121,MATCH(N$4,RD_Kopf,0))),INDEX(Rohdaten!$A$121:$LJ$121,MATCH(N$4,RD_Kopf,0)),NA()),NA())</f>
        <v>0</v>
      </c>
      <c r="O24" s="68">
        <f>IFERROR(IF(ISNUMBER(INDEX(Rohdaten!$A$121:$LJ$121,MATCH(O$4,RD_Kopf,0))),INDEX(Rohdaten!$A$121:$LJ$121,MATCH(O$4,RD_Kopf,0)),NA()),NA())</f>
        <v>0</v>
      </c>
      <c r="P24" s="68">
        <f>IFERROR(IF(ISNUMBER(INDEX(Rohdaten!$A$121:$LJ$121,MATCH(P$4,RD_Kopf,0))),INDEX(Rohdaten!$A$121:$LJ$121,MATCH(P$4,RD_Kopf,0)),NA()),NA())</f>
        <v>0</v>
      </c>
      <c r="Q24" s="68">
        <f>IFERROR(IF(ISNUMBER(INDEX(Rohdaten!$A$121:$LJ$121,MATCH(Q$4,RD_Kopf,0))),INDEX(Rohdaten!$A$121:$LJ$121,MATCH(Q$4,RD_Kopf,0)),NA()),NA())</f>
        <v>0</v>
      </c>
      <c r="R24" s="68">
        <f>IFERROR(IF(ISNUMBER(INDEX(Rohdaten!$A$121:$LJ$121,MATCH(R$4,RD_Kopf,0))),INDEX(Rohdaten!$A$121:$LJ$121,MATCH(R$4,RD_Kopf,0)),NA()),NA())</f>
        <v>0</v>
      </c>
      <c r="S24" s="68">
        <f>IFERROR(IF(ISNUMBER(INDEX(Rohdaten!$A$121:$LJ$121,MATCH(S$4,RD_Kopf,0))),INDEX(Rohdaten!$A$121:$LJ$121,MATCH(S$4,RD_Kopf,0)),NA()),NA())</f>
        <v>0</v>
      </c>
      <c r="T24" s="68">
        <f>IFERROR(IF(ISNUMBER(INDEX(Rohdaten!$A$121:$LJ$121,MATCH(T$4,RD_Kopf,0))),INDEX(Rohdaten!$A$121:$LJ$121,MATCH(T$4,RD_Kopf,0)),NA()),NA())</f>
        <v>0</v>
      </c>
      <c r="U24" s="68">
        <f>IFERROR(IF(ISNUMBER(INDEX(Rohdaten!$A$121:$LJ$121,MATCH(U$4,RD_Kopf,0))),INDEX(Rohdaten!$A$121:$LJ$121,MATCH(U$4,RD_Kopf,0)),NA()),NA())</f>
        <v>0</v>
      </c>
      <c r="V24" s="68">
        <f>IFERROR(IF(ISNUMBER(INDEX(Rohdaten!$A$121:$LJ$121,MATCH(V$4,RD_Kopf,0))),INDEX(Rohdaten!$A$121:$LJ$121,MATCH(V$4,RD_Kopf,0)),NA()),NA())</f>
        <v>0</v>
      </c>
      <c r="W24" s="68">
        <f>IFERROR(IF(ISNUMBER(INDEX(Rohdaten!$A$121:$LJ$121,MATCH(W$4,RD_Kopf,0))),INDEX(Rohdaten!$A$121:$LJ$121,MATCH(W$4,RD_Kopf,0)),NA()),NA())</f>
        <v>0</v>
      </c>
      <c r="X24" s="68">
        <f>IFERROR(IF(ISNUMBER(INDEX(Rohdaten!$A$121:$LJ$121,MATCH(X$4,RD_Kopf,0))),INDEX(Rohdaten!$A$121:$LJ$121,MATCH(X$4,RD_Kopf,0)),NA()),NA())</f>
        <v>0</v>
      </c>
      <c r="Y24" s="68">
        <f>IFERROR(IF(ISNUMBER(INDEX(Rohdaten!$A$121:$LJ$121,MATCH(Y$4,RD_Kopf,0))),INDEX(Rohdaten!$A$121:$LJ$121,MATCH(Y$4,RD_Kopf,0)),NA()),NA())</f>
        <v>0</v>
      </c>
      <c r="Z24" s="68">
        <f>IFERROR(IF(ISNUMBER(INDEX(Rohdaten!$A$121:$LJ$121,MATCH(Z$4,RD_Kopf,0))),INDEX(Rohdaten!$A$121:$LJ$121,MATCH(Z$4,RD_Kopf,0)),NA()),NA())</f>
        <v>0</v>
      </c>
      <c r="AA24" s="68">
        <f>IFERROR(IF(ISNUMBER(INDEX(Rohdaten!$A$121:$LJ$121,MATCH(AA$4,RD_Kopf,0))),INDEX(Rohdaten!$A$121:$LJ$121,MATCH(AA$4,RD_Kopf,0)),NA()),NA())</f>
        <v>0</v>
      </c>
      <c r="AB24" s="68">
        <f>IFERROR(IF(ISNUMBER(INDEX(Rohdaten!$A$121:$LJ$121,MATCH(AB$4,RD_Kopf,0))),INDEX(Rohdaten!$A$121:$LJ$121,MATCH(AB$4,RD_Kopf,0)),NA()),NA())</f>
        <v>0</v>
      </c>
      <c r="AC24" s="68">
        <f>IFERROR(IF(ISNUMBER(INDEX(Rohdaten!$A$121:$LJ$121,MATCH(AC$4,RD_Kopf,0))),INDEX(Rohdaten!$A$121:$LJ$121,MATCH(AC$4,RD_Kopf,0)),NA()),NA())</f>
        <v>0</v>
      </c>
      <c r="AD24" s="68">
        <f>IFERROR(IF(ISNUMBER(INDEX(Rohdaten!$A$121:$LJ$121,MATCH(AD$4,RD_Kopf,0))),INDEX(Rohdaten!$A$121:$LJ$121,MATCH(AD$4,RD_Kopf,0)),NA()),NA())</f>
        <v>0</v>
      </c>
    </row>
    <row r="25" spans="1:85">
      <c r="A25" s="11" t="s">
        <v>233</v>
      </c>
      <c r="B25" s="11" t="s">
        <v>233</v>
      </c>
      <c r="C25" s="67" t="s">
        <v>589</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c r="N25" s="68">
        <f>IFERROR(IF(ISNUMBER(INDEX(Rohdaten!$A$125:$LJ$125,MATCH(N$4,RD_Kopf,0))),INDEX(Rohdaten!$A$125:$LJ$125,MATCH(N$4,RD_Kopf,0)),NA()),NA())</f>
        <v>0</v>
      </c>
      <c r="O25" s="68">
        <f>IFERROR(IF(ISNUMBER(INDEX(Rohdaten!$A$125:$LJ$125,MATCH(O$4,RD_Kopf,0))),INDEX(Rohdaten!$A$125:$LJ$125,MATCH(O$4,RD_Kopf,0)),NA()),NA())</f>
        <v>0</v>
      </c>
      <c r="P25" s="68">
        <f>IFERROR(IF(ISNUMBER(INDEX(Rohdaten!$A$125:$LJ$125,MATCH(P$4,RD_Kopf,0))),INDEX(Rohdaten!$A$125:$LJ$125,MATCH(P$4,RD_Kopf,0)),NA()),NA())</f>
        <v>0</v>
      </c>
      <c r="Q25" s="68">
        <f>IFERROR(IF(ISNUMBER(INDEX(Rohdaten!$A$125:$LJ$125,MATCH(Q$4,RD_Kopf,0))),INDEX(Rohdaten!$A$125:$LJ$125,MATCH(Q$4,RD_Kopf,0)),NA()),NA())</f>
        <v>0</v>
      </c>
      <c r="R25" s="68">
        <f>IFERROR(IF(ISNUMBER(INDEX(Rohdaten!$A$125:$LJ$125,MATCH(R$4,RD_Kopf,0))),INDEX(Rohdaten!$A$125:$LJ$125,MATCH(R$4,RD_Kopf,0)),NA()),NA())</f>
        <v>0</v>
      </c>
      <c r="S25" s="68">
        <f>IFERROR(IF(ISNUMBER(INDEX(Rohdaten!$A$125:$LJ$125,MATCH(S$4,RD_Kopf,0))),INDEX(Rohdaten!$A$125:$LJ$125,MATCH(S$4,RD_Kopf,0)),NA()),NA())</f>
        <v>0</v>
      </c>
      <c r="T25" s="68">
        <f>IFERROR(IF(ISNUMBER(INDEX(Rohdaten!$A$125:$LJ$125,MATCH(T$4,RD_Kopf,0))),INDEX(Rohdaten!$A$125:$LJ$125,MATCH(T$4,RD_Kopf,0)),NA()),NA())</f>
        <v>0</v>
      </c>
      <c r="U25" s="68">
        <f>IFERROR(IF(ISNUMBER(INDEX(Rohdaten!$A$125:$LJ$125,MATCH(U$4,RD_Kopf,0))),INDEX(Rohdaten!$A$125:$LJ$125,MATCH(U$4,RD_Kopf,0)),NA()),NA())</f>
        <v>0</v>
      </c>
      <c r="V25" s="68">
        <f>IFERROR(IF(ISNUMBER(INDEX(Rohdaten!$A$125:$LJ$125,MATCH(V$4,RD_Kopf,0))),INDEX(Rohdaten!$A$125:$LJ$125,MATCH(V$4,RD_Kopf,0)),NA()),NA())</f>
        <v>0</v>
      </c>
      <c r="W25" s="68">
        <f>IFERROR(IF(ISNUMBER(INDEX(Rohdaten!$A$125:$LJ$125,MATCH(W$4,RD_Kopf,0))),INDEX(Rohdaten!$A$125:$LJ$125,MATCH(W$4,RD_Kopf,0)),NA()),NA())</f>
        <v>0</v>
      </c>
      <c r="X25" s="68">
        <f>IFERROR(IF(ISNUMBER(INDEX(Rohdaten!$A$125:$LJ$125,MATCH(X$4,RD_Kopf,0))),INDEX(Rohdaten!$A$125:$LJ$125,MATCH(X$4,RD_Kopf,0)),NA()),NA())</f>
        <v>0</v>
      </c>
      <c r="Y25" s="68">
        <f>IFERROR(IF(ISNUMBER(INDEX(Rohdaten!$A$125:$LJ$125,MATCH(Y$4,RD_Kopf,0))),INDEX(Rohdaten!$A$125:$LJ$125,MATCH(Y$4,RD_Kopf,0)),NA()),NA())</f>
        <v>0</v>
      </c>
      <c r="Z25" s="68">
        <f>IFERROR(IF(ISNUMBER(INDEX(Rohdaten!$A$125:$LJ$125,MATCH(Z$4,RD_Kopf,0))),INDEX(Rohdaten!$A$125:$LJ$125,MATCH(Z$4,RD_Kopf,0)),NA()),NA())</f>
        <v>0</v>
      </c>
      <c r="AA25" s="68">
        <f>IFERROR(IF(ISNUMBER(INDEX(Rohdaten!$A$125:$LJ$125,MATCH(AA$4,RD_Kopf,0))),INDEX(Rohdaten!$A$125:$LJ$125,MATCH(AA$4,RD_Kopf,0)),NA()),NA())</f>
        <v>0</v>
      </c>
      <c r="AB25" s="68">
        <f>IFERROR(IF(ISNUMBER(INDEX(Rohdaten!$A$125:$LJ$125,MATCH(AB$4,RD_Kopf,0))),INDEX(Rohdaten!$A$125:$LJ$125,MATCH(AB$4,RD_Kopf,0)),NA()),NA())</f>
        <v>0</v>
      </c>
      <c r="AC25" s="68">
        <f>IFERROR(IF(ISNUMBER(INDEX(Rohdaten!$A$125:$LJ$125,MATCH(AC$4,RD_Kopf,0))),INDEX(Rohdaten!$A$125:$LJ$125,MATCH(AC$4,RD_Kopf,0)),NA()),NA())</f>
        <v>0</v>
      </c>
      <c r="AD25" s="68">
        <f>IFERROR(IF(ISNUMBER(INDEX(Rohdaten!$A$125:$LJ$125,MATCH(AD$4,RD_Kopf,0))),INDEX(Rohdaten!$A$125:$LJ$125,MATCH(AD$4,RD_Kopf,0)),NA()),NA())</f>
        <v>0</v>
      </c>
    </row>
    <row r="26" spans="1:85">
      <c r="A26" s="11" t="s">
        <v>243</v>
      </c>
      <c r="B26" s="11" t="s">
        <v>243</v>
      </c>
      <c r="C26" s="67" t="s">
        <v>590</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c r="N26" s="68">
        <f>IFERROR(IF(ISNUMBER(INDEX(Rohdaten!$A$129:$LJ$129,MATCH(N$4,RD_Kopf,0))),INDEX(Rohdaten!$A$129:$LJ$129,MATCH(N$4,RD_Kopf,0)),NA()),NA())</f>
        <v>0</v>
      </c>
      <c r="O26" s="68">
        <f>IFERROR(IF(ISNUMBER(INDEX(Rohdaten!$A$129:$LJ$129,MATCH(O$4,RD_Kopf,0))),INDEX(Rohdaten!$A$129:$LJ$129,MATCH(O$4,RD_Kopf,0)),NA()),NA())</f>
        <v>0</v>
      </c>
      <c r="P26" s="68">
        <f>IFERROR(IF(ISNUMBER(INDEX(Rohdaten!$A$129:$LJ$129,MATCH(P$4,RD_Kopf,0))),INDEX(Rohdaten!$A$129:$LJ$129,MATCH(P$4,RD_Kopf,0)),NA()),NA())</f>
        <v>0</v>
      </c>
      <c r="Q26" s="68">
        <f>IFERROR(IF(ISNUMBER(INDEX(Rohdaten!$A$129:$LJ$129,MATCH(Q$4,RD_Kopf,0))),INDEX(Rohdaten!$A$129:$LJ$129,MATCH(Q$4,RD_Kopf,0)),NA()),NA())</f>
        <v>0</v>
      </c>
      <c r="R26" s="68">
        <f>IFERROR(IF(ISNUMBER(INDEX(Rohdaten!$A$129:$LJ$129,MATCH(R$4,RD_Kopf,0))),INDEX(Rohdaten!$A$129:$LJ$129,MATCH(R$4,RD_Kopf,0)),NA()),NA())</f>
        <v>0</v>
      </c>
      <c r="S26" s="68">
        <f>IFERROR(IF(ISNUMBER(INDEX(Rohdaten!$A$129:$LJ$129,MATCH(S$4,RD_Kopf,0))),INDEX(Rohdaten!$A$129:$LJ$129,MATCH(S$4,RD_Kopf,0)),NA()),NA())</f>
        <v>0</v>
      </c>
      <c r="T26" s="68">
        <f>IFERROR(IF(ISNUMBER(INDEX(Rohdaten!$A$129:$LJ$129,MATCH(T$4,RD_Kopf,0))),INDEX(Rohdaten!$A$129:$LJ$129,MATCH(T$4,RD_Kopf,0)),NA()),NA())</f>
        <v>0</v>
      </c>
      <c r="U26" s="68">
        <f>IFERROR(IF(ISNUMBER(INDEX(Rohdaten!$A$129:$LJ$129,MATCH(U$4,RD_Kopf,0))),INDEX(Rohdaten!$A$129:$LJ$129,MATCH(U$4,RD_Kopf,0)),NA()),NA())</f>
        <v>0</v>
      </c>
      <c r="V26" s="68">
        <f>IFERROR(IF(ISNUMBER(INDEX(Rohdaten!$A$129:$LJ$129,MATCH(V$4,RD_Kopf,0))),INDEX(Rohdaten!$A$129:$LJ$129,MATCH(V$4,RD_Kopf,0)),NA()),NA())</f>
        <v>0</v>
      </c>
      <c r="W26" s="68">
        <f>IFERROR(IF(ISNUMBER(INDEX(Rohdaten!$A$129:$LJ$129,MATCH(W$4,RD_Kopf,0))),INDEX(Rohdaten!$A$129:$LJ$129,MATCH(W$4,RD_Kopf,0)),NA()),NA())</f>
        <v>0</v>
      </c>
      <c r="X26" s="68">
        <f>IFERROR(IF(ISNUMBER(INDEX(Rohdaten!$A$129:$LJ$129,MATCH(X$4,RD_Kopf,0))),INDEX(Rohdaten!$A$129:$LJ$129,MATCH(X$4,RD_Kopf,0)),NA()),NA())</f>
        <v>0</v>
      </c>
      <c r="Y26" s="68">
        <f>IFERROR(IF(ISNUMBER(INDEX(Rohdaten!$A$129:$LJ$129,MATCH(Y$4,RD_Kopf,0))),INDEX(Rohdaten!$A$129:$LJ$129,MATCH(Y$4,RD_Kopf,0)),NA()),NA())</f>
        <v>0</v>
      </c>
      <c r="Z26" s="68">
        <f>IFERROR(IF(ISNUMBER(INDEX(Rohdaten!$A$129:$LJ$129,MATCH(Z$4,RD_Kopf,0))),INDEX(Rohdaten!$A$129:$LJ$129,MATCH(Z$4,RD_Kopf,0)),NA()),NA())</f>
        <v>0</v>
      </c>
      <c r="AA26" s="68">
        <f>IFERROR(IF(ISNUMBER(INDEX(Rohdaten!$A$129:$LJ$129,MATCH(AA$4,RD_Kopf,0))),INDEX(Rohdaten!$A$129:$LJ$129,MATCH(AA$4,RD_Kopf,0)),NA()),NA())</f>
        <v>0</v>
      </c>
      <c r="AB26" s="68">
        <f>IFERROR(IF(ISNUMBER(INDEX(Rohdaten!$A$129:$LJ$129,MATCH(AB$4,RD_Kopf,0))),INDEX(Rohdaten!$A$129:$LJ$129,MATCH(AB$4,RD_Kopf,0)),NA()),NA())</f>
        <v>0</v>
      </c>
      <c r="AC26" s="68">
        <f>IFERROR(IF(ISNUMBER(INDEX(Rohdaten!$A$129:$LJ$129,MATCH(AC$4,RD_Kopf,0))),INDEX(Rohdaten!$A$129:$LJ$129,MATCH(AC$4,RD_Kopf,0)),NA()),NA())</f>
        <v>0</v>
      </c>
      <c r="AD26" s="68">
        <f>IFERROR(IF(ISNUMBER(INDEX(Rohdaten!$A$129:$LJ$129,MATCH(AD$4,RD_Kopf,0))),INDEX(Rohdaten!$A$129:$LJ$129,MATCH(AD$4,RD_Kopf,0)),NA()),NA())</f>
        <v>0</v>
      </c>
    </row>
    <row r="27" spans="1:85">
      <c r="A27" s="11" t="s">
        <v>246</v>
      </c>
      <c r="B27" s="11" t="s">
        <v>246</v>
      </c>
      <c r="C27" s="67" t="s">
        <v>591</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c r="N27" s="68">
        <f>IFERROR(IF(ISNUMBER(INDEX(Rohdaten!$A$130:$LJ$130,MATCH(N$4,RD_Kopf,0))),INDEX(Rohdaten!$A$130:$LJ$130,MATCH(N$4,RD_Kopf,0)),NA()),NA())</f>
        <v>0</v>
      </c>
      <c r="O27" s="68">
        <f>IFERROR(IF(ISNUMBER(INDEX(Rohdaten!$A$130:$LJ$130,MATCH(O$4,RD_Kopf,0))),INDEX(Rohdaten!$A$130:$LJ$130,MATCH(O$4,RD_Kopf,0)),NA()),NA())</f>
        <v>0</v>
      </c>
      <c r="P27" s="68">
        <f>IFERROR(IF(ISNUMBER(INDEX(Rohdaten!$A$130:$LJ$130,MATCH(P$4,RD_Kopf,0))),INDEX(Rohdaten!$A$130:$LJ$130,MATCH(P$4,RD_Kopf,0)),NA()),NA())</f>
        <v>0</v>
      </c>
      <c r="Q27" s="68">
        <f>IFERROR(IF(ISNUMBER(INDEX(Rohdaten!$A$130:$LJ$130,MATCH(Q$4,RD_Kopf,0))),INDEX(Rohdaten!$A$130:$LJ$130,MATCH(Q$4,RD_Kopf,0)),NA()),NA())</f>
        <v>0</v>
      </c>
      <c r="R27" s="68">
        <f>IFERROR(IF(ISNUMBER(INDEX(Rohdaten!$A$130:$LJ$130,MATCH(R$4,RD_Kopf,0))),INDEX(Rohdaten!$A$130:$LJ$130,MATCH(R$4,RD_Kopf,0)),NA()),NA())</f>
        <v>0</v>
      </c>
      <c r="S27" s="68">
        <f>IFERROR(IF(ISNUMBER(INDEX(Rohdaten!$A$130:$LJ$130,MATCH(S$4,RD_Kopf,0))),INDEX(Rohdaten!$A$130:$LJ$130,MATCH(S$4,RD_Kopf,0)),NA()),NA())</f>
        <v>0</v>
      </c>
      <c r="T27" s="68">
        <f>IFERROR(IF(ISNUMBER(INDEX(Rohdaten!$A$130:$LJ$130,MATCH(T$4,RD_Kopf,0))),INDEX(Rohdaten!$A$130:$LJ$130,MATCH(T$4,RD_Kopf,0)),NA()),NA())</f>
        <v>0</v>
      </c>
      <c r="U27" s="68">
        <f>IFERROR(IF(ISNUMBER(INDEX(Rohdaten!$A$130:$LJ$130,MATCH(U$4,RD_Kopf,0))),INDEX(Rohdaten!$A$130:$LJ$130,MATCH(U$4,RD_Kopf,0)),NA()),NA())</f>
        <v>0</v>
      </c>
      <c r="V27" s="68">
        <f>IFERROR(IF(ISNUMBER(INDEX(Rohdaten!$A$130:$LJ$130,MATCH(V$4,RD_Kopf,0))),INDEX(Rohdaten!$A$130:$LJ$130,MATCH(V$4,RD_Kopf,0)),NA()),NA())</f>
        <v>0</v>
      </c>
      <c r="W27" s="68">
        <f>IFERROR(IF(ISNUMBER(INDEX(Rohdaten!$A$130:$LJ$130,MATCH(W$4,RD_Kopf,0))),INDEX(Rohdaten!$A$130:$LJ$130,MATCH(W$4,RD_Kopf,0)),NA()),NA())</f>
        <v>0</v>
      </c>
      <c r="X27" s="68">
        <f>IFERROR(IF(ISNUMBER(INDEX(Rohdaten!$A$130:$LJ$130,MATCH(X$4,RD_Kopf,0))),INDEX(Rohdaten!$A$130:$LJ$130,MATCH(X$4,RD_Kopf,0)),NA()),NA())</f>
        <v>0</v>
      </c>
      <c r="Y27" s="68">
        <f>IFERROR(IF(ISNUMBER(INDEX(Rohdaten!$A$130:$LJ$130,MATCH(Y$4,RD_Kopf,0))),INDEX(Rohdaten!$A$130:$LJ$130,MATCH(Y$4,RD_Kopf,0)),NA()),NA())</f>
        <v>0</v>
      </c>
      <c r="Z27" s="68">
        <f>IFERROR(IF(ISNUMBER(INDEX(Rohdaten!$A$130:$LJ$130,MATCH(Z$4,RD_Kopf,0))),INDEX(Rohdaten!$A$130:$LJ$130,MATCH(Z$4,RD_Kopf,0)),NA()),NA())</f>
        <v>0</v>
      </c>
      <c r="AA27" s="68">
        <f>IFERROR(IF(ISNUMBER(INDEX(Rohdaten!$A$130:$LJ$130,MATCH(AA$4,RD_Kopf,0))),INDEX(Rohdaten!$A$130:$LJ$130,MATCH(AA$4,RD_Kopf,0)),NA()),NA())</f>
        <v>0</v>
      </c>
      <c r="AB27" s="68">
        <f>IFERROR(IF(ISNUMBER(INDEX(Rohdaten!$A$130:$LJ$130,MATCH(AB$4,RD_Kopf,0))),INDEX(Rohdaten!$A$130:$LJ$130,MATCH(AB$4,RD_Kopf,0)),NA()),NA())</f>
        <v>0</v>
      </c>
      <c r="AC27" s="68">
        <f>IFERROR(IF(ISNUMBER(INDEX(Rohdaten!$A$130:$LJ$130,MATCH(AC$4,RD_Kopf,0))),INDEX(Rohdaten!$A$130:$LJ$130,MATCH(AC$4,RD_Kopf,0)),NA()),NA())</f>
        <v>0</v>
      </c>
      <c r="AD27" s="68">
        <f>IFERROR(IF(ISNUMBER(INDEX(Rohdaten!$A$130:$LJ$130,MATCH(AD$4,RD_Kopf,0))),INDEX(Rohdaten!$A$130:$LJ$130,MATCH(AD$4,RD_Kopf,0)),NA()),NA())</f>
        <v>0</v>
      </c>
    </row>
    <row r="28" spans="1:85">
      <c r="A28" s="11" t="s">
        <v>249</v>
      </c>
      <c r="B28" s="11" t="s">
        <v>249</v>
      </c>
      <c r="C28" s="67" t="s">
        <v>592</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c r="N28" s="68">
        <f>IFERROR(IF(ISNUMBER(INDEX(Rohdaten!$A$131:$LJ$131,MATCH(N$4,RD_Kopf,0))),INDEX(Rohdaten!$A$131:$LJ$131,MATCH(N$4,RD_Kopf,0)),NA()),NA())</f>
        <v>0</v>
      </c>
      <c r="O28" s="68">
        <f>IFERROR(IF(ISNUMBER(INDEX(Rohdaten!$A$131:$LJ$131,MATCH(O$4,RD_Kopf,0))),INDEX(Rohdaten!$A$131:$LJ$131,MATCH(O$4,RD_Kopf,0)),NA()),NA())</f>
        <v>0</v>
      </c>
      <c r="P28" s="68">
        <f>IFERROR(IF(ISNUMBER(INDEX(Rohdaten!$A$131:$LJ$131,MATCH(P$4,RD_Kopf,0))),INDEX(Rohdaten!$A$131:$LJ$131,MATCH(P$4,RD_Kopf,0)),NA()),NA())</f>
        <v>0</v>
      </c>
      <c r="Q28" s="68">
        <f>IFERROR(IF(ISNUMBER(INDEX(Rohdaten!$A$131:$LJ$131,MATCH(Q$4,RD_Kopf,0))),INDEX(Rohdaten!$A$131:$LJ$131,MATCH(Q$4,RD_Kopf,0)),NA()),NA())</f>
        <v>0</v>
      </c>
      <c r="R28" s="68">
        <f>IFERROR(IF(ISNUMBER(INDEX(Rohdaten!$A$131:$LJ$131,MATCH(R$4,RD_Kopf,0))),INDEX(Rohdaten!$A$131:$LJ$131,MATCH(R$4,RD_Kopf,0)),NA()),NA())</f>
        <v>0</v>
      </c>
      <c r="S28" s="68">
        <f>IFERROR(IF(ISNUMBER(INDEX(Rohdaten!$A$131:$LJ$131,MATCH(S$4,RD_Kopf,0))),INDEX(Rohdaten!$A$131:$LJ$131,MATCH(S$4,RD_Kopf,0)),NA()),NA())</f>
        <v>0</v>
      </c>
      <c r="T28" s="68">
        <f>IFERROR(IF(ISNUMBER(INDEX(Rohdaten!$A$131:$LJ$131,MATCH(T$4,RD_Kopf,0))),INDEX(Rohdaten!$A$131:$LJ$131,MATCH(T$4,RD_Kopf,0)),NA()),NA())</f>
        <v>0</v>
      </c>
      <c r="U28" s="68">
        <f>IFERROR(IF(ISNUMBER(INDEX(Rohdaten!$A$131:$LJ$131,MATCH(U$4,RD_Kopf,0))),INDEX(Rohdaten!$A$131:$LJ$131,MATCH(U$4,RD_Kopf,0)),NA()),NA())</f>
        <v>0</v>
      </c>
      <c r="V28" s="68">
        <f>IFERROR(IF(ISNUMBER(INDEX(Rohdaten!$A$131:$LJ$131,MATCH(V$4,RD_Kopf,0))),INDEX(Rohdaten!$A$131:$LJ$131,MATCH(V$4,RD_Kopf,0)),NA()),NA())</f>
        <v>0</v>
      </c>
      <c r="W28" s="68">
        <f>IFERROR(IF(ISNUMBER(INDEX(Rohdaten!$A$131:$LJ$131,MATCH(W$4,RD_Kopf,0))),INDEX(Rohdaten!$A$131:$LJ$131,MATCH(W$4,RD_Kopf,0)),NA()),NA())</f>
        <v>0</v>
      </c>
      <c r="X28" s="68">
        <f>IFERROR(IF(ISNUMBER(INDEX(Rohdaten!$A$131:$LJ$131,MATCH(X$4,RD_Kopf,0))),INDEX(Rohdaten!$A$131:$LJ$131,MATCH(X$4,RD_Kopf,0)),NA()),NA())</f>
        <v>0</v>
      </c>
      <c r="Y28" s="68">
        <f>IFERROR(IF(ISNUMBER(INDEX(Rohdaten!$A$131:$LJ$131,MATCH(Y$4,RD_Kopf,0))),INDEX(Rohdaten!$A$131:$LJ$131,MATCH(Y$4,RD_Kopf,0)),NA()),NA())</f>
        <v>0</v>
      </c>
      <c r="Z28" s="68">
        <f>IFERROR(IF(ISNUMBER(INDEX(Rohdaten!$A$131:$LJ$131,MATCH(Z$4,RD_Kopf,0))),INDEX(Rohdaten!$A$131:$LJ$131,MATCH(Z$4,RD_Kopf,0)),NA()),NA())</f>
        <v>0</v>
      </c>
      <c r="AA28" s="68">
        <f>IFERROR(IF(ISNUMBER(INDEX(Rohdaten!$A$131:$LJ$131,MATCH(AA$4,RD_Kopf,0))),INDEX(Rohdaten!$A$131:$LJ$131,MATCH(AA$4,RD_Kopf,0)),NA()),NA())</f>
        <v>0</v>
      </c>
      <c r="AB28" s="68">
        <f>IFERROR(IF(ISNUMBER(INDEX(Rohdaten!$A$131:$LJ$131,MATCH(AB$4,RD_Kopf,0))),INDEX(Rohdaten!$A$131:$LJ$131,MATCH(AB$4,RD_Kopf,0)),NA()),NA())</f>
        <v>0</v>
      </c>
      <c r="AC28" s="68">
        <f>IFERROR(IF(ISNUMBER(INDEX(Rohdaten!$A$131:$LJ$131,MATCH(AC$4,RD_Kopf,0))),INDEX(Rohdaten!$A$131:$LJ$131,MATCH(AC$4,RD_Kopf,0)),NA()),NA())</f>
        <v>0</v>
      </c>
      <c r="AD28" s="68">
        <f>IFERROR(IF(ISNUMBER(INDEX(Rohdaten!$A$131:$LJ$131,MATCH(AD$4,RD_Kopf,0))),INDEX(Rohdaten!$A$131:$LJ$131,MATCH(AD$4,RD_Kopf,0)),NA()),NA())</f>
        <v>0</v>
      </c>
    </row>
    <row r="29" spans="1:85">
      <c r="A29" s="11" t="s">
        <v>252</v>
      </c>
      <c r="B29" s="11" t="s">
        <v>252</v>
      </c>
      <c r="C29" s="67" t="s">
        <v>593</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c r="N29" s="68">
        <f>IFERROR(IF(ISNUMBER(INDEX(Rohdaten!$A$132:$LJ$132,MATCH(N$4,RD_Kopf,0))),INDEX(Rohdaten!$A$132:$LJ$132,MATCH(N$4,RD_Kopf,0)),NA()),NA())</f>
        <v>0</v>
      </c>
      <c r="O29" s="68">
        <f>IFERROR(IF(ISNUMBER(INDEX(Rohdaten!$A$132:$LJ$132,MATCH(O$4,RD_Kopf,0))),INDEX(Rohdaten!$A$132:$LJ$132,MATCH(O$4,RD_Kopf,0)),NA()),NA())</f>
        <v>0</v>
      </c>
      <c r="P29" s="68">
        <f>IFERROR(IF(ISNUMBER(INDEX(Rohdaten!$A$132:$LJ$132,MATCH(P$4,RD_Kopf,0))),INDEX(Rohdaten!$A$132:$LJ$132,MATCH(P$4,RD_Kopf,0)),NA()),NA())</f>
        <v>0</v>
      </c>
      <c r="Q29" s="68">
        <f>IFERROR(IF(ISNUMBER(INDEX(Rohdaten!$A$132:$LJ$132,MATCH(Q$4,RD_Kopf,0))),INDEX(Rohdaten!$A$132:$LJ$132,MATCH(Q$4,RD_Kopf,0)),NA()),NA())</f>
        <v>0</v>
      </c>
      <c r="R29" s="68">
        <f>IFERROR(IF(ISNUMBER(INDEX(Rohdaten!$A$132:$LJ$132,MATCH(R$4,RD_Kopf,0))),INDEX(Rohdaten!$A$132:$LJ$132,MATCH(R$4,RD_Kopf,0)),NA()),NA())</f>
        <v>0</v>
      </c>
      <c r="S29" s="68">
        <f>IFERROR(IF(ISNUMBER(INDEX(Rohdaten!$A$132:$LJ$132,MATCH(S$4,RD_Kopf,0))),INDEX(Rohdaten!$A$132:$LJ$132,MATCH(S$4,RD_Kopf,0)),NA()),NA())</f>
        <v>0</v>
      </c>
      <c r="T29" s="68">
        <f>IFERROR(IF(ISNUMBER(INDEX(Rohdaten!$A$132:$LJ$132,MATCH(T$4,RD_Kopf,0))),INDEX(Rohdaten!$A$132:$LJ$132,MATCH(T$4,RD_Kopf,0)),NA()),NA())</f>
        <v>0</v>
      </c>
      <c r="U29" s="68">
        <f>IFERROR(IF(ISNUMBER(INDEX(Rohdaten!$A$132:$LJ$132,MATCH(U$4,RD_Kopf,0))),INDEX(Rohdaten!$A$132:$LJ$132,MATCH(U$4,RD_Kopf,0)),NA()),NA())</f>
        <v>0</v>
      </c>
      <c r="V29" s="68">
        <f>IFERROR(IF(ISNUMBER(INDEX(Rohdaten!$A$132:$LJ$132,MATCH(V$4,RD_Kopf,0))),INDEX(Rohdaten!$A$132:$LJ$132,MATCH(V$4,RD_Kopf,0)),NA()),NA())</f>
        <v>0</v>
      </c>
      <c r="W29" s="68">
        <f>IFERROR(IF(ISNUMBER(INDEX(Rohdaten!$A$132:$LJ$132,MATCH(W$4,RD_Kopf,0))),INDEX(Rohdaten!$A$132:$LJ$132,MATCH(W$4,RD_Kopf,0)),NA()),NA())</f>
        <v>0</v>
      </c>
      <c r="X29" s="68">
        <f>IFERROR(IF(ISNUMBER(INDEX(Rohdaten!$A$132:$LJ$132,MATCH(X$4,RD_Kopf,0))),INDEX(Rohdaten!$A$132:$LJ$132,MATCH(X$4,RD_Kopf,0)),NA()),NA())</f>
        <v>0</v>
      </c>
      <c r="Y29" s="68">
        <f>IFERROR(IF(ISNUMBER(INDEX(Rohdaten!$A$132:$LJ$132,MATCH(Y$4,RD_Kopf,0))),INDEX(Rohdaten!$A$132:$LJ$132,MATCH(Y$4,RD_Kopf,0)),NA()),NA())</f>
        <v>0</v>
      </c>
      <c r="Z29" s="68">
        <f>IFERROR(IF(ISNUMBER(INDEX(Rohdaten!$A$132:$LJ$132,MATCH(Z$4,RD_Kopf,0))),INDEX(Rohdaten!$A$132:$LJ$132,MATCH(Z$4,RD_Kopf,0)),NA()),NA())</f>
        <v>0</v>
      </c>
      <c r="AA29" s="68">
        <f>IFERROR(IF(ISNUMBER(INDEX(Rohdaten!$A$132:$LJ$132,MATCH(AA$4,RD_Kopf,0))),INDEX(Rohdaten!$A$132:$LJ$132,MATCH(AA$4,RD_Kopf,0)),NA()),NA())</f>
        <v>0</v>
      </c>
      <c r="AB29" s="68">
        <f>IFERROR(IF(ISNUMBER(INDEX(Rohdaten!$A$132:$LJ$132,MATCH(AB$4,RD_Kopf,0))),INDEX(Rohdaten!$A$132:$LJ$132,MATCH(AB$4,RD_Kopf,0)),NA()),NA())</f>
        <v>0</v>
      </c>
      <c r="AC29" s="68">
        <f>IFERROR(IF(ISNUMBER(INDEX(Rohdaten!$A$132:$LJ$132,MATCH(AC$4,RD_Kopf,0))),INDEX(Rohdaten!$A$132:$LJ$132,MATCH(AC$4,RD_Kopf,0)),NA()),NA())</f>
        <v>0</v>
      </c>
      <c r="AD29" s="68">
        <f>IFERROR(IF(ISNUMBER(INDEX(Rohdaten!$A$132:$LJ$132,MATCH(AD$4,RD_Kopf,0))),INDEX(Rohdaten!$A$132:$LJ$132,MATCH(AD$4,RD_Kopf,0)),NA()),NA())</f>
        <v>0</v>
      </c>
    </row>
    <row r="30" spans="1:85">
      <c r="A30" s="11" t="s">
        <v>255</v>
      </c>
      <c r="B30" s="11" t="s">
        <v>255</v>
      </c>
      <c r="C30" s="67" t="s">
        <v>594</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c r="N30" s="68">
        <f>IFERROR(IF(ISNUMBER(INDEX(Rohdaten!$A$133:$LJ$133,MATCH(N$4,RD_Kopf,0))),INDEX(Rohdaten!$A$133:$LJ$133,MATCH(N$4,RD_Kopf,0)),NA()),NA())</f>
        <v>0</v>
      </c>
      <c r="O30" s="68">
        <f>IFERROR(IF(ISNUMBER(INDEX(Rohdaten!$A$133:$LJ$133,MATCH(O$4,RD_Kopf,0))),INDEX(Rohdaten!$A$133:$LJ$133,MATCH(O$4,RD_Kopf,0)),NA()),NA())</f>
        <v>0</v>
      </c>
      <c r="P30" s="68">
        <f>IFERROR(IF(ISNUMBER(INDEX(Rohdaten!$A$133:$LJ$133,MATCH(P$4,RD_Kopf,0))),INDEX(Rohdaten!$A$133:$LJ$133,MATCH(P$4,RD_Kopf,0)),NA()),NA())</f>
        <v>0</v>
      </c>
      <c r="Q30" s="68">
        <f>IFERROR(IF(ISNUMBER(INDEX(Rohdaten!$A$133:$LJ$133,MATCH(Q$4,RD_Kopf,0))),INDEX(Rohdaten!$A$133:$LJ$133,MATCH(Q$4,RD_Kopf,0)),NA()),NA())</f>
        <v>0</v>
      </c>
      <c r="R30" s="68">
        <f>IFERROR(IF(ISNUMBER(INDEX(Rohdaten!$A$133:$LJ$133,MATCH(R$4,RD_Kopf,0))),INDEX(Rohdaten!$A$133:$LJ$133,MATCH(R$4,RD_Kopf,0)),NA()),NA())</f>
        <v>0</v>
      </c>
      <c r="S30" s="68">
        <f>IFERROR(IF(ISNUMBER(INDEX(Rohdaten!$A$133:$LJ$133,MATCH(S$4,RD_Kopf,0))),INDEX(Rohdaten!$A$133:$LJ$133,MATCH(S$4,RD_Kopf,0)),NA()),NA())</f>
        <v>0</v>
      </c>
      <c r="T30" s="68">
        <f>IFERROR(IF(ISNUMBER(INDEX(Rohdaten!$A$133:$LJ$133,MATCH(T$4,RD_Kopf,0))),INDEX(Rohdaten!$A$133:$LJ$133,MATCH(T$4,RD_Kopf,0)),NA()),NA())</f>
        <v>0</v>
      </c>
      <c r="U30" s="68">
        <f>IFERROR(IF(ISNUMBER(INDEX(Rohdaten!$A$133:$LJ$133,MATCH(U$4,RD_Kopf,0))),INDEX(Rohdaten!$A$133:$LJ$133,MATCH(U$4,RD_Kopf,0)),NA()),NA())</f>
        <v>0</v>
      </c>
      <c r="V30" s="68">
        <f>IFERROR(IF(ISNUMBER(INDEX(Rohdaten!$A$133:$LJ$133,MATCH(V$4,RD_Kopf,0))),INDEX(Rohdaten!$A$133:$LJ$133,MATCH(V$4,RD_Kopf,0)),NA()),NA())</f>
        <v>0</v>
      </c>
      <c r="W30" s="68">
        <f>IFERROR(IF(ISNUMBER(INDEX(Rohdaten!$A$133:$LJ$133,MATCH(W$4,RD_Kopf,0))),INDEX(Rohdaten!$A$133:$LJ$133,MATCH(W$4,RD_Kopf,0)),NA()),NA())</f>
        <v>0</v>
      </c>
      <c r="X30" s="68">
        <f>IFERROR(IF(ISNUMBER(INDEX(Rohdaten!$A$133:$LJ$133,MATCH(X$4,RD_Kopf,0))),INDEX(Rohdaten!$A$133:$LJ$133,MATCH(X$4,RD_Kopf,0)),NA()),NA())</f>
        <v>0</v>
      </c>
      <c r="Y30" s="68">
        <f>IFERROR(IF(ISNUMBER(INDEX(Rohdaten!$A$133:$LJ$133,MATCH(Y$4,RD_Kopf,0))),INDEX(Rohdaten!$A$133:$LJ$133,MATCH(Y$4,RD_Kopf,0)),NA()),NA())</f>
        <v>0</v>
      </c>
      <c r="Z30" s="68">
        <f>IFERROR(IF(ISNUMBER(INDEX(Rohdaten!$A$133:$LJ$133,MATCH(Z$4,RD_Kopf,0))),INDEX(Rohdaten!$A$133:$LJ$133,MATCH(Z$4,RD_Kopf,0)),NA()),NA())</f>
        <v>0</v>
      </c>
      <c r="AA30" s="68">
        <f>IFERROR(IF(ISNUMBER(INDEX(Rohdaten!$A$133:$LJ$133,MATCH(AA$4,RD_Kopf,0))),INDEX(Rohdaten!$A$133:$LJ$133,MATCH(AA$4,RD_Kopf,0)),NA()),NA())</f>
        <v>0</v>
      </c>
      <c r="AB30" s="68">
        <f>IFERROR(IF(ISNUMBER(INDEX(Rohdaten!$A$133:$LJ$133,MATCH(AB$4,RD_Kopf,0))),INDEX(Rohdaten!$A$133:$LJ$133,MATCH(AB$4,RD_Kopf,0)),NA()),NA())</f>
        <v>0</v>
      </c>
      <c r="AC30" s="68">
        <f>IFERROR(IF(ISNUMBER(INDEX(Rohdaten!$A$133:$LJ$133,MATCH(AC$4,RD_Kopf,0))),INDEX(Rohdaten!$A$133:$LJ$133,MATCH(AC$4,RD_Kopf,0)),NA()),NA())</f>
        <v>0</v>
      </c>
      <c r="AD30" s="68">
        <f>IFERROR(IF(ISNUMBER(INDEX(Rohdaten!$A$133:$LJ$133,MATCH(AD$4,RD_Kopf,0))),INDEX(Rohdaten!$A$133:$LJ$133,MATCH(AD$4,RD_Kopf,0)),NA()),NA())</f>
        <v>0</v>
      </c>
    </row>
    <row r="31" spans="1:85">
      <c r="A31" s="11" t="s">
        <v>264</v>
      </c>
      <c r="B31" s="11" t="s">
        <v>264</v>
      </c>
      <c r="C31" s="67" t="s">
        <v>595</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c r="N31" s="68">
        <f>IFERROR(IF(ISNUMBER(INDEX(Rohdaten!$A$137:$LJ$137,MATCH(N$4,RD_Kopf,0))),INDEX(Rohdaten!$A$137:$LJ$137,MATCH(N$4,RD_Kopf,0)),NA()),NA())</f>
        <v>0</v>
      </c>
      <c r="O31" s="68">
        <f>IFERROR(IF(ISNUMBER(INDEX(Rohdaten!$A$137:$LJ$137,MATCH(O$4,RD_Kopf,0))),INDEX(Rohdaten!$A$137:$LJ$137,MATCH(O$4,RD_Kopf,0)),NA()),NA())</f>
        <v>0</v>
      </c>
      <c r="P31" s="68">
        <f>IFERROR(IF(ISNUMBER(INDEX(Rohdaten!$A$137:$LJ$137,MATCH(P$4,RD_Kopf,0))),INDEX(Rohdaten!$A$137:$LJ$137,MATCH(P$4,RD_Kopf,0)),NA()),NA())</f>
        <v>0</v>
      </c>
      <c r="Q31" s="68">
        <f>IFERROR(IF(ISNUMBER(INDEX(Rohdaten!$A$137:$LJ$137,MATCH(Q$4,RD_Kopf,0))),INDEX(Rohdaten!$A$137:$LJ$137,MATCH(Q$4,RD_Kopf,0)),NA()),NA())</f>
        <v>0</v>
      </c>
      <c r="R31" s="68">
        <f>IFERROR(IF(ISNUMBER(INDEX(Rohdaten!$A$137:$LJ$137,MATCH(R$4,RD_Kopf,0))),INDEX(Rohdaten!$A$137:$LJ$137,MATCH(R$4,RD_Kopf,0)),NA()),NA())</f>
        <v>0</v>
      </c>
      <c r="S31" s="68">
        <f>IFERROR(IF(ISNUMBER(INDEX(Rohdaten!$A$137:$LJ$137,MATCH(S$4,RD_Kopf,0))),INDEX(Rohdaten!$A$137:$LJ$137,MATCH(S$4,RD_Kopf,0)),NA()),NA())</f>
        <v>0</v>
      </c>
      <c r="T31" s="68">
        <f>IFERROR(IF(ISNUMBER(INDEX(Rohdaten!$A$137:$LJ$137,MATCH(T$4,RD_Kopf,0))),INDEX(Rohdaten!$A$137:$LJ$137,MATCH(T$4,RD_Kopf,0)),NA()),NA())</f>
        <v>0</v>
      </c>
      <c r="U31" s="68">
        <f>IFERROR(IF(ISNUMBER(INDEX(Rohdaten!$A$137:$LJ$137,MATCH(U$4,RD_Kopf,0))),INDEX(Rohdaten!$A$137:$LJ$137,MATCH(U$4,RD_Kopf,0)),NA()),NA())</f>
        <v>0</v>
      </c>
      <c r="V31" s="68">
        <f>IFERROR(IF(ISNUMBER(INDEX(Rohdaten!$A$137:$LJ$137,MATCH(V$4,RD_Kopf,0))),INDEX(Rohdaten!$A$137:$LJ$137,MATCH(V$4,RD_Kopf,0)),NA()),NA())</f>
        <v>0</v>
      </c>
      <c r="W31" s="68">
        <f>IFERROR(IF(ISNUMBER(INDEX(Rohdaten!$A$137:$LJ$137,MATCH(W$4,RD_Kopf,0))),INDEX(Rohdaten!$A$137:$LJ$137,MATCH(W$4,RD_Kopf,0)),NA()),NA())</f>
        <v>0</v>
      </c>
      <c r="X31" s="68">
        <f>IFERROR(IF(ISNUMBER(INDEX(Rohdaten!$A$137:$LJ$137,MATCH(X$4,RD_Kopf,0))),INDEX(Rohdaten!$A$137:$LJ$137,MATCH(X$4,RD_Kopf,0)),NA()),NA())</f>
        <v>0</v>
      </c>
      <c r="Y31" s="68">
        <f>IFERROR(IF(ISNUMBER(INDEX(Rohdaten!$A$137:$LJ$137,MATCH(Y$4,RD_Kopf,0))),INDEX(Rohdaten!$A$137:$LJ$137,MATCH(Y$4,RD_Kopf,0)),NA()),NA())</f>
        <v>0</v>
      </c>
      <c r="Z31" s="68">
        <f>IFERROR(IF(ISNUMBER(INDEX(Rohdaten!$A$137:$LJ$137,MATCH(Z$4,RD_Kopf,0))),INDEX(Rohdaten!$A$137:$LJ$137,MATCH(Z$4,RD_Kopf,0)),NA()),NA())</f>
        <v>0</v>
      </c>
      <c r="AA31" s="68">
        <f>IFERROR(IF(ISNUMBER(INDEX(Rohdaten!$A$137:$LJ$137,MATCH(AA$4,RD_Kopf,0))),INDEX(Rohdaten!$A$137:$LJ$137,MATCH(AA$4,RD_Kopf,0)),NA()),NA())</f>
        <v>0</v>
      </c>
      <c r="AB31" s="68">
        <f>IFERROR(IF(ISNUMBER(INDEX(Rohdaten!$A$137:$LJ$137,MATCH(AB$4,RD_Kopf,0))),INDEX(Rohdaten!$A$137:$LJ$137,MATCH(AB$4,RD_Kopf,0)),NA()),NA())</f>
        <v>0</v>
      </c>
      <c r="AC31" s="68">
        <f>IFERROR(IF(ISNUMBER(INDEX(Rohdaten!$A$137:$LJ$137,MATCH(AC$4,RD_Kopf,0))),INDEX(Rohdaten!$A$137:$LJ$137,MATCH(AC$4,RD_Kopf,0)),NA()),NA())</f>
        <v>0</v>
      </c>
      <c r="AD31" s="68">
        <f>IFERROR(IF(ISNUMBER(INDEX(Rohdaten!$A$137:$LJ$137,MATCH(AD$4,RD_Kopf,0))),INDEX(Rohdaten!$A$137:$LJ$137,MATCH(AD$4,RD_Kopf,0)),NA()),NA())</f>
        <v>0</v>
      </c>
    </row>
    <row r="32" spans="1:85">
      <c r="A32" s="11" t="s">
        <v>56</v>
      </c>
      <c r="B32" s="11" t="s">
        <v>56</v>
      </c>
      <c r="C32" s="67" t="s">
        <v>596</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c r="N32" s="68">
        <f>IFERROR(IF(ISNUMBER(INDEX(Rohdaten!$A$39:$LJ$39,MATCH(N$4,RD_Kopf,0))),INDEX(Rohdaten!$A$39:$LJ$39,MATCH(N$4,RD_Kopf,0)),NA()),NA())</f>
        <v>0</v>
      </c>
      <c r="O32" s="68">
        <f>IFERROR(IF(ISNUMBER(INDEX(Rohdaten!$A$39:$LJ$39,MATCH(O$4,RD_Kopf,0))),INDEX(Rohdaten!$A$39:$LJ$39,MATCH(O$4,RD_Kopf,0)),NA()),NA())</f>
        <v>0</v>
      </c>
      <c r="P32" s="68">
        <f>IFERROR(IF(ISNUMBER(INDEX(Rohdaten!$A$39:$LJ$39,MATCH(P$4,RD_Kopf,0))),INDEX(Rohdaten!$A$39:$LJ$39,MATCH(P$4,RD_Kopf,0)),NA()),NA())</f>
        <v>0</v>
      </c>
      <c r="Q32" s="68">
        <f>IFERROR(IF(ISNUMBER(INDEX(Rohdaten!$A$39:$LJ$39,MATCH(Q$4,RD_Kopf,0))),INDEX(Rohdaten!$A$39:$LJ$39,MATCH(Q$4,RD_Kopf,0)),NA()),NA())</f>
        <v>0</v>
      </c>
      <c r="R32" s="68">
        <f>IFERROR(IF(ISNUMBER(INDEX(Rohdaten!$A$39:$LJ$39,MATCH(R$4,RD_Kopf,0))),INDEX(Rohdaten!$A$39:$LJ$39,MATCH(R$4,RD_Kopf,0)),NA()),NA())</f>
        <v>0</v>
      </c>
      <c r="S32" s="68">
        <f>IFERROR(IF(ISNUMBER(INDEX(Rohdaten!$A$39:$LJ$39,MATCH(S$4,RD_Kopf,0))),INDEX(Rohdaten!$A$39:$LJ$39,MATCH(S$4,RD_Kopf,0)),NA()),NA())</f>
        <v>0</v>
      </c>
      <c r="T32" s="68">
        <f>IFERROR(IF(ISNUMBER(INDEX(Rohdaten!$A$39:$LJ$39,MATCH(T$4,RD_Kopf,0))),INDEX(Rohdaten!$A$39:$LJ$39,MATCH(T$4,RD_Kopf,0)),NA()),NA())</f>
        <v>0</v>
      </c>
      <c r="U32" s="68">
        <f>IFERROR(IF(ISNUMBER(INDEX(Rohdaten!$A$39:$LJ$39,MATCH(U$4,RD_Kopf,0))),INDEX(Rohdaten!$A$39:$LJ$39,MATCH(U$4,RD_Kopf,0)),NA()),NA())</f>
        <v>0</v>
      </c>
      <c r="V32" s="68">
        <f>IFERROR(IF(ISNUMBER(INDEX(Rohdaten!$A$39:$LJ$39,MATCH(V$4,RD_Kopf,0))),INDEX(Rohdaten!$A$39:$LJ$39,MATCH(V$4,RD_Kopf,0)),NA()),NA())</f>
        <v>0</v>
      </c>
      <c r="W32" s="68">
        <f>IFERROR(IF(ISNUMBER(INDEX(Rohdaten!$A$39:$LJ$39,MATCH(W$4,RD_Kopf,0))),INDEX(Rohdaten!$A$39:$LJ$39,MATCH(W$4,RD_Kopf,0)),NA()),NA())</f>
        <v>0</v>
      </c>
      <c r="X32" s="68">
        <f>IFERROR(IF(ISNUMBER(INDEX(Rohdaten!$A$39:$LJ$39,MATCH(X$4,RD_Kopf,0))),INDEX(Rohdaten!$A$39:$LJ$39,MATCH(X$4,RD_Kopf,0)),NA()),NA())</f>
        <v>0</v>
      </c>
      <c r="Y32" s="68">
        <f>IFERROR(IF(ISNUMBER(INDEX(Rohdaten!$A$39:$LJ$39,MATCH(Y$4,RD_Kopf,0))),INDEX(Rohdaten!$A$39:$LJ$39,MATCH(Y$4,RD_Kopf,0)),NA()),NA())</f>
        <v>0</v>
      </c>
      <c r="Z32" s="68">
        <f>IFERROR(IF(ISNUMBER(INDEX(Rohdaten!$A$39:$LJ$39,MATCH(Z$4,RD_Kopf,0))),INDEX(Rohdaten!$A$39:$LJ$39,MATCH(Z$4,RD_Kopf,0)),NA()),NA())</f>
        <v>0</v>
      </c>
      <c r="AA32" s="68">
        <f>IFERROR(IF(ISNUMBER(INDEX(Rohdaten!$A$39:$LJ$39,MATCH(AA$4,RD_Kopf,0))),INDEX(Rohdaten!$A$39:$LJ$39,MATCH(AA$4,RD_Kopf,0)),NA()),NA())</f>
        <v>0</v>
      </c>
      <c r="AB32" s="68">
        <f>IFERROR(IF(ISNUMBER(INDEX(Rohdaten!$A$39:$LJ$39,MATCH(AB$4,RD_Kopf,0))),INDEX(Rohdaten!$A$39:$LJ$39,MATCH(AB$4,RD_Kopf,0)),NA()),NA())</f>
        <v>0</v>
      </c>
      <c r="AC32" s="68">
        <f>IFERROR(IF(ISNUMBER(INDEX(Rohdaten!$A$39:$LJ$39,MATCH(AC$4,RD_Kopf,0))),INDEX(Rohdaten!$A$39:$LJ$39,MATCH(AC$4,RD_Kopf,0)),NA()),NA())</f>
        <v>0</v>
      </c>
      <c r="AD32" s="68">
        <f>IFERROR(IF(ISNUMBER(INDEX(Rohdaten!$A$39:$LJ$39,MATCH(AD$4,RD_Kopf,0))),INDEX(Rohdaten!$A$39:$LJ$39,MATCH(AD$4,RD_Kopf,0)),NA()),NA())</f>
        <v>0</v>
      </c>
    </row>
    <row r="33" spans="1:72">
      <c r="A33" s="11" t="s">
        <v>83</v>
      </c>
      <c r="B33" s="11" t="s">
        <v>83</v>
      </c>
      <c r="C33" s="67" t="s">
        <v>597</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c r="N33" s="68">
        <f>IFERROR(IF(ISNUMBER(INDEX(Rohdaten!$A$63:$LJ$63,MATCH(N$4,RD_Kopf,0))),INDEX(Rohdaten!$A$63:$LJ$63,MATCH(N$4,RD_Kopf,0)),NA()),NA())</f>
        <v>0</v>
      </c>
      <c r="O33" s="68">
        <f>IFERROR(IF(ISNUMBER(INDEX(Rohdaten!$A$63:$LJ$63,MATCH(O$4,RD_Kopf,0))),INDEX(Rohdaten!$A$63:$LJ$63,MATCH(O$4,RD_Kopf,0)),NA()),NA())</f>
        <v>0</v>
      </c>
      <c r="P33" s="68">
        <f>IFERROR(IF(ISNUMBER(INDEX(Rohdaten!$A$63:$LJ$63,MATCH(P$4,RD_Kopf,0))),INDEX(Rohdaten!$A$63:$LJ$63,MATCH(P$4,RD_Kopf,0)),NA()),NA())</f>
        <v>0</v>
      </c>
      <c r="Q33" s="68">
        <f>IFERROR(IF(ISNUMBER(INDEX(Rohdaten!$A$63:$LJ$63,MATCH(Q$4,RD_Kopf,0))),INDEX(Rohdaten!$A$63:$LJ$63,MATCH(Q$4,RD_Kopf,0)),NA()),NA())</f>
        <v>0</v>
      </c>
      <c r="R33" s="68">
        <f>IFERROR(IF(ISNUMBER(INDEX(Rohdaten!$A$63:$LJ$63,MATCH(R$4,RD_Kopf,0))),INDEX(Rohdaten!$A$63:$LJ$63,MATCH(R$4,RD_Kopf,0)),NA()),NA())</f>
        <v>0</v>
      </c>
      <c r="S33" s="68">
        <f>IFERROR(IF(ISNUMBER(INDEX(Rohdaten!$A$63:$LJ$63,MATCH(S$4,RD_Kopf,0))),INDEX(Rohdaten!$A$63:$LJ$63,MATCH(S$4,RD_Kopf,0)),NA()),NA())</f>
        <v>0</v>
      </c>
      <c r="T33" s="68">
        <f>IFERROR(IF(ISNUMBER(INDEX(Rohdaten!$A$63:$LJ$63,MATCH(T$4,RD_Kopf,0))),INDEX(Rohdaten!$A$63:$LJ$63,MATCH(T$4,RD_Kopf,0)),NA()),NA())</f>
        <v>0</v>
      </c>
      <c r="U33" s="68">
        <f>IFERROR(IF(ISNUMBER(INDEX(Rohdaten!$A$63:$LJ$63,MATCH(U$4,RD_Kopf,0))),INDEX(Rohdaten!$A$63:$LJ$63,MATCH(U$4,RD_Kopf,0)),NA()),NA())</f>
        <v>0</v>
      </c>
      <c r="V33" s="68">
        <f>IFERROR(IF(ISNUMBER(INDEX(Rohdaten!$A$63:$LJ$63,MATCH(V$4,RD_Kopf,0))),INDEX(Rohdaten!$A$63:$LJ$63,MATCH(V$4,RD_Kopf,0)),NA()),NA())</f>
        <v>0</v>
      </c>
      <c r="W33" s="68">
        <f>IFERROR(IF(ISNUMBER(INDEX(Rohdaten!$A$63:$LJ$63,MATCH(W$4,RD_Kopf,0))),INDEX(Rohdaten!$A$63:$LJ$63,MATCH(W$4,RD_Kopf,0)),NA()),NA())</f>
        <v>0</v>
      </c>
      <c r="X33" s="68">
        <f>IFERROR(IF(ISNUMBER(INDEX(Rohdaten!$A$63:$LJ$63,MATCH(X$4,RD_Kopf,0))),INDEX(Rohdaten!$A$63:$LJ$63,MATCH(X$4,RD_Kopf,0)),NA()),NA())</f>
        <v>0</v>
      </c>
      <c r="Y33" s="68">
        <f>IFERROR(IF(ISNUMBER(INDEX(Rohdaten!$A$63:$LJ$63,MATCH(Y$4,RD_Kopf,0))),INDEX(Rohdaten!$A$63:$LJ$63,MATCH(Y$4,RD_Kopf,0)),NA()),NA())</f>
        <v>0</v>
      </c>
      <c r="Z33" s="68">
        <f>IFERROR(IF(ISNUMBER(INDEX(Rohdaten!$A$63:$LJ$63,MATCH(Z$4,RD_Kopf,0))),INDEX(Rohdaten!$A$63:$LJ$63,MATCH(Z$4,RD_Kopf,0)),NA()),NA())</f>
        <v>0</v>
      </c>
      <c r="AA33" s="68">
        <f>IFERROR(IF(ISNUMBER(INDEX(Rohdaten!$A$63:$LJ$63,MATCH(AA$4,RD_Kopf,0))),INDEX(Rohdaten!$A$63:$LJ$63,MATCH(AA$4,RD_Kopf,0)),NA()),NA())</f>
        <v>0</v>
      </c>
      <c r="AB33" s="68">
        <f>IFERROR(IF(ISNUMBER(INDEX(Rohdaten!$A$63:$LJ$63,MATCH(AB$4,RD_Kopf,0))),INDEX(Rohdaten!$A$63:$LJ$63,MATCH(AB$4,RD_Kopf,0)),NA()),NA())</f>
        <v>0</v>
      </c>
      <c r="AC33" s="68">
        <f>IFERROR(IF(ISNUMBER(INDEX(Rohdaten!$A$63:$LJ$63,MATCH(AC$4,RD_Kopf,0))),INDEX(Rohdaten!$A$63:$LJ$63,MATCH(AC$4,RD_Kopf,0)),NA()),NA())</f>
        <v>0</v>
      </c>
      <c r="AD33" s="68">
        <f>IFERROR(IF(ISNUMBER(INDEX(Rohdaten!$A$63:$LJ$63,MATCH(AD$4,RD_Kopf,0))),INDEX(Rohdaten!$A$63:$LJ$63,MATCH(AD$4,RD_Kopf,0)),NA()),NA())</f>
        <v>0</v>
      </c>
    </row>
    <row r="34" spans="1:72">
      <c r="A34" s="11" t="s">
        <v>205</v>
      </c>
      <c r="B34" s="11" t="s">
        <v>205</v>
      </c>
      <c r="C34" s="67" t="s">
        <v>598</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c r="N34" s="68">
        <f>IFERROR(IF(ISNUMBER(INDEX(Rohdaten!$A$114:$LJ$114,MATCH(N$4,RD_Kopf,0))),INDEX(Rohdaten!$A$114:$LJ$114,MATCH(N$4,RD_Kopf,0)),NA()),NA())</f>
        <v>0</v>
      </c>
      <c r="O34" s="68">
        <f>IFERROR(IF(ISNUMBER(INDEX(Rohdaten!$A$114:$LJ$114,MATCH(O$4,RD_Kopf,0))),INDEX(Rohdaten!$A$114:$LJ$114,MATCH(O$4,RD_Kopf,0)),NA()),NA())</f>
        <v>0</v>
      </c>
      <c r="P34" s="68">
        <f>IFERROR(IF(ISNUMBER(INDEX(Rohdaten!$A$114:$LJ$114,MATCH(P$4,RD_Kopf,0))),INDEX(Rohdaten!$A$114:$LJ$114,MATCH(P$4,RD_Kopf,0)),NA()),NA())</f>
        <v>0</v>
      </c>
      <c r="Q34" s="68">
        <f>IFERROR(IF(ISNUMBER(INDEX(Rohdaten!$A$114:$LJ$114,MATCH(Q$4,RD_Kopf,0))),INDEX(Rohdaten!$A$114:$LJ$114,MATCH(Q$4,RD_Kopf,0)),NA()),NA())</f>
        <v>0</v>
      </c>
      <c r="R34" s="68">
        <f>IFERROR(IF(ISNUMBER(INDEX(Rohdaten!$A$114:$LJ$114,MATCH(R$4,RD_Kopf,0))),INDEX(Rohdaten!$A$114:$LJ$114,MATCH(R$4,RD_Kopf,0)),NA()),NA())</f>
        <v>0</v>
      </c>
      <c r="S34" s="68">
        <f>IFERROR(IF(ISNUMBER(INDEX(Rohdaten!$A$114:$LJ$114,MATCH(S$4,RD_Kopf,0))),INDEX(Rohdaten!$A$114:$LJ$114,MATCH(S$4,RD_Kopf,0)),NA()),NA())</f>
        <v>0</v>
      </c>
      <c r="T34" s="68">
        <f>IFERROR(IF(ISNUMBER(INDEX(Rohdaten!$A$114:$LJ$114,MATCH(T$4,RD_Kopf,0))),INDEX(Rohdaten!$A$114:$LJ$114,MATCH(T$4,RD_Kopf,0)),NA()),NA())</f>
        <v>0</v>
      </c>
      <c r="U34" s="68">
        <f>IFERROR(IF(ISNUMBER(INDEX(Rohdaten!$A$114:$LJ$114,MATCH(U$4,RD_Kopf,0))),INDEX(Rohdaten!$A$114:$LJ$114,MATCH(U$4,RD_Kopf,0)),NA()),NA())</f>
        <v>0</v>
      </c>
      <c r="V34" s="68">
        <f>IFERROR(IF(ISNUMBER(INDEX(Rohdaten!$A$114:$LJ$114,MATCH(V$4,RD_Kopf,0))),INDEX(Rohdaten!$A$114:$LJ$114,MATCH(V$4,RD_Kopf,0)),NA()),NA())</f>
        <v>0</v>
      </c>
      <c r="W34" s="68">
        <f>IFERROR(IF(ISNUMBER(INDEX(Rohdaten!$A$114:$LJ$114,MATCH(W$4,RD_Kopf,0))),INDEX(Rohdaten!$A$114:$LJ$114,MATCH(W$4,RD_Kopf,0)),NA()),NA())</f>
        <v>0</v>
      </c>
      <c r="X34" s="68">
        <f>IFERROR(IF(ISNUMBER(INDEX(Rohdaten!$A$114:$LJ$114,MATCH(X$4,RD_Kopf,0))),INDEX(Rohdaten!$A$114:$LJ$114,MATCH(X$4,RD_Kopf,0)),NA()),NA())</f>
        <v>0</v>
      </c>
      <c r="Y34" s="68">
        <f>IFERROR(IF(ISNUMBER(INDEX(Rohdaten!$A$114:$LJ$114,MATCH(Y$4,RD_Kopf,0))),INDEX(Rohdaten!$A$114:$LJ$114,MATCH(Y$4,RD_Kopf,0)),NA()),NA())</f>
        <v>0</v>
      </c>
      <c r="Z34" s="68">
        <f>IFERROR(IF(ISNUMBER(INDEX(Rohdaten!$A$114:$LJ$114,MATCH(Z$4,RD_Kopf,0))),INDEX(Rohdaten!$A$114:$LJ$114,MATCH(Z$4,RD_Kopf,0)),NA()),NA())</f>
        <v>0</v>
      </c>
      <c r="AA34" s="68">
        <f>IFERROR(IF(ISNUMBER(INDEX(Rohdaten!$A$114:$LJ$114,MATCH(AA$4,RD_Kopf,0))),INDEX(Rohdaten!$A$114:$LJ$114,MATCH(AA$4,RD_Kopf,0)),NA()),NA())</f>
        <v>0</v>
      </c>
      <c r="AB34" s="68">
        <f>IFERROR(IF(ISNUMBER(INDEX(Rohdaten!$A$114:$LJ$114,MATCH(AB$4,RD_Kopf,0))),INDEX(Rohdaten!$A$114:$LJ$114,MATCH(AB$4,RD_Kopf,0)),NA()),NA())</f>
        <v>0</v>
      </c>
      <c r="AC34" s="68">
        <f>IFERROR(IF(ISNUMBER(INDEX(Rohdaten!$A$114:$LJ$114,MATCH(AC$4,RD_Kopf,0))),INDEX(Rohdaten!$A$114:$LJ$114,MATCH(AC$4,RD_Kopf,0)),NA()),NA())</f>
        <v>0</v>
      </c>
      <c r="AD34" s="68">
        <f>IFERROR(IF(ISNUMBER(INDEX(Rohdaten!$A$114:$LJ$114,MATCH(AD$4,RD_Kopf,0))),INDEX(Rohdaten!$A$114:$LJ$114,MATCH(AD$4,RD_Kopf,0)),NA()),NA())</f>
        <v>0</v>
      </c>
    </row>
    <row r="35" spans="1:72">
      <c r="A35" s="11" t="s">
        <v>293</v>
      </c>
      <c r="B35" s="11" t="s">
        <v>293</v>
      </c>
      <c r="C35" s="67" t="s">
        <v>599</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c r="N35" s="68">
        <f>IFERROR(IF(ISNUMBER(INDEX(Rohdaten!$A$147:$LJ$147,MATCH(N$4,RD_Kopf,0))),INDEX(Rohdaten!$A$147:$LJ$147,MATCH(N$4,RD_Kopf,0)),NA()),NA())</f>
        <v>0</v>
      </c>
      <c r="O35" s="68">
        <f>IFERROR(IF(ISNUMBER(INDEX(Rohdaten!$A$147:$LJ$147,MATCH(O$4,RD_Kopf,0))),INDEX(Rohdaten!$A$147:$LJ$147,MATCH(O$4,RD_Kopf,0)),NA()),NA())</f>
        <v>0</v>
      </c>
      <c r="P35" s="68">
        <f>IFERROR(IF(ISNUMBER(INDEX(Rohdaten!$A$147:$LJ$147,MATCH(P$4,RD_Kopf,0))),INDEX(Rohdaten!$A$147:$LJ$147,MATCH(P$4,RD_Kopf,0)),NA()),NA())</f>
        <v>0</v>
      </c>
      <c r="Q35" s="68">
        <f>IFERROR(IF(ISNUMBER(INDEX(Rohdaten!$A$147:$LJ$147,MATCH(Q$4,RD_Kopf,0))),INDEX(Rohdaten!$A$147:$LJ$147,MATCH(Q$4,RD_Kopf,0)),NA()),NA())</f>
        <v>0</v>
      </c>
      <c r="R35" s="68">
        <f>IFERROR(IF(ISNUMBER(INDEX(Rohdaten!$A$147:$LJ$147,MATCH(R$4,RD_Kopf,0))),INDEX(Rohdaten!$A$147:$LJ$147,MATCH(R$4,RD_Kopf,0)),NA()),NA())</f>
        <v>0</v>
      </c>
      <c r="S35" s="68">
        <f>IFERROR(IF(ISNUMBER(INDEX(Rohdaten!$A$147:$LJ$147,MATCH(S$4,RD_Kopf,0))),INDEX(Rohdaten!$A$147:$LJ$147,MATCH(S$4,RD_Kopf,0)),NA()),NA())</f>
        <v>0</v>
      </c>
      <c r="T35" s="68">
        <f>IFERROR(IF(ISNUMBER(INDEX(Rohdaten!$A$147:$LJ$147,MATCH(T$4,RD_Kopf,0))),INDEX(Rohdaten!$A$147:$LJ$147,MATCH(T$4,RD_Kopf,0)),NA()),NA())</f>
        <v>0</v>
      </c>
      <c r="U35" s="68">
        <f>IFERROR(IF(ISNUMBER(INDEX(Rohdaten!$A$147:$LJ$147,MATCH(U$4,RD_Kopf,0))),INDEX(Rohdaten!$A$147:$LJ$147,MATCH(U$4,RD_Kopf,0)),NA()),NA())</f>
        <v>0</v>
      </c>
      <c r="V35" s="68">
        <f>IFERROR(IF(ISNUMBER(INDEX(Rohdaten!$A$147:$LJ$147,MATCH(V$4,RD_Kopf,0))),INDEX(Rohdaten!$A$147:$LJ$147,MATCH(V$4,RD_Kopf,0)),NA()),NA())</f>
        <v>0</v>
      </c>
      <c r="W35" s="68">
        <f>IFERROR(IF(ISNUMBER(INDEX(Rohdaten!$A$147:$LJ$147,MATCH(W$4,RD_Kopf,0))),INDEX(Rohdaten!$A$147:$LJ$147,MATCH(W$4,RD_Kopf,0)),NA()),NA())</f>
        <v>0</v>
      </c>
      <c r="X35" s="68">
        <f>IFERROR(IF(ISNUMBER(INDEX(Rohdaten!$A$147:$LJ$147,MATCH(X$4,RD_Kopf,0))),INDEX(Rohdaten!$A$147:$LJ$147,MATCH(X$4,RD_Kopf,0)),NA()),NA())</f>
        <v>0</v>
      </c>
      <c r="Y35" s="68">
        <f>IFERROR(IF(ISNUMBER(INDEX(Rohdaten!$A$147:$LJ$147,MATCH(Y$4,RD_Kopf,0))),INDEX(Rohdaten!$A$147:$LJ$147,MATCH(Y$4,RD_Kopf,0)),NA()),NA())</f>
        <v>0</v>
      </c>
      <c r="Z35" s="68">
        <f>IFERROR(IF(ISNUMBER(INDEX(Rohdaten!$A$147:$LJ$147,MATCH(Z$4,RD_Kopf,0))),INDEX(Rohdaten!$A$147:$LJ$147,MATCH(Z$4,RD_Kopf,0)),NA()),NA())</f>
        <v>0</v>
      </c>
      <c r="AA35" s="68">
        <f>IFERROR(IF(ISNUMBER(INDEX(Rohdaten!$A$147:$LJ$147,MATCH(AA$4,RD_Kopf,0))),INDEX(Rohdaten!$A$147:$LJ$147,MATCH(AA$4,RD_Kopf,0)),NA()),NA())</f>
        <v>0</v>
      </c>
      <c r="AB35" s="68">
        <f>IFERROR(IF(ISNUMBER(INDEX(Rohdaten!$A$147:$LJ$147,MATCH(AB$4,RD_Kopf,0))),INDEX(Rohdaten!$A$147:$LJ$147,MATCH(AB$4,RD_Kopf,0)),NA()),NA())</f>
        <v>0</v>
      </c>
      <c r="AC35" s="68">
        <f>IFERROR(IF(ISNUMBER(INDEX(Rohdaten!$A$147:$LJ$147,MATCH(AC$4,RD_Kopf,0))),INDEX(Rohdaten!$A$147:$LJ$147,MATCH(AC$4,RD_Kopf,0)),NA()),NA())</f>
        <v>0</v>
      </c>
      <c r="AD35" s="68">
        <f>IFERROR(IF(ISNUMBER(INDEX(Rohdaten!$A$147:$LJ$147,MATCH(AD$4,RD_Kopf,0))),INDEX(Rohdaten!$A$147:$LJ$147,MATCH(AD$4,RD_Kopf,0)),NA()),NA())</f>
        <v>0</v>
      </c>
    </row>
    <row r="36" spans="1:72">
      <c r="A36" s="11" t="s">
        <v>600</v>
      </c>
      <c r="B36" s="11" t="s">
        <v>601</v>
      </c>
      <c r="C36" s="67" t="s">
        <v>602</v>
      </c>
      <c r="D36" s="68">
        <v>10</v>
      </c>
    </row>
    <row r="37" spans="1:72">
      <c r="A37" s="11" t="s">
        <v>603</v>
      </c>
      <c r="B37" s="11" t="s">
        <v>604</v>
      </c>
      <c r="C37" s="67" t="s">
        <v>605</v>
      </c>
      <c r="AQ37" s="68">
        <f>IF(0&lt;($D$36-2),28-$D$36+0,IF(0&lt;($D$36-2)+6,26+INT((0-($D$36-2))/3),0))</f>
        <v>0</v>
      </c>
      <c r="AR37" s="68">
        <f>IF(1&lt;($D$36-2),28-$D$36+1,IF(1&lt;($D$36-2)+6,26+INT((1-($D$36-2))/3),0))</f>
        <v>0</v>
      </c>
      <c r="AS37" s="68">
        <f>IF(2&lt;($D$36-2),28-$D$36+2,IF(2&lt;($D$36-2)+6,26+INT((2-($D$36-2))/3),0))</f>
        <v>0</v>
      </c>
      <c r="AT37" s="68">
        <f>IF(3&lt;($D$36-2),28-$D$36+3,IF(3&lt;($D$36-2)+6,26+INT((3-($D$36-2))/3),0))</f>
        <v>0</v>
      </c>
      <c r="AU37" s="68">
        <f>IF(4&lt;($D$36-2),28-$D$36+4,IF(4&lt;($D$36-2)+6,26+INT((4-($D$36-2))/3),0))</f>
        <v>0</v>
      </c>
      <c r="AV37" s="68">
        <f>IF(5&lt;($D$36-2),28-$D$36+5,IF(5&lt;($D$36-2)+6,26+INT((5-($D$36-2))/3),0))</f>
        <v>0</v>
      </c>
      <c r="AW37" s="68">
        <f>IF(6&lt;($D$36-2),28-$D$36+6,IF(6&lt;($D$36-2)+6,26+INT((6-($D$36-2))/3),0))</f>
        <v>0</v>
      </c>
      <c r="AX37" s="68">
        <f>IF(7&lt;($D$36-2),28-$D$36+7,IF(7&lt;($D$36-2)+6,26+INT((7-($D$36-2))/3),0))</f>
        <v>0</v>
      </c>
      <c r="AY37" s="68">
        <f>IF(8&lt;($D$36-2),28-$D$36+8,IF(8&lt;($D$36-2)+6,26+INT((8-($D$36-2))/3),0))</f>
        <v>0</v>
      </c>
      <c r="AZ37" s="68">
        <f>IF(9&lt;($D$36-2),28-$D$36+9,IF(9&lt;($D$36-2)+6,26+INT((9-($D$36-2))/3),0))</f>
        <v>0</v>
      </c>
      <c r="BA37" s="68">
        <f>IF(10&lt;($D$36-2),28-$D$36+10,IF(10&lt;($D$36-2)+6,26+INT((10-($D$36-2))/3),0))</f>
        <v>0</v>
      </c>
      <c r="BB37" s="68">
        <f>IF(11&lt;($D$36-2),28-$D$36+11,IF(11&lt;($D$36-2)+6,26+INT((11-($D$36-2))/3),0))</f>
        <v>0</v>
      </c>
      <c r="BC37" s="68">
        <f>IF(12&lt;($D$36-2),28-$D$36+12,IF(12&lt;($D$36-2)+6,26+INT((12-($D$36-2))/3),0))</f>
        <v>0</v>
      </c>
      <c r="BD37" s="68">
        <f>IF(13&lt;($D$36-2),28-$D$36+13,IF(13&lt;($D$36-2)+6,26+INT((13-($D$36-2))/3),0))</f>
        <v>0</v>
      </c>
      <c r="BE37" s="68">
        <f>IF(14&lt;($D$36-2),28-$D$36+14,IF(14&lt;($D$36-2)+6,26+INT((14-($D$36-2))/3),0))</f>
        <v>0</v>
      </c>
      <c r="BF37" s="68">
        <f>IF(15&lt;($D$36-2),28-$D$36+15,IF(15&lt;($D$36-2)+6,26+INT((15-($D$36-2))/3),0))</f>
        <v>0</v>
      </c>
      <c r="BG37" s="68">
        <f>IF(16&lt;($D$36-2),28-$D$36+16,IF(16&lt;($D$36-2)+6,26+INT((16-($D$36-2))/3),0))</f>
        <v>0</v>
      </c>
      <c r="BH37" s="68">
        <f>IF(17&lt;($D$36-2),28-$D$36+17,IF(17&lt;($D$36-2)+6,26+INT((17-($D$36-2))/3),0))</f>
        <v>0</v>
      </c>
      <c r="BI37" s="68">
        <f>IF(18&lt;($D$36-2),28-$D$36+18,IF(18&lt;($D$36-2)+6,26+INT((18-($D$36-2))/3),0))</f>
        <v>0</v>
      </c>
      <c r="BJ37" s="68">
        <f>IF(19&lt;($D$36-2),28-$D$36+19,IF(19&lt;($D$36-2)+6,26+INT((19-($D$36-2))/3),0))</f>
        <v>0</v>
      </c>
      <c r="BK37" s="68">
        <f>IF(20&lt;($D$36-2),28-$D$36+20,IF(20&lt;($D$36-2)+6,26+INT((20-($D$36-2))/3),0))</f>
        <v>0</v>
      </c>
      <c r="BL37" s="68">
        <f>IF(21&lt;($D$36-2),28-$D$36+21,IF(21&lt;($D$36-2)+6,26+INT((21-($D$36-2))/3),0))</f>
        <v>0</v>
      </c>
      <c r="BM37" s="68">
        <f>IF(22&lt;($D$36-2),28-$D$36+22,IF(22&lt;($D$36-2)+6,26+INT((22-($D$36-2))/3),0))</f>
        <v>0</v>
      </c>
      <c r="BN37" s="68">
        <f>IF(23&lt;($D$36-2),28-$D$36+23,IF(23&lt;($D$36-2)+6,26+INT((23-($D$36-2))/3),0))</f>
        <v>0</v>
      </c>
      <c r="BO37" s="68">
        <f>IF(24&lt;($D$36-2),28-$D$36+24,IF(24&lt;($D$36-2)+6,26+INT((24-($D$36-2))/3),0))</f>
        <v>0</v>
      </c>
      <c r="BP37" s="68">
        <f>IF(25&lt;($D$36-2),28-$D$36+25,IF(25&lt;($D$36-2)+6,26+INT((25-($D$36-2))/3),0))</f>
        <v>0</v>
      </c>
      <c r="BQ37" s="68">
        <f>IF(26&lt;($D$36-2),28-$D$36+26,IF(26&lt;($D$36-2)+6,26+INT((26-($D$36-2))/3),0))</f>
        <v>0</v>
      </c>
      <c r="BR37" s="68">
        <f>IF(27&lt;($D$36-2),28-$D$36+27,IF(27&lt;($D$36-2)+6,26+INT((27-($D$36-2))/3),0))</f>
        <v>0</v>
      </c>
      <c r="BS37" s="68">
        <f>IF(28&lt;($D$36-2),28-$D$36+28,IF(28&lt;($D$36-2)+6,26+INT((28-($D$36-2))/3),0))</f>
        <v>0</v>
      </c>
      <c r="BT37" s="68">
        <f>IF(29&lt;($D$36-2),28-$D$36+29,IF(29&lt;($D$36-2)+6,26+INT((29-($D$36-2))/3),0))</f>
        <v>0</v>
      </c>
    </row>
    <row r="38" spans="1:72">
      <c r="A38" s="11" t="s">
        <v>606</v>
      </c>
      <c r="B38" s="11" t="s">
        <v>607</v>
      </c>
      <c r="C38" s="67" t="s">
        <v>605</v>
      </c>
      <c r="AQ38" s="11">
        <f>IF(0&lt;($D$36-2),"A",IF(0&lt;($D$36-2)+6,MID("ABC",MOD(0-($D$36-2),3)+1,1),""))</f>
        <v>0</v>
      </c>
      <c r="AR38" s="11">
        <f>IF(1&lt;($D$36-2),"A",IF(1&lt;($D$36-2)+6,MID("ABC",MOD(1-($D$36-2),3)+1,1),""))</f>
        <v>0</v>
      </c>
      <c r="AS38" s="11">
        <f>IF(2&lt;($D$36-2),"A",IF(2&lt;($D$36-2)+6,MID("ABC",MOD(2-($D$36-2),3)+1,1),""))</f>
        <v>0</v>
      </c>
      <c r="AT38" s="11">
        <f>IF(3&lt;($D$36-2),"A",IF(3&lt;($D$36-2)+6,MID("ABC",MOD(3-($D$36-2),3)+1,1),""))</f>
        <v>0</v>
      </c>
      <c r="AU38" s="11">
        <f>IF(4&lt;($D$36-2),"A",IF(4&lt;($D$36-2)+6,MID("ABC",MOD(4-($D$36-2),3)+1,1),""))</f>
        <v>0</v>
      </c>
      <c r="AV38" s="11">
        <f>IF(5&lt;($D$36-2),"A",IF(5&lt;($D$36-2)+6,MID("ABC",MOD(5-($D$36-2),3)+1,1),""))</f>
        <v>0</v>
      </c>
      <c r="AW38" s="11">
        <f>IF(6&lt;($D$36-2),"A",IF(6&lt;($D$36-2)+6,MID("ABC",MOD(6-($D$36-2),3)+1,1),""))</f>
        <v>0</v>
      </c>
      <c r="AX38" s="11">
        <f>IF(7&lt;($D$36-2),"A",IF(7&lt;($D$36-2)+6,MID("ABC",MOD(7-($D$36-2),3)+1,1),""))</f>
        <v>0</v>
      </c>
      <c r="AY38" s="11">
        <f>IF(8&lt;($D$36-2),"A",IF(8&lt;($D$36-2)+6,MID("ABC",MOD(8-($D$36-2),3)+1,1),""))</f>
        <v>0</v>
      </c>
      <c r="AZ38" s="11">
        <f>IF(9&lt;($D$36-2),"A",IF(9&lt;($D$36-2)+6,MID("ABC",MOD(9-($D$36-2),3)+1,1),""))</f>
        <v>0</v>
      </c>
      <c r="BA38" s="11">
        <f>IF(10&lt;($D$36-2),"A",IF(10&lt;($D$36-2)+6,MID("ABC",MOD(10-($D$36-2),3)+1,1),""))</f>
        <v>0</v>
      </c>
      <c r="BB38" s="11">
        <f>IF(11&lt;($D$36-2),"A",IF(11&lt;($D$36-2)+6,MID("ABC",MOD(11-($D$36-2),3)+1,1),""))</f>
        <v>0</v>
      </c>
      <c r="BC38" s="11">
        <f>IF(12&lt;($D$36-2),"A",IF(12&lt;($D$36-2)+6,MID("ABC",MOD(12-($D$36-2),3)+1,1),""))</f>
        <v>0</v>
      </c>
      <c r="BD38" s="11">
        <f>IF(13&lt;($D$36-2),"A",IF(13&lt;($D$36-2)+6,MID("ABC",MOD(13-($D$36-2),3)+1,1),""))</f>
        <v>0</v>
      </c>
      <c r="BE38" s="11">
        <f>IF(14&lt;($D$36-2),"A",IF(14&lt;($D$36-2)+6,MID("ABC",MOD(14-($D$36-2),3)+1,1),""))</f>
        <v>0</v>
      </c>
      <c r="BF38" s="11">
        <f>IF(15&lt;($D$36-2),"A",IF(15&lt;($D$36-2)+6,MID("ABC",MOD(15-($D$36-2),3)+1,1),""))</f>
        <v>0</v>
      </c>
      <c r="BG38" s="11">
        <f>IF(16&lt;($D$36-2),"A",IF(16&lt;($D$36-2)+6,MID("ABC",MOD(16-($D$36-2),3)+1,1),""))</f>
        <v>0</v>
      </c>
      <c r="BH38" s="11">
        <f>IF(17&lt;($D$36-2),"A",IF(17&lt;($D$36-2)+6,MID("ABC",MOD(17-($D$36-2),3)+1,1),""))</f>
        <v>0</v>
      </c>
      <c r="BI38" s="11">
        <f>IF(18&lt;($D$36-2),"A",IF(18&lt;($D$36-2)+6,MID("ABC",MOD(18-($D$36-2),3)+1,1),""))</f>
        <v>0</v>
      </c>
      <c r="BJ38" s="11">
        <f>IF(19&lt;($D$36-2),"A",IF(19&lt;($D$36-2)+6,MID("ABC",MOD(19-($D$36-2),3)+1,1),""))</f>
        <v>0</v>
      </c>
      <c r="BK38" s="11">
        <f>IF(20&lt;($D$36-2),"A",IF(20&lt;($D$36-2)+6,MID("ABC",MOD(20-($D$36-2),3)+1,1),""))</f>
        <v>0</v>
      </c>
      <c r="BL38" s="11">
        <f>IF(21&lt;($D$36-2),"A",IF(21&lt;($D$36-2)+6,MID("ABC",MOD(21-($D$36-2),3)+1,1),""))</f>
        <v>0</v>
      </c>
      <c r="BM38" s="11">
        <f>IF(22&lt;($D$36-2),"A",IF(22&lt;($D$36-2)+6,MID("ABC",MOD(22-($D$36-2),3)+1,1),""))</f>
        <v>0</v>
      </c>
      <c r="BN38" s="11">
        <f>IF(23&lt;($D$36-2),"A",IF(23&lt;($D$36-2)+6,MID("ABC",MOD(23-($D$36-2),3)+1,1),""))</f>
        <v>0</v>
      </c>
      <c r="BO38" s="11">
        <f>IF(24&lt;($D$36-2),"A",IF(24&lt;($D$36-2)+6,MID("ABC",MOD(24-($D$36-2),3)+1,1),""))</f>
        <v>0</v>
      </c>
      <c r="BP38" s="11">
        <f>IF(25&lt;($D$36-2),"A",IF(25&lt;($D$36-2)+6,MID("ABC",MOD(25-($D$36-2),3)+1,1),""))</f>
        <v>0</v>
      </c>
      <c r="BQ38" s="11">
        <f>IF(26&lt;($D$36-2),"A",IF(26&lt;($D$36-2)+6,MID("ABC",MOD(26-($D$36-2),3)+1,1),""))</f>
        <v>0</v>
      </c>
      <c r="BR38" s="11">
        <f>IF(27&lt;($D$36-2),"A",IF(27&lt;($D$36-2)+6,MID("ABC",MOD(27-($D$36-2),3)+1,1),""))</f>
        <v>0</v>
      </c>
      <c r="BS38" s="11">
        <f>IF(28&lt;($D$36-2),"A",IF(28&lt;($D$36-2)+6,MID("ABC",MOD(28-($D$36-2),3)+1,1),""))</f>
        <v>0</v>
      </c>
      <c r="BT38" s="11">
        <f>IF(29&lt;($D$36-2),"A",IF(29&lt;($D$36-2)+6,MID("ABC",MOD(29-($D$36-2),3)+1,1),""))</f>
        <v>0</v>
      </c>
    </row>
    <row r="39" spans="1:72">
      <c r="A39" s="11" t="s">
        <v>608</v>
      </c>
      <c r="B39" s="11" t="s">
        <v>609</v>
      </c>
      <c r="C39" s="67" t="s">
        <v>610</v>
      </c>
      <c r="AQ39" s="11">
        <f>IF(AQ$38="A",""&amp;_xlfn.ISOWEEKNUM(INDEX($D$4:$AD$4,AQ$37)),IF(AQ$38="B","",IF(AQ$38="C","","")))</f>
        <v>0</v>
      </c>
      <c r="AR39" s="11">
        <f>IF(AR$38="A",""&amp;_xlfn.ISOWEEKNUM(INDEX($D$4:$AD$4,AR$37)),IF(AR$38="B","",IF(AR$38="C","","")))</f>
        <v>0</v>
      </c>
      <c r="AS39" s="11">
        <f>IF(AS$38="A",""&amp;_xlfn.ISOWEEKNUM(INDEX($D$4:$AD$4,AS$37)),IF(AS$38="B","",IF(AS$38="C","","")))</f>
        <v>0</v>
      </c>
      <c r="AT39" s="11">
        <f>IF(AT$38="A",""&amp;_xlfn.ISOWEEKNUM(INDEX($D$4:$AD$4,AT$37)),IF(AT$38="B","",IF(AT$38="C","","")))</f>
        <v>0</v>
      </c>
      <c r="AU39" s="11">
        <f>IF(AU$38="A",""&amp;_xlfn.ISOWEEKNUM(INDEX($D$4:$AD$4,AU$37)),IF(AU$38="B","",IF(AU$38="C","","")))</f>
        <v>0</v>
      </c>
      <c r="AV39" s="11">
        <f>IF(AV$38="A",""&amp;_xlfn.ISOWEEKNUM(INDEX($D$4:$AD$4,AV$37)),IF(AV$38="B","",IF(AV$38="C","","")))</f>
        <v>0</v>
      </c>
      <c r="AW39" s="11">
        <f>IF(AW$38="A",""&amp;_xlfn.ISOWEEKNUM(INDEX($D$4:$AD$4,AW$37)),IF(AW$38="B","",IF(AW$38="C","","")))</f>
        <v>0</v>
      </c>
      <c r="AX39" s="11">
        <f>IF(AX$38="A",""&amp;_xlfn.ISOWEEKNUM(INDEX($D$4:$AD$4,AX$37)),IF(AX$38="B","",IF(AX$38="C","","")))</f>
        <v>0</v>
      </c>
      <c r="AY39" s="11">
        <f>IF(AY$38="A",""&amp;_xlfn.ISOWEEKNUM(INDEX($D$4:$AD$4,AY$37)),IF(AY$38="B","",IF(AY$38="C","","")))</f>
        <v>0</v>
      </c>
      <c r="AZ39" s="11">
        <f>IF(AZ$38="A",""&amp;_xlfn.ISOWEEKNUM(INDEX($D$4:$AD$4,AZ$37)),IF(AZ$38="B","",IF(AZ$38="C","","")))</f>
        <v>0</v>
      </c>
      <c r="BA39" s="11">
        <f>IF(BA$38="A",""&amp;_xlfn.ISOWEEKNUM(INDEX($D$4:$AD$4,BA$37)),IF(BA$38="B","",IF(BA$38="C","","")))</f>
        <v>0</v>
      </c>
      <c r="BB39" s="11">
        <f>IF(BB$38="A",""&amp;_xlfn.ISOWEEKNUM(INDEX($D$4:$AD$4,BB$37)),IF(BB$38="B","",IF(BB$38="C","","")))</f>
        <v>0</v>
      </c>
      <c r="BC39" s="11">
        <f>IF(BC$38="A",""&amp;_xlfn.ISOWEEKNUM(INDEX($D$4:$AD$4,BC$37)),IF(BC$38="B","",IF(BC$38="C","","")))</f>
        <v>0</v>
      </c>
      <c r="BD39" s="11">
        <f>IF(BD$38="A",""&amp;_xlfn.ISOWEEKNUM(INDEX($D$4:$AD$4,BD$37)),IF(BD$38="B","",IF(BD$38="C","","")))</f>
        <v>0</v>
      </c>
      <c r="BE39" s="11">
        <f>IF(BE$38="A",""&amp;_xlfn.ISOWEEKNUM(INDEX($D$4:$AD$4,BE$37)),IF(BE$38="B","",IF(BE$38="C","","")))</f>
        <v>0</v>
      </c>
      <c r="BF39" s="11">
        <f>IF(BF$38="A",""&amp;_xlfn.ISOWEEKNUM(INDEX($D$4:$AD$4,BF$37)),IF(BF$38="B","",IF(BF$38="C","","")))</f>
        <v>0</v>
      </c>
      <c r="BG39" s="11">
        <f>IF(BG$38="A",""&amp;_xlfn.ISOWEEKNUM(INDEX($D$4:$AD$4,BG$37)),IF(BG$38="B","",IF(BG$38="C","","")))</f>
        <v>0</v>
      </c>
      <c r="BH39" s="11">
        <f>IF(BH$38="A",""&amp;_xlfn.ISOWEEKNUM(INDEX($D$4:$AD$4,BH$37)),IF(BH$38="B","",IF(BH$38="C","","")))</f>
        <v>0</v>
      </c>
      <c r="BI39" s="11">
        <f>IF(BI$38="A",""&amp;_xlfn.ISOWEEKNUM(INDEX($D$4:$AD$4,BI$37)),IF(BI$38="B","",IF(BI$38="C","","")))</f>
        <v>0</v>
      </c>
      <c r="BJ39" s="11">
        <f>IF(BJ$38="A",""&amp;_xlfn.ISOWEEKNUM(INDEX($D$4:$AD$4,BJ$37)),IF(BJ$38="B","",IF(BJ$38="C","","")))</f>
        <v>0</v>
      </c>
      <c r="BK39" s="11">
        <f>IF(BK$38="A",""&amp;_xlfn.ISOWEEKNUM(INDEX($D$4:$AD$4,BK$37)),IF(BK$38="B","",IF(BK$38="C","","")))</f>
        <v>0</v>
      </c>
      <c r="BL39" s="11">
        <f>IF(BL$38="A",""&amp;_xlfn.ISOWEEKNUM(INDEX($D$4:$AD$4,BL$37)),IF(BL$38="B","",IF(BL$38="C","","")))</f>
        <v>0</v>
      </c>
      <c r="BM39" s="11">
        <f>IF(BM$38="A",""&amp;_xlfn.ISOWEEKNUM(INDEX($D$4:$AD$4,BM$37)),IF(BM$38="B","",IF(BM$38="C","","")))</f>
        <v>0</v>
      </c>
      <c r="BN39" s="11">
        <f>IF(BN$38="A",""&amp;_xlfn.ISOWEEKNUM(INDEX($D$4:$AD$4,BN$37)),IF(BN$38="B","",IF(BN$38="C","","")))</f>
        <v>0</v>
      </c>
      <c r="BO39" s="11">
        <f>IF(BO$38="A",""&amp;_xlfn.ISOWEEKNUM(INDEX($D$4:$AD$4,BO$37)),IF(BO$38="B","",IF(BO$38="C","","")))</f>
        <v>0</v>
      </c>
      <c r="BP39" s="11">
        <f>IF(BP$38="A",""&amp;_xlfn.ISOWEEKNUM(INDEX($D$4:$AD$4,BP$37)),IF(BP$38="B","",IF(BP$38="C","","")))</f>
        <v>0</v>
      </c>
      <c r="BQ39" s="11">
        <f>IF(BQ$38="A",""&amp;_xlfn.ISOWEEKNUM(INDEX($D$4:$AD$4,BQ$37)),IF(BQ$38="B","",IF(BQ$38="C","","")))</f>
        <v>0</v>
      </c>
      <c r="BR39" s="11">
        <f>IF(BR$38="A",""&amp;_xlfn.ISOWEEKNUM(INDEX($D$4:$AD$4,BR$37)),IF(BR$38="B","",IF(BR$38="C","","")))</f>
        <v>0</v>
      </c>
      <c r="BS39" s="11">
        <f>IF(BS$38="A",""&amp;_xlfn.ISOWEEKNUM(INDEX($D$4:$AD$4,BS$37)),IF(BS$38="B","",IF(BS$38="C","","")))</f>
        <v>0</v>
      </c>
      <c r="BT39" s="11">
        <f>IF(BT$38="A",""&amp;_xlfn.ISOWEEKNUM(INDEX($D$4:$AD$4,BT$37)),IF(BT$38="B","",IF(BT$38="C","","")))</f>
        <v>0</v>
      </c>
    </row>
    <row r="40" spans="1:72">
      <c r="A40" s="11" t="s">
        <v>97</v>
      </c>
      <c r="B40" s="11" t="s">
        <v>611</v>
      </c>
      <c r="C40" s="67" t="s">
        <v>612</v>
      </c>
      <c r="D40" s="68">
        <f>IFERROR(IF(ISNUMBER(INDEX(Rohdaten!$A$67:$LJ$67,MATCH(D$4,RD_Kopf,0))),INDEX(Rohdaten!$A$67:$LJ$67,MATCH(D$4,RD_Kopf,0)),NA()),NA())</f>
        <v>0</v>
      </c>
      <c r="E40" s="68">
        <f>IFERROR(IF(ISNUMBER(INDEX(Rohdaten!$A$67:$LJ$67,MATCH(E$4,RD_Kopf,0))),INDEX(Rohdaten!$A$67:$LJ$67,MATCH(E$4,RD_Kopf,0)),NA()),NA())</f>
        <v>0</v>
      </c>
      <c r="F40" s="68">
        <f>IFERROR(IF(ISNUMBER(INDEX(Rohdaten!$A$67:$LJ$67,MATCH(F$4,RD_Kopf,0))),INDEX(Rohdaten!$A$67:$LJ$67,MATCH(F$4,RD_Kopf,0)),NA()),NA())</f>
        <v>0</v>
      </c>
      <c r="G40" s="68">
        <f>IFERROR(IF(ISNUMBER(INDEX(Rohdaten!$A$67:$LJ$67,MATCH(G$4,RD_Kopf,0))),INDEX(Rohdaten!$A$67:$LJ$67,MATCH(G$4,RD_Kopf,0)),NA()),NA())</f>
        <v>0</v>
      </c>
      <c r="H40" s="68">
        <f>IFERROR(IF(ISNUMBER(INDEX(Rohdaten!$A$67:$LJ$67,MATCH(H$4,RD_Kopf,0))),INDEX(Rohdaten!$A$67:$LJ$67,MATCH(H$4,RD_Kopf,0)),NA()),NA())</f>
        <v>0</v>
      </c>
      <c r="I40" s="68">
        <f>IFERROR(IF(ISNUMBER(INDEX(Rohdaten!$A$67:$LJ$67,MATCH(I$4,RD_Kopf,0))),INDEX(Rohdaten!$A$67:$LJ$67,MATCH(I$4,RD_Kopf,0)),NA()),NA())</f>
        <v>0</v>
      </c>
      <c r="J40" s="68">
        <f>IFERROR(IF(ISNUMBER(INDEX(Rohdaten!$A$67:$LJ$67,MATCH(J$4,RD_Kopf,0))),INDEX(Rohdaten!$A$67:$LJ$67,MATCH(J$4,RD_Kopf,0)),NA()),NA())</f>
        <v>0</v>
      </c>
      <c r="K40" s="68">
        <f>IFERROR(IF(ISNUMBER(INDEX(Rohdaten!$A$67:$LJ$67,MATCH(K$4,RD_Kopf,0))),INDEX(Rohdaten!$A$67:$LJ$67,MATCH(K$4,RD_Kopf,0)),NA()),NA())</f>
        <v>0</v>
      </c>
      <c r="L40" s="68">
        <f>IFERROR(IF(ISNUMBER(INDEX(Rohdaten!$A$67:$LJ$67,MATCH(L$4,RD_Kopf,0))),INDEX(Rohdaten!$A$67:$LJ$67,MATCH(L$4,RD_Kopf,0)),NA()),NA())</f>
        <v>0</v>
      </c>
      <c r="M40" s="68">
        <f>IFERROR(IF(ISNUMBER(INDEX(Rohdaten!$A$67:$LJ$67,MATCH(M$4,RD_Kopf,0))),INDEX(Rohdaten!$A$67:$LJ$67,MATCH(M$4,RD_Kopf,0)),NA()),NA())</f>
        <v>0</v>
      </c>
      <c r="N40" s="68">
        <f>IFERROR(IF(ISNUMBER(INDEX(Rohdaten!$A$67:$LJ$67,MATCH(N$4,RD_Kopf,0))),INDEX(Rohdaten!$A$67:$LJ$67,MATCH(N$4,RD_Kopf,0)),NA()),NA())</f>
        <v>0</v>
      </c>
      <c r="O40" s="68">
        <f>IFERROR(IF(ISNUMBER(INDEX(Rohdaten!$A$67:$LJ$67,MATCH(O$4,RD_Kopf,0))),INDEX(Rohdaten!$A$67:$LJ$67,MATCH(O$4,RD_Kopf,0)),NA()),NA())</f>
        <v>0</v>
      </c>
      <c r="P40" s="68">
        <f>IFERROR(IF(ISNUMBER(INDEX(Rohdaten!$A$67:$LJ$67,MATCH(P$4,RD_Kopf,0))),INDEX(Rohdaten!$A$67:$LJ$67,MATCH(P$4,RD_Kopf,0)),NA()),NA())</f>
        <v>0</v>
      </c>
      <c r="Q40" s="68">
        <f>IFERROR(IF(ISNUMBER(INDEX(Rohdaten!$A$67:$LJ$67,MATCH(Q$4,RD_Kopf,0))),INDEX(Rohdaten!$A$67:$LJ$67,MATCH(Q$4,RD_Kopf,0)),NA()),NA())</f>
        <v>0</v>
      </c>
      <c r="R40" s="68">
        <f>IFERROR(IF(ISNUMBER(INDEX(Rohdaten!$A$67:$LJ$67,MATCH(R$4,RD_Kopf,0))),INDEX(Rohdaten!$A$67:$LJ$67,MATCH(R$4,RD_Kopf,0)),NA()),NA())</f>
        <v>0</v>
      </c>
      <c r="S40" s="68">
        <f>IFERROR(IF(ISNUMBER(INDEX(Rohdaten!$A$67:$LJ$67,MATCH(S$4,RD_Kopf,0))),INDEX(Rohdaten!$A$67:$LJ$67,MATCH(S$4,RD_Kopf,0)),NA()),NA())</f>
        <v>0</v>
      </c>
      <c r="T40" s="68">
        <f>IFERROR(IF(ISNUMBER(INDEX(Rohdaten!$A$67:$LJ$67,MATCH(T$4,RD_Kopf,0))),INDEX(Rohdaten!$A$67:$LJ$67,MATCH(T$4,RD_Kopf,0)),NA()),NA())</f>
        <v>0</v>
      </c>
      <c r="U40" s="68">
        <f>IFERROR(IF(ISNUMBER(INDEX(Rohdaten!$A$67:$LJ$67,MATCH(U$4,RD_Kopf,0))),INDEX(Rohdaten!$A$67:$LJ$67,MATCH(U$4,RD_Kopf,0)),NA()),NA())</f>
        <v>0</v>
      </c>
      <c r="V40" s="68">
        <f>IFERROR(IF(ISNUMBER(INDEX(Rohdaten!$A$67:$LJ$67,MATCH(V$4,RD_Kopf,0))),INDEX(Rohdaten!$A$67:$LJ$67,MATCH(V$4,RD_Kopf,0)),NA()),NA())</f>
        <v>0</v>
      </c>
      <c r="W40" s="68">
        <f>IFERROR(IF(ISNUMBER(INDEX(Rohdaten!$A$67:$LJ$67,MATCH(W$4,RD_Kopf,0))),INDEX(Rohdaten!$A$67:$LJ$67,MATCH(W$4,RD_Kopf,0)),NA()),NA())</f>
        <v>0</v>
      </c>
      <c r="X40" s="68">
        <f>IFERROR(IF(ISNUMBER(INDEX(Rohdaten!$A$67:$LJ$67,MATCH(X$4,RD_Kopf,0))),INDEX(Rohdaten!$A$67:$LJ$67,MATCH(X$4,RD_Kopf,0)),NA()),NA())</f>
        <v>0</v>
      </c>
      <c r="Y40" s="68">
        <f>IFERROR(IF(ISNUMBER(INDEX(Rohdaten!$A$67:$LJ$67,MATCH(Y$4,RD_Kopf,0))),INDEX(Rohdaten!$A$67:$LJ$67,MATCH(Y$4,RD_Kopf,0)),NA()),NA())</f>
        <v>0</v>
      </c>
      <c r="Z40" s="68">
        <f>IFERROR(IF(ISNUMBER(INDEX(Rohdaten!$A$67:$LJ$67,MATCH(Z$4,RD_Kopf,0))),INDEX(Rohdaten!$A$67:$LJ$67,MATCH(Z$4,RD_Kopf,0)),NA()),NA())</f>
        <v>0</v>
      </c>
      <c r="AA40" s="68">
        <f>IFERROR(IF(ISNUMBER(INDEX(Rohdaten!$A$67:$LJ$67,MATCH(AA$4,RD_Kopf,0))),INDEX(Rohdaten!$A$67:$LJ$67,MATCH(AA$4,RD_Kopf,0)),NA()),NA())</f>
        <v>0</v>
      </c>
      <c r="AB40" s="68">
        <f>IFERROR(IF(ISNUMBER(INDEX(Rohdaten!$A$67:$LJ$67,MATCH(AB$4,RD_Kopf,0))),INDEX(Rohdaten!$A$67:$LJ$67,MATCH(AB$4,RD_Kopf,0)),NA()),NA())</f>
        <v>0</v>
      </c>
      <c r="AC40" s="68">
        <f>IFERROR(IF(ISNUMBER(INDEX(Rohdaten!$A$67:$LJ$67,MATCH(AC$4,RD_Kopf,0))),INDEX(Rohdaten!$A$67:$LJ$67,MATCH(AC$4,RD_Kopf,0)),NA()),NA())</f>
        <v>0</v>
      </c>
      <c r="AD40" s="68">
        <f>IFERROR(IF(ISNUMBER(INDEX(Rohdaten!$A$67:$LJ$67,MATCH(AD$4,RD_Kopf,0))),INDEX(Rohdaten!$A$67:$LJ$67,MATCH(AD$4,RD_Kopf,0)),NA()),NA())</f>
        <v>0</v>
      </c>
    </row>
    <row r="41" spans="1:72">
      <c r="A41" s="11" t="s">
        <v>100</v>
      </c>
      <c r="B41" s="11" t="s">
        <v>613</v>
      </c>
      <c r="C41" s="67" t="s">
        <v>614</v>
      </c>
      <c r="D41" s="68">
        <f>IFERROR(IF(ISNUMBER(INDEX(Rohdaten!$A$68:$LJ$68,MATCH(D$4,RD_Kopf,0))),INDEX(Rohdaten!$A$68:$LJ$68,MATCH(D$4,RD_Kopf,0)),NA()),NA())</f>
        <v>0</v>
      </c>
      <c r="E41" s="68">
        <f>IFERROR(IF(ISNUMBER(INDEX(Rohdaten!$A$68:$LJ$68,MATCH(E$4,RD_Kopf,0))),INDEX(Rohdaten!$A$68:$LJ$68,MATCH(E$4,RD_Kopf,0)),NA()),NA())</f>
        <v>0</v>
      </c>
      <c r="F41" s="68">
        <f>IFERROR(IF(ISNUMBER(INDEX(Rohdaten!$A$68:$LJ$68,MATCH(F$4,RD_Kopf,0))),INDEX(Rohdaten!$A$68:$LJ$68,MATCH(F$4,RD_Kopf,0)),NA()),NA())</f>
        <v>0</v>
      </c>
      <c r="G41" s="68">
        <f>IFERROR(IF(ISNUMBER(INDEX(Rohdaten!$A$68:$LJ$68,MATCH(G$4,RD_Kopf,0))),INDEX(Rohdaten!$A$68:$LJ$68,MATCH(G$4,RD_Kopf,0)),NA()),NA())</f>
        <v>0</v>
      </c>
      <c r="H41" s="68">
        <f>IFERROR(IF(ISNUMBER(INDEX(Rohdaten!$A$68:$LJ$68,MATCH(H$4,RD_Kopf,0))),INDEX(Rohdaten!$A$68:$LJ$68,MATCH(H$4,RD_Kopf,0)),NA()),NA())</f>
        <v>0</v>
      </c>
      <c r="I41" s="68">
        <f>IFERROR(IF(ISNUMBER(INDEX(Rohdaten!$A$68:$LJ$68,MATCH(I$4,RD_Kopf,0))),INDEX(Rohdaten!$A$68:$LJ$68,MATCH(I$4,RD_Kopf,0)),NA()),NA())</f>
        <v>0</v>
      </c>
      <c r="J41" s="68">
        <f>IFERROR(IF(ISNUMBER(INDEX(Rohdaten!$A$68:$LJ$68,MATCH(J$4,RD_Kopf,0))),INDEX(Rohdaten!$A$68:$LJ$68,MATCH(J$4,RD_Kopf,0)),NA()),NA())</f>
        <v>0</v>
      </c>
      <c r="K41" s="68">
        <f>IFERROR(IF(ISNUMBER(INDEX(Rohdaten!$A$68:$LJ$68,MATCH(K$4,RD_Kopf,0))),INDEX(Rohdaten!$A$68:$LJ$68,MATCH(K$4,RD_Kopf,0)),NA()),NA())</f>
        <v>0</v>
      </c>
      <c r="L41" s="68">
        <f>IFERROR(IF(ISNUMBER(INDEX(Rohdaten!$A$68:$LJ$68,MATCH(L$4,RD_Kopf,0))),INDEX(Rohdaten!$A$68:$LJ$68,MATCH(L$4,RD_Kopf,0)),NA()),NA())</f>
        <v>0</v>
      </c>
      <c r="M41" s="68">
        <f>IFERROR(IF(ISNUMBER(INDEX(Rohdaten!$A$68:$LJ$68,MATCH(M$4,RD_Kopf,0))),INDEX(Rohdaten!$A$68:$LJ$68,MATCH(M$4,RD_Kopf,0)),NA()),NA())</f>
        <v>0</v>
      </c>
      <c r="N41" s="68">
        <f>IFERROR(IF(ISNUMBER(INDEX(Rohdaten!$A$68:$LJ$68,MATCH(N$4,RD_Kopf,0))),INDEX(Rohdaten!$A$68:$LJ$68,MATCH(N$4,RD_Kopf,0)),NA()),NA())</f>
        <v>0</v>
      </c>
      <c r="O41" s="68">
        <f>IFERROR(IF(ISNUMBER(INDEX(Rohdaten!$A$68:$LJ$68,MATCH(O$4,RD_Kopf,0))),INDEX(Rohdaten!$A$68:$LJ$68,MATCH(O$4,RD_Kopf,0)),NA()),NA())</f>
        <v>0</v>
      </c>
      <c r="P41" s="68">
        <f>IFERROR(IF(ISNUMBER(INDEX(Rohdaten!$A$68:$LJ$68,MATCH(P$4,RD_Kopf,0))),INDEX(Rohdaten!$A$68:$LJ$68,MATCH(P$4,RD_Kopf,0)),NA()),NA())</f>
        <v>0</v>
      </c>
      <c r="Q41" s="68">
        <f>IFERROR(IF(ISNUMBER(INDEX(Rohdaten!$A$68:$LJ$68,MATCH(Q$4,RD_Kopf,0))),INDEX(Rohdaten!$A$68:$LJ$68,MATCH(Q$4,RD_Kopf,0)),NA()),NA())</f>
        <v>0</v>
      </c>
      <c r="R41" s="68">
        <f>IFERROR(IF(ISNUMBER(INDEX(Rohdaten!$A$68:$LJ$68,MATCH(R$4,RD_Kopf,0))),INDEX(Rohdaten!$A$68:$LJ$68,MATCH(R$4,RD_Kopf,0)),NA()),NA())</f>
        <v>0</v>
      </c>
      <c r="S41" s="68">
        <f>IFERROR(IF(ISNUMBER(INDEX(Rohdaten!$A$68:$LJ$68,MATCH(S$4,RD_Kopf,0))),INDEX(Rohdaten!$A$68:$LJ$68,MATCH(S$4,RD_Kopf,0)),NA()),NA())</f>
        <v>0</v>
      </c>
      <c r="T41" s="68">
        <f>IFERROR(IF(ISNUMBER(INDEX(Rohdaten!$A$68:$LJ$68,MATCH(T$4,RD_Kopf,0))),INDEX(Rohdaten!$A$68:$LJ$68,MATCH(T$4,RD_Kopf,0)),NA()),NA())</f>
        <v>0</v>
      </c>
      <c r="U41" s="68">
        <f>IFERROR(IF(ISNUMBER(INDEX(Rohdaten!$A$68:$LJ$68,MATCH(U$4,RD_Kopf,0))),INDEX(Rohdaten!$A$68:$LJ$68,MATCH(U$4,RD_Kopf,0)),NA()),NA())</f>
        <v>0</v>
      </c>
      <c r="V41" s="68">
        <f>IFERROR(IF(ISNUMBER(INDEX(Rohdaten!$A$68:$LJ$68,MATCH(V$4,RD_Kopf,0))),INDEX(Rohdaten!$A$68:$LJ$68,MATCH(V$4,RD_Kopf,0)),NA()),NA())</f>
        <v>0</v>
      </c>
      <c r="W41" s="68">
        <f>IFERROR(IF(ISNUMBER(INDEX(Rohdaten!$A$68:$LJ$68,MATCH(W$4,RD_Kopf,0))),INDEX(Rohdaten!$A$68:$LJ$68,MATCH(W$4,RD_Kopf,0)),NA()),NA())</f>
        <v>0</v>
      </c>
      <c r="X41" s="68">
        <f>IFERROR(IF(ISNUMBER(INDEX(Rohdaten!$A$68:$LJ$68,MATCH(X$4,RD_Kopf,0))),INDEX(Rohdaten!$A$68:$LJ$68,MATCH(X$4,RD_Kopf,0)),NA()),NA())</f>
        <v>0</v>
      </c>
      <c r="Y41" s="68">
        <f>IFERROR(IF(ISNUMBER(INDEX(Rohdaten!$A$68:$LJ$68,MATCH(Y$4,RD_Kopf,0))),INDEX(Rohdaten!$A$68:$LJ$68,MATCH(Y$4,RD_Kopf,0)),NA()),NA())</f>
        <v>0</v>
      </c>
      <c r="Z41" s="68">
        <f>IFERROR(IF(ISNUMBER(INDEX(Rohdaten!$A$68:$LJ$68,MATCH(Z$4,RD_Kopf,0))),INDEX(Rohdaten!$A$68:$LJ$68,MATCH(Z$4,RD_Kopf,0)),NA()),NA())</f>
        <v>0</v>
      </c>
      <c r="AA41" s="68">
        <f>IFERROR(IF(ISNUMBER(INDEX(Rohdaten!$A$68:$LJ$68,MATCH(AA$4,RD_Kopf,0))),INDEX(Rohdaten!$A$68:$LJ$68,MATCH(AA$4,RD_Kopf,0)),NA()),NA())</f>
        <v>0</v>
      </c>
      <c r="AB41" s="68">
        <f>IFERROR(IF(ISNUMBER(INDEX(Rohdaten!$A$68:$LJ$68,MATCH(AB$4,RD_Kopf,0))),INDEX(Rohdaten!$A$68:$LJ$68,MATCH(AB$4,RD_Kopf,0)),NA()),NA())</f>
        <v>0</v>
      </c>
      <c r="AC41" s="68">
        <f>IFERROR(IF(ISNUMBER(INDEX(Rohdaten!$A$68:$LJ$68,MATCH(AC$4,RD_Kopf,0))),INDEX(Rohdaten!$A$68:$LJ$68,MATCH(AC$4,RD_Kopf,0)),NA()),NA())</f>
        <v>0</v>
      </c>
      <c r="AD41" s="68">
        <f>IFERROR(IF(ISNUMBER(INDEX(Rohdaten!$A$68:$LJ$68,MATCH(AD$4,RD_Kopf,0))),INDEX(Rohdaten!$A$68:$LJ$68,MATCH(AD$4,RD_Kopf,0)),NA()),NA())</f>
        <v>0</v>
      </c>
    </row>
    <row r="42" spans="1:72">
      <c r="A42" s="11" t="s">
        <v>103</v>
      </c>
      <c r="B42" s="11" t="s">
        <v>615</v>
      </c>
      <c r="C42" s="67" t="s">
        <v>616</v>
      </c>
      <c r="D42" s="68">
        <f>IFERROR(IF(ISNUMBER(INDEX(Rohdaten!$A$69:$LJ$69,MATCH(D$4,RD_Kopf,0))),INDEX(Rohdaten!$A$69:$LJ$69,MATCH(D$4,RD_Kopf,0)),NA()),NA())</f>
        <v>0</v>
      </c>
      <c r="E42" s="68">
        <f>IFERROR(IF(ISNUMBER(INDEX(Rohdaten!$A$69:$LJ$69,MATCH(E$4,RD_Kopf,0))),INDEX(Rohdaten!$A$69:$LJ$69,MATCH(E$4,RD_Kopf,0)),NA()),NA())</f>
        <v>0</v>
      </c>
      <c r="F42" s="68">
        <f>IFERROR(IF(ISNUMBER(INDEX(Rohdaten!$A$69:$LJ$69,MATCH(F$4,RD_Kopf,0))),INDEX(Rohdaten!$A$69:$LJ$69,MATCH(F$4,RD_Kopf,0)),NA()),NA())</f>
        <v>0</v>
      </c>
      <c r="G42" s="68">
        <f>IFERROR(IF(ISNUMBER(INDEX(Rohdaten!$A$69:$LJ$69,MATCH(G$4,RD_Kopf,0))),INDEX(Rohdaten!$A$69:$LJ$69,MATCH(G$4,RD_Kopf,0)),NA()),NA())</f>
        <v>0</v>
      </c>
      <c r="H42" s="68">
        <f>IFERROR(IF(ISNUMBER(INDEX(Rohdaten!$A$69:$LJ$69,MATCH(H$4,RD_Kopf,0))),INDEX(Rohdaten!$A$69:$LJ$69,MATCH(H$4,RD_Kopf,0)),NA()),NA())</f>
        <v>0</v>
      </c>
      <c r="I42" s="68">
        <f>IFERROR(IF(ISNUMBER(INDEX(Rohdaten!$A$69:$LJ$69,MATCH(I$4,RD_Kopf,0))),INDEX(Rohdaten!$A$69:$LJ$69,MATCH(I$4,RD_Kopf,0)),NA()),NA())</f>
        <v>0</v>
      </c>
      <c r="J42" s="68">
        <f>IFERROR(IF(ISNUMBER(INDEX(Rohdaten!$A$69:$LJ$69,MATCH(J$4,RD_Kopf,0))),INDEX(Rohdaten!$A$69:$LJ$69,MATCH(J$4,RD_Kopf,0)),NA()),NA())</f>
        <v>0</v>
      </c>
      <c r="K42" s="68">
        <f>IFERROR(IF(ISNUMBER(INDEX(Rohdaten!$A$69:$LJ$69,MATCH(K$4,RD_Kopf,0))),INDEX(Rohdaten!$A$69:$LJ$69,MATCH(K$4,RD_Kopf,0)),NA()),NA())</f>
        <v>0</v>
      </c>
      <c r="L42" s="68">
        <f>IFERROR(IF(ISNUMBER(INDEX(Rohdaten!$A$69:$LJ$69,MATCH(L$4,RD_Kopf,0))),INDEX(Rohdaten!$A$69:$LJ$69,MATCH(L$4,RD_Kopf,0)),NA()),NA())</f>
        <v>0</v>
      </c>
      <c r="M42" s="68">
        <f>IFERROR(IF(ISNUMBER(INDEX(Rohdaten!$A$69:$LJ$69,MATCH(M$4,RD_Kopf,0))),INDEX(Rohdaten!$A$69:$LJ$69,MATCH(M$4,RD_Kopf,0)),NA()),NA())</f>
        <v>0</v>
      </c>
      <c r="N42" s="68">
        <f>IFERROR(IF(ISNUMBER(INDEX(Rohdaten!$A$69:$LJ$69,MATCH(N$4,RD_Kopf,0))),INDEX(Rohdaten!$A$69:$LJ$69,MATCH(N$4,RD_Kopf,0)),NA()),NA())</f>
        <v>0</v>
      </c>
      <c r="O42" s="68">
        <f>IFERROR(IF(ISNUMBER(INDEX(Rohdaten!$A$69:$LJ$69,MATCH(O$4,RD_Kopf,0))),INDEX(Rohdaten!$A$69:$LJ$69,MATCH(O$4,RD_Kopf,0)),NA()),NA())</f>
        <v>0</v>
      </c>
      <c r="P42" s="68">
        <f>IFERROR(IF(ISNUMBER(INDEX(Rohdaten!$A$69:$LJ$69,MATCH(P$4,RD_Kopf,0))),INDEX(Rohdaten!$A$69:$LJ$69,MATCH(P$4,RD_Kopf,0)),NA()),NA())</f>
        <v>0</v>
      </c>
      <c r="Q42" s="68">
        <f>IFERROR(IF(ISNUMBER(INDEX(Rohdaten!$A$69:$LJ$69,MATCH(Q$4,RD_Kopf,0))),INDEX(Rohdaten!$A$69:$LJ$69,MATCH(Q$4,RD_Kopf,0)),NA()),NA())</f>
        <v>0</v>
      </c>
      <c r="R42" s="68">
        <f>IFERROR(IF(ISNUMBER(INDEX(Rohdaten!$A$69:$LJ$69,MATCH(R$4,RD_Kopf,0))),INDEX(Rohdaten!$A$69:$LJ$69,MATCH(R$4,RD_Kopf,0)),NA()),NA())</f>
        <v>0</v>
      </c>
      <c r="S42" s="68">
        <f>IFERROR(IF(ISNUMBER(INDEX(Rohdaten!$A$69:$LJ$69,MATCH(S$4,RD_Kopf,0))),INDEX(Rohdaten!$A$69:$LJ$69,MATCH(S$4,RD_Kopf,0)),NA()),NA())</f>
        <v>0</v>
      </c>
      <c r="T42" s="68">
        <f>IFERROR(IF(ISNUMBER(INDEX(Rohdaten!$A$69:$LJ$69,MATCH(T$4,RD_Kopf,0))),INDEX(Rohdaten!$A$69:$LJ$69,MATCH(T$4,RD_Kopf,0)),NA()),NA())</f>
        <v>0</v>
      </c>
      <c r="U42" s="68">
        <f>IFERROR(IF(ISNUMBER(INDEX(Rohdaten!$A$69:$LJ$69,MATCH(U$4,RD_Kopf,0))),INDEX(Rohdaten!$A$69:$LJ$69,MATCH(U$4,RD_Kopf,0)),NA()),NA())</f>
        <v>0</v>
      </c>
      <c r="V42" s="68">
        <f>IFERROR(IF(ISNUMBER(INDEX(Rohdaten!$A$69:$LJ$69,MATCH(V$4,RD_Kopf,0))),INDEX(Rohdaten!$A$69:$LJ$69,MATCH(V$4,RD_Kopf,0)),NA()),NA())</f>
        <v>0</v>
      </c>
      <c r="W42" s="68">
        <f>IFERROR(IF(ISNUMBER(INDEX(Rohdaten!$A$69:$LJ$69,MATCH(W$4,RD_Kopf,0))),INDEX(Rohdaten!$A$69:$LJ$69,MATCH(W$4,RD_Kopf,0)),NA()),NA())</f>
        <v>0</v>
      </c>
      <c r="X42" s="68">
        <f>IFERROR(IF(ISNUMBER(INDEX(Rohdaten!$A$69:$LJ$69,MATCH(X$4,RD_Kopf,0))),INDEX(Rohdaten!$A$69:$LJ$69,MATCH(X$4,RD_Kopf,0)),NA()),NA())</f>
        <v>0</v>
      </c>
      <c r="Y42" s="68">
        <f>IFERROR(IF(ISNUMBER(INDEX(Rohdaten!$A$69:$LJ$69,MATCH(Y$4,RD_Kopf,0))),INDEX(Rohdaten!$A$69:$LJ$69,MATCH(Y$4,RD_Kopf,0)),NA()),NA())</f>
        <v>0</v>
      </c>
      <c r="Z42" s="68">
        <f>IFERROR(IF(ISNUMBER(INDEX(Rohdaten!$A$69:$LJ$69,MATCH(Z$4,RD_Kopf,0))),INDEX(Rohdaten!$A$69:$LJ$69,MATCH(Z$4,RD_Kopf,0)),NA()),NA())</f>
        <v>0</v>
      </c>
      <c r="AA42" s="68">
        <f>IFERROR(IF(ISNUMBER(INDEX(Rohdaten!$A$69:$LJ$69,MATCH(AA$4,RD_Kopf,0))),INDEX(Rohdaten!$A$69:$LJ$69,MATCH(AA$4,RD_Kopf,0)),NA()),NA())</f>
        <v>0</v>
      </c>
      <c r="AB42" s="68">
        <f>IFERROR(IF(ISNUMBER(INDEX(Rohdaten!$A$69:$LJ$69,MATCH(AB$4,RD_Kopf,0))),INDEX(Rohdaten!$A$69:$LJ$69,MATCH(AB$4,RD_Kopf,0)),NA()),NA())</f>
        <v>0</v>
      </c>
      <c r="AC42" s="68">
        <f>IFERROR(IF(ISNUMBER(INDEX(Rohdaten!$A$69:$LJ$69,MATCH(AC$4,RD_Kopf,0))),INDEX(Rohdaten!$A$69:$LJ$69,MATCH(AC$4,RD_Kopf,0)),NA()),NA())</f>
        <v>0</v>
      </c>
      <c r="AD42" s="68">
        <f>IFERROR(IF(ISNUMBER(INDEX(Rohdaten!$A$69:$LJ$69,MATCH(AD$4,RD_Kopf,0))),INDEX(Rohdaten!$A$69:$LJ$69,MATCH(AD$4,RD_Kopf,0)),NA()),NA())</f>
        <v>0</v>
      </c>
    </row>
    <row r="43" spans="1:72">
      <c r="A43" s="11" t="s">
        <v>106</v>
      </c>
      <c r="B43" s="11" t="s">
        <v>617</v>
      </c>
      <c r="C43" s="67" t="s">
        <v>618</v>
      </c>
      <c r="D43" s="68">
        <f>IFERROR(IF(ISNUMBER(INDEX(Rohdaten!$A$70:$LJ$70,MATCH(D$4,RD_Kopf,0))),INDEX(Rohdaten!$A$70:$LJ$70,MATCH(D$4,RD_Kopf,0)),NA()),NA())</f>
        <v>0</v>
      </c>
      <c r="E43" s="68">
        <f>IFERROR(IF(ISNUMBER(INDEX(Rohdaten!$A$70:$LJ$70,MATCH(E$4,RD_Kopf,0))),INDEX(Rohdaten!$A$70:$LJ$70,MATCH(E$4,RD_Kopf,0)),NA()),NA())</f>
        <v>0</v>
      </c>
      <c r="F43" s="68">
        <f>IFERROR(IF(ISNUMBER(INDEX(Rohdaten!$A$70:$LJ$70,MATCH(F$4,RD_Kopf,0))),INDEX(Rohdaten!$A$70:$LJ$70,MATCH(F$4,RD_Kopf,0)),NA()),NA())</f>
        <v>0</v>
      </c>
      <c r="G43" s="68">
        <f>IFERROR(IF(ISNUMBER(INDEX(Rohdaten!$A$70:$LJ$70,MATCH(G$4,RD_Kopf,0))),INDEX(Rohdaten!$A$70:$LJ$70,MATCH(G$4,RD_Kopf,0)),NA()),NA())</f>
        <v>0</v>
      </c>
      <c r="H43" s="68">
        <f>IFERROR(IF(ISNUMBER(INDEX(Rohdaten!$A$70:$LJ$70,MATCH(H$4,RD_Kopf,0))),INDEX(Rohdaten!$A$70:$LJ$70,MATCH(H$4,RD_Kopf,0)),NA()),NA())</f>
        <v>0</v>
      </c>
      <c r="I43" s="68">
        <f>IFERROR(IF(ISNUMBER(INDEX(Rohdaten!$A$70:$LJ$70,MATCH(I$4,RD_Kopf,0))),INDEX(Rohdaten!$A$70:$LJ$70,MATCH(I$4,RD_Kopf,0)),NA()),NA())</f>
        <v>0</v>
      </c>
      <c r="J43" s="68">
        <f>IFERROR(IF(ISNUMBER(INDEX(Rohdaten!$A$70:$LJ$70,MATCH(J$4,RD_Kopf,0))),INDEX(Rohdaten!$A$70:$LJ$70,MATCH(J$4,RD_Kopf,0)),NA()),NA())</f>
        <v>0</v>
      </c>
      <c r="K43" s="68">
        <f>IFERROR(IF(ISNUMBER(INDEX(Rohdaten!$A$70:$LJ$70,MATCH(K$4,RD_Kopf,0))),INDEX(Rohdaten!$A$70:$LJ$70,MATCH(K$4,RD_Kopf,0)),NA()),NA())</f>
        <v>0</v>
      </c>
      <c r="L43" s="68">
        <f>IFERROR(IF(ISNUMBER(INDEX(Rohdaten!$A$70:$LJ$70,MATCH(L$4,RD_Kopf,0))),INDEX(Rohdaten!$A$70:$LJ$70,MATCH(L$4,RD_Kopf,0)),NA()),NA())</f>
        <v>0</v>
      </c>
      <c r="M43" s="68">
        <f>IFERROR(IF(ISNUMBER(INDEX(Rohdaten!$A$70:$LJ$70,MATCH(M$4,RD_Kopf,0))),INDEX(Rohdaten!$A$70:$LJ$70,MATCH(M$4,RD_Kopf,0)),NA()),NA())</f>
        <v>0</v>
      </c>
      <c r="N43" s="68">
        <f>IFERROR(IF(ISNUMBER(INDEX(Rohdaten!$A$70:$LJ$70,MATCH(N$4,RD_Kopf,0))),INDEX(Rohdaten!$A$70:$LJ$70,MATCH(N$4,RD_Kopf,0)),NA()),NA())</f>
        <v>0</v>
      </c>
      <c r="O43" s="68">
        <f>IFERROR(IF(ISNUMBER(INDEX(Rohdaten!$A$70:$LJ$70,MATCH(O$4,RD_Kopf,0))),INDEX(Rohdaten!$A$70:$LJ$70,MATCH(O$4,RD_Kopf,0)),NA()),NA())</f>
        <v>0</v>
      </c>
      <c r="P43" s="68">
        <f>IFERROR(IF(ISNUMBER(INDEX(Rohdaten!$A$70:$LJ$70,MATCH(P$4,RD_Kopf,0))),INDEX(Rohdaten!$A$70:$LJ$70,MATCH(P$4,RD_Kopf,0)),NA()),NA())</f>
        <v>0</v>
      </c>
      <c r="Q43" s="68">
        <f>IFERROR(IF(ISNUMBER(INDEX(Rohdaten!$A$70:$LJ$70,MATCH(Q$4,RD_Kopf,0))),INDEX(Rohdaten!$A$70:$LJ$70,MATCH(Q$4,RD_Kopf,0)),NA()),NA())</f>
        <v>0</v>
      </c>
      <c r="R43" s="68">
        <f>IFERROR(IF(ISNUMBER(INDEX(Rohdaten!$A$70:$LJ$70,MATCH(R$4,RD_Kopf,0))),INDEX(Rohdaten!$A$70:$LJ$70,MATCH(R$4,RD_Kopf,0)),NA()),NA())</f>
        <v>0</v>
      </c>
      <c r="S43" s="68">
        <f>IFERROR(IF(ISNUMBER(INDEX(Rohdaten!$A$70:$LJ$70,MATCH(S$4,RD_Kopf,0))),INDEX(Rohdaten!$A$70:$LJ$70,MATCH(S$4,RD_Kopf,0)),NA()),NA())</f>
        <v>0</v>
      </c>
      <c r="T43" s="68">
        <f>IFERROR(IF(ISNUMBER(INDEX(Rohdaten!$A$70:$LJ$70,MATCH(T$4,RD_Kopf,0))),INDEX(Rohdaten!$A$70:$LJ$70,MATCH(T$4,RD_Kopf,0)),NA()),NA())</f>
        <v>0</v>
      </c>
      <c r="U43" s="68">
        <f>IFERROR(IF(ISNUMBER(INDEX(Rohdaten!$A$70:$LJ$70,MATCH(U$4,RD_Kopf,0))),INDEX(Rohdaten!$A$70:$LJ$70,MATCH(U$4,RD_Kopf,0)),NA()),NA())</f>
        <v>0</v>
      </c>
      <c r="V43" s="68">
        <f>IFERROR(IF(ISNUMBER(INDEX(Rohdaten!$A$70:$LJ$70,MATCH(V$4,RD_Kopf,0))),INDEX(Rohdaten!$A$70:$LJ$70,MATCH(V$4,RD_Kopf,0)),NA()),NA())</f>
        <v>0</v>
      </c>
      <c r="W43" s="68">
        <f>IFERROR(IF(ISNUMBER(INDEX(Rohdaten!$A$70:$LJ$70,MATCH(W$4,RD_Kopf,0))),INDEX(Rohdaten!$A$70:$LJ$70,MATCH(W$4,RD_Kopf,0)),NA()),NA())</f>
        <v>0</v>
      </c>
      <c r="X43" s="68">
        <f>IFERROR(IF(ISNUMBER(INDEX(Rohdaten!$A$70:$LJ$70,MATCH(X$4,RD_Kopf,0))),INDEX(Rohdaten!$A$70:$LJ$70,MATCH(X$4,RD_Kopf,0)),NA()),NA())</f>
        <v>0</v>
      </c>
      <c r="Y43" s="68">
        <f>IFERROR(IF(ISNUMBER(INDEX(Rohdaten!$A$70:$LJ$70,MATCH(Y$4,RD_Kopf,0))),INDEX(Rohdaten!$A$70:$LJ$70,MATCH(Y$4,RD_Kopf,0)),NA()),NA())</f>
        <v>0</v>
      </c>
      <c r="Z43" s="68">
        <f>IFERROR(IF(ISNUMBER(INDEX(Rohdaten!$A$70:$LJ$70,MATCH(Z$4,RD_Kopf,0))),INDEX(Rohdaten!$A$70:$LJ$70,MATCH(Z$4,RD_Kopf,0)),NA()),NA())</f>
        <v>0</v>
      </c>
      <c r="AA43" s="68">
        <f>IFERROR(IF(ISNUMBER(INDEX(Rohdaten!$A$70:$LJ$70,MATCH(AA$4,RD_Kopf,0))),INDEX(Rohdaten!$A$70:$LJ$70,MATCH(AA$4,RD_Kopf,0)),NA()),NA())</f>
        <v>0</v>
      </c>
      <c r="AB43" s="68">
        <f>IFERROR(IF(ISNUMBER(INDEX(Rohdaten!$A$70:$LJ$70,MATCH(AB$4,RD_Kopf,0))),INDEX(Rohdaten!$A$70:$LJ$70,MATCH(AB$4,RD_Kopf,0)),NA()),NA())</f>
        <v>0</v>
      </c>
      <c r="AC43" s="68">
        <f>IFERROR(IF(ISNUMBER(INDEX(Rohdaten!$A$70:$LJ$70,MATCH(AC$4,RD_Kopf,0))),INDEX(Rohdaten!$A$70:$LJ$70,MATCH(AC$4,RD_Kopf,0)),NA()),NA())</f>
        <v>0</v>
      </c>
      <c r="AD43" s="68">
        <f>IFERROR(IF(ISNUMBER(INDEX(Rohdaten!$A$70:$LJ$70,MATCH(AD$4,RD_Kopf,0))),INDEX(Rohdaten!$A$70:$LJ$70,MATCH(AD$4,RD_Kopf,0)),NA()),NA())</f>
        <v>0</v>
      </c>
    </row>
    <row r="44" spans="1:72">
      <c r="A44" s="11" t="s">
        <v>111</v>
      </c>
      <c r="B44" s="11" t="s">
        <v>619</v>
      </c>
      <c r="C44" s="67" t="s">
        <v>620</v>
      </c>
      <c r="D44" s="68">
        <f>IFERROR(IF(ISNUMBER(INDEX(Rohdaten!$A$72:$LJ$72,MATCH(D$4,RD_Kopf,0))),INDEX(Rohdaten!$A$72:$LJ$72,MATCH(D$4,RD_Kopf,0)),NA()),NA())</f>
        <v>0</v>
      </c>
      <c r="E44" s="68">
        <f>IFERROR(IF(ISNUMBER(INDEX(Rohdaten!$A$72:$LJ$72,MATCH(E$4,RD_Kopf,0))),INDEX(Rohdaten!$A$72:$LJ$72,MATCH(E$4,RD_Kopf,0)),NA()),NA())</f>
        <v>0</v>
      </c>
      <c r="F44" s="68">
        <f>IFERROR(IF(ISNUMBER(INDEX(Rohdaten!$A$72:$LJ$72,MATCH(F$4,RD_Kopf,0))),INDEX(Rohdaten!$A$72:$LJ$72,MATCH(F$4,RD_Kopf,0)),NA()),NA())</f>
        <v>0</v>
      </c>
      <c r="G44" s="68">
        <f>IFERROR(IF(ISNUMBER(INDEX(Rohdaten!$A$72:$LJ$72,MATCH(G$4,RD_Kopf,0))),INDEX(Rohdaten!$A$72:$LJ$72,MATCH(G$4,RD_Kopf,0)),NA()),NA())</f>
        <v>0</v>
      </c>
      <c r="H44" s="68">
        <f>IFERROR(IF(ISNUMBER(INDEX(Rohdaten!$A$72:$LJ$72,MATCH(H$4,RD_Kopf,0))),INDEX(Rohdaten!$A$72:$LJ$72,MATCH(H$4,RD_Kopf,0)),NA()),NA())</f>
        <v>0</v>
      </c>
      <c r="I44" s="68">
        <f>IFERROR(IF(ISNUMBER(INDEX(Rohdaten!$A$72:$LJ$72,MATCH(I$4,RD_Kopf,0))),INDEX(Rohdaten!$A$72:$LJ$72,MATCH(I$4,RD_Kopf,0)),NA()),NA())</f>
        <v>0</v>
      </c>
      <c r="J44" s="68">
        <f>IFERROR(IF(ISNUMBER(INDEX(Rohdaten!$A$72:$LJ$72,MATCH(J$4,RD_Kopf,0))),INDEX(Rohdaten!$A$72:$LJ$72,MATCH(J$4,RD_Kopf,0)),NA()),NA())</f>
        <v>0</v>
      </c>
      <c r="K44" s="68">
        <f>IFERROR(IF(ISNUMBER(INDEX(Rohdaten!$A$72:$LJ$72,MATCH(K$4,RD_Kopf,0))),INDEX(Rohdaten!$A$72:$LJ$72,MATCH(K$4,RD_Kopf,0)),NA()),NA())</f>
        <v>0</v>
      </c>
      <c r="L44" s="68">
        <f>IFERROR(IF(ISNUMBER(INDEX(Rohdaten!$A$72:$LJ$72,MATCH(L$4,RD_Kopf,0))),INDEX(Rohdaten!$A$72:$LJ$72,MATCH(L$4,RD_Kopf,0)),NA()),NA())</f>
        <v>0</v>
      </c>
      <c r="M44" s="68">
        <f>IFERROR(IF(ISNUMBER(INDEX(Rohdaten!$A$72:$LJ$72,MATCH(M$4,RD_Kopf,0))),INDEX(Rohdaten!$A$72:$LJ$72,MATCH(M$4,RD_Kopf,0)),NA()),NA())</f>
        <v>0</v>
      </c>
      <c r="N44" s="68">
        <f>IFERROR(IF(ISNUMBER(INDEX(Rohdaten!$A$72:$LJ$72,MATCH(N$4,RD_Kopf,0))),INDEX(Rohdaten!$A$72:$LJ$72,MATCH(N$4,RD_Kopf,0)),NA()),NA())</f>
        <v>0</v>
      </c>
      <c r="O44" s="68">
        <f>IFERROR(IF(ISNUMBER(INDEX(Rohdaten!$A$72:$LJ$72,MATCH(O$4,RD_Kopf,0))),INDEX(Rohdaten!$A$72:$LJ$72,MATCH(O$4,RD_Kopf,0)),NA()),NA())</f>
        <v>0</v>
      </c>
      <c r="P44" s="68">
        <f>IFERROR(IF(ISNUMBER(INDEX(Rohdaten!$A$72:$LJ$72,MATCH(P$4,RD_Kopf,0))),INDEX(Rohdaten!$A$72:$LJ$72,MATCH(P$4,RD_Kopf,0)),NA()),NA())</f>
        <v>0</v>
      </c>
      <c r="Q44" s="68">
        <f>IFERROR(IF(ISNUMBER(INDEX(Rohdaten!$A$72:$LJ$72,MATCH(Q$4,RD_Kopf,0))),INDEX(Rohdaten!$A$72:$LJ$72,MATCH(Q$4,RD_Kopf,0)),NA()),NA())</f>
        <v>0</v>
      </c>
      <c r="R44" s="68">
        <f>IFERROR(IF(ISNUMBER(INDEX(Rohdaten!$A$72:$LJ$72,MATCH(R$4,RD_Kopf,0))),INDEX(Rohdaten!$A$72:$LJ$72,MATCH(R$4,RD_Kopf,0)),NA()),NA())</f>
        <v>0</v>
      </c>
      <c r="S44" s="68">
        <f>IFERROR(IF(ISNUMBER(INDEX(Rohdaten!$A$72:$LJ$72,MATCH(S$4,RD_Kopf,0))),INDEX(Rohdaten!$A$72:$LJ$72,MATCH(S$4,RD_Kopf,0)),NA()),NA())</f>
        <v>0</v>
      </c>
      <c r="T44" s="68">
        <f>IFERROR(IF(ISNUMBER(INDEX(Rohdaten!$A$72:$LJ$72,MATCH(T$4,RD_Kopf,0))),INDEX(Rohdaten!$A$72:$LJ$72,MATCH(T$4,RD_Kopf,0)),NA()),NA())</f>
        <v>0</v>
      </c>
      <c r="U44" s="68">
        <f>IFERROR(IF(ISNUMBER(INDEX(Rohdaten!$A$72:$LJ$72,MATCH(U$4,RD_Kopf,0))),INDEX(Rohdaten!$A$72:$LJ$72,MATCH(U$4,RD_Kopf,0)),NA()),NA())</f>
        <v>0</v>
      </c>
      <c r="V44" s="68">
        <f>IFERROR(IF(ISNUMBER(INDEX(Rohdaten!$A$72:$LJ$72,MATCH(V$4,RD_Kopf,0))),INDEX(Rohdaten!$A$72:$LJ$72,MATCH(V$4,RD_Kopf,0)),NA()),NA())</f>
        <v>0</v>
      </c>
      <c r="W44" s="68">
        <f>IFERROR(IF(ISNUMBER(INDEX(Rohdaten!$A$72:$LJ$72,MATCH(W$4,RD_Kopf,0))),INDEX(Rohdaten!$A$72:$LJ$72,MATCH(W$4,RD_Kopf,0)),NA()),NA())</f>
        <v>0</v>
      </c>
      <c r="X44" s="68">
        <f>IFERROR(IF(ISNUMBER(INDEX(Rohdaten!$A$72:$LJ$72,MATCH(X$4,RD_Kopf,0))),INDEX(Rohdaten!$A$72:$LJ$72,MATCH(X$4,RD_Kopf,0)),NA()),NA())</f>
        <v>0</v>
      </c>
      <c r="Y44" s="68">
        <f>IFERROR(IF(ISNUMBER(INDEX(Rohdaten!$A$72:$LJ$72,MATCH(Y$4,RD_Kopf,0))),INDEX(Rohdaten!$A$72:$LJ$72,MATCH(Y$4,RD_Kopf,0)),NA()),NA())</f>
        <v>0</v>
      </c>
      <c r="Z44" s="68">
        <f>IFERROR(IF(ISNUMBER(INDEX(Rohdaten!$A$72:$LJ$72,MATCH(Z$4,RD_Kopf,0))),INDEX(Rohdaten!$A$72:$LJ$72,MATCH(Z$4,RD_Kopf,0)),NA()),NA())</f>
        <v>0</v>
      </c>
      <c r="AA44" s="68">
        <f>IFERROR(IF(ISNUMBER(INDEX(Rohdaten!$A$72:$LJ$72,MATCH(AA$4,RD_Kopf,0))),INDEX(Rohdaten!$A$72:$LJ$72,MATCH(AA$4,RD_Kopf,0)),NA()),NA())</f>
        <v>0</v>
      </c>
      <c r="AB44" s="68">
        <f>IFERROR(IF(ISNUMBER(INDEX(Rohdaten!$A$72:$LJ$72,MATCH(AB$4,RD_Kopf,0))),INDEX(Rohdaten!$A$72:$LJ$72,MATCH(AB$4,RD_Kopf,0)),NA()),NA())</f>
        <v>0</v>
      </c>
      <c r="AC44" s="68">
        <f>IFERROR(IF(ISNUMBER(INDEX(Rohdaten!$A$72:$LJ$72,MATCH(AC$4,RD_Kopf,0))),INDEX(Rohdaten!$A$72:$LJ$72,MATCH(AC$4,RD_Kopf,0)),NA()),NA())</f>
        <v>0</v>
      </c>
      <c r="AD44" s="68">
        <f>IFERROR(IF(ISNUMBER(INDEX(Rohdaten!$A$72:$LJ$72,MATCH(AD$4,RD_Kopf,0))),INDEX(Rohdaten!$A$72:$LJ$72,MATCH(AD$4,RD_Kopf,0)),NA()),NA())</f>
        <v>0</v>
      </c>
    </row>
    <row r="45" spans="1:72">
      <c r="A45" s="11" t="s">
        <v>120</v>
      </c>
      <c r="B45" s="11" t="s">
        <v>621</v>
      </c>
      <c r="C45" s="67" t="s">
        <v>622</v>
      </c>
      <c r="D45" s="68">
        <f>IFERROR(IF(ISNUMBER(INDEX(Rohdaten!$A$76:$LJ$76,MATCH(D$4,RD_Kopf,0))),INDEX(Rohdaten!$A$76:$LJ$76,MATCH(D$4,RD_Kopf,0)),NA()),NA())</f>
        <v>0</v>
      </c>
      <c r="E45" s="68">
        <f>IFERROR(IF(ISNUMBER(INDEX(Rohdaten!$A$76:$LJ$76,MATCH(E$4,RD_Kopf,0))),INDEX(Rohdaten!$A$76:$LJ$76,MATCH(E$4,RD_Kopf,0)),NA()),NA())</f>
        <v>0</v>
      </c>
      <c r="F45" s="68">
        <f>IFERROR(IF(ISNUMBER(INDEX(Rohdaten!$A$76:$LJ$76,MATCH(F$4,RD_Kopf,0))),INDEX(Rohdaten!$A$76:$LJ$76,MATCH(F$4,RD_Kopf,0)),NA()),NA())</f>
        <v>0</v>
      </c>
      <c r="G45" s="68">
        <f>IFERROR(IF(ISNUMBER(INDEX(Rohdaten!$A$76:$LJ$76,MATCH(G$4,RD_Kopf,0))),INDEX(Rohdaten!$A$76:$LJ$76,MATCH(G$4,RD_Kopf,0)),NA()),NA())</f>
        <v>0</v>
      </c>
      <c r="H45" s="68">
        <f>IFERROR(IF(ISNUMBER(INDEX(Rohdaten!$A$76:$LJ$76,MATCH(H$4,RD_Kopf,0))),INDEX(Rohdaten!$A$76:$LJ$76,MATCH(H$4,RD_Kopf,0)),NA()),NA())</f>
        <v>0</v>
      </c>
      <c r="I45" s="68">
        <f>IFERROR(IF(ISNUMBER(INDEX(Rohdaten!$A$76:$LJ$76,MATCH(I$4,RD_Kopf,0))),INDEX(Rohdaten!$A$76:$LJ$76,MATCH(I$4,RD_Kopf,0)),NA()),NA())</f>
        <v>0</v>
      </c>
      <c r="J45" s="68">
        <f>IFERROR(IF(ISNUMBER(INDEX(Rohdaten!$A$76:$LJ$76,MATCH(J$4,RD_Kopf,0))),INDEX(Rohdaten!$A$76:$LJ$76,MATCH(J$4,RD_Kopf,0)),NA()),NA())</f>
        <v>0</v>
      </c>
      <c r="K45" s="68">
        <f>IFERROR(IF(ISNUMBER(INDEX(Rohdaten!$A$76:$LJ$76,MATCH(K$4,RD_Kopf,0))),INDEX(Rohdaten!$A$76:$LJ$76,MATCH(K$4,RD_Kopf,0)),NA()),NA())</f>
        <v>0</v>
      </c>
      <c r="L45" s="68">
        <f>IFERROR(IF(ISNUMBER(INDEX(Rohdaten!$A$76:$LJ$76,MATCH(L$4,RD_Kopf,0))),INDEX(Rohdaten!$A$76:$LJ$76,MATCH(L$4,RD_Kopf,0)),NA()),NA())</f>
        <v>0</v>
      </c>
      <c r="M45" s="68">
        <f>IFERROR(IF(ISNUMBER(INDEX(Rohdaten!$A$76:$LJ$76,MATCH(M$4,RD_Kopf,0))),INDEX(Rohdaten!$A$76:$LJ$76,MATCH(M$4,RD_Kopf,0)),NA()),NA())</f>
        <v>0</v>
      </c>
      <c r="N45" s="68">
        <f>IFERROR(IF(ISNUMBER(INDEX(Rohdaten!$A$76:$LJ$76,MATCH(N$4,RD_Kopf,0))),INDEX(Rohdaten!$A$76:$LJ$76,MATCH(N$4,RD_Kopf,0)),NA()),NA())</f>
        <v>0</v>
      </c>
      <c r="O45" s="68">
        <f>IFERROR(IF(ISNUMBER(INDEX(Rohdaten!$A$76:$LJ$76,MATCH(O$4,RD_Kopf,0))),INDEX(Rohdaten!$A$76:$LJ$76,MATCH(O$4,RD_Kopf,0)),NA()),NA())</f>
        <v>0</v>
      </c>
      <c r="P45" s="68">
        <f>IFERROR(IF(ISNUMBER(INDEX(Rohdaten!$A$76:$LJ$76,MATCH(P$4,RD_Kopf,0))),INDEX(Rohdaten!$A$76:$LJ$76,MATCH(P$4,RD_Kopf,0)),NA()),NA())</f>
        <v>0</v>
      </c>
      <c r="Q45" s="68">
        <f>IFERROR(IF(ISNUMBER(INDEX(Rohdaten!$A$76:$LJ$76,MATCH(Q$4,RD_Kopf,0))),INDEX(Rohdaten!$A$76:$LJ$76,MATCH(Q$4,RD_Kopf,0)),NA()),NA())</f>
        <v>0</v>
      </c>
      <c r="R45" s="68">
        <f>IFERROR(IF(ISNUMBER(INDEX(Rohdaten!$A$76:$LJ$76,MATCH(R$4,RD_Kopf,0))),INDEX(Rohdaten!$A$76:$LJ$76,MATCH(R$4,RD_Kopf,0)),NA()),NA())</f>
        <v>0</v>
      </c>
      <c r="S45" s="68">
        <f>IFERROR(IF(ISNUMBER(INDEX(Rohdaten!$A$76:$LJ$76,MATCH(S$4,RD_Kopf,0))),INDEX(Rohdaten!$A$76:$LJ$76,MATCH(S$4,RD_Kopf,0)),NA()),NA())</f>
        <v>0</v>
      </c>
      <c r="T45" s="68">
        <f>IFERROR(IF(ISNUMBER(INDEX(Rohdaten!$A$76:$LJ$76,MATCH(T$4,RD_Kopf,0))),INDEX(Rohdaten!$A$76:$LJ$76,MATCH(T$4,RD_Kopf,0)),NA()),NA())</f>
        <v>0</v>
      </c>
      <c r="U45" s="68">
        <f>IFERROR(IF(ISNUMBER(INDEX(Rohdaten!$A$76:$LJ$76,MATCH(U$4,RD_Kopf,0))),INDEX(Rohdaten!$A$76:$LJ$76,MATCH(U$4,RD_Kopf,0)),NA()),NA())</f>
        <v>0</v>
      </c>
      <c r="V45" s="68">
        <f>IFERROR(IF(ISNUMBER(INDEX(Rohdaten!$A$76:$LJ$76,MATCH(V$4,RD_Kopf,0))),INDEX(Rohdaten!$A$76:$LJ$76,MATCH(V$4,RD_Kopf,0)),NA()),NA())</f>
        <v>0</v>
      </c>
      <c r="W45" s="68">
        <f>IFERROR(IF(ISNUMBER(INDEX(Rohdaten!$A$76:$LJ$76,MATCH(W$4,RD_Kopf,0))),INDEX(Rohdaten!$A$76:$LJ$76,MATCH(W$4,RD_Kopf,0)),NA()),NA())</f>
        <v>0</v>
      </c>
      <c r="X45" s="68">
        <f>IFERROR(IF(ISNUMBER(INDEX(Rohdaten!$A$76:$LJ$76,MATCH(X$4,RD_Kopf,0))),INDEX(Rohdaten!$A$76:$LJ$76,MATCH(X$4,RD_Kopf,0)),NA()),NA())</f>
        <v>0</v>
      </c>
      <c r="Y45" s="68">
        <f>IFERROR(IF(ISNUMBER(INDEX(Rohdaten!$A$76:$LJ$76,MATCH(Y$4,RD_Kopf,0))),INDEX(Rohdaten!$A$76:$LJ$76,MATCH(Y$4,RD_Kopf,0)),NA()),NA())</f>
        <v>0</v>
      </c>
      <c r="Z45" s="68">
        <f>IFERROR(IF(ISNUMBER(INDEX(Rohdaten!$A$76:$LJ$76,MATCH(Z$4,RD_Kopf,0))),INDEX(Rohdaten!$A$76:$LJ$76,MATCH(Z$4,RD_Kopf,0)),NA()),NA())</f>
        <v>0</v>
      </c>
      <c r="AA45" s="68">
        <f>IFERROR(IF(ISNUMBER(INDEX(Rohdaten!$A$76:$LJ$76,MATCH(AA$4,RD_Kopf,0))),INDEX(Rohdaten!$A$76:$LJ$76,MATCH(AA$4,RD_Kopf,0)),NA()),NA())</f>
        <v>0</v>
      </c>
      <c r="AB45" s="68">
        <f>IFERROR(IF(ISNUMBER(INDEX(Rohdaten!$A$76:$LJ$76,MATCH(AB$4,RD_Kopf,0))),INDEX(Rohdaten!$A$76:$LJ$76,MATCH(AB$4,RD_Kopf,0)),NA()),NA())</f>
        <v>0</v>
      </c>
      <c r="AC45" s="68">
        <f>IFERROR(IF(ISNUMBER(INDEX(Rohdaten!$A$76:$LJ$76,MATCH(AC$4,RD_Kopf,0))),INDEX(Rohdaten!$A$76:$LJ$76,MATCH(AC$4,RD_Kopf,0)),NA()),NA())</f>
        <v>0</v>
      </c>
      <c r="AD45" s="68">
        <f>IFERROR(IF(ISNUMBER(INDEX(Rohdaten!$A$76:$LJ$76,MATCH(AD$4,RD_Kopf,0))),INDEX(Rohdaten!$A$76:$LJ$76,MATCH(AD$4,RD_Kopf,0)),NA()),NA())</f>
        <v>0</v>
      </c>
    </row>
    <row r="46" spans="1:72">
      <c r="A46" s="11" t="s">
        <v>113</v>
      </c>
      <c r="B46" s="11" t="s">
        <v>623</v>
      </c>
      <c r="C46" s="67" t="s">
        <v>624</v>
      </c>
      <c r="D46" s="68">
        <f>IFERROR(IF(ISNUMBER(INDEX(Rohdaten!$A$73:$LJ$73,MATCH(D$4,RD_Kopf,0))),INDEX(Rohdaten!$A$73:$LJ$73,MATCH(D$4,RD_Kopf,0)),NA()),NA())</f>
        <v>0</v>
      </c>
      <c r="E46" s="68">
        <f>IFERROR(IF(ISNUMBER(INDEX(Rohdaten!$A$73:$LJ$73,MATCH(E$4,RD_Kopf,0))),INDEX(Rohdaten!$A$73:$LJ$73,MATCH(E$4,RD_Kopf,0)),NA()),NA())</f>
        <v>0</v>
      </c>
      <c r="F46" s="68">
        <f>IFERROR(IF(ISNUMBER(INDEX(Rohdaten!$A$73:$LJ$73,MATCH(F$4,RD_Kopf,0))),INDEX(Rohdaten!$A$73:$LJ$73,MATCH(F$4,RD_Kopf,0)),NA()),NA())</f>
        <v>0</v>
      </c>
      <c r="G46" s="68">
        <f>IFERROR(IF(ISNUMBER(INDEX(Rohdaten!$A$73:$LJ$73,MATCH(G$4,RD_Kopf,0))),INDEX(Rohdaten!$A$73:$LJ$73,MATCH(G$4,RD_Kopf,0)),NA()),NA())</f>
        <v>0</v>
      </c>
      <c r="H46" s="68">
        <f>IFERROR(IF(ISNUMBER(INDEX(Rohdaten!$A$73:$LJ$73,MATCH(H$4,RD_Kopf,0))),INDEX(Rohdaten!$A$73:$LJ$73,MATCH(H$4,RD_Kopf,0)),NA()),NA())</f>
        <v>0</v>
      </c>
      <c r="I46" s="68">
        <f>IFERROR(IF(ISNUMBER(INDEX(Rohdaten!$A$73:$LJ$73,MATCH(I$4,RD_Kopf,0))),INDEX(Rohdaten!$A$73:$LJ$73,MATCH(I$4,RD_Kopf,0)),NA()),NA())</f>
        <v>0</v>
      </c>
      <c r="J46" s="68">
        <f>IFERROR(IF(ISNUMBER(INDEX(Rohdaten!$A$73:$LJ$73,MATCH(J$4,RD_Kopf,0))),INDEX(Rohdaten!$A$73:$LJ$73,MATCH(J$4,RD_Kopf,0)),NA()),NA())</f>
        <v>0</v>
      </c>
      <c r="K46" s="68">
        <f>IFERROR(IF(ISNUMBER(INDEX(Rohdaten!$A$73:$LJ$73,MATCH(K$4,RD_Kopf,0))),INDEX(Rohdaten!$A$73:$LJ$73,MATCH(K$4,RD_Kopf,0)),NA()),NA())</f>
        <v>0</v>
      </c>
      <c r="L46" s="68">
        <f>IFERROR(IF(ISNUMBER(INDEX(Rohdaten!$A$73:$LJ$73,MATCH(L$4,RD_Kopf,0))),INDEX(Rohdaten!$A$73:$LJ$73,MATCH(L$4,RD_Kopf,0)),NA()),NA())</f>
        <v>0</v>
      </c>
      <c r="M46" s="68">
        <f>IFERROR(IF(ISNUMBER(INDEX(Rohdaten!$A$73:$LJ$73,MATCH(M$4,RD_Kopf,0))),INDEX(Rohdaten!$A$73:$LJ$73,MATCH(M$4,RD_Kopf,0)),NA()),NA())</f>
        <v>0</v>
      </c>
      <c r="N46" s="68">
        <f>IFERROR(IF(ISNUMBER(INDEX(Rohdaten!$A$73:$LJ$73,MATCH(N$4,RD_Kopf,0))),INDEX(Rohdaten!$A$73:$LJ$73,MATCH(N$4,RD_Kopf,0)),NA()),NA())</f>
        <v>0</v>
      </c>
      <c r="O46" s="68">
        <f>IFERROR(IF(ISNUMBER(INDEX(Rohdaten!$A$73:$LJ$73,MATCH(O$4,RD_Kopf,0))),INDEX(Rohdaten!$A$73:$LJ$73,MATCH(O$4,RD_Kopf,0)),NA()),NA())</f>
        <v>0</v>
      </c>
      <c r="P46" s="68">
        <f>IFERROR(IF(ISNUMBER(INDEX(Rohdaten!$A$73:$LJ$73,MATCH(P$4,RD_Kopf,0))),INDEX(Rohdaten!$A$73:$LJ$73,MATCH(P$4,RD_Kopf,0)),NA()),NA())</f>
        <v>0</v>
      </c>
      <c r="Q46" s="68">
        <f>IFERROR(IF(ISNUMBER(INDEX(Rohdaten!$A$73:$LJ$73,MATCH(Q$4,RD_Kopf,0))),INDEX(Rohdaten!$A$73:$LJ$73,MATCH(Q$4,RD_Kopf,0)),NA()),NA())</f>
        <v>0</v>
      </c>
      <c r="R46" s="68">
        <f>IFERROR(IF(ISNUMBER(INDEX(Rohdaten!$A$73:$LJ$73,MATCH(R$4,RD_Kopf,0))),INDEX(Rohdaten!$A$73:$LJ$73,MATCH(R$4,RD_Kopf,0)),NA()),NA())</f>
        <v>0</v>
      </c>
      <c r="S46" s="68">
        <f>IFERROR(IF(ISNUMBER(INDEX(Rohdaten!$A$73:$LJ$73,MATCH(S$4,RD_Kopf,0))),INDEX(Rohdaten!$A$73:$LJ$73,MATCH(S$4,RD_Kopf,0)),NA()),NA())</f>
        <v>0</v>
      </c>
      <c r="T46" s="68">
        <f>IFERROR(IF(ISNUMBER(INDEX(Rohdaten!$A$73:$LJ$73,MATCH(T$4,RD_Kopf,0))),INDEX(Rohdaten!$A$73:$LJ$73,MATCH(T$4,RD_Kopf,0)),NA()),NA())</f>
        <v>0</v>
      </c>
      <c r="U46" s="68">
        <f>IFERROR(IF(ISNUMBER(INDEX(Rohdaten!$A$73:$LJ$73,MATCH(U$4,RD_Kopf,0))),INDEX(Rohdaten!$A$73:$LJ$73,MATCH(U$4,RD_Kopf,0)),NA()),NA())</f>
        <v>0</v>
      </c>
      <c r="V46" s="68">
        <f>IFERROR(IF(ISNUMBER(INDEX(Rohdaten!$A$73:$LJ$73,MATCH(V$4,RD_Kopf,0))),INDEX(Rohdaten!$A$73:$LJ$73,MATCH(V$4,RD_Kopf,0)),NA()),NA())</f>
        <v>0</v>
      </c>
      <c r="W46" s="68">
        <f>IFERROR(IF(ISNUMBER(INDEX(Rohdaten!$A$73:$LJ$73,MATCH(W$4,RD_Kopf,0))),INDEX(Rohdaten!$A$73:$LJ$73,MATCH(W$4,RD_Kopf,0)),NA()),NA())</f>
        <v>0</v>
      </c>
      <c r="X46" s="68">
        <f>IFERROR(IF(ISNUMBER(INDEX(Rohdaten!$A$73:$LJ$73,MATCH(X$4,RD_Kopf,0))),INDEX(Rohdaten!$A$73:$LJ$73,MATCH(X$4,RD_Kopf,0)),NA()),NA())</f>
        <v>0</v>
      </c>
      <c r="Y46" s="68">
        <f>IFERROR(IF(ISNUMBER(INDEX(Rohdaten!$A$73:$LJ$73,MATCH(Y$4,RD_Kopf,0))),INDEX(Rohdaten!$A$73:$LJ$73,MATCH(Y$4,RD_Kopf,0)),NA()),NA())</f>
        <v>0</v>
      </c>
      <c r="Z46" s="68">
        <f>IFERROR(IF(ISNUMBER(INDEX(Rohdaten!$A$73:$LJ$73,MATCH(Z$4,RD_Kopf,0))),INDEX(Rohdaten!$A$73:$LJ$73,MATCH(Z$4,RD_Kopf,0)),NA()),NA())</f>
        <v>0</v>
      </c>
      <c r="AA46" s="68">
        <f>IFERROR(IF(ISNUMBER(INDEX(Rohdaten!$A$73:$LJ$73,MATCH(AA$4,RD_Kopf,0))),INDEX(Rohdaten!$A$73:$LJ$73,MATCH(AA$4,RD_Kopf,0)),NA()),NA())</f>
        <v>0</v>
      </c>
      <c r="AB46" s="68">
        <f>IFERROR(IF(ISNUMBER(INDEX(Rohdaten!$A$73:$LJ$73,MATCH(AB$4,RD_Kopf,0))),INDEX(Rohdaten!$A$73:$LJ$73,MATCH(AB$4,RD_Kopf,0)),NA()),NA())</f>
        <v>0</v>
      </c>
      <c r="AC46" s="68">
        <f>IFERROR(IF(ISNUMBER(INDEX(Rohdaten!$A$73:$LJ$73,MATCH(AC$4,RD_Kopf,0))),INDEX(Rohdaten!$A$73:$LJ$73,MATCH(AC$4,RD_Kopf,0)),NA()),NA())</f>
        <v>0</v>
      </c>
      <c r="AD46" s="68">
        <f>IFERROR(IF(ISNUMBER(INDEX(Rohdaten!$A$73:$LJ$73,MATCH(AD$4,RD_Kopf,0))),INDEX(Rohdaten!$A$73:$LJ$73,MATCH(AD$4,RD_Kopf,0)),NA()),NA())</f>
        <v>0</v>
      </c>
    </row>
    <row r="47" spans="1:72">
      <c r="A47" s="11" t="s">
        <v>122</v>
      </c>
      <c r="B47" s="11" t="s">
        <v>625</v>
      </c>
      <c r="C47" s="67" t="s">
        <v>626</v>
      </c>
      <c r="D47" s="68">
        <f>IFERROR(IF(ISNUMBER(INDEX(Rohdaten!$A$77:$LJ$77,MATCH(D$4,RD_Kopf,0))),INDEX(Rohdaten!$A$77:$LJ$77,MATCH(D$4,RD_Kopf,0)),NA()),NA())</f>
        <v>0</v>
      </c>
      <c r="E47" s="68">
        <f>IFERROR(IF(ISNUMBER(INDEX(Rohdaten!$A$77:$LJ$77,MATCH(E$4,RD_Kopf,0))),INDEX(Rohdaten!$A$77:$LJ$77,MATCH(E$4,RD_Kopf,0)),NA()),NA())</f>
        <v>0</v>
      </c>
      <c r="F47" s="68">
        <f>IFERROR(IF(ISNUMBER(INDEX(Rohdaten!$A$77:$LJ$77,MATCH(F$4,RD_Kopf,0))),INDEX(Rohdaten!$A$77:$LJ$77,MATCH(F$4,RD_Kopf,0)),NA()),NA())</f>
        <v>0</v>
      </c>
      <c r="G47" s="68">
        <f>IFERROR(IF(ISNUMBER(INDEX(Rohdaten!$A$77:$LJ$77,MATCH(G$4,RD_Kopf,0))),INDEX(Rohdaten!$A$77:$LJ$77,MATCH(G$4,RD_Kopf,0)),NA()),NA())</f>
        <v>0</v>
      </c>
      <c r="H47" s="68">
        <f>IFERROR(IF(ISNUMBER(INDEX(Rohdaten!$A$77:$LJ$77,MATCH(H$4,RD_Kopf,0))),INDEX(Rohdaten!$A$77:$LJ$77,MATCH(H$4,RD_Kopf,0)),NA()),NA())</f>
        <v>0</v>
      </c>
      <c r="I47" s="68">
        <f>IFERROR(IF(ISNUMBER(INDEX(Rohdaten!$A$77:$LJ$77,MATCH(I$4,RD_Kopf,0))),INDEX(Rohdaten!$A$77:$LJ$77,MATCH(I$4,RD_Kopf,0)),NA()),NA())</f>
        <v>0</v>
      </c>
      <c r="J47" s="68">
        <f>IFERROR(IF(ISNUMBER(INDEX(Rohdaten!$A$77:$LJ$77,MATCH(J$4,RD_Kopf,0))),INDEX(Rohdaten!$A$77:$LJ$77,MATCH(J$4,RD_Kopf,0)),NA()),NA())</f>
        <v>0</v>
      </c>
      <c r="K47" s="68">
        <f>IFERROR(IF(ISNUMBER(INDEX(Rohdaten!$A$77:$LJ$77,MATCH(K$4,RD_Kopf,0))),INDEX(Rohdaten!$A$77:$LJ$77,MATCH(K$4,RD_Kopf,0)),NA()),NA())</f>
        <v>0</v>
      </c>
      <c r="L47" s="68">
        <f>IFERROR(IF(ISNUMBER(INDEX(Rohdaten!$A$77:$LJ$77,MATCH(L$4,RD_Kopf,0))),INDEX(Rohdaten!$A$77:$LJ$77,MATCH(L$4,RD_Kopf,0)),NA()),NA())</f>
        <v>0</v>
      </c>
      <c r="M47" s="68">
        <f>IFERROR(IF(ISNUMBER(INDEX(Rohdaten!$A$77:$LJ$77,MATCH(M$4,RD_Kopf,0))),INDEX(Rohdaten!$A$77:$LJ$77,MATCH(M$4,RD_Kopf,0)),NA()),NA())</f>
        <v>0</v>
      </c>
      <c r="N47" s="68">
        <f>IFERROR(IF(ISNUMBER(INDEX(Rohdaten!$A$77:$LJ$77,MATCH(N$4,RD_Kopf,0))),INDEX(Rohdaten!$A$77:$LJ$77,MATCH(N$4,RD_Kopf,0)),NA()),NA())</f>
        <v>0</v>
      </c>
      <c r="O47" s="68">
        <f>IFERROR(IF(ISNUMBER(INDEX(Rohdaten!$A$77:$LJ$77,MATCH(O$4,RD_Kopf,0))),INDEX(Rohdaten!$A$77:$LJ$77,MATCH(O$4,RD_Kopf,0)),NA()),NA())</f>
        <v>0</v>
      </c>
      <c r="P47" s="68">
        <f>IFERROR(IF(ISNUMBER(INDEX(Rohdaten!$A$77:$LJ$77,MATCH(P$4,RD_Kopf,0))),INDEX(Rohdaten!$A$77:$LJ$77,MATCH(P$4,RD_Kopf,0)),NA()),NA())</f>
        <v>0</v>
      </c>
      <c r="Q47" s="68">
        <f>IFERROR(IF(ISNUMBER(INDEX(Rohdaten!$A$77:$LJ$77,MATCH(Q$4,RD_Kopf,0))),INDEX(Rohdaten!$A$77:$LJ$77,MATCH(Q$4,RD_Kopf,0)),NA()),NA())</f>
        <v>0</v>
      </c>
      <c r="R47" s="68">
        <f>IFERROR(IF(ISNUMBER(INDEX(Rohdaten!$A$77:$LJ$77,MATCH(R$4,RD_Kopf,0))),INDEX(Rohdaten!$A$77:$LJ$77,MATCH(R$4,RD_Kopf,0)),NA()),NA())</f>
        <v>0</v>
      </c>
      <c r="S47" s="68">
        <f>IFERROR(IF(ISNUMBER(INDEX(Rohdaten!$A$77:$LJ$77,MATCH(S$4,RD_Kopf,0))),INDEX(Rohdaten!$A$77:$LJ$77,MATCH(S$4,RD_Kopf,0)),NA()),NA())</f>
        <v>0</v>
      </c>
      <c r="T47" s="68">
        <f>IFERROR(IF(ISNUMBER(INDEX(Rohdaten!$A$77:$LJ$77,MATCH(T$4,RD_Kopf,0))),INDEX(Rohdaten!$A$77:$LJ$77,MATCH(T$4,RD_Kopf,0)),NA()),NA())</f>
        <v>0</v>
      </c>
      <c r="U47" s="68">
        <f>IFERROR(IF(ISNUMBER(INDEX(Rohdaten!$A$77:$LJ$77,MATCH(U$4,RD_Kopf,0))),INDEX(Rohdaten!$A$77:$LJ$77,MATCH(U$4,RD_Kopf,0)),NA()),NA())</f>
        <v>0</v>
      </c>
      <c r="V47" s="68">
        <f>IFERROR(IF(ISNUMBER(INDEX(Rohdaten!$A$77:$LJ$77,MATCH(V$4,RD_Kopf,0))),INDEX(Rohdaten!$A$77:$LJ$77,MATCH(V$4,RD_Kopf,0)),NA()),NA())</f>
        <v>0</v>
      </c>
      <c r="W47" s="68">
        <f>IFERROR(IF(ISNUMBER(INDEX(Rohdaten!$A$77:$LJ$77,MATCH(W$4,RD_Kopf,0))),INDEX(Rohdaten!$A$77:$LJ$77,MATCH(W$4,RD_Kopf,0)),NA()),NA())</f>
        <v>0</v>
      </c>
      <c r="X47" s="68">
        <f>IFERROR(IF(ISNUMBER(INDEX(Rohdaten!$A$77:$LJ$77,MATCH(X$4,RD_Kopf,0))),INDEX(Rohdaten!$A$77:$LJ$77,MATCH(X$4,RD_Kopf,0)),NA()),NA())</f>
        <v>0</v>
      </c>
      <c r="Y47" s="68">
        <f>IFERROR(IF(ISNUMBER(INDEX(Rohdaten!$A$77:$LJ$77,MATCH(Y$4,RD_Kopf,0))),INDEX(Rohdaten!$A$77:$LJ$77,MATCH(Y$4,RD_Kopf,0)),NA()),NA())</f>
        <v>0</v>
      </c>
      <c r="Z47" s="68">
        <f>IFERROR(IF(ISNUMBER(INDEX(Rohdaten!$A$77:$LJ$77,MATCH(Z$4,RD_Kopf,0))),INDEX(Rohdaten!$A$77:$LJ$77,MATCH(Z$4,RD_Kopf,0)),NA()),NA())</f>
        <v>0</v>
      </c>
      <c r="AA47" s="68">
        <f>IFERROR(IF(ISNUMBER(INDEX(Rohdaten!$A$77:$LJ$77,MATCH(AA$4,RD_Kopf,0))),INDEX(Rohdaten!$A$77:$LJ$77,MATCH(AA$4,RD_Kopf,0)),NA()),NA())</f>
        <v>0</v>
      </c>
      <c r="AB47" s="68">
        <f>IFERROR(IF(ISNUMBER(INDEX(Rohdaten!$A$77:$LJ$77,MATCH(AB$4,RD_Kopf,0))),INDEX(Rohdaten!$A$77:$LJ$77,MATCH(AB$4,RD_Kopf,0)),NA()),NA())</f>
        <v>0</v>
      </c>
      <c r="AC47" s="68">
        <f>IFERROR(IF(ISNUMBER(INDEX(Rohdaten!$A$77:$LJ$77,MATCH(AC$4,RD_Kopf,0))),INDEX(Rohdaten!$A$77:$LJ$77,MATCH(AC$4,RD_Kopf,0)),NA()),NA())</f>
        <v>0</v>
      </c>
      <c r="AD47" s="68">
        <f>IFERROR(IF(ISNUMBER(INDEX(Rohdaten!$A$77:$LJ$77,MATCH(AD$4,RD_Kopf,0))),INDEX(Rohdaten!$A$77:$LJ$77,MATCH(AD$4,RD_Kopf,0)),NA()),NA())</f>
        <v>0</v>
      </c>
    </row>
    <row r="48" spans="1:72">
      <c r="A48" s="11" t="s">
        <v>115</v>
      </c>
      <c r="B48" s="11" t="s">
        <v>627</v>
      </c>
      <c r="C48" s="67" t="s">
        <v>628</v>
      </c>
      <c r="D48" s="68">
        <f>IFERROR(IF(ISNUMBER(INDEX(Rohdaten!$A$74:$LJ$74,MATCH(D$4,RD_Kopf,0))),INDEX(Rohdaten!$A$74:$LJ$74,MATCH(D$4,RD_Kopf,0)),NA()),NA())</f>
        <v>0</v>
      </c>
      <c r="E48" s="68">
        <f>IFERROR(IF(ISNUMBER(INDEX(Rohdaten!$A$74:$LJ$74,MATCH(E$4,RD_Kopf,0))),INDEX(Rohdaten!$A$74:$LJ$74,MATCH(E$4,RD_Kopf,0)),NA()),NA())</f>
        <v>0</v>
      </c>
      <c r="F48" s="68">
        <f>IFERROR(IF(ISNUMBER(INDEX(Rohdaten!$A$74:$LJ$74,MATCH(F$4,RD_Kopf,0))),INDEX(Rohdaten!$A$74:$LJ$74,MATCH(F$4,RD_Kopf,0)),NA()),NA())</f>
        <v>0</v>
      </c>
      <c r="G48" s="68">
        <f>IFERROR(IF(ISNUMBER(INDEX(Rohdaten!$A$74:$LJ$74,MATCH(G$4,RD_Kopf,0))),INDEX(Rohdaten!$A$74:$LJ$74,MATCH(G$4,RD_Kopf,0)),NA()),NA())</f>
        <v>0</v>
      </c>
      <c r="H48" s="68">
        <f>IFERROR(IF(ISNUMBER(INDEX(Rohdaten!$A$74:$LJ$74,MATCH(H$4,RD_Kopf,0))),INDEX(Rohdaten!$A$74:$LJ$74,MATCH(H$4,RD_Kopf,0)),NA()),NA())</f>
        <v>0</v>
      </c>
      <c r="I48" s="68">
        <f>IFERROR(IF(ISNUMBER(INDEX(Rohdaten!$A$74:$LJ$74,MATCH(I$4,RD_Kopf,0))),INDEX(Rohdaten!$A$74:$LJ$74,MATCH(I$4,RD_Kopf,0)),NA()),NA())</f>
        <v>0</v>
      </c>
      <c r="J48" s="68">
        <f>IFERROR(IF(ISNUMBER(INDEX(Rohdaten!$A$74:$LJ$74,MATCH(J$4,RD_Kopf,0))),INDEX(Rohdaten!$A$74:$LJ$74,MATCH(J$4,RD_Kopf,0)),NA()),NA())</f>
        <v>0</v>
      </c>
      <c r="K48" s="68">
        <f>IFERROR(IF(ISNUMBER(INDEX(Rohdaten!$A$74:$LJ$74,MATCH(K$4,RD_Kopf,0))),INDEX(Rohdaten!$A$74:$LJ$74,MATCH(K$4,RD_Kopf,0)),NA()),NA())</f>
        <v>0</v>
      </c>
      <c r="L48" s="68">
        <f>IFERROR(IF(ISNUMBER(INDEX(Rohdaten!$A$74:$LJ$74,MATCH(L$4,RD_Kopf,0))),INDEX(Rohdaten!$A$74:$LJ$74,MATCH(L$4,RD_Kopf,0)),NA()),NA())</f>
        <v>0</v>
      </c>
      <c r="M48" s="68">
        <f>IFERROR(IF(ISNUMBER(INDEX(Rohdaten!$A$74:$LJ$74,MATCH(M$4,RD_Kopf,0))),INDEX(Rohdaten!$A$74:$LJ$74,MATCH(M$4,RD_Kopf,0)),NA()),NA())</f>
        <v>0</v>
      </c>
      <c r="N48" s="68">
        <f>IFERROR(IF(ISNUMBER(INDEX(Rohdaten!$A$74:$LJ$74,MATCH(N$4,RD_Kopf,0))),INDEX(Rohdaten!$A$74:$LJ$74,MATCH(N$4,RD_Kopf,0)),NA()),NA())</f>
        <v>0</v>
      </c>
      <c r="O48" s="68">
        <f>IFERROR(IF(ISNUMBER(INDEX(Rohdaten!$A$74:$LJ$74,MATCH(O$4,RD_Kopf,0))),INDEX(Rohdaten!$A$74:$LJ$74,MATCH(O$4,RD_Kopf,0)),NA()),NA())</f>
        <v>0</v>
      </c>
      <c r="P48" s="68">
        <f>IFERROR(IF(ISNUMBER(INDEX(Rohdaten!$A$74:$LJ$74,MATCH(P$4,RD_Kopf,0))),INDEX(Rohdaten!$A$74:$LJ$74,MATCH(P$4,RD_Kopf,0)),NA()),NA())</f>
        <v>0</v>
      </c>
      <c r="Q48" s="68">
        <f>IFERROR(IF(ISNUMBER(INDEX(Rohdaten!$A$74:$LJ$74,MATCH(Q$4,RD_Kopf,0))),INDEX(Rohdaten!$A$74:$LJ$74,MATCH(Q$4,RD_Kopf,0)),NA()),NA())</f>
        <v>0</v>
      </c>
      <c r="R48" s="68">
        <f>IFERROR(IF(ISNUMBER(INDEX(Rohdaten!$A$74:$LJ$74,MATCH(R$4,RD_Kopf,0))),INDEX(Rohdaten!$A$74:$LJ$74,MATCH(R$4,RD_Kopf,0)),NA()),NA())</f>
        <v>0</v>
      </c>
      <c r="S48" s="68">
        <f>IFERROR(IF(ISNUMBER(INDEX(Rohdaten!$A$74:$LJ$74,MATCH(S$4,RD_Kopf,0))),INDEX(Rohdaten!$A$74:$LJ$74,MATCH(S$4,RD_Kopf,0)),NA()),NA())</f>
        <v>0</v>
      </c>
      <c r="T48" s="68">
        <f>IFERROR(IF(ISNUMBER(INDEX(Rohdaten!$A$74:$LJ$74,MATCH(T$4,RD_Kopf,0))),INDEX(Rohdaten!$A$74:$LJ$74,MATCH(T$4,RD_Kopf,0)),NA()),NA())</f>
        <v>0</v>
      </c>
      <c r="U48" s="68">
        <f>IFERROR(IF(ISNUMBER(INDEX(Rohdaten!$A$74:$LJ$74,MATCH(U$4,RD_Kopf,0))),INDEX(Rohdaten!$A$74:$LJ$74,MATCH(U$4,RD_Kopf,0)),NA()),NA())</f>
        <v>0</v>
      </c>
      <c r="V48" s="68">
        <f>IFERROR(IF(ISNUMBER(INDEX(Rohdaten!$A$74:$LJ$74,MATCH(V$4,RD_Kopf,0))),INDEX(Rohdaten!$A$74:$LJ$74,MATCH(V$4,RD_Kopf,0)),NA()),NA())</f>
        <v>0</v>
      </c>
      <c r="W48" s="68">
        <f>IFERROR(IF(ISNUMBER(INDEX(Rohdaten!$A$74:$LJ$74,MATCH(W$4,RD_Kopf,0))),INDEX(Rohdaten!$A$74:$LJ$74,MATCH(W$4,RD_Kopf,0)),NA()),NA())</f>
        <v>0</v>
      </c>
      <c r="X48" s="68">
        <f>IFERROR(IF(ISNUMBER(INDEX(Rohdaten!$A$74:$LJ$74,MATCH(X$4,RD_Kopf,0))),INDEX(Rohdaten!$A$74:$LJ$74,MATCH(X$4,RD_Kopf,0)),NA()),NA())</f>
        <v>0</v>
      </c>
      <c r="Y48" s="68">
        <f>IFERROR(IF(ISNUMBER(INDEX(Rohdaten!$A$74:$LJ$74,MATCH(Y$4,RD_Kopf,0))),INDEX(Rohdaten!$A$74:$LJ$74,MATCH(Y$4,RD_Kopf,0)),NA()),NA())</f>
        <v>0</v>
      </c>
      <c r="Z48" s="68">
        <f>IFERROR(IF(ISNUMBER(INDEX(Rohdaten!$A$74:$LJ$74,MATCH(Z$4,RD_Kopf,0))),INDEX(Rohdaten!$A$74:$LJ$74,MATCH(Z$4,RD_Kopf,0)),NA()),NA())</f>
        <v>0</v>
      </c>
      <c r="AA48" s="68">
        <f>IFERROR(IF(ISNUMBER(INDEX(Rohdaten!$A$74:$LJ$74,MATCH(AA$4,RD_Kopf,0))),INDEX(Rohdaten!$A$74:$LJ$74,MATCH(AA$4,RD_Kopf,0)),NA()),NA())</f>
        <v>0</v>
      </c>
      <c r="AB48" s="68">
        <f>IFERROR(IF(ISNUMBER(INDEX(Rohdaten!$A$74:$LJ$74,MATCH(AB$4,RD_Kopf,0))),INDEX(Rohdaten!$A$74:$LJ$74,MATCH(AB$4,RD_Kopf,0)),NA()),NA())</f>
        <v>0</v>
      </c>
      <c r="AC48" s="68">
        <f>IFERROR(IF(ISNUMBER(INDEX(Rohdaten!$A$74:$LJ$74,MATCH(AC$4,RD_Kopf,0))),INDEX(Rohdaten!$A$74:$LJ$74,MATCH(AC$4,RD_Kopf,0)),NA()),NA())</f>
        <v>0</v>
      </c>
      <c r="AD48" s="68">
        <f>IFERROR(IF(ISNUMBER(INDEX(Rohdaten!$A$74:$LJ$74,MATCH(AD$4,RD_Kopf,0))),INDEX(Rohdaten!$A$74:$LJ$74,MATCH(AD$4,RD_Kopf,0)),NA()),NA())</f>
        <v>0</v>
      </c>
    </row>
    <row r="49" spans="1:72">
      <c r="A49" s="11" t="s">
        <v>124</v>
      </c>
      <c r="B49" s="11" t="s">
        <v>629</v>
      </c>
      <c r="C49" s="67" t="s">
        <v>630</v>
      </c>
      <c r="D49" s="68">
        <f>IFERROR(IF(ISNUMBER(INDEX(Rohdaten!$A$78:$LJ$78,MATCH(D$4,RD_Kopf,0))),INDEX(Rohdaten!$A$78:$LJ$78,MATCH(D$4,RD_Kopf,0)),NA()),NA())</f>
        <v>0</v>
      </c>
      <c r="E49" s="68">
        <f>IFERROR(IF(ISNUMBER(INDEX(Rohdaten!$A$78:$LJ$78,MATCH(E$4,RD_Kopf,0))),INDEX(Rohdaten!$A$78:$LJ$78,MATCH(E$4,RD_Kopf,0)),NA()),NA())</f>
        <v>0</v>
      </c>
      <c r="F49" s="68">
        <f>IFERROR(IF(ISNUMBER(INDEX(Rohdaten!$A$78:$LJ$78,MATCH(F$4,RD_Kopf,0))),INDEX(Rohdaten!$A$78:$LJ$78,MATCH(F$4,RD_Kopf,0)),NA()),NA())</f>
        <v>0</v>
      </c>
      <c r="G49" s="68">
        <f>IFERROR(IF(ISNUMBER(INDEX(Rohdaten!$A$78:$LJ$78,MATCH(G$4,RD_Kopf,0))),INDEX(Rohdaten!$A$78:$LJ$78,MATCH(G$4,RD_Kopf,0)),NA()),NA())</f>
        <v>0</v>
      </c>
      <c r="H49" s="68">
        <f>IFERROR(IF(ISNUMBER(INDEX(Rohdaten!$A$78:$LJ$78,MATCH(H$4,RD_Kopf,0))),INDEX(Rohdaten!$A$78:$LJ$78,MATCH(H$4,RD_Kopf,0)),NA()),NA())</f>
        <v>0</v>
      </c>
      <c r="I49" s="68">
        <f>IFERROR(IF(ISNUMBER(INDEX(Rohdaten!$A$78:$LJ$78,MATCH(I$4,RD_Kopf,0))),INDEX(Rohdaten!$A$78:$LJ$78,MATCH(I$4,RD_Kopf,0)),NA()),NA())</f>
        <v>0</v>
      </c>
      <c r="J49" s="68">
        <f>IFERROR(IF(ISNUMBER(INDEX(Rohdaten!$A$78:$LJ$78,MATCH(J$4,RD_Kopf,0))),INDEX(Rohdaten!$A$78:$LJ$78,MATCH(J$4,RD_Kopf,0)),NA()),NA())</f>
        <v>0</v>
      </c>
      <c r="K49" s="68">
        <f>IFERROR(IF(ISNUMBER(INDEX(Rohdaten!$A$78:$LJ$78,MATCH(K$4,RD_Kopf,0))),INDEX(Rohdaten!$A$78:$LJ$78,MATCH(K$4,RD_Kopf,0)),NA()),NA())</f>
        <v>0</v>
      </c>
      <c r="L49" s="68">
        <f>IFERROR(IF(ISNUMBER(INDEX(Rohdaten!$A$78:$LJ$78,MATCH(L$4,RD_Kopf,0))),INDEX(Rohdaten!$A$78:$LJ$78,MATCH(L$4,RD_Kopf,0)),NA()),NA())</f>
        <v>0</v>
      </c>
      <c r="M49" s="68">
        <f>IFERROR(IF(ISNUMBER(INDEX(Rohdaten!$A$78:$LJ$78,MATCH(M$4,RD_Kopf,0))),INDEX(Rohdaten!$A$78:$LJ$78,MATCH(M$4,RD_Kopf,0)),NA()),NA())</f>
        <v>0</v>
      </c>
      <c r="N49" s="68">
        <f>IFERROR(IF(ISNUMBER(INDEX(Rohdaten!$A$78:$LJ$78,MATCH(N$4,RD_Kopf,0))),INDEX(Rohdaten!$A$78:$LJ$78,MATCH(N$4,RD_Kopf,0)),NA()),NA())</f>
        <v>0</v>
      </c>
      <c r="O49" s="68">
        <f>IFERROR(IF(ISNUMBER(INDEX(Rohdaten!$A$78:$LJ$78,MATCH(O$4,RD_Kopf,0))),INDEX(Rohdaten!$A$78:$LJ$78,MATCH(O$4,RD_Kopf,0)),NA()),NA())</f>
        <v>0</v>
      </c>
      <c r="P49" s="68">
        <f>IFERROR(IF(ISNUMBER(INDEX(Rohdaten!$A$78:$LJ$78,MATCH(P$4,RD_Kopf,0))),INDEX(Rohdaten!$A$78:$LJ$78,MATCH(P$4,RD_Kopf,0)),NA()),NA())</f>
        <v>0</v>
      </c>
      <c r="Q49" s="68">
        <f>IFERROR(IF(ISNUMBER(INDEX(Rohdaten!$A$78:$LJ$78,MATCH(Q$4,RD_Kopf,0))),INDEX(Rohdaten!$A$78:$LJ$78,MATCH(Q$4,RD_Kopf,0)),NA()),NA())</f>
        <v>0</v>
      </c>
      <c r="R49" s="68">
        <f>IFERROR(IF(ISNUMBER(INDEX(Rohdaten!$A$78:$LJ$78,MATCH(R$4,RD_Kopf,0))),INDEX(Rohdaten!$A$78:$LJ$78,MATCH(R$4,RD_Kopf,0)),NA()),NA())</f>
        <v>0</v>
      </c>
      <c r="S49" s="68">
        <f>IFERROR(IF(ISNUMBER(INDEX(Rohdaten!$A$78:$LJ$78,MATCH(S$4,RD_Kopf,0))),INDEX(Rohdaten!$A$78:$LJ$78,MATCH(S$4,RD_Kopf,0)),NA()),NA())</f>
        <v>0</v>
      </c>
      <c r="T49" s="68">
        <f>IFERROR(IF(ISNUMBER(INDEX(Rohdaten!$A$78:$LJ$78,MATCH(T$4,RD_Kopf,0))),INDEX(Rohdaten!$A$78:$LJ$78,MATCH(T$4,RD_Kopf,0)),NA()),NA())</f>
        <v>0</v>
      </c>
      <c r="U49" s="68">
        <f>IFERROR(IF(ISNUMBER(INDEX(Rohdaten!$A$78:$LJ$78,MATCH(U$4,RD_Kopf,0))),INDEX(Rohdaten!$A$78:$LJ$78,MATCH(U$4,RD_Kopf,0)),NA()),NA())</f>
        <v>0</v>
      </c>
      <c r="V49" s="68">
        <f>IFERROR(IF(ISNUMBER(INDEX(Rohdaten!$A$78:$LJ$78,MATCH(V$4,RD_Kopf,0))),INDEX(Rohdaten!$A$78:$LJ$78,MATCH(V$4,RD_Kopf,0)),NA()),NA())</f>
        <v>0</v>
      </c>
      <c r="W49" s="68">
        <f>IFERROR(IF(ISNUMBER(INDEX(Rohdaten!$A$78:$LJ$78,MATCH(W$4,RD_Kopf,0))),INDEX(Rohdaten!$A$78:$LJ$78,MATCH(W$4,RD_Kopf,0)),NA()),NA())</f>
        <v>0</v>
      </c>
      <c r="X49" s="68">
        <f>IFERROR(IF(ISNUMBER(INDEX(Rohdaten!$A$78:$LJ$78,MATCH(X$4,RD_Kopf,0))),INDEX(Rohdaten!$A$78:$LJ$78,MATCH(X$4,RD_Kopf,0)),NA()),NA())</f>
        <v>0</v>
      </c>
      <c r="Y49" s="68">
        <f>IFERROR(IF(ISNUMBER(INDEX(Rohdaten!$A$78:$LJ$78,MATCH(Y$4,RD_Kopf,0))),INDEX(Rohdaten!$A$78:$LJ$78,MATCH(Y$4,RD_Kopf,0)),NA()),NA())</f>
        <v>0</v>
      </c>
      <c r="Z49" s="68">
        <f>IFERROR(IF(ISNUMBER(INDEX(Rohdaten!$A$78:$LJ$78,MATCH(Z$4,RD_Kopf,0))),INDEX(Rohdaten!$A$78:$LJ$78,MATCH(Z$4,RD_Kopf,0)),NA()),NA())</f>
        <v>0</v>
      </c>
      <c r="AA49" s="68">
        <f>IFERROR(IF(ISNUMBER(INDEX(Rohdaten!$A$78:$LJ$78,MATCH(AA$4,RD_Kopf,0))),INDEX(Rohdaten!$A$78:$LJ$78,MATCH(AA$4,RD_Kopf,0)),NA()),NA())</f>
        <v>0</v>
      </c>
      <c r="AB49" s="68">
        <f>IFERROR(IF(ISNUMBER(INDEX(Rohdaten!$A$78:$LJ$78,MATCH(AB$4,RD_Kopf,0))),INDEX(Rohdaten!$A$78:$LJ$78,MATCH(AB$4,RD_Kopf,0)),NA()),NA())</f>
        <v>0</v>
      </c>
      <c r="AC49" s="68">
        <f>IFERROR(IF(ISNUMBER(INDEX(Rohdaten!$A$78:$LJ$78,MATCH(AC$4,RD_Kopf,0))),INDEX(Rohdaten!$A$78:$LJ$78,MATCH(AC$4,RD_Kopf,0)),NA()),NA())</f>
        <v>0</v>
      </c>
      <c r="AD49" s="68">
        <f>IFERROR(IF(ISNUMBER(INDEX(Rohdaten!$A$78:$LJ$78,MATCH(AD$4,RD_Kopf,0))),INDEX(Rohdaten!$A$78:$LJ$78,MATCH(AD$4,RD_Kopf,0)),NA()),NA())</f>
        <v>0</v>
      </c>
    </row>
    <row r="50" spans="1:72">
      <c r="A50" s="11" t="s">
        <v>631</v>
      </c>
      <c r="B50" s="11" t="s">
        <v>632</v>
      </c>
      <c r="C50" s="67" t="s">
        <v>605</v>
      </c>
      <c r="D50" s="68">
        <f>IF(COUNT(D44,D46,D48)=0,NA(),SUM(D44,D46,D48))</f>
        <v>0</v>
      </c>
      <c r="E50" s="68">
        <f>IF(COUNT(E44,E46,E48)=0,NA(),SUM(E44,E46,E48))</f>
        <v>0</v>
      </c>
      <c r="F50" s="68">
        <f>IF(COUNT(F44,F46,F48)=0,NA(),SUM(F44,F46,F48))</f>
        <v>0</v>
      </c>
      <c r="G50" s="68">
        <f>IF(COUNT(G44,G46,G48)=0,NA(),SUM(G44,G46,G48))</f>
        <v>0</v>
      </c>
      <c r="H50" s="68">
        <f>IF(COUNT(H44,H46,H48)=0,NA(),SUM(H44,H46,H48))</f>
        <v>0</v>
      </c>
      <c r="I50" s="68">
        <f>IF(COUNT(I44,I46,I48)=0,NA(),SUM(I44,I46,I48))</f>
        <v>0</v>
      </c>
      <c r="J50" s="68">
        <f>IF(COUNT(J44,J46,J48)=0,NA(),SUM(J44,J46,J48))</f>
        <v>0</v>
      </c>
      <c r="K50" s="68">
        <f>IF(COUNT(K44,K46,K48)=0,NA(),SUM(K44,K46,K48))</f>
        <v>0</v>
      </c>
      <c r="L50" s="68">
        <f>IF(COUNT(L44,L46,L48)=0,NA(),SUM(L44,L46,L48))</f>
        <v>0</v>
      </c>
      <c r="M50" s="68">
        <f>IF(COUNT(M44,M46,M48)=0,NA(),SUM(M44,M46,M48))</f>
        <v>0</v>
      </c>
      <c r="N50" s="68">
        <f>IF(COUNT(N44,N46,N48)=0,NA(),SUM(N44,N46,N48))</f>
        <v>0</v>
      </c>
      <c r="O50" s="68">
        <f>IF(COUNT(O44,O46,O48)=0,NA(),SUM(O44,O46,O48))</f>
        <v>0</v>
      </c>
      <c r="P50" s="68">
        <f>IF(COUNT(P44,P46,P48)=0,NA(),SUM(P44,P46,P48))</f>
        <v>0</v>
      </c>
      <c r="Q50" s="68">
        <f>IF(COUNT(Q44,Q46,Q48)=0,NA(),SUM(Q44,Q46,Q48))</f>
        <v>0</v>
      </c>
      <c r="R50" s="68">
        <f>IF(COUNT(R44,R46,R48)=0,NA(),SUM(R44,R46,R48))</f>
        <v>0</v>
      </c>
      <c r="S50" s="68">
        <f>IF(COUNT(S44,S46,S48)=0,NA(),SUM(S44,S46,S48))</f>
        <v>0</v>
      </c>
      <c r="T50" s="68">
        <f>IF(COUNT(T44,T46,T48)=0,NA(),SUM(T44,T46,T48))</f>
        <v>0</v>
      </c>
      <c r="U50" s="68">
        <f>IF(COUNT(U44,U46,U48)=0,NA(),SUM(U44,U46,U48))</f>
        <v>0</v>
      </c>
      <c r="V50" s="68">
        <f>IF(COUNT(V44,V46,V48)=0,NA(),SUM(V44,V46,V48))</f>
        <v>0</v>
      </c>
      <c r="W50" s="68">
        <f>IF(COUNT(W44,W46,W48)=0,NA(),SUM(W44,W46,W48))</f>
        <v>0</v>
      </c>
      <c r="X50" s="68">
        <f>IF(COUNT(X44,X46,X48)=0,NA(),SUM(X44,X46,X48))</f>
        <v>0</v>
      </c>
      <c r="Y50" s="68">
        <f>IF(COUNT(Y44,Y46,Y48)=0,NA(),SUM(Y44,Y46,Y48))</f>
        <v>0</v>
      </c>
      <c r="Z50" s="68">
        <f>IF(COUNT(Z44,Z46,Z48)=0,NA(),SUM(Z44,Z46,Z48))</f>
        <v>0</v>
      </c>
      <c r="AA50" s="68">
        <f>IF(COUNT(AA44,AA46,AA48)=0,NA(),SUM(AA44,AA46,AA48))</f>
        <v>0</v>
      </c>
      <c r="AB50" s="68">
        <f>IF(COUNT(AB44,AB46,AB48)=0,NA(),SUM(AB44,AB46,AB48))</f>
        <v>0</v>
      </c>
      <c r="AC50" s="68">
        <f>IF(COUNT(AC44,AC46,AC48)=0,NA(),SUM(AC44,AC46,AC48))</f>
        <v>0</v>
      </c>
      <c r="AD50" s="68">
        <f>IF(COUNT(AD44,AD46,AD48)=0,NA(),SUM(AD44,AD46,AD48))</f>
        <v>0</v>
      </c>
    </row>
    <row r="51" spans="1:72">
      <c r="A51" s="11" t="s">
        <v>633</v>
      </c>
      <c r="B51" s="11" t="s">
        <v>634</v>
      </c>
      <c r="C51" s="67" t="s">
        <v>605</v>
      </c>
      <c r="D51" s="68">
        <f>IF(COUNT(D45,D47,D49)=0,NA(),SUM(D45,D47,D49))</f>
        <v>0</v>
      </c>
      <c r="E51" s="68">
        <f>IF(COUNT(E45,E47,E49)=0,NA(),SUM(E45,E47,E49))</f>
        <v>0</v>
      </c>
      <c r="F51" s="68">
        <f>IF(COUNT(F45,F47,F49)=0,NA(),SUM(F45,F47,F49))</f>
        <v>0</v>
      </c>
      <c r="G51" s="68">
        <f>IF(COUNT(G45,G47,G49)=0,NA(),SUM(G45,G47,G49))</f>
        <v>0</v>
      </c>
      <c r="H51" s="68">
        <f>IF(COUNT(H45,H47,H49)=0,NA(),SUM(H45,H47,H49))</f>
        <v>0</v>
      </c>
      <c r="I51" s="68">
        <f>IF(COUNT(I45,I47,I49)=0,NA(),SUM(I45,I47,I49))</f>
        <v>0</v>
      </c>
      <c r="J51" s="68">
        <f>IF(COUNT(J45,J47,J49)=0,NA(),SUM(J45,J47,J49))</f>
        <v>0</v>
      </c>
      <c r="K51" s="68">
        <f>IF(COUNT(K45,K47,K49)=0,NA(),SUM(K45,K47,K49))</f>
        <v>0</v>
      </c>
      <c r="L51" s="68">
        <f>IF(COUNT(L45,L47,L49)=0,NA(),SUM(L45,L47,L49))</f>
        <v>0</v>
      </c>
      <c r="M51" s="68">
        <f>IF(COUNT(M45,M47,M49)=0,NA(),SUM(M45,M47,M49))</f>
        <v>0</v>
      </c>
      <c r="N51" s="68">
        <f>IF(COUNT(N45,N47,N49)=0,NA(),SUM(N45,N47,N49))</f>
        <v>0</v>
      </c>
      <c r="O51" s="68">
        <f>IF(COUNT(O45,O47,O49)=0,NA(),SUM(O45,O47,O49))</f>
        <v>0</v>
      </c>
      <c r="P51" s="68">
        <f>IF(COUNT(P45,P47,P49)=0,NA(),SUM(P45,P47,P49))</f>
        <v>0</v>
      </c>
      <c r="Q51" s="68">
        <f>IF(COUNT(Q45,Q47,Q49)=0,NA(),SUM(Q45,Q47,Q49))</f>
        <v>0</v>
      </c>
      <c r="R51" s="68">
        <f>IF(COUNT(R45,R47,R49)=0,NA(),SUM(R45,R47,R49))</f>
        <v>0</v>
      </c>
      <c r="S51" s="68">
        <f>IF(COUNT(S45,S47,S49)=0,NA(),SUM(S45,S47,S49))</f>
        <v>0</v>
      </c>
      <c r="T51" s="68">
        <f>IF(COUNT(T45,T47,T49)=0,NA(),SUM(T45,T47,T49))</f>
        <v>0</v>
      </c>
      <c r="U51" s="68">
        <f>IF(COUNT(U45,U47,U49)=0,NA(),SUM(U45,U47,U49))</f>
        <v>0</v>
      </c>
      <c r="V51" s="68">
        <f>IF(COUNT(V45,V47,V49)=0,NA(),SUM(V45,V47,V49))</f>
        <v>0</v>
      </c>
      <c r="W51" s="68">
        <f>IF(COUNT(W45,W47,W49)=0,NA(),SUM(W45,W47,W49))</f>
        <v>0</v>
      </c>
      <c r="X51" s="68">
        <f>IF(COUNT(X45,X47,X49)=0,NA(),SUM(X45,X47,X49))</f>
        <v>0</v>
      </c>
      <c r="Y51" s="68">
        <f>IF(COUNT(Y45,Y47,Y49)=0,NA(),SUM(Y45,Y47,Y49))</f>
        <v>0</v>
      </c>
      <c r="Z51" s="68">
        <f>IF(COUNT(Z45,Z47,Z49)=0,NA(),SUM(Z45,Z47,Z49))</f>
        <v>0</v>
      </c>
      <c r="AA51" s="68">
        <f>IF(COUNT(AA45,AA47,AA49)=0,NA(),SUM(AA45,AA47,AA49))</f>
        <v>0</v>
      </c>
      <c r="AB51" s="68">
        <f>IF(COUNT(AB45,AB47,AB49)=0,NA(),SUM(AB45,AB47,AB49))</f>
        <v>0</v>
      </c>
      <c r="AC51" s="68">
        <f>IF(COUNT(AC45,AC47,AC49)=0,NA(),SUM(AC45,AC47,AC49))</f>
        <v>0</v>
      </c>
      <c r="AD51" s="68">
        <f>IF(COUNT(AD45,AD47,AD49)=0,NA(),SUM(AD45,AD47,AD49))</f>
        <v>0</v>
      </c>
    </row>
    <row r="52" spans="1:72">
      <c r="A52" s="11" t="s">
        <v>635</v>
      </c>
      <c r="B52" s="11" t="s">
        <v>636</v>
      </c>
      <c r="C52" s="67" t="s">
        <v>605</v>
      </c>
      <c r="D52" s="68">
        <f>IF(COUNT(D41,D42,D43)=0,NA(),SUM(D41,D42,D43))</f>
        <v>0</v>
      </c>
      <c r="E52" s="68">
        <f>IF(COUNT(E41,E42,E43)=0,NA(),SUM(E41,E42,E43))</f>
        <v>0</v>
      </c>
      <c r="F52" s="68">
        <f>IF(COUNT(F41,F42,F43)=0,NA(),SUM(F41,F42,F43))</f>
        <v>0</v>
      </c>
      <c r="G52" s="68">
        <f>IF(COUNT(G41,G42,G43)=0,NA(),SUM(G41,G42,G43))</f>
        <v>0</v>
      </c>
      <c r="H52" s="68">
        <f>IF(COUNT(H41,H42,H43)=0,NA(),SUM(H41,H42,H43))</f>
        <v>0</v>
      </c>
      <c r="I52" s="68">
        <f>IF(COUNT(I41,I42,I43)=0,NA(),SUM(I41,I42,I43))</f>
        <v>0</v>
      </c>
      <c r="J52" s="68">
        <f>IF(COUNT(J41,J42,J43)=0,NA(),SUM(J41,J42,J43))</f>
        <v>0</v>
      </c>
      <c r="K52" s="68">
        <f>IF(COUNT(K41,K42,K43)=0,NA(),SUM(K41,K42,K43))</f>
        <v>0</v>
      </c>
      <c r="L52" s="68">
        <f>IF(COUNT(L41,L42,L43)=0,NA(),SUM(L41,L42,L43))</f>
        <v>0</v>
      </c>
      <c r="M52" s="68">
        <f>IF(COUNT(M41,M42,M43)=0,NA(),SUM(M41,M42,M43))</f>
        <v>0</v>
      </c>
      <c r="N52" s="68">
        <f>IF(COUNT(N41,N42,N43)=0,NA(),SUM(N41,N42,N43))</f>
        <v>0</v>
      </c>
      <c r="O52" s="68">
        <f>IF(COUNT(O41,O42,O43)=0,NA(),SUM(O41,O42,O43))</f>
        <v>0</v>
      </c>
      <c r="P52" s="68">
        <f>IF(COUNT(P41,P42,P43)=0,NA(),SUM(P41,P42,P43))</f>
        <v>0</v>
      </c>
      <c r="Q52" s="68">
        <f>IF(COUNT(Q41,Q42,Q43)=0,NA(),SUM(Q41,Q42,Q43))</f>
        <v>0</v>
      </c>
      <c r="R52" s="68">
        <f>IF(COUNT(R41,R42,R43)=0,NA(),SUM(R41,R42,R43))</f>
        <v>0</v>
      </c>
      <c r="S52" s="68">
        <f>IF(COUNT(S41,S42,S43)=0,NA(),SUM(S41,S42,S43))</f>
        <v>0</v>
      </c>
      <c r="T52" s="68">
        <f>IF(COUNT(T41,T42,T43)=0,NA(),SUM(T41,T42,T43))</f>
        <v>0</v>
      </c>
      <c r="U52" s="68">
        <f>IF(COUNT(U41,U42,U43)=0,NA(),SUM(U41,U42,U43))</f>
        <v>0</v>
      </c>
      <c r="V52" s="68">
        <f>IF(COUNT(V41,V42,V43)=0,NA(),SUM(V41,V42,V43))</f>
        <v>0</v>
      </c>
      <c r="W52" s="68">
        <f>IF(COUNT(W41,W42,W43)=0,NA(),SUM(W41,W42,W43))</f>
        <v>0</v>
      </c>
      <c r="X52" s="68">
        <f>IF(COUNT(X41,X42,X43)=0,NA(),SUM(X41,X42,X43))</f>
        <v>0</v>
      </c>
      <c r="Y52" s="68">
        <f>IF(COUNT(Y41,Y42,Y43)=0,NA(),SUM(Y41,Y42,Y43))</f>
        <v>0</v>
      </c>
      <c r="Z52" s="68">
        <f>IF(COUNT(Z41,Z42,Z43)=0,NA(),SUM(Z41,Z42,Z43))</f>
        <v>0</v>
      </c>
      <c r="AA52" s="68">
        <f>IF(COUNT(AA41,AA42,AA43)=0,NA(),SUM(AA41,AA42,AA43))</f>
        <v>0</v>
      </c>
      <c r="AB52" s="68">
        <f>IF(COUNT(AB41,AB42,AB43)=0,NA(),SUM(AB41,AB42,AB43))</f>
        <v>0</v>
      </c>
      <c r="AC52" s="68">
        <f>IF(COUNT(AC41,AC42,AC43)=0,NA(),SUM(AC41,AC42,AC43))</f>
        <v>0</v>
      </c>
      <c r="AD52" s="68">
        <f>IF(COUNT(AD41,AD42,AD43)=0,NA(),SUM(AD41,AD42,AD43))</f>
        <v>0</v>
      </c>
    </row>
    <row r="53" spans="1:72">
      <c r="A53" s="11" t="s">
        <v>637</v>
      </c>
      <c r="B53" s="11" t="s">
        <v>638</v>
      </c>
      <c r="C53" s="67" t="s">
        <v>605</v>
      </c>
      <c r="D53" s="68">
        <f>IF(AND(ISNUMBER(D50),ISNUMBER(D51)),D50-D51,NA())</f>
        <v>0</v>
      </c>
      <c r="E53" s="68">
        <f>IF(AND(ISNUMBER(E50),ISNUMBER(E51)),E50-E51,NA())</f>
        <v>0</v>
      </c>
      <c r="F53" s="68">
        <f>IF(AND(ISNUMBER(F50),ISNUMBER(F51)),F50-F51,NA())</f>
        <v>0</v>
      </c>
      <c r="G53" s="68">
        <f>IF(AND(ISNUMBER(G50),ISNUMBER(G51)),G50-G51,NA())</f>
        <v>0</v>
      </c>
      <c r="H53" s="68">
        <f>IF(AND(ISNUMBER(H50),ISNUMBER(H51)),H50-H51,NA())</f>
        <v>0</v>
      </c>
      <c r="I53" s="68">
        <f>IF(AND(ISNUMBER(I50),ISNUMBER(I51)),I50-I51,NA())</f>
        <v>0</v>
      </c>
      <c r="J53" s="68">
        <f>IF(AND(ISNUMBER(J50),ISNUMBER(J51)),J50-J51,NA())</f>
        <v>0</v>
      </c>
      <c r="K53" s="68">
        <f>IF(AND(ISNUMBER(K50),ISNUMBER(K51)),K50-K51,NA())</f>
        <v>0</v>
      </c>
      <c r="L53" s="68">
        <f>IF(AND(ISNUMBER(L50),ISNUMBER(L51)),L50-L51,NA())</f>
        <v>0</v>
      </c>
      <c r="M53" s="68">
        <f>IF(AND(ISNUMBER(M50),ISNUMBER(M51)),M50-M51,NA())</f>
        <v>0</v>
      </c>
      <c r="N53" s="68">
        <f>IF(AND(ISNUMBER(N50),ISNUMBER(N51)),N50-N51,NA())</f>
        <v>0</v>
      </c>
      <c r="O53" s="68">
        <f>IF(AND(ISNUMBER(O50),ISNUMBER(O51)),O50-O51,NA())</f>
        <v>0</v>
      </c>
      <c r="P53" s="68">
        <f>IF(AND(ISNUMBER(P50),ISNUMBER(P51)),P50-P51,NA())</f>
        <v>0</v>
      </c>
      <c r="Q53" s="68">
        <f>IF(AND(ISNUMBER(Q50),ISNUMBER(Q51)),Q50-Q51,NA())</f>
        <v>0</v>
      </c>
      <c r="R53" s="68">
        <f>IF(AND(ISNUMBER(R50),ISNUMBER(R51)),R50-R51,NA())</f>
        <v>0</v>
      </c>
      <c r="S53" s="68">
        <f>IF(AND(ISNUMBER(S50),ISNUMBER(S51)),S50-S51,NA())</f>
        <v>0</v>
      </c>
      <c r="T53" s="68">
        <f>IF(AND(ISNUMBER(T50),ISNUMBER(T51)),T50-T51,NA())</f>
        <v>0</v>
      </c>
      <c r="U53" s="68">
        <f>IF(AND(ISNUMBER(U50),ISNUMBER(U51)),U50-U51,NA())</f>
        <v>0</v>
      </c>
      <c r="V53" s="68">
        <f>IF(AND(ISNUMBER(V50),ISNUMBER(V51)),V50-V51,NA())</f>
        <v>0</v>
      </c>
      <c r="W53" s="68">
        <f>IF(AND(ISNUMBER(W50),ISNUMBER(W51)),W50-W51,NA())</f>
        <v>0</v>
      </c>
      <c r="X53" s="68">
        <f>IF(AND(ISNUMBER(X50),ISNUMBER(X51)),X50-X51,NA())</f>
        <v>0</v>
      </c>
      <c r="Y53" s="68">
        <f>IF(AND(ISNUMBER(Y50),ISNUMBER(Y51)),Y50-Y51,NA())</f>
        <v>0</v>
      </c>
      <c r="Z53" s="68">
        <f>IF(AND(ISNUMBER(Z50),ISNUMBER(Z51)),Z50-Z51,NA())</f>
        <v>0</v>
      </c>
      <c r="AA53" s="68">
        <f>IF(AND(ISNUMBER(AA50),ISNUMBER(AA51)),AA50-AA51,NA())</f>
        <v>0</v>
      </c>
      <c r="AB53" s="68">
        <f>IF(AND(ISNUMBER(AB50),ISNUMBER(AB51)),AB50-AB51,NA())</f>
        <v>0</v>
      </c>
      <c r="AC53" s="68">
        <f>IF(AND(ISNUMBER(AC50),ISNUMBER(AC51)),AC50-AC51,NA())</f>
        <v>0</v>
      </c>
      <c r="AD53" s="68">
        <f>IF(AND(ISNUMBER(AD50),ISNUMBER(AD51)),AD50-AD51,NA())</f>
        <v>0</v>
      </c>
    </row>
    <row r="54" spans="1:72">
      <c r="A54" s="11" t="s">
        <v>639</v>
      </c>
      <c r="B54" s="11" t="s">
        <v>640</v>
      </c>
      <c r="C54" s="67" t="s">
        <v>610</v>
      </c>
      <c r="AQ54" s="68">
        <f>IF(AQ$38="A",IF(ISNUMBER(INDEX($D$41:$AD$41,AQ$37)),INDEX($D$41:$AD$41,AQ$37)/MAX(1,_xlfn.AGGREGATE(4,6,INDEX($D$52:$AD$52,28-$D$36):$AD$52),N(Konfiguration!$F$9)),NA()),IF(AQ$38="B",NA(),IF(AQ$38="C",NA(),NA())))</f>
        <v>0</v>
      </c>
      <c r="AR54" s="68">
        <f>IF(AR$38="A",IF(ISNUMBER(INDEX($D$41:$AD$41,AR$37)),INDEX($D$41:$AD$41,AR$37)/MAX(1,_xlfn.AGGREGATE(4,6,INDEX($D$52:$AD$52,28-$D$36):$AD$52),N(Konfiguration!$F$9)),NA()),IF(AR$38="B",NA(),IF(AR$38="C",NA(),NA())))</f>
        <v>0</v>
      </c>
      <c r="AS54" s="68">
        <f>IF(AS$38="A",IF(ISNUMBER(INDEX($D$41:$AD$41,AS$37)),INDEX($D$41:$AD$41,AS$37)/MAX(1,_xlfn.AGGREGATE(4,6,INDEX($D$52:$AD$52,28-$D$36):$AD$52),N(Konfiguration!$F$9)),NA()),IF(AS$38="B",NA(),IF(AS$38="C",NA(),NA())))</f>
        <v>0</v>
      </c>
      <c r="AT54" s="68">
        <f>IF(AT$38="A",IF(ISNUMBER(INDEX($D$41:$AD$41,AT$37)),INDEX($D$41:$AD$41,AT$37)/MAX(1,_xlfn.AGGREGATE(4,6,INDEX($D$52:$AD$52,28-$D$36):$AD$52),N(Konfiguration!$F$9)),NA()),IF(AT$38="B",NA(),IF(AT$38="C",NA(),NA())))</f>
        <v>0</v>
      </c>
      <c r="AU54" s="68">
        <f>IF(AU$38="A",IF(ISNUMBER(INDEX($D$41:$AD$41,AU$37)),INDEX($D$41:$AD$41,AU$37)/MAX(1,_xlfn.AGGREGATE(4,6,INDEX($D$52:$AD$52,28-$D$36):$AD$52),N(Konfiguration!$F$9)),NA()),IF(AU$38="B",NA(),IF(AU$38="C",NA(),NA())))</f>
        <v>0</v>
      </c>
      <c r="AV54" s="68">
        <f>IF(AV$38="A",IF(ISNUMBER(INDEX($D$41:$AD$41,AV$37)),INDEX($D$41:$AD$41,AV$37)/MAX(1,_xlfn.AGGREGATE(4,6,INDEX($D$52:$AD$52,28-$D$36):$AD$52),N(Konfiguration!$F$9)),NA()),IF(AV$38="B",NA(),IF(AV$38="C",NA(),NA())))</f>
        <v>0</v>
      </c>
      <c r="AW54" s="68">
        <f>IF(AW$38="A",IF(ISNUMBER(INDEX($D$41:$AD$41,AW$37)),INDEX($D$41:$AD$41,AW$37)/MAX(1,_xlfn.AGGREGATE(4,6,INDEX($D$52:$AD$52,28-$D$36):$AD$52),N(Konfiguration!$F$9)),NA()),IF(AW$38="B",NA(),IF(AW$38="C",NA(),NA())))</f>
        <v>0</v>
      </c>
      <c r="AX54" s="68">
        <f>IF(AX$38="A",IF(ISNUMBER(INDEX($D$41:$AD$41,AX$37)),INDEX($D$41:$AD$41,AX$37)/MAX(1,_xlfn.AGGREGATE(4,6,INDEX($D$52:$AD$52,28-$D$36):$AD$52),N(Konfiguration!$F$9)),NA()),IF(AX$38="B",NA(),IF(AX$38="C",NA(),NA())))</f>
        <v>0</v>
      </c>
      <c r="AY54" s="68">
        <f>IF(AY$38="A",IF(ISNUMBER(INDEX($D$41:$AD$41,AY$37)),INDEX($D$41:$AD$41,AY$37)/MAX(1,_xlfn.AGGREGATE(4,6,INDEX($D$52:$AD$52,28-$D$36):$AD$52),N(Konfiguration!$F$9)),NA()),IF(AY$38="B",NA(),IF(AY$38="C",NA(),NA())))</f>
        <v>0</v>
      </c>
      <c r="AZ54" s="68">
        <f>IF(AZ$38="A",IF(ISNUMBER(INDEX($D$41:$AD$41,AZ$37)),INDEX($D$41:$AD$41,AZ$37)/MAX(1,_xlfn.AGGREGATE(4,6,INDEX($D$52:$AD$52,28-$D$36):$AD$52),N(Konfiguration!$F$9)),NA()),IF(AZ$38="B",NA(),IF(AZ$38="C",NA(),NA())))</f>
        <v>0</v>
      </c>
      <c r="BA54" s="68">
        <f>IF(BA$38="A",IF(ISNUMBER(INDEX($D$41:$AD$41,BA$37)),INDEX($D$41:$AD$41,BA$37)/MAX(1,_xlfn.AGGREGATE(4,6,INDEX($D$52:$AD$52,28-$D$36):$AD$52),N(Konfiguration!$F$9)),NA()),IF(BA$38="B",NA(),IF(BA$38="C",NA(),NA())))</f>
        <v>0</v>
      </c>
      <c r="BB54" s="68">
        <f>IF(BB$38="A",IF(ISNUMBER(INDEX($D$41:$AD$41,BB$37)),INDEX($D$41:$AD$41,BB$37)/MAX(1,_xlfn.AGGREGATE(4,6,INDEX($D$52:$AD$52,28-$D$36):$AD$52),N(Konfiguration!$F$9)),NA()),IF(BB$38="B",NA(),IF(BB$38="C",NA(),NA())))</f>
        <v>0</v>
      </c>
      <c r="BC54" s="68">
        <f>IF(BC$38="A",IF(ISNUMBER(INDEX($D$41:$AD$41,BC$37)),INDEX($D$41:$AD$41,BC$37)/MAX(1,_xlfn.AGGREGATE(4,6,INDEX($D$52:$AD$52,28-$D$36):$AD$52),N(Konfiguration!$F$9)),NA()),IF(BC$38="B",NA(),IF(BC$38="C",NA(),NA())))</f>
        <v>0</v>
      </c>
      <c r="BD54" s="68">
        <f>IF(BD$38="A",IF(ISNUMBER(INDEX($D$41:$AD$41,BD$37)),INDEX($D$41:$AD$41,BD$37)/MAX(1,_xlfn.AGGREGATE(4,6,INDEX($D$52:$AD$52,28-$D$36):$AD$52),N(Konfiguration!$F$9)),NA()),IF(BD$38="B",NA(),IF(BD$38="C",NA(),NA())))</f>
        <v>0</v>
      </c>
      <c r="BE54" s="68">
        <f>IF(BE$38="A",IF(ISNUMBER(INDEX($D$41:$AD$41,BE$37)),INDEX($D$41:$AD$41,BE$37)/MAX(1,_xlfn.AGGREGATE(4,6,INDEX($D$52:$AD$52,28-$D$36):$AD$52),N(Konfiguration!$F$9)),NA()),IF(BE$38="B",NA(),IF(BE$38="C",NA(),NA())))</f>
        <v>0</v>
      </c>
      <c r="BF54" s="68">
        <f>IF(BF$38="A",IF(ISNUMBER(INDEX($D$41:$AD$41,BF$37)),INDEX($D$41:$AD$41,BF$37)/MAX(1,_xlfn.AGGREGATE(4,6,INDEX($D$52:$AD$52,28-$D$36):$AD$52),N(Konfiguration!$F$9)),NA()),IF(BF$38="B",NA(),IF(BF$38="C",NA(),NA())))</f>
        <v>0</v>
      </c>
      <c r="BG54" s="68">
        <f>IF(BG$38="A",IF(ISNUMBER(INDEX($D$41:$AD$41,BG$37)),INDEX($D$41:$AD$41,BG$37)/MAX(1,_xlfn.AGGREGATE(4,6,INDEX($D$52:$AD$52,28-$D$36):$AD$52),N(Konfiguration!$F$9)),NA()),IF(BG$38="B",NA(),IF(BG$38="C",NA(),NA())))</f>
        <v>0</v>
      </c>
      <c r="BH54" s="68">
        <f>IF(BH$38="A",IF(ISNUMBER(INDEX($D$41:$AD$41,BH$37)),INDEX($D$41:$AD$41,BH$37)/MAX(1,_xlfn.AGGREGATE(4,6,INDEX($D$52:$AD$52,28-$D$36):$AD$52),N(Konfiguration!$F$9)),NA()),IF(BH$38="B",NA(),IF(BH$38="C",NA(),NA())))</f>
        <v>0</v>
      </c>
      <c r="BI54" s="68">
        <f>IF(BI$38="A",IF(ISNUMBER(INDEX($D$41:$AD$41,BI$37)),INDEX($D$41:$AD$41,BI$37)/MAX(1,_xlfn.AGGREGATE(4,6,INDEX($D$52:$AD$52,28-$D$36):$AD$52),N(Konfiguration!$F$9)),NA()),IF(BI$38="B",NA(),IF(BI$38="C",NA(),NA())))</f>
        <v>0</v>
      </c>
      <c r="BJ54" s="68">
        <f>IF(BJ$38="A",IF(ISNUMBER(INDEX($D$41:$AD$41,BJ$37)),INDEX($D$41:$AD$41,BJ$37)/MAX(1,_xlfn.AGGREGATE(4,6,INDEX($D$52:$AD$52,28-$D$36):$AD$52),N(Konfiguration!$F$9)),NA()),IF(BJ$38="B",NA(),IF(BJ$38="C",NA(),NA())))</f>
        <v>0</v>
      </c>
      <c r="BK54" s="68">
        <f>IF(BK$38="A",IF(ISNUMBER(INDEX($D$41:$AD$41,BK$37)),INDEX($D$41:$AD$41,BK$37)/MAX(1,_xlfn.AGGREGATE(4,6,INDEX($D$52:$AD$52,28-$D$36):$AD$52),N(Konfiguration!$F$9)),NA()),IF(BK$38="B",NA(),IF(BK$38="C",NA(),NA())))</f>
        <v>0</v>
      </c>
      <c r="BL54" s="68">
        <f>IF(BL$38="A",IF(ISNUMBER(INDEX($D$41:$AD$41,BL$37)),INDEX($D$41:$AD$41,BL$37)/MAX(1,_xlfn.AGGREGATE(4,6,INDEX($D$52:$AD$52,28-$D$36):$AD$52),N(Konfiguration!$F$9)),NA()),IF(BL$38="B",NA(),IF(BL$38="C",NA(),NA())))</f>
        <v>0</v>
      </c>
      <c r="BM54" s="68">
        <f>IF(BM$38="A",IF(ISNUMBER(INDEX($D$41:$AD$41,BM$37)),INDEX($D$41:$AD$41,BM$37)/MAX(1,_xlfn.AGGREGATE(4,6,INDEX($D$52:$AD$52,28-$D$36):$AD$52),N(Konfiguration!$F$9)),NA()),IF(BM$38="B",NA(),IF(BM$38="C",NA(),NA())))</f>
        <v>0</v>
      </c>
      <c r="BN54" s="68">
        <f>IF(BN$38="A",IF(ISNUMBER(INDEX($D$41:$AD$41,BN$37)),INDEX($D$41:$AD$41,BN$37)/MAX(1,_xlfn.AGGREGATE(4,6,INDEX($D$52:$AD$52,28-$D$36):$AD$52),N(Konfiguration!$F$9)),NA()),IF(BN$38="B",NA(),IF(BN$38="C",NA(),NA())))</f>
        <v>0</v>
      </c>
      <c r="BO54" s="68">
        <f>IF(BO$38="A",IF(ISNUMBER(INDEX($D$41:$AD$41,BO$37)),INDEX($D$41:$AD$41,BO$37)/MAX(1,_xlfn.AGGREGATE(4,6,INDEX($D$52:$AD$52,28-$D$36):$AD$52),N(Konfiguration!$F$9)),NA()),IF(BO$38="B",NA(),IF(BO$38="C",NA(),NA())))</f>
        <v>0</v>
      </c>
      <c r="BP54" s="68">
        <f>IF(BP$38="A",IF(ISNUMBER(INDEX($D$41:$AD$41,BP$37)),INDEX($D$41:$AD$41,BP$37)/MAX(1,_xlfn.AGGREGATE(4,6,INDEX($D$52:$AD$52,28-$D$36):$AD$52),N(Konfiguration!$F$9)),NA()),IF(BP$38="B",NA(),IF(BP$38="C",NA(),NA())))</f>
        <v>0</v>
      </c>
      <c r="BQ54" s="68">
        <f>IF(BQ$38="A",IF(ISNUMBER(INDEX($D$41:$AD$41,BQ$37)),INDEX($D$41:$AD$41,BQ$37)/MAX(1,_xlfn.AGGREGATE(4,6,INDEX($D$52:$AD$52,28-$D$36):$AD$52),N(Konfiguration!$F$9)),NA()),IF(BQ$38="B",NA(),IF(BQ$38="C",NA(),NA())))</f>
        <v>0</v>
      </c>
      <c r="BR54" s="68">
        <f>IF(BR$38="A",IF(ISNUMBER(INDEX($D$41:$AD$41,BR$37)),INDEX($D$41:$AD$41,BR$37)/MAX(1,_xlfn.AGGREGATE(4,6,INDEX($D$52:$AD$52,28-$D$36):$AD$52),N(Konfiguration!$F$9)),NA()),IF(BR$38="B",NA(),IF(BR$38="C",NA(),NA())))</f>
        <v>0</v>
      </c>
      <c r="BS54" s="68">
        <f>IF(BS$38="A",IF(ISNUMBER(INDEX($D$41:$AD$41,BS$37)),INDEX($D$41:$AD$41,BS$37)/MAX(1,_xlfn.AGGREGATE(4,6,INDEX($D$52:$AD$52,28-$D$36):$AD$52),N(Konfiguration!$F$9)),NA()),IF(BS$38="B",NA(),IF(BS$38="C",NA(),NA())))</f>
        <v>0</v>
      </c>
      <c r="BT54" s="68">
        <f>IF(BT$38="A",IF(ISNUMBER(INDEX($D$41:$AD$41,BT$37)),INDEX($D$41:$AD$41,BT$37)/MAX(1,_xlfn.AGGREGATE(4,6,INDEX($D$52:$AD$52,28-$D$36):$AD$52),N(Konfiguration!$F$9)),NA()),IF(BT$38="B",NA(),IF(BT$38="C",NA(),NA())))</f>
        <v>0</v>
      </c>
    </row>
    <row r="55" spans="1:72">
      <c r="A55" s="11" t="s">
        <v>641</v>
      </c>
      <c r="B55" s="11" t="s">
        <v>642</v>
      </c>
      <c r="C55" s="67" t="s">
        <v>610</v>
      </c>
      <c r="AQ55" s="68">
        <f>IF(AQ$38="A",NA(),IF(AQ$38="B",IF(ISNUMBER(INDEX($D$41:$AD$41,AQ$37)),MAX(INDEX($D$52:$AD$52,A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Q$38="C",NA(),NA())))</f>
        <v>0</v>
      </c>
      <c r="AR55" s="68">
        <f>IF(AR$38="A",NA(),IF(AR$38="B",IF(ISNUMBER(INDEX($D$41:$AD$41,AR$37)),MAX(INDEX($D$52:$AD$52,A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R$38="C",NA(),NA())))</f>
        <v>0</v>
      </c>
      <c r="AS55" s="68">
        <f>IF(AS$38="A",NA(),IF(AS$38="B",IF(ISNUMBER(INDEX($D$41:$AD$41,AS$37)),MAX(INDEX($D$52:$AD$52,A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S$38="C",NA(),NA())))</f>
        <v>0</v>
      </c>
      <c r="AT55" s="68">
        <f>IF(AT$38="A",NA(),IF(AT$38="B",IF(ISNUMBER(INDEX($D$41:$AD$41,AT$37)),MAX(INDEX($D$52:$AD$52,A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T$38="C",NA(),NA())))</f>
        <v>0</v>
      </c>
      <c r="AU55" s="68">
        <f>IF(AU$38="A",NA(),IF(AU$38="B",IF(ISNUMBER(INDEX($D$41:$AD$41,AU$37)),MAX(INDEX($D$52:$AD$52,AU$37)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U$38="C",NA(),NA())))</f>
        <v>0</v>
      </c>
      <c r="AV55" s="68">
        <f>IF(AV$38="A",NA(),IF(AV$38="B",IF(ISNUMBER(INDEX($D$41:$AD$41,AV$37)),MAX(INDEX($D$52:$AD$52,AV$37)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V$38="C",NA(),NA())))</f>
        <v>0</v>
      </c>
      <c r="AW55" s="68">
        <f>IF(AW$38="A",NA(),IF(AW$38="B",IF(ISNUMBER(INDEX($D$41:$AD$41,AW$37)),MAX(INDEX($D$52:$AD$52,AW$37)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W$38="C",NA(),NA())))</f>
        <v>0</v>
      </c>
      <c r="AX55" s="68">
        <f>IF(AX$38="A",NA(),IF(AX$38="B",IF(ISNUMBER(INDEX($D$41:$AD$41,AX$37)),MAX(INDEX($D$52:$AD$52,AX$37)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X$38="C",NA(),NA())))</f>
        <v>0</v>
      </c>
      <c r="AY55" s="68">
        <f>IF(AY$38="A",NA(),IF(AY$38="B",IF(ISNUMBER(INDEX($D$41:$AD$41,AY$37)),MAX(INDEX($D$52:$AD$52,AY$37)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Y$38="C",NA(),NA())))</f>
        <v>0</v>
      </c>
      <c r="AZ55" s="68">
        <f>IF(AZ$38="A",NA(),IF(AZ$38="B",IF(ISNUMBER(INDEX($D$41:$AD$41,AZ$37)),MAX(INDEX($D$52:$AD$52,AZ$37)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Z$38="C",NA(),NA())))</f>
        <v>0</v>
      </c>
      <c r="BA55" s="68">
        <f>IF(BA$38="A",NA(),IF(BA$38="B",IF(ISNUMBER(INDEX($D$41:$AD$41,BA$37)),MAX(INDEX($D$52:$AD$52,BA$37)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A$38="C",NA(),NA())))</f>
        <v>0</v>
      </c>
      <c r="BB55" s="68">
        <f>IF(BB$38="A",NA(),IF(BB$38="B",IF(ISNUMBER(INDEX($D$41:$AD$41,BB$37)),MAX(INDEX($D$52:$AD$52,BB$37)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B$38="C",NA(),NA())))</f>
        <v>0</v>
      </c>
      <c r="BC55" s="68">
        <f>IF(BC$38="A",NA(),IF(BC$38="B",IF(ISNUMBER(INDEX($D$41:$AD$41,BC$37)),MAX(INDEX($D$52:$AD$52,BC$37)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C$38="C",NA(),NA())))</f>
        <v>0</v>
      </c>
      <c r="BD55" s="68">
        <f>IF(BD$38="A",NA(),IF(BD$38="B",IF(ISNUMBER(INDEX($D$41:$AD$41,BD$37)),MAX(INDEX($D$52:$AD$52,BD$37)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D$38="C",NA(),NA())))</f>
        <v>0</v>
      </c>
      <c r="BE55" s="68">
        <f>IF(BE$38="A",NA(),IF(BE$38="B",IF(ISNUMBER(INDEX($D$41:$AD$41,BE$37)),MAX(INDEX($D$52:$AD$52,BE$37)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E$38="C",NA(),NA())))</f>
        <v>0</v>
      </c>
      <c r="BF55" s="68">
        <f>IF(BF$38="A",NA(),IF(BF$38="B",IF(ISNUMBER(INDEX($D$41:$AD$41,BF$37)),MAX(INDEX($D$52:$AD$52,BF$37)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F$38="C",NA(),NA())))</f>
        <v>0</v>
      </c>
      <c r="BG55" s="68">
        <f>IF(BG$38="A",NA(),IF(BG$38="B",IF(ISNUMBER(INDEX($D$41:$AD$41,BG$37)),MAX(INDEX($D$52:$AD$52,BG$37)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G$38="C",NA(),NA())))</f>
        <v>0</v>
      </c>
      <c r="BH55" s="68">
        <f>IF(BH$38="A",NA(),IF(BH$38="B",IF(ISNUMBER(INDEX($D$41:$AD$41,BH$37)),MAX(INDEX($D$52:$AD$52,BH$37)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H$38="C",NA(),NA())))</f>
        <v>0</v>
      </c>
      <c r="BI55" s="68">
        <f>IF(BI$38="A",NA(),IF(BI$38="B",IF(ISNUMBER(INDEX($D$41:$AD$41,BI$37)),MAX(INDEX($D$52:$AD$52,BI$37)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I$38="C",NA(),NA())))</f>
        <v>0</v>
      </c>
      <c r="BJ55" s="68">
        <f>IF(BJ$38="A",NA(),IF(BJ$38="B",IF(ISNUMBER(INDEX($D$41:$AD$41,BJ$37)),MAX(INDEX($D$52:$AD$52,BJ$37)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J$38="C",NA(),NA())))</f>
        <v>0</v>
      </c>
      <c r="BK55" s="68">
        <f>IF(BK$38="A",NA(),IF(BK$38="B",IF(ISNUMBER(INDEX($D$41:$AD$41,BK$37)),MAX(INDEX($D$52:$AD$52,BK$37)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K$38="C",NA(),NA())))</f>
        <v>0</v>
      </c>
      <c r="BL55" s="68">
        <f>IF(BL$38="A",NA(),IF(BL$38="B",IF(ISNUMBER(INDEX($D$41:$AD$41,BL$37)),MAX(INDEX($D$52:$AD$52,BL$37)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L$38="C",NA(),NA())))</f>
        <v>0</v>
      </c>
      <c r="BM55" s="68">
        <f>IF(BM$38="A",NA(),IF(BM$38="B",IF(ISNUMBER(INDEX($D$41:$AD$41,BM$37)),MAX(INDEX($D$52:$AD$52,BM$37)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M$38="C",NA(),NA())))</f>
        <v>0</v>
      </c>
      <c r="BN55" s="68">
        <f>IF(BN$38="A",NA(),IF(BN$38="B",IF(ISNUMBER(INDEX($D$41:$AD$41,BN$37)),MAX(INDEX($D$52:$AD$52,BN$37)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N$38="C",NA(),NA())))</f>
        <v>0</v>
      </c>
      <c r="BO55" s="68">
        <f>IF(BO$38="A",NA(),IF(BO$38="B",IF(ISNUMBER(INDEX($D$41:$AD$41,BO$37)),MAX(INDEX($D$52:$AD$52,BO$37)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O$38="C",NA(),NA())))</f>
        <v>0</v>
      </c>
      <c r="BP55" s="68">
        <f>IF(BP$38="A",NA(),IF(BP$38="B",IF(ISNUMBER(INDEX($D$41:$AD$41,BP$37)),MAX(INDEX($D$52:$AD$52,BP$37)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P$38="C",NA(),NA())))</f>
        <v>0</v>
      </c>
      <c r="BQ55" s="68">
        <f>IF(BQ$38="A",NA(),IF(BQ$38="B",IF(ISNUMBER(INDEX($D$41:$AD$41,BQ$37)),MAX(INDEX($D$52:$AD$52,B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Q$38="C",NA(),NA())))</f>
        <v>0</v>
      </c>
      <c r="BR55" s="68">
        <f>IF(BR$38="A",NA(),IF(BR$38="B",IF(ISNUMBER(INDEX($D$41:$AD$41,BR$37)),MAX(INDEX($D$52:$AD$52,B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R$38="C",NA(),NA())))</f>
        <v>0</v>
      </c>
      <c r="BS55" s="68">
        <f>IF(BS$38="A",NA(),IF(BS$38="B",IF(ISNUMBER(INDEX($D$41:$AD$41,BS$37)),MAX(INDEX($D$52:$AD$52,B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S$38="C",NA(),NA())))</f>
        <v>0</v>
      </c>
      <c r="BT55" s="68">
        <f>IF(BT$38="A",NA(),IF(BT$38="B",IF(ISNUMBER(INDEX($D$41:$AD$41,BT$37)),MAX(INDEX($D$52:$AD$52,B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T$38="C",NA(),NA())))</f>
        <v>0</v>
      </c>
    </row>
    <row r="56" spans="1:72">
      <c r="A56" s="11" t="s">
        <v>643</v>
      </c>
      <c r="B56" s="11" t="s">
        <v>644</v>
      </c>
      <c r="C56" s="67" t="s">
        <v>610</v>
      </c>
      <c r="AQ56" s="11">
        <f>IF(AQ$38="A","",IF(AQ$38="B",IF(ISNUMBER(INDEX($D$41:$AD$41,AQ$37)),FIXED(INDEX($D$41:$AD$41,AQ$37)/1000,1),""),IF(AQ$38="C","","")))</f>
        <v>0</v>
      </c>
      <c r="AR56" s="11">
        <f>IF(AR$38="A","",IF(AR$38="B",IF(ISNUMBER(INDEX($D$41:$AD$41,AR$37)),FIXED(INDEX($D$41:$AD$41,AR$37)/1000,1),""),IF(AR$38="C","","")))</f>
        <v>0</v>
      </c>
      <c r="AS56" s="11">
        <f>IF(AS$38="A","",IF(AS$38="B",IF(ISNUMBER(INDEX($D$41:$AD$41,AS$37)),FIXED(INDEX($D$41:$AD$41,AS$37)/1000,1),""),IF(AS$38="C","","")))</f>
        <v>0</v>
      </c>
      <c r="AT56" s="11">
        <f>IF(AT$38="A","",IF(AT$38="B",IF(ISNUMBER(INDEX($D$41:$AD$41,AT$37)),FIXED(INDEX($D$41:$AD$41,AT$37)/1000,1),""),IF(AT$38="C","","")))</f>
        <v>0</v>
      </c>
      <c r="AU56" s="11">
        <f>IF(AU$38="A","",IF(AU$38="B",IF(ISNUMBER(INDEX($D$41:$AD$41,AU$37)),FIXED(INDEX($D$41:$AD$41,AU$37)/1000,1),""),IF(AU$38="C","","")))</f>
        <v>0</v>
      </c>
      <c r="AV56" s="11">
        <f>IF(AV$38="A","",IF(AV$38="B",IF(ISNUMBER(INDEX($D$41:$AD$41,AV$37)),FIXED(INDEX($D$41:$AD$41,AV$37)/1000,1),""),IF(AV$38="C","","")))</f>
        <v>0</v>
      </c>
      <c r="AW56" s="11">
        <f>IF(AW$38="A","",IF(AW$38="B",IF(ISNUMBER(INDEX($D$41:$AD$41,AW$37)),FIXED(INDEX($D$41:$AD$41,AW$37)/1000,1),""),IF(AW$38="C","","")))</f>
        <v>0</v>
      </c>
      <c r="AX56" s="11">
        <f>IF(AX$38="A","",IF(AX$38="B",IF(ISNUMBER(INDEX($D$41:$AD$41,AX$37)),FIXED(INDEX($D$41:$AD$41,AX$37)/1000,1),""),IF(AX$38="C","","")))</f>
        <v>0</v>
      </c>
      <c r="AY56" s="11">
        <f>IF(AY$38="A","",IF(AY$38="B",IF(ISNUMBER(INDEX($D$41:$AD$41,AY$37)),FIXED(INDEX($D$41:$AD$41,AY$37)/1000,1),""),IF(AY$38="C","","")))</f>
        <v>0</v>
      </c>
      <c r="AZ56" s="11">
        <f>IF(AZ$38="A","",IF(AZ$38="B",IF(ISNUMBER(INDEX($D$41:$AD$41,AZ$37)),FIXED(INDEX($D$41:$AD$41,AZ$37)/1000,1),""),IF(AZ$38="C","","")))</f>
        <v>0</v>
      </c>
      <c r="BA56" s="11">
        <f>IF(BA$38="A","",IF(BA$38="B",IF(ISNUMBER(INDEX($D$41:$AD$41,BA$37)),FIXED(INDEX($D$41:$AD$41,BA$37)/1000,1),""),IF(BA$38="C","","")))</f>
        <v>0</v>
      </c>
      <c r="BB56" s="11">
        <f>IF(BB$38="A","",IF(BB$38="B",IF(ISNUMBER(INDEX($D$41:$AD$41,BB$37)),FIXED(INDEX($D$41:$AD$41,BB$37)/1000,1),""),IF(BB$38="C","","")))</f>
        <v>0</v>
      </c>
      <c r="BC56" s="11">
        <f>IF(BC$38="A","",IF(BC$38="B",IF(ISNUMBER(INDEX($D$41:$AD$41,BC$37)),FIXED(INDEX($D$41:$AD$41,BC$37)/1000,1),""),IF(BC$38="C","","")))</f>
        <v>0</v>
      </c>
      <c r="BD56" s="11">
        <f>IF(BD$38="A","",IF(BD$38="B",IF(ISNUMBER(INDEX($D$41:$AD$41,BD$37)),FIXED(INDEX($D$41:$AD$41,BD$37)/1000,1),""),IF(BD$38="C","","")))</f>
        <v>0</v>
      </c>
      <c r="BE56" s="11">
        <f>IF(BE$38="A","",IF(BE$38="B",IF(ISNUMBER(INDEX($D$41:$AD$41,BE$37)),FIXED(INDEX($D$41:$AD$41,BE$37)/1000,1),""),IF(BE$38="C","","")))</f>
        <v>0</v>
      </c>
      <c r="BF56" s="11">
        <f>IF(BF$38="A","",IF(BF$38="B",IF(ISNUMBER(INDEX($D$41:$AD$41,BF$37)),FIXED(INDEX($D$41:$AD$41,BF$37)/1000,1),""),IF(BF$38="C","","")))</f>
        <v>0</v>
      </c>
      <c r="BG56" s="11">
        <f>IF(BG$38="A","",IF(BG$38="B",IF(ISNUMBER(INDEX($D$41:$AD$41,BG$37)),FIXED(INDEX($D$41:$AD$41,BG$37)/1000,1),""),IF(BG$38="C","","")))</f>
        <v>0</v>
      </c>
      <c r="BH56" s="11">
        <f>IF(BH$38="A","",IF(BH$38="B",IF(ISNUMBER(INDEX($D$41:$AD$41,BH$37)),FIXED(INDEX($D$41:$AD$41,BH$37)/1000,1),""),IF(BH$38="C","","")))</f>
        <v>0</v>
      </c>
      <c r="BI56" s="11">
        <f>IF(BI$38="A","",IF(BI$38="B",IF(ISNUMBER(INDEX($D$41:$AD$41,BI$37)),FIXED(INDEX($D$41:$AD$41,BI$37)/1000,1),""),IF(BI$38="C","","")))</f>
        <v>0</v>
      </c>
      <c r="BJ56" s="11">
        <f>IF(BJ$38="A","",IF(BJ$38="B",IF(ISNUMBER(INDEX($D$41:$AD$41,BJ$37)),FIXED(INDEX($D$41:$AD$41,BJ$37)/1000,1),""),IF(BJ$38="C","","")))</f>
        <v>0</v>
      </c>
      <c r="BK56" s="11">
        <f>IF(BK$38="A","",IF(BK$38="B",IF(ISNUMBER(INDEX($D$41:$AD$41,BK$37)),FIXED(INDEX($D$41:$AD$41,BK$37)/1000,1),""),IF(BK$38="C","","")))</f>
        <v>0</v>
      </c>
      <c r="BL56" s="11">
        <f>IF(BL$38="A","",IF(BL$38="B",IF(ISNUMBER(INDEX($D$41:$AD$41,BL$37)),FIXED(INDEX($D$41:$AD$41,BL$37)/1000,1),""),IF(BL$38="C","","")))</f>
        <v>0</v>
      </c>
      <c r="BM56" s="11">
        <f>IF(BM$38="A","",IF(BM$38="B",IF(ISNUMBER(INDEX($D$41:$AD$41,BM$37)),FIXED(INDEX($D$41:$AD$41,BM$37)/1000,1),""),IF(BM$38="C","","")))</f>
        <v>0</v>
      </c>
      <c r="BN56" s="11">
        <f>IF(BN$38="A","",IF(BN$38="B",IF(ISNUMBER(INDEX($D$41:$AD$41,BN$37)),FIXED(INDEX($D$41:$AD$41,BN$37)/1000,1),""),IF(BN$38="C","","")))</f>
        <v>0</v>
      </c>
      <c r="BO56" s="11">
        <f>IF(BO$38="A","",IF(BO$38="B",IF(ISNUMBER(INDEX($D$41:$AD$41,BO$37)),FIXED(INDEX($D$41:$AD$41,BO$37)/1000,1),""),IF(BO$38="C","","")))</f>
        <v>0</v>
      </c>
      <c r="BP56" s="11">
        <f>IF(BP$38="A","",IF(BP$38="B",IF(ISNUMBER(INDEX($D$41:$AD$41,BP$37)),FIXED(INDEX($D$41:$AD$41,BP$37)/1000,1),""),IF(BP$38="C","","")))</f>
        <v>0</v>
      </c>
      <c r="BQ56" s="11">
        <f>IF(BQ$38="A","",IF(BQ$38="B",IF(ISNUMBER(INDEX($D$41:$AD$41,BQ$37)),FIXED(INDEX($D$41:$AD$41,BQ$37)/1000,1),""),IF(BQ$38="C","","")))</f>
        <v>0</v>
      </c>
      <c r="BR56" s="11">
        <f>IF(BR$38="A","",IF(BR$38="B",IF(ISNUMBER(INDEX($D$41:$AD$41,BR$37)),FIXED(INDEX($D$41:$AD$41,BR$37)/1000,1),""),IF(BR$38="C","","")))</f>
        <v>0</v>
      </c>
      <c r="BS56" s="11">
        <f>IF(BS$38="A","",IF(BS$38="B",IF(ISNUMBER(INDEX($D$41:$AD$41,BS$37)),FIXED(INDEX($D$41:$AD$41,BS$37)/1000,1),""),IF(BS$38="C","","")))</f>
        <v>0</v>
      </c>
      <c r="BT56" s="11">
        <f>IF(BT$38="A","",IF(BT$38="B",IF(ISNUMBER(INDEX($D$41:$AD$41,BT$37)),FIXED(INDEX($D$41:$AD$41,BT$37)/1000,1),""),IF(BT$38="C","","")))</f>
        <v>0</v>
      </c>
    </row>
    <row r="57" spans="1:72">
      <c r="A57" s="11" t="s">
        <v>645</v>
      </c>
      <c r="B57" s="11" t="s">
        <v>646</v>
      </c>
      <c r="C57" s="67" t="s">
        <v>610</v>
      </c>
      <c r="AQ57" s="68">
        <f>IF(AQ$38="A",IF(ISNUMBER(INDEX($D$42:$AD$42,AQ$37)),INDEX($D$42:$AD$42,AQ$37)/MAX(1,_xlfn.AGGREGATE(4,6,INDEX($D$52:$AD$52,28-$D$36):$AD$52),N(Konfiguration!$F$9)),NA()),IF(AQ$38="B",NA(),IF(AQ$38="C",NA(),NA())))</f>
        <v>0</v>
      </c>
      <c r="AR57" s="68">
        <f>IF(AR$38="A",IF(ISNUMBER(INDEX($D$42:$AD$42,AR$37)),INDEX($D$42:$AD$42,AR$37)/MAX(1,_xlfn.AGGREGATE(4,6,INDEX($D$52:$AD$52,28-$D$36):$AD$52),N(Konfiguration!$F$9)),NA()),IF(AR$38="B",NA(),IF(AR$38="C",NA(),NA())))</f>
        <v>0</v>
      </c>
      <c r="AS57" s="68">
        <f>IF(AS$38="A",IF(ISNUMBER(INDEX($D$42:$AD$42,AS$37)),INDEX($D$42:$AD$42,AS$37)/MAX(1,_xlfn.AGGREGATE(4,6,INDEX($D$52:$AD$52,28-$D$36):$AD$52),N(Konfiguration!$F$9)),NA()),IF(AS$38="B",NA(),IF(AS$38="C",NA(),NA())))</f>
        <v>0</v>
      </c>
      <c r="AT57" s="68">
        <f>IF(AT$38="A",IF(ISNUMBER(INDEX($D$42:$AD$42,AT$37)),INDEX($D$42:$AD$42,AT$37)/MAX(1,_xlfn.AGGREGATE(4,6,INDEX($D$52:$AD$52,28-$D$36):$AD$52),N(Konfiguration!$F$9)),NA()),IF(AT$38="B",NA(),IF(AT$38="C",NA(),NA())))</f>
        <v>0</v>
      </c>
      <c r="AU57" s="68">
        <f>IF(AU$38="A",IF(ISNUMBER(INDEX($D$42:$AD$42,AU$37)),INDEX($D$42:$AD$42,AU$37)/MAX(1,_xlfn.AGGREGATE(4,6,INDEX($D$52:$AD$52,28-$D$36):$AD$52),N(Konfiguration!$F$9)),NA()),IF(AU$38="B",NA(),IF(AU$38="C",NA(),NA())))</f>
        <v>0</v>
      </c>
      <c r="AV57" s="68">
        <f>IF(AV$38="A",IF(ISNUMBER(INDEX($D$42:$AD$42,AV$37)),INDEX($D$42:$AD$42,AV$37)/MAX(1,_xlfn.AGGREGATE(4,6,INDEX($D$52:$AD$52,28-$D$36):$AD$52),N(Konfiguration!$F$9)),NA()),IF(AV$38="B",NA(),IF(AV$38="C",NA(),NA())))</f>
        <v>0</v>
      </c>
      <c r="AW57" s="68">
        <f>IF(AW$38="A",IF(ISNUMBER(INDEX($D$42:$AD$42,AW$37)),INDEX($D$42:$AD$42,AW$37)/MAX(1,_xlfn.AGGREGATE(4,6,INDEX($D$52:$AD$52,28-$D$36):$AD$52),N(Konfiguration!$F$9)),NA()),IF(AW$38="B",NA(),IF(AW$38="C",NA(),NA())))</f>
        <v>0</v>
      </c>
      <c r="AX57" s="68">
        <f>IF(AX$38="A",IF(ISNUMBER(INDEX($D$42:$AD$42,AX$37)),INDEX($D$42:$AD$42,AX$37)/MAX(1,_xlfn.AGGREGATE(4,6,INDEX($D$52:$AD$52,28-$D$36):$AD$52),N(Konfiguration!$F$9)),NA()),IF(AX$38="B",NA(),IF(AX$38="C",NA(),NA())))</f>
        <v>0</v>
      </c>
      <c r="AY57" s="68">
        <f>IF(AY$38="A",IF(ISNUMBER(INDEX($D$42:$AD$42,AY$37)),INDEX($D$42:$AD$42,AY$37)/MAX(1,_xlfn.AGGREGATE(4,6,INDEX($D$52:$AD$52,28-$D$36):$AD$52),N(Konfiguration!$F$9)),NA()),IF(AY$38="B",NA(),IF(AY$38="C",NA(),NA())))</f>
        <v>0</v>
      </c>
      <c r="AZ57" s="68">
        <f>IF(AZ$38="A",IF(ISNUMBER(INDEX($D$42:$AD$42,AZ$37)),INDEX($D$42:$AD$42,AZ$37)/MAX(1,_xlfn.AGGREGATE(4,6,INDEX($D$52:$AD$52,28-$D$36):$AD$52),N(Konfiguration!$F$9)),NA()),IF(AZ$38="B",NA(),IF(AZ$38="C",NA(),NA())))</f>
        <v>0</v>
      </c>
      <c r="BA57" s="68">
        <f>IF(BA$38="A",IF(ISNUMBER(INDEX($D$42:$AD$42,BA$37)),INDEX($D$42:$AD$42,BA$37)/MAX(1,_xlfn.AGGREGATE(4,6,INDEX($D$52:$AD$52,28-$D$36):$AD$52),N(Konfiguration!$F$9)),NA()),IF(BA$38="B",NA(),IF(BA$38="C",NA(),NA())))</f>
        <v>0</v>
      </c>
      <c r="BB57" s="68">
        <f>IF(BB$38="A",IF(ISNUMBER(INDEX($D$42:$AD$42,BB$37)),INDEX($D$42:$AD$42,BB$37)/MAX(1,_xlfn.AGGREGATE(4,6,INDEX($D$52:$AD$52,28-$D$36):$AD$52),N(Konfiguration!$F$9)),NA()),IF(BB$38="B",NA(),IF(BB$38="C",NA(),NA())))</f>
        <v>0</v>
      </c>
      <c r="BC57" s="68">
        <f>IF(BC$38="A",IF(ISNUMBER(INDEX($D$42:$AD$42,BC$37)),INDEX($D$42:$AD$42,BC$37)/MAX(1,_xlfn.AGGREGATE(4,6,INDEX($D$52:$AD$52,28-$D$36):$AD$52),N(Konfiguration!$F$9)),NA()),IF(BC$38="B",NA(),IF(BC$38="C",NA(),NA())))</f>
        <v>0</v>
      </c>
      <c r="BD57" s="68">
        <f>IF(BD$38="A",IF(ISNUMBER(INDEX($D$42:$AD$42,BD$37)),INDEX($D$42:$AD$42,BD$37)/MAX(1,_xlfn.AGGREGATE(4,6,INDEX($D$52:$AD$52,28-$D$36):$AD$52),N(Konfiguration!$F$9)),NA()),IF(BD$38="B",NA(),IF(BD$38="C",NA(),NA())))</f>
        <v>0</v>
      </c>
      <c r="BE57" s="68">
        <f>IF(BE$38="A",IF(ISNUMBER(INDEX($D$42:$AD$42,BE$37)),INDEX($D$42:$AD$42,BE$37)/MAX(1,_xlfn.AGGREGATE(4,6,INDEX($D$52:$AD$52,28-$D$36):$AD$52),N(Konfiguration!$F$9)),NA()),IF(BE$38="B",NA(),IF(BE$38="C",NA(),NA())))</f>
        <v>0</v>
      </c>
      <c r="BF57" s="68">
        <f>IF(BF$38="A",IF(ISNUMBER(INDEX($D$42:$AD$42,BF$37)),INDEX($D$42:$AD$42,BF$37)/MAX(1,_xlfn.AGGREGATE(4,6,INDEX($D$52:$AD$52,28-$D$36):$AD$52),N(Konfiguration!$F$9)),NA()),IF(BF$38="B",NA(),IF(BF$38="C",NA(),NA())))</f>
        <v>0</v>
      </c>
      <c r="BG57" s="68">
        <f>IF(BG$38="A",IF(ISNUMBER(INDEX($D$42:$AD$42,BG$37)),INDEX($D$42:$AD$42,BG$37)/MAX(1,_xlfn.AGGREGATE(4,6,INDEX($D$52:$AD$52,28-$D$36):$AD$52),N(Konfiguration!$F$9)),NA()),IF(BG$38="B",NA(),IF(BG$38="C",NA(),NA())))</f>
        <v>0</v>
      </c>
      <c r="BH57" s="68">
        <f>IF(BH$38="A",IF(ISNUMBER(INDEX($D$42:$AD$42,BH$37)),INDEX($D$42:$AD$42,BH$37)/MAX(1,_xlfn.AGGREGATE(4,6,INDEX($D$52:$AD$52,28-$D$36):$AD$52),N(Konfiguration!$F$9)),NA()),IF(BH$38="B",NA(),IF(BH$38="C",NA(),NA())))</f>
        <v>0</v>
      </c>
      <c r="BI57" s="68">
        <f>IF(BI$38="A",IF(ISNUMBER(INDEX($D$42:$AD$42,BI$37)),INDEX($D$42:$AD$42,BI$37)/MAX(1,_xlfn.AGGREGATE(4,6,INDEX($D$52:$AD$52,28-$D$36):$AD$52),N(Konfiguration!$F$9)),NA()),IF(BI$38="B",NA(),IF(BI$38="C",NA(),NA())))</f>
        <v>0</v>
      </c>
      <c r="BJ57" s="68">
        <f>IF(BJ$38="A",IF(ISNUMBER(INDEX($D$42:$AD$42,BJ$37)),INDEX($D$42:$AD$42,BJ$37)/MAX(1,_xlfn.AGGREGATE(4,6,INDEX($D$52:$AD$52,28-$D$36):$AD$52),N(Konfiguration!$F$9)),NA()),IF(BJ$38="B",NA(),IF(BJ$38="C",NA(),NA())))</f>
        <v>0</v>
      </c>
      <c r="BK57" s="68">
        <f>IF(BK$38="A",IF(ISNUMBER(INDEX($D$42:$AD$42,BK$37)),INDEX($D$42:$AD$42,BK$37)/MAX(1,_xlfn.AGGREGATE(4,6,INDEX($D$52:$AD$52,28-$D$36):$AD$52),N(Konfiguration!$F$9)),NA()),IF(BK$38="B",NA(),IF(BK$38="C",NA(),NA())))</f>
        <v>0</v>
      </c>
      <c r="BL57" s="68">
        <f>IF(BL$38="A",IF(ISNUMBER(INDEX($D$42:$AD$42,BL$37)),INDEX($D$42:$AD$42,BL$37)/MAX(1,_xlfn.AGGREGATE(4,6,INDEX($D$52:$AD$52,28-$D$36):$AD$52),N(Konfiguration!$F$9)),NA()),IF(BL$38="B",NA(),IF(BL$38="C",NA(),NA())))</f>
        <v>0</v>
      </c>
      <c r="BM57" s="68">
        <f>IF(BM$38="A",IF(ISNUMBER(INDEX($D$42:$AD$42,BM$37)),INDEX($D$42:$AD$42,BM$37)/MAX(1,_xlfn.AGGREGATE(4,6,INDEX($D$52:$AD$52,28-$D$36):$AD$52),N(Konfiguration!$F$9)),NA()),IF(BM$38="B",NA(),IF(BM$38="C",NA(),NA())))</f>
        <v>0</v>
      </c>
      <c r="BN57" s="68">
        <f>IF(BN$38="A",IF(ISNUMBER(INDEX($D$42:$AD$42,BN$37)),INDEX($D$42:$AD$42,BN$37)/MAX(1,_xlfn.AGGREGATE(4,6,INDEX($D$52:$AD$52,28-$D$36):$AD$52),N(Konfiguration!$F$9)),NA()),IF(BN$38="B",NA(),IF(BN$38="C",NA(),NA())))</f>
        <v>0</v>
      </c>
      <c r="BO57" s="68">
        <f>IF(BO$38="A",IF(ISNUMBER(INDEX($D$42:$AD$42,BO$37)),INDEX($D$42:$AD$42,BO$37)/MAX(1,_xlfn.AGGREGATE(4,6,INDEX($D$52:$AD$52,28-$D$36):$AD$52),N(Konfiguration!$F$9)),NA()),IF(BO$38="B",NA(),IF(BO$38="C",NA(),NA())))</f>
        <v>0</v>
      </c>
      <c r="BP57" s="68">
        <f>IF(BP$38="A",IF(ISNUMBER(INDEX($D$42:$AD$42,BP$37)),INDEX($D$42:$AD$42,BP$37)/MAX(1,_xlfn.AGGREGATE(4,6,INDEX($D$52:$AD$52,28-$D$36):$AD$52),N(Konfiguration!$F$9)),NA()),IF(BP$38="B",NA(),IF(BP$38="C",NA(),NA())))</f>
        <v>0</v>
      </c>
      <c r="BQ57" s="68">
        <f>IF(BQ$38="A",IF(ISNUMBER(INDEX($D$42:$AD$42,BQ$37)),INDEX($D$42:$AD$42,BQ$37)/MAX(1,_xlfn.AGGREGATE(4,6,INDEX($D$52:$AD$52,28-$D$36):$AD$52),N(Konfiguration!$F$9)),NA()),IF(BQ$38="B",NA(),IF(BQ$38="C",NA(),NA())))</f>
        <v>0</v>
      </c>
      <c r="BR57" s="68">
        <f>IF(BR$38="A",IF(ISNUMBER(INDEX($D$42:$AD$42,BR$37)),INDEX($D$42:$AD$42,BR$37)/MAX(1,_xlfn.AGGREGATE(4,6,INDEX($D$52:$AD$52,28-$D$36):$AD$52),N(Konfiguration!$F$9)),NA()),IF(BR$38="B",NA(),IF(BR$38="C",NA(),NA())))</f>
        <v>0</v>
      </c>
      <c r="BS57" s="68">
        <f>IF(BS$38="A",IF(ISNUMBER(INDEX($D$42:$AD$42,BS$37)),INDEX($D$42:$AD$42,BS$37)/MAX(1,_xlfn.AGGREGATE(4,6,INDEX($D$52:$AD$52,28-$D$36):$AD$52),N(Konfiguration!$F$9)),NA()),IF(BS$38="B",NA(),IF(BS$38="C",NA(),NA())))</f>
        <v>0</v>
      </c>
      <c r="BT57" s="68">
        <f>IF(BT$38="A",IF(ISNUMBER(INDEX($D$42:$AD$42,BT$37)),INDEX($D$42:$AD$42,BT$37)/MAX(1,_xlfn.AGGREGATE(4,6,INDEX($D$52:$AD$52,28-$D$36):$AD$52),N(Konfiguration!$F$9)),NA()),IF(BT$38="B",NA(),IF(BT$38="C",NA(),NA())))</f>
        <v>0</v>
      </c>
    </row>
    <row r="58" spans="1:72">
      <c r="A58" s="11" t="s">
        <v>647</v>
      </c>
      <c r="B58" s="11" t="s">
        <v>648</v>
      </c>
      <c r="C58" s="67" t="s">
        <v>610</v>
      </c>
      <c r="AQ58" s="68">
        <f>IF(AQ$38="A",NA(),IF(AQ$38="B",IF(ISNUMBER(INDEX($D$42:$AD$42,AQ$37)),MAX(INDEX($D$52:$AD$52,A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Q$38="C",NA(),NA())))</f>
        <v>0</v>
      </c>
      <c r="AR58" s="68">
        <f>IF(AR$38="A",NA(),IF(AR$38="B",IF(ISNUMBER(INDEX($D$42:$AD$42,AR$37)),MAX(INDEX($D$52:$AD$52,A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R$38="C",NA(),NA())))</f>
        <v>0</v>
      </c>
      <c r="AS58" s="68">
        <f>IF(AS$38="A",NA(),IF(AS$38="B",IF(ISNUMBER(INDEX($D$42:$AD$42,AS$37)),MAX(INDEX($D$52:$AD$52,A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S$38="C",NA(),NA())))</f>
        <v>0</v>
      </c>
      <c r="AT58" s="68">
        <f>IF(AT$38="A",NA(),IF(AT$38="B",IF(ISNUMBER(INDEX($D$42:$AD$42,AT$37)),MAX(INDEX($D$52:$AD$52,A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T$38="C",NA(),NA())))</f>
        <v>0</v>
      </c>
      <c r="AU58" s="68">
        <f>IF(AU$38="A",NA(),IF(AU$38="B",IF(ISNUMBER(INDEX($D$42:$AD$42,AU$37)),MAX(INDEX($D$52:$AD$52,AU$37)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U$38="C",NA(),NA())))</f>
        <v>0</v>
      </c>
      <c r="AV58" s="68">
        <f>IF(AV$38="A",NA(),IF(AV$38="B",IF(ISNUMBER(INDEX($D$42:$AD$42,AV$37)),MAX(INDEX($D$52:$AD$52,AV$37)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V$38="C",NA(),NA())))</f>
        <v>0</v>
      </c>
      <c r="AW58" s="68">
        <f>IF(AW$38="A",NA(),IF(AW$38="B",IF(ISNUMBER(INDEX($D$42:$AD$42,AW$37)),MAX(INDEX($D$52:$AD$52,AW$37)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W$38="C",NA(),NA())))</f>
        <v>0</v>
      </c>
      <c r="AX58" s="68">
        <f>IF(AX$38="A",NA(),IF(AX$38="B",IF(ISNUMBER(INDEX($D$42:$AD$42,AX$37)),MAX(INDEX($D$52:$AD$52,AX$37)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X$38="C",NA(),NA())))</f>
        <v>0</v>
      </c>
      <c r="AY58" s="68">
        <f>IF(AY$38="A",NA(),IF(AY$38="B",IF(ISNUMBER(INDEX($D$42:$AD$42,AY$37)),MAX(INDEX($D$52:$AD$52,AY$37)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Y$38="C",NA(),NA())))</f>
        <v>0</v>
      </c>
      <c r="AZ58" s="68">
        <f>IF(AZ$38="A",NA(),IF(AZ$38="B",IF(ISNUMBER(INDEX($D$42:$AD$42,AZ$37)),MAX(INDEX($D$52:$AD$52,AZ$37)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Z$38="C",NA(),NA())))</f>
        <v>0</v>
      </c>
      <c r="BA58" s="68">
        <f>IF(BA$38="A",NA(),IF(BA$38="B",IF(ISNUMBER(INDEX($D$42:$AD$42,BA$37)),MAX(INDEX($D$52:$AD$52,BA$37)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A$38="C",NA(),NA())))</f>
        <v>0</v>
      </c>
      <c r="BB58" s="68">
        <f>IF(BB$38="A",NA(),IF(BB$38="B",IF(ISNUMBER(INDEX($D$42:$AD$42,BB$37)),MAX(INDEX($D$52:$AD$52,BB$37)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B$38="C",NA(),NA())))</f>
        <v>0</v>
      </c>
      <c r="BC58" s="68">
        <f>IF(BC$38="A",NA(),IF(BC$38="B",IF(ISNUMBER(INDEX($D$42:$AD$42,BC$37)),MAX(INDEX($D$52:$AD$52,BC$37)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C$38="C",NA(),NA())))</f>
        <v>0</v>
      </c>
      <c r="BD58" s="68">
        <f>IF(BD$38="A",NA(),IF(BD$38="B",IF(ISNUMBER(INDEX($D$42:$AD$42,BD$37)),MAX(INDEX($D$52:$AD$52,BD$37)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D$38="C",NA(),NA())))</f>
        <v>0</v>
      </c>
      <c r="BE58" s="68">
        <f>IF(BE$38="A",NA(),IF(BE$38="B",IF(ISNUMBER(INDEX($D$42:$AD$42,BE$37)),MAX(INDEX($D$52:$AD$52,BE$37)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E$38="C",NA(),NA())))</f>
        <v>0</v>
      </c>
      <c r="BF58" s="68">
        <f>IF(BF$38="A",NA(),IF(BF$38="B",IF(ISNUMBER(INDEX($D$42:$AD$42,BF$37)),MAX(INDEX($D$52:$AD$52,BF$37)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F$38="C",NA(),NA())))</f>
        <v>0</v>
      </c>
      <c r="BG58" s="68">
        <f>IF(BG$38="A",NA(),IF(BG$38="B",IF(ISNUMBER(INDEX($D$42:$AD$42,BG$37)),MAX(INDEX($D$52:$AD$52,BG$37)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G$38="C",NA(),NA())))</f>
        <v>0</v>
      </c>
      <c r="BH58" s="68">
        <f>IF(BH$38="A",NA(),IF(BH$38="B",IF(ISNUMBER(INDEX($D$42:$AD$42,BH$37)),MAX(INDEX($D$52:$AD$52,BH$37)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H$38="C",NA(),NA())))</f>
        <v>0</v>
      </c>
      <c r="BI58" s="68">
        <f>IF(BI$38="A",NA(),IF(BI$38="B",IF(ISNUMBER(INDEX($D$42:$AD$42,BI$37)),MAX(INDEX($D$52:$AD$52,BI$37)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I$38="C",NA(),NA())))</f>
        <v>0</v>
      </c>
      <c r="BJ58" s="68">
        <f>IF(BJ$38="A",NA(),IF(BJ$38="B",IF(ISNUMBER(INDEX($D$42:$AD$42,BJ$37)),MAX(INDEX($D$52:$AD$52,BJ$37)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J$38="C",NA(),NA())))</f>
        <v>0</v>
      </c>
      <c r="BK58" s="68">
        <f>IF(BK$38="A",NA(),IF(BK$38="B",IF(ISNUMBER(INDEX($D$42:$AD$42,BK$37)),MAX(INDEX($D$52:$AD$52,BK$37)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K$38="C",NA(),NA())))</f>
        <v>0</v>
      </c>
      <c r="BL58" s="68">
        <f>IF(BL$38="A",NA(),IF(BL$38="B",IF(ISNUMBER(INDEX($D$42:$AD$42,BL$37)),MAX(INDEX($D$52:$AD$52,BL$37)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L$38="C",NA(),NA())))</f>
        <v>0</v>
      </c>
      <c r="BM58" s="68">
        <f>IF(BM$38="A",NA(),IF(BM$38="B",IF(ISNUMBER(INDEX($D$42:$AD$42,BM$37)),MAX(INDEX($D$52:$AD$52,BM$37)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M$38="C",NA(),NA())))</f>
        <v>0</v>
      </c>
      <c r="BN58" s="68">
        <f>IF(BN$38="A",NA(),IF(BN$38="B",IF(ISNUMBER(INDEX($D$42:$AD$42,BN$37)),MAX(INDEX($D$52:$AD$52,BN$37)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N$38="C",NA(),NA())))</f>
        <v>0</v>
      </c>
      <c r="BO58" s="68">
        <f>IF(BO$38="A",NA(),IF(BO$38="B",IF(ISNUMBER(INDEX($D$42:$AD$42,BO$37)),MAX(INDEX($D$52:$AD$52,BO$37)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O$38="C",NA(),NA())))</f>
        <v>0</v>
      </c>
      <c r="BP58" s="68">
        <f>IF(BP$38="A",NA(),IF(BP$38="B",IF(ISNUMBER(INDEX($D$42:$AD$42,BP$37)),MAX(INDEX($D$52:$AD$52,BP$37)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P$38="C",NA(),NA())))</f>
        <v>0</v>
      </c>
      <c r="BQ58" s="68">
        <f>IF(BQ$38="A",NA(),IF(BQ$38="B",IF(ISNUMBER(INDEX($D$42:$AD$42,BQ$37)),MAX(INDEX($D$52:$AD$52,B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Q$38="C",NA(),NA())))</f>
        <v>0</v>
      </c>
      <c r="BR58" s="68">
        <f>IF(BR$38="A",NA(),IF(BR$38="B",IF(ISNUMBER(INDEX($D$42:$AD$42,BR$37)),MAX(INDEX($D$52:$AD$52,B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R$38="C",NA(),NA())))</f>
        <v>0</v>
      </c>
      <c r="BS58" s="68">
        <f>IF(BS$38="A",NA(),IF(BS$38="B",IF(ISNUMBER(INDEX($D$42:$AD$42,BS$37)),MAX(INDEX($D$52:$AD$52,B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S$38="C",NA(),NA())))</f>
        <v>0</v>
      </c>
      <c r="BT58" s="68">
        <f>IF(BT$38="A",NA(),IF(BT$38="B",IF(ISNUMBER(INDEX($D$42:$AD$42,BT$37)),MAX(INDEX($D$52:$AD$52,B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T$38="C",NA(),NA())))</f>
        <v>0</v>
      </c>
    </row>
    <row r="59" spans="1:72">
      <c r="A59" s="11" t="s">
        <v>649</v>
      </c>
      <c r="B59" s="11" t="s">
        <v>650</v>
      </c>
      <c r="C59" s="67" t="s">
        <v>610</v>
      </c>
      <c r="AQ59" s="11">
        <f>IF(AQ$38="A","",IF(AQ$38="B",IF(ISNUMBER(INDEX($D$42:$AD$42,AQ$37)),FIXED(INDEX($D$42:$AD$42,AQ$37)/1000,1),""),IF(AQ$38="C","","")))</f>
        <v>0</v>
      </c>
      <c r="AR59" s="11">
        <f>IF(AR$38="A","",IF(AR$38="B",IF(ISNUMBER(INDEX($D$42:$AD$42,AR$37)),FIXED(INDEX($D$42:$AD$42,AR$37)/1000,1),""),IF(AR$38="C","","")))</f>
        <v>0</v>
      </c>
      <c r="AS59" s="11">
        <f>IF(AS$38="A","",IF(AS$38="B",IF(ISNUMBER(INDEX($D$42:$AD$42,AS$37)),FIXED(INDEX($D$42:$AD$42,AS$37)/1000,1),""),IF(AS$38="C","","")))</f>
        <v>0</v>
      </c>
      <c r="AT59" s="11">
        <f>IF(AT$38="A","",IF(AT$38="B",IF(ISNUMBER(INDEX($D$42:$AD$42,AT$37)),FIXED(INDEX($D$42:$AD$42,AT$37)/1000,1),""),IF(AT$38="C","","")))</f>
        <v>0</v>
      </c>
      <c r="AU59" s="11">
        <f>IF(AU$38="A","",IF(AU$38="B",IF(ISNUMBER(INDEX($D$42:$AD$42,AU$37)),FIXED(INDEX($D$42:$AD$42,AU$37)/1000,1),""),IF(AU$38="C","","")))</f>
        <v>0</v>
      </c>
      <c r="AV59" s="11">
        <f>IF(AV$38="A","",IF(AV$38="B",IF(ISNUMBER(INDEX($D$42:$AD$42,AV$37)),FIXED(INDEX($D$42:$AD$42,AV$37)/1000,1),""),IF(AV$38="C","","")))</f>
        <v>0</v>
      </c>
      <c r="AW59" s="11">
        <f>IF(AW$38="A","",IF(AW$38="B",IF(ISNUMBER(INDEX($D$42:$AD$42,AW$37)),FIXED(INDEX($D$42:$AD$42,AW$37)/1000,1),""),IF(AW$38="C","","")))</f>
        <v>0</v>
      </c>
      <c r="AX59" s="11">
        <f>IF(AX$38="A","",IF(AX$38="B",IF(ISNUMBER(INDEX($D$42:$AD$42,AX$37)),FIXED(INDEX($D$42:$AD$42,AX$37)/1000,1),""),IF(AX$38="C","","")))</f>
        <v>0</v>
      </c>
      <c r="AY59" s="11">
        <f>IF(AY$38="A","",IF(AY$38="B",IF(ISNUMBER(INDEX($D$42:$AD$42,AY$37)),FIXED(INDEX($D$42:$AD$42,AY$37)/1000,1),""),IF(AY$38="C","","")))</f>
        <v>0</v>
      </c>
      <c r="AZ59" s="11">
        <f>IF(AZ$38="A","",IF(AZ$38="B",IF(ISNUMBER(INDEX($D$42:$AD$42,AZ$37)),FIXED(INDEX($D$42:$AD$42,AZ$37)/1000,1),""),IF(AZ$38="C","","")))</f>
        <v>0</v>
      </c>
      <c r="BA59" s="11">
        <f>IF(BA$38="A","",IF(BA$38="B",IF(ISNUMBER(INDEX($D$42:$AD$42,BA$37)),FIXED(INDEX($D$42:$AD$42,BA$37)/1000,1),""),IF(BA$38="C","","")))</f>
        <v>0</v>
      </c>
      <c r="BB59" s="11">
        <f>IF(BB$38="A","",IF(BB$38="B",IF(ISNUMBER(INDEX($D$42:$AD$42,BB$37)),FIXED(INDEX($D$42:$AD$42,BB$37)/1000,1),""),IF(BB$38="C","","")))</f>
        <v>0</v>
      </c>
      <c r="BC59" s="11">
        <f>IF(BC$38="A","",IF(BC$38="B",IF(ISNUMBER(INDEX($D$42:$AD$42,BC$37)),FIXED(INDEX($D$42:$AD$42,BC$37)/1000,1),""),IF(BC$38="C","","")))</f>
        <v>0</v>
      </c>
      <c r="BD59" s="11">
        <f>IF(BD$38="A","",IF(BD$38="B",IF(ISNUMBER(INDEX($D$42:$AD$42,BD$37)),FIXED(INDEX($D$42:$AD$42,BD$37)/1000,1),""),IF(BD$38="C","","")))</f>
        <v>0</v>
      </c>
      <c r="BE59" s="11">
        <f>IF(BE$38="A","",IF(BE$38="B",IF(ISNUMBER(INDEX($D$42:$AD$42,BE$37)),FIXED(INDEX($D$42:$AD$42,BE$37)/1000,1),""),IF(BE$38="C","","")))</f>
        <v>0</v>
      </c>
      <c r="BF59" s="11">
        <f>IF(BF$38="A","",IF(BF$38="B",IF(ISNUMBER(INDEX($D$42:$AD$42,BF$37)),FIXED(INDEX($D$42:$AD$42,BF$37)/1000,1),""),IF(BF$38="C","","")))</f>
        <v>0</v>
      </c>
      <c r="BG59" s="11">
        <f>IF(BG$38="A","",IF(BG$38="B",IF(ISNUMBER(INDEX($D$42:$AD$42,BG$37)),FIXED(INDEX($D$42:$AD$42,BG$37)/1000,1),""),IF(BG$38="C","","")))</f>
        <v>0</v>
      </c>
      <c r="BH59" s="11">
        <f>IF(BH$38="A","",IF(BH$38="B",IF(ISNUMBER(INDEX($D$42:$AD$42,BH$37)),FIXED(INDEX($D$42:$AD$42,BH$37)/1000,1),""),IF(BH$38="C","","")))</f>
        <v>0</v>
      </c>
      <c r="BI59" s="11">
        <f>IF(BI$38="A","",IF(BI$38="B",IF(ISNUMBER(INDEX($D$42:$AD$42,BI$37)),FIXED(INDEX($D$42:$AD$42,BI$37)/1000,1),""),IF(BI$38="C","","")))</f>
        <v>0</v>
      </c>
      <c r="BJ59" s="11">
        <f>IF(BJ$38="A","",IF(BJ$38="B",IF(ISNUMBER(INDEX($D$42:$AD$42,BJ$37)),FIXED(INDEX($D$42:$AD$42,BJ$37)/1000,1),""),IF(BJ$38="C","","")))</f>
        <v>0</v>
      </c>
      <c r="BK59" s="11">
        <f>IF(BK$38="A","",IF(BK$38="B",IF(ISNUMBER(INDEX($D$42:$AD$42,BK$37)),FIXED(INDEX($D$42:$AD$42,BK$37)/1000,1),""),IF(BK$38="C","","")))</f>
        <v>0</v>
      </c>
      <c r="BL59" s="11">
        <f>IF(BL$38="A","",IF(BL$38="B",IF(ISNUMBER(INDEX($D$42:$AD$42,BL$37)),FIXED(INDEX($D$42:$AD$42,BL$37)/1000,1),""),IF(BL$38="C","","")))</f>
        <v>0</v>
      </c>
      <c r="BM59" s="11">
        <f>IF(BM$38="A","",IF(BM$38="B",IF(ISNUMBER(INDEX($D$42:$AD$42,BM$37)),FIXED(INDEX($D$42:$AD$42,BM$37)/1000,1),""),IF(BM$38="C","","")))</f>
        <v>0</v>
      </c>
      <c r="BN59" s="11">
        <f>IF(BN$38="A","",IF(BN$38="B",IF(ISNUMBER(INDEX($D$42:$AD$42,BN$37)),FIXED(INDEX($D$42:$AD$42,BN$37)/1000,1),""),IF(BN$38="C","","")))</f>
        <v>0</v>
      </c>
      <c r="BO59" s="11">
        <f>IF(BO$38="A","",IF(BO$38="B",IF(ISNUMBER(INDEX($D$42:$AD$42,BO$37)),FIXED(INDEX($D$42:$AD$42,BO$37)/1000,1),""),IF(BO$38="C","","")))</f>
        <v>0</v>
      </c>
      <c r="BP59" s="11">
        <f>IF(BP$38="A","",IF(BP$38="B",IF(ISNUMBER(INDEX($D$42:$AD$42,BP$37)),FIXED(INDEX($D$42:$AD$42,BP$37)/1000,1),""),IF(BP$38="C","","")))</f>
        <v>0</v>
      </c>
      <c r="BQ59" s="11">
        <f>IF(BQ$38="A","",IF(BQ$38="B",IF(ISNUMBER(INDEX($D$42:$AD$42,BQ$37)),FIXED(INDEX($D$42:$AD$42,BQ$37)/1000,1),""),IF(BQ$38="C","","")))</f>
        <v>0</v>
      </c>
      <c r="BR59" s="11">
        <f>IF(BR$38="A","",IF(BR$38="B",IF(ISNUMBER(INDEX($D$42:$AD$42,BR$37)),FIXED(INDEX($D$42:$AD$42,BR$37)/1000,1),""),IF(BR$38="C","","")))</f>
        <v>0</v>
      </c>
      <c r="BS59" s="11">
        <f>IF(BS$38="A","",IF(BS$38="B",IF(ISNUMBER(INDEX($D$42:$AD$42,BS$37)),FIXED(INDEX($D$42:$AD$42,BS$37)/1000,1),""),IF(BS$38="C","","")))</f>
        <v>0</v>
      </c>
      <c r="BT59" s="11">
        <f>IF(BT$38="A","",IF(BT$38="B",IF(ISNUMBER(INDEX($D$42:$AD$42,BT$37)),FIXED(INDEX($D$42:$AD$42,BT$37)/1000,1),""),IF(BT$38="C","","")))</f>
        <v>0</v>
      </c>
    </row>
    <row r="60" spans="1:72">
      <c r="A60" s="11" t="s">
        <v>651</v>
      </c>
      <c r="B60" s="11" t="s">
        <v>652</v>
      </c>
      <c r="C60" s="67" t="s">
        <v>610</v>
      </c>
      <c r="AQ60" s="68">
        <f>IF(AQ$38="A",IF(ISNUMBER(INDEX($D$43:$AD$43,AQ$37)),INDEX($D$43:$AD$43,AQ$37)/MAX(1,_xlfn.AGGREGATE(4,6,INDEX($D$52:$AD$52,28-$D$36):$AD$52),N(Konfiguration!$F$9)),NA()),IF(AQ$38="B",NA(),IF(AQ$38="C",NA(),NA())))</f>
        <v>0</v>
      </c>
      <c r="AR60" s="68">
        <f>IF(AR$38="A",IF(ISNUMBER(INDEX($D$43:$AD$43,AR$37)),INDEX($D$43:$AD$43,AR$37)/MAX(1,_xlfn.AGGREGATE(4,6,INDEX($D$52:$AD$52,28-$D$36):$AD$52),N(Konfiguration!$F$9)),NA()),IF(AR$38="B",NA(),IF(AR$38="C",NA(),NA())))</f>
        <v>0</v>
      </c>
      <c r="AS60" s="68">
        <f>IF(AS$38="A",IF(ISNUMBER(INDEX($D$43:$AD$43,AS$37)),INDEX($D$43:$AD$43,AS$37)/MAX(1,_xlfn.AGGREGATE(4,6,INDEX($D$52:$AD$52,28-$D$36):$AD$52),N(Konfiguration!$F$9)),NA()),IF(AS$38="B",NA(),IF(AS$38="C",NA(),NA())))</f>
        <v>0</v>
      </c>
      <c r="AT60" s="68">
        <f>IF(AT$38="A",IF(ISNUMBER(INDEX($D$43:$AD$43,AT$37)),INDEX($D$43:$AD$43,AT$37)/MAX(1,_xlfn.AGGREGATE(4,6,INDEX($D$52:$AD$52,28-$D$36):$AD$52),N(Konfiguration!$F$9)),NA()),IF(AT$38="B",NA(),IF(AT$38="C",NA(),NA())))</f>
        <v>0</v>
      </c>
      <c r="AU60" s="68">
        <f>IF(AU$38="A",IF(ISNUMBER(INDEX($D$43:$AD$43,AU$37)),INDEX($D$43:$AD$43,AU$37)/MAX(1,_xlfn.AGGREGATE(4,6,INDEX($D$52:$AD$52,28-$D$36):$AD$52),N(Konfiguration!$F$9)),NA()),IF(AU$38="B",NA(),IF(AU$38="C",NA(),NA())))</f>
        <v>0</v>
      </c>
      <c r="AV60" s="68">
        <f>IF(AV$38="A",IF(ISNUMBER(INDEX($D$43:$AD$43,AV$37)),INDEX($D$43:$AD$43,AV$37)/MAX(1,_xlfn.AGGREGATE(4,6,INDEX($D$52:$AD$52,28-$D$36):$AD$52),N(Konfiguration!$F$9)),NA()),IF(AV$38="B",NA(),IF(AV$38="C",NA(),NA())))</f>
        <v>0</v>
      </c>
      <c r="AW60" s="68">
        <f>IF(AW$38="A",IF(ISNUMBER(INDEX($D$43:$AD$43,AW$37)),INDEX($D$43:$AD$43,AW$37)/MAX(1,_xlfn.AGGREGATE(4,6,INDEX($D$52:$AD$52,28-$D$36):$AD$52),N(Konfiguration!$F$9)),NA()),IF(AW$38="B",NA(),IF(AW$38="C",NA(),NA())))</f>
        <v>0</v>
      </c>
      <c r="AX60" s="68">
        <f>IF(AX$38="A",IF(ISNUMBER(INDEX($D$43:$AD$43,AX$37)),INDEX($D$43:$AD$43,AX$37)/MAX(1,_xlfn.AGGREGATE(4,6,INDEX($D$52:$AD$52,28-$D$36):$AD$52),N(Konfiguration!$F$9)),NA()),IF(AX$38="B",NA(),IF(AX$38="C",NA(),NA())))</f>
        <v>0</v>
      </c>
      <c r="AY60" s="68">
        <f>IF(AY$38="A",IF(ISNUMBER(INDEX($D$43:$AD$43,AY$37)),INDEX($D$43:$AD$43,AY$37)/MAX(1,_xlfn.AGGREGATE(4,6,INDEX($D$52:$AD$52,28-$D$36):$AD$52),N(Konfiguration!$F$9)),NA()),IF(AY$38="B",NA(),IF(AY$38="C",NA(),NA())))</f>
        <v>0</v>
      </c>
      <c r="AZ60" s="68">
        <f>IF(AZ$38="A",IF(ISNUMBER(INDEX($D$43:$AD$43,AZ$37)),INDEX($D$43:$AD$43,AZ$37)/MAX(1,_xlfn.AGGREGATE(4,6,INDEX($D$52:$AD$52,28-$D$36):$AD$52),N(Konfiguration!$F$9)),NA()),IF(AZ$38="B",NA(),IF(AZ$38="C",NA(),NA())))</f>
        <v>0</v>
      </c>
      <c r="BA60" s="68">
        <f>IF(BA$38="A",IF(ISNUMBER(INDEX($D$43:$AD$43,BA$37)),INDEX($D$43:$AD$43,BA$37)/MAX(1,_xlfn.AGGREGATE(4,6,INDEX($D$52:$AD$52,28-$D$36):$AD$52),N(Konfiguration!$F$9)),NA()),IF(BA$38="B",NA(),IF(BA$38="C",NA(),NA())))</f>
        <v>0</v>
      </c>
      <c r="BB60" s="68">
        <f>IF(BB$38="A",IF(ISNUMBER(INDEX($D$43:$AD$43,BB$37)),INDEX($D$43:$AD$43,BB$37)/MAX(1,_xlfn.AGGREGATE(4,6,INDEX($D$52:$AD$52,28-$D$36):$AD$52),N(Konfiguration!$F$9)),NA()),IF(BB$38="B",NA(),IF(BB$38="C",NA(),NA())))</f>
        <v>0</v>
      </c>
      <c r="BC60" s="68">
        <f>IF(BC$38="A",IF(ISNUMBER(INDEX($D$43:$AD$43,BC$37)),INDEX($D$43:$AD$43,BC$37)/MAX(1,_xlfn.AGGREGATE(4,6,INDEX($D$52:$AD$52,28-$D$36):$AD$52),N(Konfiguration!$F$9)),NA()),IF(BC$38="B",NA(),IF(BC$38="C",NA(),NA())))</f>
        <v>0</v>
      </c>
      <c r="BD60" s="68">
        <f>IF(BD$38="A",IF(ISNUMBER(INDEX($D$43:$AD$43,BD$37)),INDEX($D$43:$AD$43,BD$37)/MAX(1,_xlfn.AGGREGATE(4,6,INDEX($D$52:$AD$52,28-$D$36):$AD$52),N(Konfiguration!$F$9)),NA()),IF(BD$38="B",NA(),IF(BD$38="C",NA(),NA())))</f>
        <v>0</v>
      </c>
      <c r="BE60" s="68">
        <f>IF(BE$38="A",IF(ISNUMBER(INDEX($D$43:$AD$43,BE$37)),INDEX($D$43:$AD$43,BE$37)/MAX(1,_xlfn.AGGREGATE(4,6,INDEX($D$52:$AD$52,28-$D$36):$AD$52),N(Konfiguration!$F$9)),NA()),IF(BE$38="B",NA(),IF(BE$38="C",NA(),NA())))</f>
        <v>0</v>
      </c>
      <c r="BF60" s="68">
        <f>IF(BF$38="A",IF(ISNUMBER(INDEX($D$43:$AD$43,BF$37)),INDEX($D$43:$AD$43,BF$37)/MAX(1,_xlfn.AGGREGATE(4,6,INDEX($D$52:$AD$52,28-$D$36):$AD$52),N(Konfiguration!$F$9)),NA()),IF(BF$38="B",NA(),IF(BF$38="C",NA(),NA())))</f>
        <v>0</v>
      </c>
      <c r="BG60" s="68">
        <f>IF(BG$38="A",IF(ISNUMBER(INDEX($D$43:$AD$43,BG$37)),INDEX($D$43:$AD$43,BG$37)/MAX(1,_xlfn.AGGREGATE(4,6,INDEX($D$52:$AD$52,28-$D$36):$AD$52),N(Konfiguration!$F$9)),NA()),IF(BG$38="B",NA(),IF(BG$38="C",NA(),NA())))</f>
        <v>0</v>
      </c>
      <c r="BH60" s="68">
        <f>IF(BH$38="A",IF(ISNUMBER(INDEX($D$43:$AD$43,BH$37)),INDEX($D$43:$AD$43,BH$37)/MAX(1,_xlfn.AGGREGATE(4,6,INDEX($D$52:$AD$52,28-$D$36):$AD$52),N(Konfiguration!$F$9)),NA()),IF(BH$38="B",NA(),IF(BH$38="C",NA(),NA())))</f>
        <v>0</v>
      </c>
      <c r="BI60" s="68">
        <f>IF(BI$38="A",IF(ISNUMBER(INDEX($D$43:$AD$43,BI$37)),INDEX($D$43:$AD$43,BI$37)/MAX(1,_xlfn.AGGREGATE(4,6,INDEX($D$52:$AD$52,28-$D$36):$AD$52),N(Konfiguration!$F$9)),NA()),IF(BI$38="B",NA(),IF(BI$38="C",NA(),NA())))</f>
        <v>0</v>
      </c>
      <c r="BJ60" s="68">
        <f>IF(BJ$38="A",IF(ISNUMBER(INDEX($D$43:$AD$43,BJ$37)),INDEX($D$43:$AD$43,BJ$37)/MAX(1,_xlfn.AGGREGATE(4,6,INDEX($D$52:$AD$52,28-$D$36):$AD$52),N(Konfiguration!$F$9)),NA()),IF(BJ$38="B",NA(),IF(BJ$38="C",NA(),NA())))</f>
        <v>0</v>
      </c>
      <c r="BK60" s="68">
        <f>IF(BK$38="A",IF(ISNUMBER(INDEX($D$43:$AD$43,BK$37)),INDEX($D$43:$AD$43,BK$37)/MAX(1,_xlfn.AGGREGATE(4,6,INDEX($D$52:$AD$52,28-$D$36):$AD$52),N(Konfiguration!$F$9)),NA()),IF(BK$38="B",NA(),IF(BK$38="C",NA(),NA())))</f>
        <v>0</v>
      </c>
      <c r="BL60" s="68">
        <f>IF(BL$38="A",IF(ISNUMBER(INDEX($D$43:$AD$43,BL$37)),INDEX($D$43:$AD$43,BL$37)/MAX(1,_xlfn.AGGREGATE(4,6,INDEX($D$52:$AD$52,28-$D$36):$AD$52),N(Konfiguration!$F$9)),NA()),IF(BL$38="B",NA(),IF(BL$38="C",NA(),NA())))</f>
        <v>0</v>
      </c>
      <c r="BM60" s="68">
        <f>IF(BM$38="A",IF(ISNUMBER(INDEX($D$43:$AD$43,BM$37)),INDEX($D$43:$AD$43,BM$37)/MAX(1,_xlfn.AGGREGATE(4,6,INDEX($D$52:$AD$52,28-$D$36):$AD$52),N(Konfiguration!$F$9)),NA()),IF(BM$38="B",NA(),IF(BM$38="C",NA(),NA())))</f>
        <v>0</v>
      </c>
      <c r="BN60" s="68">
        <f>IF(BN$38="A",IF(ISNUMBER(INDEX($D$43:$AD$43,BN$37)),INDEX($D$43:$AD$43,BN$37)/MAX(1,_xlfn.AGGREGATE(4,6,INDEX($D$52:$AD$52,28-$D$36):$AD$52),N(Konfiguration!$F$9)),NA()),IF(BN$38="B",NA(),IF(BN$38="C",NA(),NA())))</f>
        <v>0</v>
      </c>
      <c r="BO60" s="68">
        <f>IF(BO$38="A",IF(ISNUMBER(INDEX($D$43:$AD$43,BO$37)),INDEX($D$43:$AD$43,BO$37)/MAX(1,_xlfn.AGGREGATE(4,6,INDEX($D$52:$AD$52,28-$D$36):$AD$52),N(Konfiguration!$F$9)),NA()),IF(BO$38="B",NA(),IF(BO$38="C",NA(),NA())))</f>
        <v>0</v>
      </c>
      <c r="BP60" s="68">
        <f>IF(BP$38="A",IF(ISNUMBER(INDEX($D$43:$AD$43,BP$37)),INDEX($D$43:$AD$43,BP$37)/MAX(1,_xlfn.AGGREGATE(4,6,INDEX($D$52:$AD$52,28-$D$36):$AD$52),N(Konfiguration!$F$9)),NA()),IF(BP$38="B",NA(),IF(BP$38="C",NA(),NA())))</f>
        <v>0</v>
      </c>
      <c r="BQ60" s="68">
        <f>IF(BQ$38="A",IF(ISNUMBER(INDEX($D$43:$AD$43,BQ$37)),INDEX($D$43:$AD$43,BQ$37)/MAX(1,_xlfn.AGGREGATE(4,6,INDEX($D$52:$AD$52,28-$D$36):$AD$52),N(Konfiguration!$F$9)),NA()),IF(BQ$38="B",NA(),IF(BQ$38="C",NA(),NA())))</f>
        <v>0</v>
      </c>
      <c r="BR60" s="68">
        <f>IF(BR$38="A",IF(ISNUMBER(INDEX($D$43:$AD$43,BR$37)),INDEX($D$43:$AD$43,BR$37)/MAX(1,_xlfn.AGGREGATE(4,6,INDEX($D$52:$AD$52,28-$D$36):$AD$52),N(Konfiguration!$F$9)),NA()),IF(BR$38="B",NA(),IF(BR$38="C",NA(),NA())))</f>
        <v>0</v>
      </c>
      <c r="BS60" s="68">
        <f>IF(BS$38="A",IF(ISNUMBER(INDEX($D$43:$AD$43,BS$37)),INDEX($D$43:$AD$43,BS$37)/MAX(1,_xlfn.AGGREGATE(4,6,INDEX($D$52:$AD$52,28-$D$36):$AD$52),N(Konfiguration!$F$9)),NA()),IF(BS$38="B",NA(),IF(BS$38="C",NA(),NA())))</f>
        <v>0</v>
      </c>
      <c r="BT60" s="68">
        <f>IF(BT$38="A",IF(ISNUMBER(INDEX($D$43:$AD$43,BT$37)),INDEX($D$43:$AD$43,BT$37)/MAX(1,_xlfn.AGGREGATE(4,6,INDEX($D$52:$AD$52,28-$D$36):$AD$52),N(Konfiguration!$F$9)),NA()),IF(BT$38="B",NA(),IF(BT$38="C",NA(),NA())))</f>
        <v>0</v>
      </c>
    </row>
    <row r="61" spans="1:72">
      <c r="A61" s="11" t="s">
        <v>653</v>
      </c>
      <c r="B61" s="11" t="s">
        <v>654</v>
      </c>
      <c r="C61" s="67" t="s">
        <v>610</v>
      </c>
      <c r="AQ61" s="68">
        <f>IF(AQ$38="A",NA(),IF(AQ$38="B",IF(ISNUMBER(INDEX($D$43:$AD$43,AQ$37)),MAX(INDEX($D$52:$AD$52,A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Q$38="C",NA(),NA())))</f>
        <v>0</v>
      </c>
      <c r="AR61" s="68">
        <f>IF(AR$38="A",NA(),IF(AR$38="B",IF(ISNUMBER(INDEX($D$43:$AD$43,AR$37)),MAX(INDEX($D$52:$AD$52,A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R$38="C",NA(),NA())))</f>
        <v>0</v>
      </c>
      <c r="AS61" s="68">
        <f>IF(AS$38="A",NA(),IF(AS$38="B",IF(ISNUMBER(INDEX($D$43:$AD$43,AS$37)),MAX(INDEX($D$52:$AD$52,A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S$38="C",NA(),NA())))</f>
        <v>0</v>
      </c>
      <c r="AT61" s="68">
        <f>IF(AT$38="A",NA(),IF(AT$38="B",IF(ISNUMBER(INDEX($D$43:$AD$43,AT$37)),MAX(INDEX($D$52:$AD$52,A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T$38="C",NA(),NA())))</f>
        <v>0</v>
      </c>
      <c r="AU61" s="68">
        <f>IF(AU$38="A",NA(),IF(AU$38="B",IF(ISNUMBER(INDEX($D$43:$AD$43,AU$37)),MAX(INDEX($D$52:$AD$52,AU$37)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U$38="C",NA(),NA())))</f>
        <v>0</v>
      </c>
      <c r="AV61" s="68">
        <f>IF(AV$38="A",NA(),IF(AV$38="B",IF(ISNUMBER(INDEX($D$43:$AD$43,AV$37)),MAX(INDEX($D$52:$AD$52,AV$37)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V$38="C",NA(),NA())))</f>
        <v>0</v>
      </c>
      <c r="AW61" s="68">
        <f>IF(AW$38="A",NA(),IF(AW$38="B",IF(ISNUMBER(INDEX($D$43:$AD$43,AW$37)),MAX(INDEX($D$52:$AD$52,AW$37)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W$38="C",NA(),NA())))</f>
        <v>0</v>
      </c>
      <c r="AX61" s="68">
        <f>IF(AX$38="A",NA(),IF(AX$38="B",IF(ISNUMBER(INDEX($D$43:$AD$43,AX$37)),MAX(INDEX($D$52:$AD$52,AX$37)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X$38="C",NA(),NA())))</f>
        <v>0</v>
      </c>
      <c r="AY61" s="68">
        <f>IF(AY$38="A",NA(),IF(AY$38="B",IF(ISNUMBER(INDEX($D$43:$AD$43,AY$37)),MAX(INDEX($D$52:$AD$52,AY$37)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Y$38="C",NA(),NA())))</f>
        <v>0</v>
      </c>
      <c r="AZ61" s="68">
        <f>IF(AZ$38="A",NA(),IF(AZ$38="B",IF(ISNUMBER(INDEX($D$43:$AD$43,AZ$37)),MAX(INDEX($D$52:$AD$52,AZ$37)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Z$38="C",NA(),NA())))</f>
        <v>0</v>
      </c>
      <c r="BA61" s="68">
        <f>IF(BA$38="A",NA(),IF(BA$38="B",IF(ISNUMBER(INDEX($D$43:$AD$43,BA$37)),MAX(INDEX($D$52:$AD$52,BA$37)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A$38="C",NA(),NA())))</f>
        <v>0</v>
      </c>
      <c r="BB61" s="68">
        <f>IF(BB$38="A",NA(),IF(BB$38="B",IF(ISNUMBER(INDEX($D$43:$AD$43,BB$37)),MAX(INDEX($D$52:$AD$52,BB$37)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B$38="C",NA(),NA())))</f>
        <v>0</v>
      </c>
      <c r="BC61" s="68">
        <f>IF(BC$38="A",NA(),IF(BC$38="B",IF(ISNUMBER(INDEX($D$43:$AD$43,BC$37)),MAX(INDEX($D$52:$AD$52,BC$37)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C$38="C",NA(),NA())))</f>
        <v>0</v>
      </c>
      <c r="BD61" s="68">
        <f>IF(BD$38="A",NA(),IF(BD$38="B",IF(ISNUMBER(INDEX($D$43:$AD$43,BD$37)),MAX(INDEX($D$52:$AD$52,BD$37)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D$38="C",NA(),NA())))</f>
        <v>0</v>
      </c>
      <c r="BE61" s="68">
        <f>IF(BE$38="A",NA(),IF(BE$38="B",IF(ISNUMBER(INDEX($D$43:$AD$43,BE$37)),MAX(INDEX($D$52:$AD$52,BE$37)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E$38="C",NA(),NA())))</f>
        <v>0</v>
      </c>
      <c r="BF61" s="68">
        <f>IF(BF$38="A",NA(),IF(BF$38="B",IF(ISNUMBER(INDEX($D$43:$AD$43,BF$37)),MAX(INDEX($D$52:$AD$52,BF$37)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F$38="C",NA(),NA())))</f>
        <v>0</v>
      </c>
      <c r="BG61" s="68">
        <f>IF(BG$38="A",NA(),IF(BG$38="B",IF(ISNUMBER(INDEX($D$43:$AD$43,BG$37)),MAX(INDEX($D$52:$AD$52,BG$37)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G$38="C",NA(),NA())))</f>
        <v>0</v>
      </c>
      <c r="BH61" s="68">
        <f>IF(BH$38="A",NA(),IF(BH$38="B",IF(ISNUMBER(INDEX($D$43:$AD$43,BH$37)),MAX(INDEX($D$52:$AD$52,BH$37)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H$38="C",NA(),NA())))</f>
        <v>0</v>
      </c>
      <c r="BI61" s="68">
        <f>IF(BI$38="A",NA(),IF(BI$38="B",IF(ISNUMBER(INDEX($D$43:$AD$43,BI$37)),MAX(INDEX($D$52:$AD$52,BI$37)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I$38="C",NA(),NA())))</f>
        <v>0</v>
      </c>
      <c r="BJ61" s="68">
        <f>IF(BJ$38="A",NA(),IF(BJ$38="B",IF(ISNUMBER(INDEX($D$43:$AD$43,BJ$37)),MAX(INDEX($D$52:$AD$52,BJ$37)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J$38="C",NA(),NA())))</f>
        <v>0</v>
      </c>
      <c r="BK61" s="68">
        <f>IF(BK$38="A",NA(),IF(BK$38="B",IF(ISNUMBER(INDEX($D$43:$AD$43,BK$37)),MAX(INDEX($D$52:$AD$52,BK$37)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K$38="C",NA(),NA())))</f>
        <v>0</v>
      </c>
      <c r="BL61" s="68">
        <f>IF(BL$38="A",NA(),IF(BL$38="B",IF(ISNUMBER(INDEX($D$43:$AD$43,BL$37)),MAX(INDEX($D$52:$AD$52,BL$37)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L$38="C",NA(),NA())))</f>
        <v>0</v>
      </c>
      <c r="BM61" s="68">
        <f>IF(BM$38="A",NA(),IF(BM$38="B",IF(ISNUMBER(INDEX($D$43:$AD$43,BM$37)),MAX(INDEX($D$52:$AD$52,BM$37)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M$38="C",NA(),NA())))</f>
        <v>0</v>
      </c>
      <c r="BN61" s="68">
        <f>IF(BN$38="A",NA(),IF(BN$38="B",IF(ISNUMBER(INDEX($D$43:$AD$43,BN$37)),MAX(INDEX($D$52:$AD$52,BN$37)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N$38="C",NA(),NA())))</f>
        <v>0</v>
      </c>
      <c r="BO61" s="68">
        <f>IF(BO$38="A",NA(),IF(BO$38="B",IF(ISNUMBER(INDEX($D$43:$AD$43,BO$37)),MAX(INDEX($D$52:$AD$52,BO$37)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O$38="C",NA(),NA())))</f>
        <v>0</v>
      </c>
      <c r="BP61" s="68">
        <f>IF(BP$38="A",NA(),IF(BP$38="B",IF(ISNUMBER(INDEX($D$43:$AD$43,BP$37)),MAX(INDEX($D$52:$AD$52,BP$37)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P$38="C",NA(),NA())))</f>
        <v>0</v>
      </c>
      <c r="BQ61" s="68">
        <f>IF(BQ$38="A",NA(),IF(BQ$38="B",IF(ISNUMBER(INDEX($D$43:$AD$43,BQ$37)),MAX(INDEX($D$52:$AD$52,B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Q$38="C",NA(),NA())))</f>
        <v>0</v>
      </c>
      <c r="BR61" s="68">
        <f>IF(BR$38="A",NA(),IF(BR$38="B",IF(ISNUMBER(INDEX($D$43:$AD$43,BR$37)),MAX(INDEX($D$52:$AD$52,B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R$38="C",NA(),NA())))</f>
        <v>0</v>
      </c>
      <c r="BS61" s="68">
        <f>IF(BS$38="A",NA(),IF(BS$38="B",IF(ISNUMBER(INDEX($D$43:$AD$43,BS$37)),MAX(INDEX($D$52:$AD$52,B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S$38="C",NA(),NA())))</f>
        <v>0</v>
      </c>
      <c r="BT61" s="68">
        <f>IF(BT$38="A",NA(),IF(BT$38="B",IF(ISNUMBER(INDEX($D$43:$AD$43,BT$37)),MAX(INDEX($D$52:$AD$52,B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T$38="C",NA(),NA())))</f>
        <v>0</v>
      </c>
    </row>
    <row r="62" spans="1:72">
      <c r="A62" s="11" t="s">
        <v>655</v>
      </c>
      <c r="B62" s="11" t="s">
        <v>656</v>
      </c>
      <c r="C62" s="67" t="s">
        <v>610</v>
      </c>
      <c r="AQ62" s="11">
        <f>IF(AQ$38="A","",IF(AQ$38="B",IF(ISNUMBER(INDEX($D$43:$AD$43,AQ$37)),FIXED(INDEX($D$43:$AD$43,AQ$37)/1000,1),""),IF(AQ$38="C","","")))</f>
        <v>0</v>
      </c>
      <c r="AR62" s="11">
        <f>IF(AR$38="A","",IF(AR$38="B",IF(ISNUMBER(INDEX($D$43:$AD$43,AR$37)),FIXED(INDEX($D$43:$AD$43,AR$37)/1000,1),""),IF(AR$38="C","","")))</f>
        <v>0</v>
      </c>
      <c r="AS62" s="11">
        <f>IF(AS$38="A","",IF(AS$38="B",IF(ISNUMBER(INDEX($D$43:$AD$43,AS$37)),FIXED(INDEX($D$43:$AD$43,AS$37)/1000,1),""),IF(AS$38="C","","")))</f>
        <v>0</v>
      </c>
      <c r="AT62" s="11">
        <f>IF(AT$38="A","",IF(AT$38="B",IF(ISNUMBER(INDEX($D$43:$AD$43,AT$37)),FIXED(INDEX($D$43:$AD$43,AT$37)/1000,1),""),IF(AT$38="C","","")))</f>
        <v>0</v>
      </c>
      <c r="AU62" s="11">
        <f>IF(AU$38="A","",IF(AU$38="B",IF(ISNUMBER(INDEX($D$43:$AD$43,AU$37)),FIXED(INDEX($D$43:$AD$43,AU$37)/1000,1),""),IF(AU$38="C","","")))</f>
        <v>0</v>
      </c>
      <c r="AV62" s="11">
        <f>IF(AV$38="A","",IF(AV$38="B",IF(ISNUMBER(INDEX($D$43:$AD$43,AV$37)),FIXED(INDEX($D$43:$AD$43,AV$37)/1000,1),""),IF(AV$38="C","","")))</f>
        <v>0</v>
      </c>
      <c r="AW62" s="11">
        <f>IF(AW$38="A","",IF(AW$38="B",IF(ISNUMBER(INDEX($D$43:$AD$43,AW$37)),FIXED(INDEX($D$43:$AD$43,AW$37)/1000,1),""),IF(AW$38="C","","")))</f>
        <v>0</v>
      </c>
      <c r="AX62" s="11">
        <f>IF(AX$38="A","",IF(AX$38="B",IF(ISNUMBER(INDEX($D$43:$AD$43,AX$37)),FIXED(INDEX($D$43:$AD$43,AX$37)/1000,1),""),IF(AX$38="C","","")))</f>
        <v>0</v>
      </c>
      <c r="AY62" s="11">
        <f>IF(AY$38="A","",IF(AY$38="B",IF(ISNUMBER(INDEX($D$43:$AD$43,AY$37)),FIXED(INDEX($D$43:$AD$43,AY$37)/1000,1),""),IF(AY$38="C","","")))</f>
        <v>0</v>
      </c>
      <c r="AZ62" s="11">
        <f>IF(AZ$38="A","",IF(AZ$38="B",IF(ISNUMBER(INDEX($D$43:$AD$43,AZ$37)),FIXED(INDEX($D$43:$AD$43,AZ$37)/1000,1),""),IF(AZ$38="C","","")))</f>
        <v>0</v>
      </c>
      <c r="BA62" s="11">
        <f>IF(BA$38="A","",IF(BA$38="B",IF(ISNUMBER(INDEX($D$43:$AD$43,BA$37)),FIXED(INDEX($D$43:$AD$43,BA$37)/1000,1),""),IF(BA$38="C","","")))</f>
        <v>0</v>
      </c>
      <c r="BB62" s="11">
        <f>IF(BB$38="A","",IF(BB$38="B",IF(ISNUMBER(INDEX($D$43:$AD$43,BB$37)),FIXED(INDEX($D$43:$AD$43,BB$37)/1000,1),""),IF(BB$38="C","","")))</f>
        <v>0</v>
      </c>
      <c r="BC62" s="11">
        <f>IF(BC$38="A","",IF(BC$38="B",IF(ISNUMBER(INDEX($D$43:$AD$43,BC$37)),FIXED(INDEX($D$43:$AD$43,BC$37)/1000,1),""),IF(BC$38="C","","")))</f>
        <v>0</v>
      </c>
      <c r="BD62" s="11">
        <f>IF(BD$38="A","",IF(BD$38="B",IF(ISNUMBER(INDEX($D$43:$AD$43,BD$37)),FIXED(INDEX($D$43:$AD$43,BD$37)/1000,1),""),IF(BD$38="C","","")))</f>
        <v>0</v>
      </c>
      <c r="BE62" s="11">
        <f>IF(BE$38="A","",IF(BE$38="B",IF(ISNUMBER(INDEX($D$43:$AD$43,BE$37)),FIXED(INDEX($D$43:$AD$43,BE$37)/1000,1),""),IF(BE$38="C","","")))</f>
        <v>0</v>
      </c>
      <c r="BF62" s="11">
        <f>IF(BF$38="A","",IF(BF$38="B",IF(ISNUMBER(INDEX($D$43:$AD$43,BF$37)),FIXED(INDEX($D$43:$AD$43,BF$37)/1000,1),""),IF(BF$38="C","","")))</f>
        <v>0</v>
      </c>
      <c r="BG62" s="11">
        <f>IF(BG$38="A","",IF(BG$38="B",IF(ISNUMBER(INDEX($D$43:$AD$43,BG$37)),FIXED(INDEX($D$43:$AD$43,BG$37)/1000,1),""),IF(BG$38="C","","")))</f>
        <v>0</v>
      </c>
      <c r="BH62" s="11">
        <f>IF(BH$38="A","",IF(BH$38="B",IF(ISNUMBER(INDEX($D$43:$AD$43,BH$37)),FIXED(INDEX($D$43:$AD$43,BH$37)/1000,1),""),IF(BH$38="C","","")))</f>
        <v>0</v>
      </c>
      <c r="BI62" s="11">
        <f>IF(BI$38="A","",IF(BI$38="B",IF(ISNUMBER(INDEX($D$43:$AD$43,BI$37)),FIXED(INDEX($D$43:$AD$43,BI$37)/1000,1),""),IF(BI$38="C","","")))</f>
        <v>0</v>
      </c>
      <c r="BJ62" s="11">
        <f>IF(BJ$38="A","",IF(BJ$38="B",IF(ISNUMBER(INDEX($D$43:$AD$43,BJ$37)),FIXED(INDEX($D$43:$AD$43,BJ$37)/1000,1),""),IF(BJ$38="C","","")))</f>
        <v>0</v>
      </c>
      <c r="BK62" s="11">
        <f>IF(BK$38="A","",IF(BK$38="B",IF(ISNUMBER(INDEX($D$43:$AD$43,BK$37)),FIXED(INDEX($D$43:$AD$43,BK$37)/1000,1),""),IF(BK$38="C","","")))</f>
        <v>0</v>
      </c>
      <c r="BL62" s="11">
        <f>IF(BL$38="A","",IF(BL$38="B",IF(ISNUMBER(INDEX($D$43:$AD$43,BL$37)),FIXED(INDEX($D$43:$AD$43,BL$37)/1000,1),""),IF(BL$38="C","","")))</f>
        <v>0</v>
      </c>
      <c r="BM62" s="11">
        <f>IF(BM$38="A","",IF(BM$38="B",IF(ISNUMBER(INDEX($D$43:$AD$43,BM$37)),FIXED(INDEX($D$43:$AD$43,BM$37)/1000,1),""),IF(BM$38="C","","")))</f>
        <v>0</v>
      </c>
      <c r="BN62" s="11">
        <f>IF(BN$38="A","",IF(BN$38="B",IF(ISNUMBER(INDEX($D$43:$AD$43,BN$37)),FIXED(INDEX($D$43:$AD$43,BN$37)/1000,1),""),IF(BN$38="C","","")))</f>
        <v>0</v>
      </c>
      <c r="BO62" s="11">
        <f>IF(BO$38="A","",IF(BO$38="B",IF(ISNUMBER(INDEX($D$43:$AD$43,BO$37)),FIXED(INDEX($D$43:$AD$43,BO$37)/1000,1),""),IF(BO$38="C","","")))</f>
        <v>0</v>
      </c>
      <c r="BP62" s="11">
        <f>IF(BP$38="A","",IF(BP$38="B",IF(ISNUMBER(INDEX($D$43:$AD$43,BP$37)),FIXED(INDEX($D$43:$AD$43,BP$37)/1000,1),""),IF(BP$38="C","","")))</f>
        <v>0</v>
      </c>
      <c r="BQ62" s="11">
        <f>IF(BQ$38="A","",IF(BQ$38="B",IF(ISNUMBER(INDEX($D$43:$AD$43,BQ$37)),FIXED(INDEX($D$43:$AD$43,BQ$37)/1000,1),""),IF(BQ$38="C","","")))</f>
        <v>0</v>
      </c>
      <c r="BR62" s="11">
        <f>IF(BR$38="A","",IF(BR$38="B",IF(ISNUMBER(INDEX($D$43:$AD$43,BR$37)),FIXED(INDEX($D$43:$AD$43,BR$37)/1000,1),""),IF(BR$38="C","","")))</f>
        <v>0</v>
      </c>
      <c r="BS62" s="11">
        <f>IF(BS$38="A","",IF(BS$38="B",IF(ISNUMBER(INDEX($D$43:$AD$43,BS$37)),FIXED(INDEX($D$43:$AD$43,BS$37)/1000,1),""),IF(BS$38="C","","")))</f>
        <v>0</v>
      </c>
      <c r="BT62" s="11">
        <f>IF(BT$38="A","",IF(BT$38="B",IF(ISNUMBER(INDEX($D$43:$AD$43,BT$37)),FIXED(INDEX($D$43:$AD$43,BT$37)/1000,1),""),IF(BT$38="C","","")))</f>
        <v>0</v>
      </c>
    </row>
    <row r="63" spans="1:72">
      <c r="A63" s="11" t="s">
        <v>657</v>
      </c>
      <c r="B63" s="11" t="s">
        <v>658</v>
      </c>
      <c r="C63" s="67" t="s">
        <v>610</v>
      </c>
      <c r="AQ63" s="68">
        <f>IF(AQ$38="A",IF(ISNUMBER(INDEX($D$52:$AD$52,AQ$37)),INDEX($D$52:$AD$52,AQ$37)/MAX(1,_xlfn.AGGREGATE(4,6,INDEX($D$52:$AD$52,28-$D$36):$AD$52),N(Konfiguration!$F$9)),NA()),IF(AQ$38="B",NA(),IF(AQ$38="C",NA(),NA())))</f>
        <v>0</v>
      </c>
      <c r="AR63" s="68">
        <f>IF(AR$38="A",IF(ISNUMBER(INDEX($D$52:$AD$52,AR$37)),INDEX($D$52:$AD$52,AR$37)/MAX(1,_xlfn.AGGREGATE(4,6,INDEX($D$52:$AD$52,28-$D$36):$AD$52),N(Konfiguration!$F$9)),NA()),IF(AR$38="B",NA(),IF(AR$38="C",NA(),NA())))</f>
        <v>0</v>
      </c>
      <c r="AS63" s="68">
        <f>IF(AS$38="A",IF(ISNUMBER(INDEX($D$52:$AD$52,AS$37)),INDEX($D$52:$AD$52,AS$37)/MAX(1,_xlfn.AGGREGATE(4,6,INDEX($D$52:$AD$52,28-$D$36):$AD$52),N(Konfiguration!$F$9)),NA()),IF(AS$38="B",NA(),IF(AS$38="C",NA(),NA())))</f>
        <v>0</v>
      </c>
      <c r="AT63" s="68">
        <f>IF(AT$38="A",IF(ISNUMBER(INDEX($D$52:$AD$52,AT$37)),INDEX($D$52:$AD$52,AT$37)/MAX(1,_xlfn.AGGREGATE(4,6,INDEX($D$52:$AD$52,28-$D$36):$AD$52),N(Konfiguration!$F$9)),NA()),IF(AT$38="B",NA(),IF(AT$38="C",NA(),NA())))</f>
        <v>0</v>
      </c>
      <c r="AU63" s="68">
        <f>IF(AU$38="A",IF(ISNUMBER(INDEX($D$52:$AD$52,AU$37)),INDEX($D$52:$AD$52,AU$37)/MAX(1,_xlfn.AGGREGATE(4,6,INDEX($D$52:$AD$52,28-$D$36):$AD$52),N(Konfiguration!$F$9)),NA()),IF(AU$38="B",NA(),IF(AU$38="C",NA(),NA())))</f>
        <v>0</v>
      </c>
      <c r="AV63" s="68">
        <f>IF(AV$38="A",IF(ISNUMBER(INDEX($D$52:$AD$52,AV$37)),INDEX($D$52:$AD$52,AV$37)/MAX(1,_xlfn.AGGREGATE(4,6,INDEX($D$52:$AD$52,28-$D$36):$AD$52),N(Konfiguration!$F$9)),NA()),IF(AV$38="B",NA(),IF(AV$38="C",NA(),NA())))</f>
        <v>0</v>
      </c>
      <c r="AW63" s="68">
        <f>IF(AW$38="A",IF(ISNUMBER(INDEX($D$52:$AD$52,AW$37)),INDEX($D$52:$AD$52,AW$37)/MAX(1,_xlfn.AGGREGATE(4,6,INDEX($D$52:$AD$52,28-$D$36):$AD$52),N(Konfiguration!$F$9)),NA()),IF(AW$38="B",NA(),IF(AW$38="C",NA(),NA())))</f>
        <v>0</v>
      </c>
      <c r="AX63" s="68">
        <f>IF(AX$38="A",IF(ISNUMBER(INDEX($D$52:$AD$52,AX$37)),INDEX($D$52:$AD$52,AX$37)/MAX(1,_xlfn.AGGREGATE(4,6,INDEX($D$52:$AD$52,28-$D$36):$AD$52),N(Konfiguration!$F$9)),NA()),IF(AX$38="B",NA(),IF(AX$38="C",NA(),NA())))</f>
        <v>0</v>
      </c>
      <c r="AY63" s="68">
        <f>IF(AY$38="A",IF(ISNUMBER(INDEX($D$52:$AD$52,AY$37)),INDEX($D$52:$AD$52,AY$37)/MAX(1,_xlfn.AGGREGATE(4,6,INDEX($D$52:$AD$52,28-$D$36):$AD$52),N(Konfiguration!$F$9)),NA()),IF(AY$38="B",NA(),IF(AY$38="C",NA(),NA())))</f>
        <v>0</v>
      </c>
      <c r="AZ63" s="68">
        <f>IF(AZ$38="A",IF(ISNUMBER(INDEX($D$52:$AD$52,AZ$37)),INDEX($D$52:$AD$52,AZ$37)/MAX(1,_xlfn.AGGREGATE(4,6,INDEX($D$52:$AD$52,28-$D$36):$AD$52),N(Konfiguration!$F$9)),NA()),IF(AZ$38="B",NA(),IF(AZ$38="C",NA(),NA())))</f>
        <v>0</v>
      </c>
      <c r="BA63" s="68">
        <f>IF(BA$38="A",IF(ISNUMBER(INDEX($D$52:$AD$52,BA$37)),INDEX($D$52:$AD$52,BA$37)/MAX(1,_xlfn.AGGREGATE(4,6,INDEX($D$52:$AD$52,28-$D$36):$AD$52),N(Konfiguration!$F$9)),NA()),IF(BA$38="B",NA(),IF(BA$38="C",NA(),NA())))</f>
        <v>0</v>
      </c>
      <c r="BB63" s="68">
        <f>IF(BB$38="A",IF(ISNUMBER(INDEX($D$52:$AD$52,BB$37)),INDEX($D$52:$AD$52,BB$37)/MAX(1,_xlfn.AGGREGATE(4,6,INDEX($D$52:$AD$52,28-$D$36):$AD$52),N(Konfiguration!$F$9)),NA()),IF(BB$38="B",NA(),IF(BB$38="C",NA(),NA())))</f>
        <v>0</v>
      </c>
      <c r="BC63" s="68">
        <f>IF(BC$38="A",IF(ISNUMBER(INDEX($D$52:$AD$52,BC$37)),INDEX($D$52:$AD$52,BC$37)/MAX(1,_xlfn.AGGREGATE(4,6,INDEX($D$52:$AD$52,28-$D$36):$AD$52),N(Konfiguration!$F$9)),NA()),IF(BC$38="B",NA(),IF(BC$38="C",NA(),NA())))</f>
        <v>0</v>
      </c>
      <c r="BD63" s="68">
        <f>IF(BD$38="A",IF(ISNUMBER(INDEX($D$52:$AD$52,BD$37)),INDEX($D$52:$AD$52,BD$37)/MAX(1,_xlfn.AGGREGATE(4,6,INDEX($D$52:$AD$52,28-$D$36):$AD$52),N(Konfiguration!$F$9)),NA()),IF(BD$38="B",NA(),IF(BD$38="C",NA(),NA())))</f>
        <v>0</v>
      </c>
      <c r="BE63" s="68">
        <f>IF(BE$38="A",IF(ISNUMBER(INDEX($D$52:$AD$52,BE$37)),INDEX($D$52:$AD$52,BE$37)/MAX(1,_xlfn.AGGREGATE(4,6,INDEX($D$52:$AD$52,28-$D$36):$AD$52),N(Konfiguration!$F$9)),NA()),IF(BE$38="B",NA(),IF(BE$38="C",NA(),NA())))</f>
        <v>0</v>
      </c>
      <c r="BF63" s="68">
        <f>IF(BF$38="A",IF(ISNUMBER(INDEX($D$52:$AD$52,BF$37)),INDEX($D$52:$AD$52,BF$37)/MAX(1,_xlfn.AGGREGATE(4,6,INDEX($D$52:$AD$52,28-$D$36):$AD$52),N(Konfiguration!$F$9)),NA()),IF(BF$38="B",NA(),IF(BF$38="C",NA(),NA())))</f>
        <v>0</v>
      </c>
      <c r="BG63" s="68">
        <f>IF(BG$38="A",IF(ISNUMBER(INDEX($D$52:$AD$52,BG$37)),INDEX($D$52:$AD$52,BG$37)/MAX(1,_xlfn.AGGREGATE(4,6,INDEX($D$52:$AD$52,28-$D$36):$AD$52),N(Konfiguration!$F$9)),NA()),IF(BG$38="B",NA(),IF(BG$38="C",NA(),NA())))</f>
        <v>0</v>
      </c>
      <c r="BH63" s="68">
        <f>IF(BH$38="A",IF(ISNUMBER(INDEX($D$52:$AD$52,BH$37)),INDEX($D$52:$AD$52,BH$37)/MAX(1,_xlfn.AGGREGATE(4,6,INDEX($D$52:$AD$52,28-$D$36):$AD$52),N(Konfiguration!$F$9)),NA()),IF(BH$38="B",NA(),IF(BH$38="C",NA(),NA())))</f>
        <v>0</v>
      </c>
      <c r="BI63" s="68">
        <f>IF(BI$38="A",IF(ISNUMBER(INDEX($D$52:$AD$52,BI$37)),INDEX($D$52:$AD$52,BI$37)/MAX(1,_xlfn.AGGREGATE(4,6,INDEX($D$52:$AD$52,28-$D$36):$AD$52),N(Konfiguration!$F$9)),NA()),IF(BI$38="B",NA(),IF(BI$38="C",NA(),NA())))</f>
        <v>0</v>
      </c>
      <c r="BJ63" s="68">
        <f>IF(BJ$38="A",IF(ISNUMBER(INDEX($D$52:$AD$52,BJ$37)),INDEX($D$52:$AD$52,BJ$37)/MAX(1,_xlfn.AGGREGATE(4,6,INDEX($D$52:$AD$52,28-$D$36):$AD$52),N(Konfiguration!$F$9)),NA()),IF(BJ$38="B",NA(),IF(BJ$38="C",NA(),NA())))</f>
        <v>0</v>
      </c>
      <c r="BK63" s="68">
        <f>IF(BK$38="A",IF(ISNUMBER(INDEX($D$52:$AD$52,BK$37)),INDEX($D$52:$AD$52,BK$37)/MAX(1,_xlfn.AGGREGATE(4,6,INDEX($D$52:$AD$52,28-$D$36):$AD$52),N(Konfiguration!$F$9)),NA()),IF(BK$38="B",NA(),IF(BK$38="C",NA(),NA())))</f>
        <v>0</v>
      </c>
      <c r="BL63" s="68">
        <f>IF(BL$38="A",IF(ISNUMBER(INDEX($D$52:$AD$52,BL$37)),INDEX($D$52:$AD$52,BL$37)/MAX(1,_xlfn.AGGREGATE(4,6,INDEX($D$52:$AD$52,28-$D$36):$AD$52),N(Konfiguration!$F$9)),NA()),IF(BL$38="B",NA(),IF(BL$38="C",NA(),NA())))</f>
        <v>0</v>
      </c>
      <c r="BM63" s="68">
        <f>IF(BM$38="A",IF(ISNUMBER(INDEX($D$52:$AD$52,BM$37)),INDEX($D$52:$AD$52,BM$37)/MAX(1,_xlfn.AGGREGATE(4,6,INDEX($D$52:$AD$52,28-$D$36):$AD$52),N(Konfiguration!$F$9)),NA()),IF(BM$38="B",NA(),IF(BM$38="C",NA(),NA())))</f>
        <v>0</v>
      </c>
      <c r="BN63" s="68">
        <f>IF(BN$38="A",IF(ISNUMBER(INDEX($D$52:$AD$52,BN$37)),INDEX($D$52:$AD$52,BN$37)/MAX(1,_xlfn.AGGREGATE(4,6,INDEX($D$52:$AD$52,28-$D$36):$AD$52),N(Konfiguration!$F$9)),NA()),IF(BN$38="B",NA(),IF(BN$38="C",NA(),NA())))</f>
        <v>0</v>
      </c>
      <c r="BO63" s="68">
        <f>IF(BO$38="A",IF(ISNUMBER(INDEX($D$52:$AD$52,BO$37)),INDEX($D$52:$AD$52,BO$37)/MAX(1,_xlfn.AGGREGATE(4,6,INDEX($D$52:$AD$52,28-$D$36):$AD$52),N(Konfiguration!$F$9)),NA()),IF(BO$38="B",NA(),IF(BO$38="C",NA(),NA())))</f>
        <v>0</v>
      </c>
      <c r="BP63" s="68">
        <f>IF(BP$38="A",IF(ISNUMBER(INDEX($D$52:$AD$52,BP$37)),INDEX($D$52:$AD$52,BP$37)/MAX(1,_xlfn.AGGREGATE(4,6,INDEX($D$52:$AD$52,28-$D$36):$AD$52),N(Konfiguration!$F$9)),NA()),IF(BP$38="B",NA(),IF(BP$38="C",NA(),NA())))</f>
        <v>0</v>
      </c>
      <c r="BQ63" s="68">
        <f>IF(BQ$38="A",IF(ISNUMBER(INDEX($D$52:$AD$52,BQ$37)),INDEX($D$52:$AD$52,BQ$37)/MAX(1,_xlfn.AGGREGATE(4,6,INDEX($D$52:$AD$52,28-$D$36):$AD$52),N(Konfiguration!$F$9)),NA()),IF(BQ$38="B",NA(),IF(BQ$38="C",NA(),NA())))</f>
        <v>0</v>
      </c>
      <c r="BR63" s="68">
        <f>IF(BR$38="A",IF(ISNUMBER(INDEX($D$52:$AD$52,BR$37)),INDEX($D$52:$AD$52,BR$37)/MAX(1,_xlfn.AGGREGATE(4,6,INDEX($D$52:$AD$52,28-$D$36):$AD$52),N(Konfiguration!$F$9)),NA()),IF(BR$38="B",NA(),IF(BR$38="C",NA(),NA())))</f>
        <v>0</v>
      </c>
      <c r="BS63" s="68">
        <f>IF(BS$38="A",IF(ISNUMBER(INDEX($D$52:$AD$52,BS$37)),INDEX($D$52:$AD$52,BS$37)/MAX(1,_xlfn.AGGREGATE(4,6,INDEX($D$52:$AD$52,28-$D$36):$AD$52),N(Konfiguration!$F$9)),NA()),IF(BS$38="B",NA(),IF(BS$38="C",NA(),NA())))</f>
        <v>0</v>
      </c>
      <c r="BT63" s="68">
        <f>IF(BT$38="A",IF(ISNUMBER(INDEX($D$52:$AD$52,BT$37)),INDEX($D$52:$AD$52,BT$37)/MAX(1,_xlfn.AGGREGATE(4,6,INDEX($D$52:$AD$52,28-$D$36):$AD$52),N(Konfiguration!$F$9)),NA()),IF(BT$38="B",NA(),IF(BT$38="C",NA(),NA())))</f>
        <v>0</v>
      </c>
    </row>
    <row r="64" spans="1:72">
      <c r="A64" s="11" t="s">
        <v>659</v>
      </c>
      <c r="B64" s="11" t="s">
        <v>660</v>
      </c>
      <c r="C64" s="67" t="s">
        <v>610</v>
      </c>
      <c r="AQ64" s="11">
        <f>IF(AQ$38="A",IF(ISNUMBER(INDEX($D$52:$AD$52,AQ$37)),FIXED(INDEX($D$52:$AD$52,AQ$37)/1000,1),""),IF(AQ$38="B","",IF(AQ$38="C","","")))</f>
        <v>0</v>
      </c>
      <c r="AR64" s="11">
        <f>IF(AR$38="A",IF(ISNUMBER(INDEX($D$52:$AD$52,AR$37)),FIXED(INDEX($D$52:$AD$52,AR$37)/1000,1),""),IF(AR$38="B","",IF(AR$38="C","","")))</f>
        <v>0</v>
      </c>
      <c r="AS64" s="11">
        <f>IF(AS$38="A",IF(ISNUMBER(INDEX($D$52:$AD$52,AS$37)),FIXED(INDEX($D$52:$AD$52,AS$37)/1000,1),""),IF(AS$38="B","",IF(AS$38="C","","")))</f>
        <v>0</v>
      </c>
      <c r="AT64" s="11">
        <f>IF(AT$38="A",IF(ISNUMBER(INDEX($D$52:$AD$52,AT$37)),FIXED(INDEX($D$52:$AD$52,AT$37)/1000,1),""),IF(AT$38="B","",IF(AT$38="C","","")))</f>
        <v>0</v>
      </c>
      <c r="AU64" s="11">
        <f>IF(AU$38="A",IF(ISNUMBER(INDEX($D$52:$AD$52,AU$37)),FIXED(INDEX($D$52:$AD$52,AU$37)/1000,1),""),IF(AU$38="B","",IF(AU$38="C","","")))</f>
        <v>0</v>
      </c>
      <c r="AV64" s="11">
        <f>IF(AV$38="A",IF(ISNUMBER(INDEX($D$52:$AD$52,AV$37)),FIXED(INDEX($D$52:$AD$52,AV$37)/1000,1),""),IF(AV$38="B","",IF(AV$38="C","","")))</f>
        <v>0</v>
      </c>
      <c r="AW64" s="11">
        <f>IF(AW$38="A",IF(ISNUMBER(INDEX($D$52:$AD$52,AW$37)),FIXED(INDEX($D$52:$AD$52,AW$37)/1000,1),""),IF(AW$38="B","",IF(AW$38="C","","")))</f>
        <v>0</v>
      </c>
      <c r="AX64" s="11">
        <f>IF(AX$38="A",IF(ISNUMBER(INDEX($D$52:$AD$52,AX$37)),FIXED(INDEX($D$52:$AD$52,AX$37)/1000,1),""),IF(AX$38="B","",IF(AX$38="C","","")))</f>
        <v>0</v>
      </c>
      <c r="AY64" s="11">
        <f>IF(AY$38="A",IF(ISNUMBER(INDEX($D$52:$AD$52,AY$37)),FIXED(INDEX($D$52:$AD$52,AY$37)/1000,1),""),IF(AY$38="B","",IF(AY$38="C","","")))</f>
        <v>0</v>
      </c>
      <c r="AZ64" s="11">
        <f>IF(AZ$38="A",IF(ISNUMBER(INDEX($D$52:$AD$52,AZ$37)),FIXED(INDEX($D$52:$AD$52,AZ$37)/1000,1),""),IF(AZ$38="B","",IF(AZ$38="C","","")))</f>
        <v>0</v>
      </c>
      <c r="BA64" s="11">
        <f>IF(BA$38="A",IF(ISNUMBER(INDEX($D$52:$AD$52,BA$37)),FIXED(INDEX($D$52:$AD$52,BA$37)/1000,1),""),IF(BA$38="B","",IF(BA$38="C","","")))</f>
        <v>0</v>
      </c>
      <c r="BB64" s="11">
        <f>IF(BB$38="A",IF(ISNUMBER(INDEX($D$52:$AD$52,BB$37)),FIXED(INDEX($D$52:$AD$52,BB$37)/1000,1),""),IF(BB$38="B","",IF(BB$38="C","","")))</f>
        <v>0</v>
      </c>
      <c r="BC64" s="11">
        <f>IF(BC$38="A",IF(ISNUMBER(INDEX($D$52:$AD$52,BC$37)),FIXED(INDEX($D$52:$AD$52,BC$37)/1000,1),""),IF(BC$38="B","",IF(BC$38="C","","")))</f>
        <v>0</v>
      </c>
      <c r="BD64" s="11">
        <f>IF(BD$38="A",IF(ISNUMBER(INDEX($D$52:$AD$52,BD$37)),FIXED(INDEX($D$52:$AD$52,BD$37)/1000,1),""),IF(BD$38="B","",IF(BD$38="C","","")))</f>
        <v>0</v>
      </c>
      <c r="BE64" s="11">
        <f>IF(BE$38="A",IF(ISNUMBER(INDEX($D$52:$AD$52,BE$37)),FIXED(INDEX($D$52:$AD$52,BE$37)/1000,1),""),IF(BE$38="B","",IF(BE$38="C","","")))</f>
        <v>0</v>
      </c>
      <c r="BF64" s="11">
        <f>IF(BF$38="A",IF(ISNUMBER(INDEX($D$52:$AD$52,BF$37)),FIXED(INDEX($D$52:$AD$52,BF$37)/1000,1),""),IF(BF$38="B","",IF(BF$38="C","","")))</f>
        <v>0</v>
      </c>
      <c r="BG64" s="11">
        <f>IF(BG$38="A",IF(ISNUMBER(INDEX($D$52:$AD$52,BG$37)),FIXED(INDEX($D$52:$AD$52,BG$37)/1000,1),""),IF(BG$38="B","",IF(BG$38="C","","")))</f>
        <v>0</v>
      </c>
      <c r="BH64" s="11">
        <f>IF(BH$38="A",IF(ISNUMBER(INDEX($D$52:$AD$52,BH$37)),FIXED(INDEX($D$52:$AD$52,BH$37)/1000,1),""),IF(BH$38="B","",IF(BH$38="C","","")))</f>
        <v>0</v>
      </c>
      <c r="BI64" s="11">
        <f>IF(BI$38="A",IF(ISNUMBER(INDEX($D$52:$AD$52,BI$37)),FIXED(INDEX($D$52:$AD$52,BI$37)/1000,1),""),IF(BI$38="B","",IF(BI$38="C","","")))</f>
        <v>0</v>
      </c>
      <c r="BJ64" s="11">
        <f>IF(BJ$38="A",IF(ISNUMBER(INDEX($D$52:$AD$52,BJ$37)),FIXED(INDEX($D$52:$AD$52,BJ$37)/1000,1),""),IF(BJ$38="B","",IF(BJ$38="C","","")))</f>
        <v>0</v>
      </c>
      <c r="BK64" s="11">
        <f>IF(BK$38="A",IF(ISNUMBER(INDEX($D$52:$AD$52,BK$37)),FIXED(INDEX($D$52:$AD$52,BK$37)/1000,1),""),IF(BK$38="B","",IF(BK$38="C","","")))</f>
        <v>0</v>
      </c>
      <c r="BL64" s="11">
        <f>IF(BL$38="A",IF(ISNUMBER(INDEX($D$52:$AD$52,BL$37)),FIXED(INDEX($D$52:$AD$52,BL$37)/1000,1),""),IF(BL$38="B","",IF(BL$38="C","","")))</f>
        <v>0</v>
      </c>
      <c r="BM64" s="11">
        <f>IF(BM$38="A",IF(ISNUMBER(INDEX($D$52:$AD$52,BM$37)),FIXED(INDEX($D$52:$AD$52,BM$37)/1000,1),""),IF(BM$38="B","",IF(BM$38="C","","")))</f>
        <v>0</v>
      </c>
      <c r="BN64" s="11">
        <f>IF(BN$38="A",IF(ISNUMBER(INDEX($D$52:$AD$52,BN$37)),FIXED(INDEX($D$52:$AD$52,BN$37)/1000,1),""),IF(BN$38="B","",IF(BN$38="C","","")))</f>
        <v>0</v>
      </c>
      <c r="BO64" s="11">
        <f>IF(BO$38="A",IF(ISNUMBER(INDEX($D$52:$AD$52,BO$37)),FIXED(INDEX($D$52:$AD$52,BO$37)/1000,1),""),IF(BO$38="B","",IF(BO$38="C","","")))</f>
        <v>0</v>
      </c>
      <c r="BP64" s="11">
        <f>IF(BP$38="A",IF(ISNUMBER(INDEX($D$52:$AD$52,BP$37)),FIXED(INDEX($D$52:$AD$52,BP$37)/1000,1),""),IF(BP$38="B","",IF(BP$38="C","","")))</f>
        <v>0</v>
      </c>
      <c r="BQ64" s="11">
        <f>IF(BQ$38="A",IF(ISNUMBER(INDEX($D$52:$AD$52,BQ$37)),FIXED(INDEX($D$52:$AD$52,BQ$37)/1000,1),""),IF(BQ$38="B","",IF(BQ$38="C","","")))</f>
        <v>0</v>
      </c>
      <c r="BR64" s="11">
        <f>IF(BR$38="A",IF(ISNUMBER(INDEX($D$52:$AD$52,BR$37)),FIXED(INDEX($D$52:$AD$52,BR$37)/1000,1),""),IF(BR$38="B","",IF(BR$38="C","","")))</f>
        <v>0</v>
      </c>
      <c r="BS64" s="11">
        <f>IF(BS$38="A",IF(ISNUMBER(INDEX($D$52:$AD$52,BS$37)),FIXED(INDEX($D$52:$AD$52,BS$37)/1000,1),""),IF(BS$38="B","",IF(BS$38="C","","")))</f>
        <v>0</v>
      </c>
      <c r="BT64" s="11">
        <f>IF(BT$38="A",IF(ISNUMBER(INDEX($D$52:$AD$52,BT$37)),FIXED(INDEX($D$52:$AD$52,BT$37)/1000,1),""),IF(BT$38="B","",IF(BT$38="C","","")))</f>
        <v>0</v>
      </c>
    </row>
    <row r="65" spans="1:72">
      <c r="A65" s="11" t="s">
        <v>661</v>
      </c>
      <c r="B65" s="11" t="s">
        <v>662</v>
      </c>
      <c r="C65" s="67" t="s">
        <v>610</v>
      </c>
      <c r="AQ65" s="68">
        <f>IF(AQ$38="A",IF(N(Konfiguration!$F$9)&gt;0,N(Konfiguration!$F$9)/MAX(1,_xlfn.AGGREGATE(4,6,INDEX($D$52:$AD$52,28-$D$36):$AD$52),N(Konfiguration!$F$9)),NA()),IF(AQ$38="B",IF(N(Konfiguration!$F$9)&gt;0,N(Konfiguration!$F$9)/MAX(1,_xlfn.AGGREGATE(4,6,INDEX($D$52:$AD$52,28-$D$36):$AD$52),N(Konfiguration!$F$9)),NA()),IF(AQ$38="C",IF(N(Konfiguration!$F$9)&gt;0,N(Konfiguration!$F$9)/MAX(1,_xlfn.AGGREGATE(4,6,INDEX($D$52:$AD$52,28-$D$36):$AD$52),N(Konfiguration!$F$9)),NA()),NA())))</f>
        <v>0</v>
      </c>
      <c r="AR65" s="68">
        <f>IF(AR$38="A",IF(N(Konfiguration!$F$9)&gt;0,N(Konfiguration!$F$9)/MAX(1,_xlfn.AGGREGATE(4,6,INDEX($D$52:$AD$52,28-$D$36):$AD$52),N(Konfiguration!$F$9)),NA()),IF(AR$38="B",IF(N(Konfiguration!$F$9)&gt;0,N(Konfiguration!$F$9)/MAX(1,_xlfn.AGGREGATE(4,6,INDEX($D$52:$AD$52,28-$D$36):$AD$52),N(Konfiguration!$F$9)),NA()),IF(AR$38="C",IF(N(Konfiguration!$F$9)&gt;0,N(Konfiguration!$F$9)/MAX(1,_xlfn.AGGREGATE(4,6,INDEX($D$52:$AD$52,28-$D$36):$AD$52),N(Konfiguration!$F$9)),NA()),NA())))</f>
        <v>0</v>
      </c>
      <c r="AS65" s="68">
        <f>IF(AS$38="A",IF(N(Konfiguration!$F$9)&gt;0,N(Konfiguration!$F$9)/MAX(1,_xlfn.AGGREGATE(4,6,INDEX($D$52:$AD$52,28-$D$36):$AD$52),N(Konfiguration!$F$9)),NA()),IF(AS$38="B",IF(N(Konfiguration!$F$9)&gt;0,N(Konfiguration!$F$9)/MAX(1,_xlfn.AGGREGATE(4,6,INDEX($D$52:$AD$52,28-$D$36):$AD$52),N(Konfiguration!$F$9)),NA()),IF(AS$38="C",IF(N(Konfiguration!$F$9)&gt;0,N(Konfiguration!$F$9)/MAX(1,_xlfn.AGGREGATE(4,6,INDEX($D$52:$AD$52,28-$D$36):$AD$52),N(Konfiguration!$F$9)),NA()),NA())))</f>
        <v>0</v>
      </c>
      <c r="AT65" s="68">
        <f>IF(AT$38="A",IF(N(Konfiguration!$F$9)&gt;0,N(Konfiguration!$F$9)/MAX(1,_xlfn.AGGREGATE(4,6,INDEX($D$52:$AD$52,28-$D$36):$AD$52),N(Konfiguration!$F$9)),NA()),IF(AT$38="B",IF(N(Konfiguration!$F$9)&gt;0,N(Konfiguration!$F$9)/MAX(1,_xlfn.AGGREGATE(4,6,INDEX($D$52:$AD$52,28-$D$36):$AD$52),N(Konfiguration!$F$9)),NA()),IF(AT$38="C",IF(N(Konfiguration!$F$9)&gt;0,N(Konfiguration!$F$9)/MAX(1,_xlfn.AGGREGATE(4,6,INDEX($D$52:$AD$52,28-$D$36):$AD$52),N(Konfiguration!$F$9)),NA()),NA())))</f>
        <v>0</v>
      </c>
      <c r="AU65" s="68">
        <f>IF(AU$38="A",IF(N(Konfiguration!$F$9)&gt;0,N(Konfiguration!$F$9)/MAX(1,_xlfn.AGGREGATE(4,6,INDEX($D$52:$AD$52,28-$D$36):$AD$52),N(Konfiguration!$F$9)),NA()),IF(AU$38="B",IF(N(Konfiguration!$F$9)&gt;0,N(Konfiguration!$F$9)/MAX(1,_xlfn.AGGREGATE(4,6,INDEX($D$52:$AD$52,28-$D$36):$AD$52),N(Konfiguration!$F$9)),NA()),IF(AU$38="C",IF(N(Konfiguration!$F$9)&gt;0,N(Konfiguration!$F$9)/MAX(1,_xlfn.AGGREGATE(4,6,INDEX($D$52:$AD$52,28-$D$36):$AD$52),N(Konfiguration!$F$9)),NA()),NA())))</f>
        <v>0</v>
      </c>
      <c r="AV65" s="68">
        <f>IF(AV$38="A",IF(N(Konfiguration!$F$9)&gt;0,N(Konfiguration!$F$9)/MAX(1,_xlfn.AGGREGATE(4,6,INDEX($D$52:$AD$52,28-$D$36):$AD$52),N(Konfiguration!$F$9)),NA()),IF(AV$38="B",IF(N(Konfiguration!$F$9)&gt;0,N(Konfiguration!$F$9)/MAX(1,_xlfn.AGGREGATE(4,6,INDEX($D$52:$AD$52,28-$D$36):$AD$52),N(Konfiguration!$F$9)),NA()),IF(AV$38="C",IF(N(Konfiguration!$F$9)&gt;0,N(Konfiguration!$F$9)/MAX(1,_xlfn.AGGREGATE(4,6,INDEX($D$52:$AD$52,28-$D$36):$AD$52),N(Konfiguration!$F$9)),NA()),NA())))</f>
        <v>0</v>
      </c>
      <c r="AW65" s="68">
        <f>IF(AW$38="A",IF(N(Konfiguration!$F$9)&gt;0,N(Konfiguration!$F$9)/MAX(1,_xlfn.AGGREGATE(4,6,INDEX($D$52:$AD$52,28-$D$36):$AD$52),N(Konfiguration!$F$9)),NA()),IF(AW$38="B",IF(N(Konfiguration!$F$9)&gt;0,N(Konfiguration!$F$9)/MAX(1,_xlfn.AGGREGATE(4,6,INDEX($D$52:$AD$52,28-$D$36):$AD$52),N(Konfiguration!$F$9)),NA()),IF(AW$38="C",IF(N(Konfiguration!$F$9)&gt;0,N(Konfiguration!$F$9)/MAX(1,_xlfn.AGGREGATE(4,6,INDEX($D$52:$AD$52,28-$D$36):$AD$52),N(Konfiguration!$F$9)),NA()),NA())))</f>
        <v>0</v>
      </c>
      <c r="AX65" s="68">
        <f>IF(AX$38="A",IF(N(Konfiguration!$F$9)&gt;0,N(Konfiguration!$F$9)/MAX(1,_xlfn.AGGREGATE(4,6,INDEX($D$52:$AD$52,28-$D$36):$AD$52),N(Konfiguration!$F$9)),NA()),IF(AX$38="B",IF(N(Konfiguration!$F$9)&gt;0,N(Konfiguration!$F$9)/MAX(1,_xlfn.AGGREGATE(4,6,INDEX($D$52:$AD$52,28-$D$36):$AD$52),N(Konfiguration!$F$9)),NA()),IF(AX$38="C",IF(N(Konfiguration!$F$9)&gt;0,N(Konfiguration!$F$9)/MAX(1,_xlfn.AGGREGATE(4,6,INDEX($D$52:$AD$52,28-$D$36):$AD$52),N(Konfiguration!$F$9)),NA()),NA())))</f>
        <v>0</v>
      </c>
      <c r="AY65" s="68">
        <f>IF(AY$38="A",IF(N(Konfiguration!$F$9)&gt;0,N(Konfiguration!$F$9)/MAX(1,_xlfn.AGGREGATE(4,6,INDEX($D$52:$AD$52,28-$D$36):$AD$52),N(Konfiguration!$F$9)),NA()),IF(AY$38="B",IF(N(Konfiguration!$F$9)&gt;0,N(Konfiguration!$F$9)/MAX(1,_xlfn.AGGREGATE(4,6,INDEX($D$52:$AD$52,28-$D$36):$AD$52),N(Konfiguration!$F$9)),NA()),IF(AY$38="C",IF(N(Konfiguration!$F$9)&gt;0,N(Konfiguration!$F$9)/MAX(1,_xlfn.AGGREGATE(4,6,INDEX($D$52:$AD$52,28-$D$36):$AD$52),N(Konfiguration!$F$9)),NA()),NA())))</f>
        <v>0</v>
      </c>
      <c r="AZ65" s="68">
        <f>IF(AZ$38="A",IF(N(Konfiguration!$F$9)&gt;0,N(Konfiguration!$F$9)/MAX(1,_xlfn.AGGREGATE(4,6,INDEX($D$52:$AD$52,28-$D$36):$AD$52),N(Konfiguration!$F$9)),NA()),IF(AZ$38="B",IF(N(Konfiguration!$F$9)&gt;0,N(Konfiguration!$F$9)/MAX(1,_xlfn.AGGREGATE(4,6,INDEX($D$52:$AD$52,28-$D$36):$AD$52),N(Konfiguration!$F$9)),NA()),IF(AZ$38="C",IF(N(Konfiguration!$F$9)&gt;0,N(Konfiguration!$F$9)/MAX(1,_xlfn.AGGREGATE(4,6,INDEX($D$52:$AD$52,28-$D$36):$AD$52),N(Konfiguration!$F$9)),NA()),NA())))</f>
        <v>0</v>
      </c>
      <c r="BA65" s="68">
        <f>IF(BA$38="A",IF(N(Konfiguration!$F$9)&gt;0,N(Konfiguration!$F$9)/MAX(1,_xlfn.AGGREGATE(4,6,INDEX($D$52:$AD$52,28-$D$36):$AD$52),N(Konfiguration!$F$9)),NA()),IF(BA$38="B",IF(N(Konfiguration!$F$9)&gt;0,N(Konfiguration!$F$9)/MAX(1,_xlfn.AGGREGATE(4,6,INDEX($D$52:$AD$52,28-$D$36):$AD$52),N(Konfiguration!$F$9)),NA()),IF(BA$38="C",IF(N(Konfiguration!$F$9)&gt;0,N(Konfiguration!$F$9)/MAX(1,_xlfn.AGGREGATE(4,6,INDEX($D$52:$AD$52,28-$D$36):$AD$52),N(Konfiguration!$F$9)),NA()),NA())))</f>
        <v>0</v>
      </c>
      <c r="BB65" s="68">
        <f>IF(BB$38="A",IF(N(Konfiguration!$F$9)&gt;0,N(Konfiguration!$F$9)/MAX(1,_xlfn.AGGREGATE(4,6,INDEX($D$52:$AD$52,28-$D$36):$AD$52),N(Konfiguration!$F$9)),NA()),IF(BB$38="B",IF(N(Konfiguration!$F$9)&gt;0,N(Konfiguration!$F$9)/MAX(1,_xlfn.AGGREGATE(4,6,INDEX($D$52:$AD$52,28-$D$36):$AD$52),N(Konfiguration!$F$9)),NA()),IF(BB$38="C",IF(N(Konfiguration!$F$9)&gt;0,N(Konfiguration!$F$9)/MAX(1,_xlfn.AGGREGATE(4,6,INDEX($D$52:$AD$52,28-$D$36):$AD$52),N(Konfiguration!$F$9)),NA()),NA())))</f>
        <v>0</v>
      </c>
      <c r="BC65" s="68">
        <f>IF(BC$38="A",IF(N(Konfiguration!$F$9)&gt;0,N(Konfiguration!$F$9)/MAX(1,_xlfn.AGGREGATE(4,6,INDEX($D$52:$AD$52,28-$D$36):$AD$52),N(Konfiguration!$F$9)),NA()),IF(BC$38="B",IF(N(Konfiguration!$F$9)&gt;0,N(Konfiguration!$F$9)/MAX(1,_xlfn.AGGREGATE(4,6,INDEX($D$52:$AD$52,28-$D$36):$AD$52),N(Konfiguration!$F$9)),NA()),IF(BC$38="C",IF(N(Konfiguration!$F$9)&gt;0,N(Konfiguration!$F$9)/MAX(1,_xlfn.AGGREGATE(4,6,INDEX($D$52:$AD$52,28-$D$36):$AD$52),N(Konfiguration!$F$9)),NA()),NA())))</f>
        <v>0</v>
      </c>
      <c r="BD65" s="68">
        <f>IF(BD$38="A",IF(N(Konfiguration!$F$9)&gt;0,N(Konfiguration!$F$9)/MAX(1,_xlfn.AGGREGATE(4,6,INDEX($D$52:$AD$52,28-$D$36):$AD$52),N(Konfiguration!$F$9)),NA()),IF(BD$38="B",IF(N(Konfiguration!$F$9)&gt;0,N(Konfiguration!$F$9)/MAX(1,_xlfn.AGGREGATE(4,6,INDEX($D$52:$AD$52,28-$D$36):$AD$52),N(Konfiguration!$F$9)),NA()),IF(BD$38="C",IF(N(Konfiguration!$F$9)&gt;0,N(Konfiguration!$F$9)/MAX(1,_xlfn.AGGREGATE(4,6,INDEX($D$52:$AD$52,28-$D$36):$AD$52),N(Konfiguration!$F$9)),NA()),NA())))</f>
        <v>0</v>
      </c>
      <c r="BE65" s="68">
        <f>IF(BE$38="A",IF(N(Konfiguration!$F$9)&gt;0,N(Konfiguration!$F$9)/MAX(1,_xlfn.AGGREGATE(4,6,INDEX($D$52:$AD$52,28-$D$36):$AD$52),N(Konfiguration!$F$9)),NA()),IF(BE$38="B",IF(N(Konfiguration!$F$9)&gt;0,N(Konfiguration!$F$9)/MAX(1,_xlfn.AGGREGATE(4,6,INDEX($D$52:$AD$52,28-$D$36):$AD$52),N(Konfiguration!$F$9)),NA()),IF(BE$38="C",IF(N(Konfiguration!$F$9)&gt;0,N(Konfiguration!$F$9)/MAX(1,_xlfn.AGGREGATE(4,6,INDEX($D$52:$AD$52,28-$D$36):$AD$52),N(Konfiguration!$F$9)),NA()),NA())))</f>
        <v>0</v>
      </c>
      <c r="BF65" s="68">
        <f>IF(BF$38="A",IF(N(Konfiguration!$F$9)&gt;0,N(Konfiguration!$F$9)/MAX(1,_xlfn.AGGREGATE(4,6,INDEX($D$52:$AD$52,28-$D$36):$AD$52),N(Konfiguration!$F$9)),NA()),IF(BF$38="B",IF(N(Konfiguration!$F$9)&gt;0,N(Konfiguration!$F$9)/MAX(1,_xlfn.AGGREGATE(4,6,INDEX($D$52:$AD$52,28-$D$36):$AD$52),N(Konfiguration!$F$9)),NA()),IF(BF$38="C",IF(N(Konfiguration!$F$9)&gt;0,N(Konfiguration!$F$9)/MAX(1,_xlfn.AGGREGATE(4,6,INDEX($D$52:$AD$52,28-$D$36):$AD$52),N(Konfiguration!$F$9)),NA()),NA())))</f>
        <v>0</v>
      </c>
      <c r="BG65" s="68">
        <f>IF(BG$38="A",IF(N(Konfiguration!$F$9)&gt;0,N(Konfiguration!$F$9)/MAX(1,_xlfn.AGGREGATE(4,6,INDEX($D$52:$AD$52,28-$D$36):$AD$52),N(Konfiguration!$F$9)),NA()),IF(BG$38="B",IF(N(Konfiguration!$F$9)&gt;0,N(Konfiguration!$F$9)/MAX(1,_xlfn.AGGREGATE(4,6,INDEX($D$52:$AD$52,28-$D$36):$AD$52),N(Konfiguration!$F$9)),NA()),IF(BG$38="C",IF(N(Konfiguration!$F$9)&gt;0,N(Konfiguration!$F$9)/MAX(1,_xlfn.AGGREGATE(4,6,INDEX($D$52:$AD$52,28-$D$36):$AD$52),N(Konfiguration!$F$9)),NA()),NA())))</f>
        <v>0</v>
      </c>
      <c r="BH65" s="68">
        <f>IF(BH$38="A",IF(N(Konfiguration!$F$9)&gt;0,N(Konfiguration!$F$9)/MAX(1,_xlfn.AGGREGATE(4,6,INDEX($D$52:$AD$52,28-$D$36):$AD$52),N(Konfiguration!$F$9)),NA()),IF(BH$38="B",IF(N(Konfiguration!$F$9)&gt;0,N(Konfiguration!$F$9)/MAX(1,_xlfn.AGGREGATE(4,6,INDEX($D$52:$AD$52,28-$D$36):$AD$52),N(Konfiguration!$F$9)),NA()),IF(BH$38="C",IF(N(Konfiguration!$F$9)&gt;0,N(Konfiguration!$F$9)/MAX(1,_xlfn.AGGREGATE(4,6,INDEX($D$52:$AD$52,28-$D$36):$AD$52),N(Konfiguration!$F$9)),NA()),NA())))</f>
        <v>0</v>
      </c>
      <c r="BI65" s="68">
        <f>IF(BI$38="A",IF(N(Konfiguration!$F$9)&gt;0,N(Konfiguration!$F$9)/MAX(1,_xlfn.AGGREGATE(4,6,INDEX($D$52:$AD$52,28-$D$36):$AD$52),N(Konfiguration!$F$9)),NA()),IF(BI$38="B",IF(N(Konfiguration!$F$9)&gt;0,N(Konfiguration!$F$9)/MAX(1,_xlfn.AGGREGATE(4,6,INDEX($D$52:$AD$52,28-$D$36):$AD$52),N(Konfiguration!$F$9)),NA()),IF(BI$38="C",IF(N(Konfiguration!$F$9)&gt;0,N(Konfiguration!$F$9)/MAX(1,_xlfn.AGGREGATE(4,6,INDEX($D$52:$AD$52,28-$D$36):$AD$52),N(Konfiguration!$F$9)),NA()),NA())))</f>
        <v>0</v>
      </c>
      <c r="BJ65" s="68">
        <f>IF(BJ$38="A",IF(N(Konfiguration!$F$9)&gt;0,N(Konfiguration!$F$9)/MAX(1,_xlfn.AGGREGATE(4,6,INDEX($D$52:$AD$52,28-$D$36):$AD$52),N(Konfiguration!$F$9)),NA()),IF(BJ$38="B",IF(N(Konfiguration!$F$9)&gt;0,N(Konfiguration!$F$9)/MAX(1,_xlfn.AGGREGATE(4,6,INDEX($D$52:$AD$52,28-$D$36):$AD$52),N(Konfiguration!$F$9)),NA()),IF(BJ$38="C",IF(N(Konfiguration!$F$9)&gt;0,N(Konfiguration!$F$9)/MAX(1,_xlfn.AGGREGATE(4,6,INDEX($D$52:$AD$52,28-$D$36):$AD$52),N(Konfiguration!$F$9)),NA()),NA())))</f>
        <v>0</v>
      </c>
      <c r="BK65" s="68">
        <f>IF(BK$38="A",IF(N(Konfiguration!$F$9)&gt;0,N(Konfiguration!$F$9)/MAX(1,_xlfn.AGGREGATE(4,6,INDEX($D$52:$AD$52,28-$D$36):$AD$52),N(Konfiguration!$F$9)),NA()),IF(BK$38="B",IF(N(Konfiguration!$F$9)&gt;0,N(Konfiguration!$F$9)/MAX(1,_xlfn.AGGREGATE(4,6,INDEX($D$52:$AD$52,28-$D$36):$AD$52),N(Konfiguration!$F$9)),NA()),IF(BK$38="C",IF(N(Konfiguration!$F$9)&gt;0,N(Konfiguration!$F$9)/MAX(1,_xlfn.AGGREGATE(4,6,INDEX($D$52:$AD$52,28-$D$36):$AD$52),N(Konfiguration!$F$9)),NA()),NA())))</f>
        <v>0</v>
      </c>
      <c r="BL65" s="68">
        <f>IF(BL$38="A",IF(N(Konfiguration!$F$9)&gt;0,N(Konfiguration!$F$9)/MAX(1,_xlfn.AGGREGATE(4,6,INDEX($D$52:$AD$52,28-$D$36):$AD$52),N(Konfiguration!$F$9)),NA()),IF(BL$38="B",IF(N(Konfiguration!$F$9)&gt;0,N(Konfiguration!$F$9)/MAX(1,_xlfn.AGGREGATE(4,6,INDEX($D$52:$AD$52,28-$D$36):$AD$52),N(Konfiguration!$F$9)),NA()),IF(BL$38="C",IF(N(Konfiguration!$F$9)&gt;0,N(Konfiguration!$F$9)/MAX(1,_xlfn.AGGREGATE(4,6,INDEX($D$52:$AD$52,28-$D$36):$AD$52),N(Konfiguration!$F$9)),NA()),NA())))</f>
        <v>0</v>
      </c>
      <c r="BM65" s="68">
        <f>IF(BM$38="A",IF(N(Konfiguration!$F$9)&gt;0,N(Konfiguration!$F$9)/MAX(1,_xlfn.AGGREGATE(4,6,INDEX($D$52:$AD$52,28-$D$36):$AD$52),N(Konfiguration!$F$9)),NA()),IF(BM$38="B",IF(N(Konfiguration!$F$9)&gt;0,N(Konfiguration!$F$9)/MAX(1,_xlfn.AGGREGATE(4,6,INDEX($D$52:$AD$52,28-$D$36):$AD$52),N(Konfiguration!$F$9)),NA()),IF(BM$38="C",IF(N(Konfiguration!$F$9)&gt;0,N(Konfiguration!$F$9)/MAX(1,_xlfn.AGGREGATE(4,6,INDEX($D$52:$AD$52,28-$D$36):$AD$52),N(Konfiguration!$F$9)),NA()),NA())))</f>
        <v>0</v>
      </c>
      <c r="BN65" s="68">
        <f>IF(BN$38="A",IF(N(Konfiguration!$F$9)&gt;0,N(Konfiguration!$F$9)/MAX(1,_xlfn.AGGREGATE(4,6,INDEX($D$52:$AD$52,28-$D$36):$AD$52),N(Konfiguration!$F$9)),NA()),IF(BN$38="B",IF(N(Konfiguration!$F$9)&gt;0,N(Konfiguration!$F$9)/MAX(1,_xlfn.AGGREGATE(4,6,INDEX($D$52:$AD$52,28-$D$36):$AD$52),N(Konfiguration!$F$9)),NA()),IF(BN$38="C",IF(N(Konfiguration!$F$9)&gt;0,N(Konfiguration!$F$9)/MAX(1,_xlfn.AGGREGATE(4,6,INDEX($D$52:$AD$52,28-$D$36):$AD$52),N(Konfiguration!$F$9)),NA()),NA())))</f>
        <v>0</v>
      </c>
      <c r="BO65" s="68">
        <f>IF(BO$38="A",IF(N(Konfiguration!$F$9)&gt;0,N(Konfiguration!$F$9)/MAX(1,_xlfn.AGGREGATE(4,6,INDEX($D$52:$AD$52,28-$D$36):$AD$52),N(Konfiguration!$F$9)),NA()),IF(BO$38="B",IF(N(Konfiguration!$F$9)&gt;0,N(Konfiguration!$F$9)/MAX(1,_xlfn.AGGREGATE(4,6,INDEX($D$52:$AD$52,28-$D$36):$AD$52),N(Konfiguration!$F$9)),NA()),IF(BO$38="C",IF(N(Konfiguration!$F$9)&gt;0,N(Konfiguration!$F$9)/MAX(1,_xlfn.AGGREGATE(4,6,INDEX($D$52:$AD$52,28-$D$36):$AD$52),N(Konfiguration!$F$9)),NA()),NA())))</f>
        <v>0</v>
      </c>
      <c r="BP65" s="68">
        <f>IF(BP$38="A",IF(N(Konfiguration!$F$9)&gt;0,N(Konfiguration!$F$9)/MAX(1,_xlfn.AGGREGATE(4,6,INDEX($D$52:$AD$52,28-$D$36):$AD$52),N(Konfiguration!$F$9)),NA()),IF(BP$38="B",IF(N(Konfiguration!$F$9)&gt;0,N(Konfiguration!$F$9)/MAX(1,_xlfn.AGGREGATE(4,6,INDEX($D$52:$AD$52,28-$D$36):$AD$52),N(Konfiguration!$F$9)),NA()),IF(BP$38="C",IF(N(Konfiguration!$F$9)&gt;0,N(Konfiguration!$F$9)/MAX(1,_xlfn.AGGREGATE(4,6,INDEX($D$52:$AD$52,28-$D$36):$AD$52),N(Konfiguration!$F$9)),NA()),NA())))</f>
        <v>0</v>
      </c>
      <c r="BQ65" s="68">
        <f>IF(BQ$38="A",IF(N(Konfiguration!$F$9)&gt;0,N(Konfiguration!$F$9)/MAX(1,_xlfn.AGGREGATE(4,6,INDEX($D$52:$AD$52,28-$D$36):$AD$52),N(Konfiguration!$F$9)),NA()),IF(BQ$38="B",IF(N(Konfiguration!$F$9)&gt;0,N(Konfiguration!$F$9)/MAX(1,_xlfn.AGGREGATE(4,6,INDEX($D$52:$AD$52,28-$D$36):$AD$52),N(Konfiguration!$F$9)),NA()),IF(BQ$38="C",IF(N(Konfiguration!$F$9)&gt;0,N(Konfiguration!$F$9)/MAX(1,_xlfn.AGGREGATE(4,6,INDEX($D$52:$AD$52,28-$D$36):$AD$52),N(Konfiguration!$F$9)),NA()),NA())))</f>
        <v>0</v>
      </c>
      <c r="BR65" s="68">
        <f>IF(BR$38="A",IF(N(Konfiguration!$F$9)&gt;0,N(Konfiguration!$F$9)/MAX(1,_xlfn.AGGREGATE(4,6,INDEX($D$52:$AD$52,28-$D$36):$AD$52),N(Konfiguration!$F$9)),NA()),IF(BR$38="B",IF(N(Konfiguration!$F$9)&gt;0,N(Konfiguration!$F$9)/MAX(1,_xlfn.AGGREGATE(4,6,INDEX($D$52:$AD$52,28-$D$36):$AD$52),N(Konfiguration!$F$9)),NA()),IF(BR$38="C",IF(N(Konfiguration!$F$9)&gt;0,N(Konfiguration!$F$9)/MAX(1,_xlfn.AGGREGATE(4,6,INDEX($D$52:$AD$52,28-$D$36):$AD$52),N(Konfiguration!$F$9)),NA()),NA())))</f>
        <v>0</v>
      </c>
      <c r="BS65" s="68">
        <f>IF(BS$38="A",IF(N(Konfiguration!$F$9)&gt;0,N(Konfiguration!$F$9)/MAX(1,_xlfn.AGGREGATE(4,6,INDEX($D$52:$AD$52,28-$D$36):$AD$52),N(Konfiguration!$F$9)),NA()),IF(BS$38="B",IF(N(Konfiguration!$F$9)&gt;0,N(Konfiguration!$F$9)/MAX(1,_xlfn.AGGREGATE(4,6,INDEX($D$52:$AD$52,28-$D$36):$AD$52),N(Konfiguration!$F$9)),NA()),IF(BS$38="C",IF(N(Konfiguration!$F$9)&gt;0,N(Konfiguration!$F$9)/MAX(1,_xlfn.AGGREGATE(4,6,INDEX($D$52:$AD$52,28-$D$36):$AD$52),N(Konfiguration!$F$9)),NA()),NA())))</f>
        <v>0</v>
      </c>
      <c r="BT65" s="68">
        <f>IF(BT$38="A",IF(N(Konfiguration!$F$9)&gt;0,N(Konfiguration!$F$9)/MAX(1,_xlfn.AGGREGATE(4,6,INDEX($D$52:$AD$52,28-$D$36):$AD$52),N(Konfiguration!$F$9)),NA()),IF(BT$38="B",IF(N(Konfiguration!$F$9)&gt;0,N(Konfiguration!$F$9)/MAX(1,_xlfn.AGGREGATE(4,6,INDEX($D$52:$AD$52,28-$D$36):$AD$52),N(Konfiguration!$F$9)),NA()),IF(BT$38="C",IF(N(Konfiguration!$F$9)&gt;0,N(Konfiguration!$F$9)/MAX(1,_xlfn.AGGREGATE(4,6,INDEX($D$52:$AD$52,28-$D$36):$AD$52),N(Konfiguration!$F$9)),NA()),NA())))</f>
        <v>0</v>
      </c>
    </row>
    <row r="66" spans="1:72">
      <c r="A66" s="11" t="s">
        <v>663</v>
      </c>
      <c r="B66" s="11" t="s">
        <v>664</v>
      </c>
      <c r="C66" s="67" t="s">
        <v>610</v>
      </c>
      <c r="AQ66" s="68">
        <f>IF(AQ$38="A",IF(AND(ISNUMBER(INDEX($D$52:$AD$52,AQ$37)),ISNUMBER(INDEX($D$52:$AD$52,AQ$37-1))),IF(ROUND((INDEX($D$52:$AD$52,AQ$37)-INDEX($D$52:$AD$52,AQ$37-1))/1000,1)&gt;0,-0.38462,NA()),NA()),IF(AQ$38="B",NA(),IF(AQ$38="C",NA(),NA())))</f>
        <v>0</v>
      </c>
      <c r="AR66" s="68">
        <f>IF(AR$38="A",IF(AND(ISNUMBER(INDEX($D$52:$AD$52,AR$37)),ISNUMBER(INDEX($D$52:$AD$52,AR$37-1))),IF(ROUND((INDEX($D$52:$AD$52,AR$37)-INDEX($D$52:$AD$52,AR$37-1))/1000,1)&gt;0,-0.38462,NA()),NA()),IF(AR$38="B",NA(),IF(AR$38="C",NA(),NA())))</f>
        <v>0</v>
      </c>
      <c r="AS66" s="68">
        <f>IF(AS$38="A",IF(AND(ISNUMBER(INDEX($D$52:$AD$52,AS$37)),ISNUMBER(INDEX($D$52:$AD$52,AS$37-1))),IF(ROUND((INDEX($D$52:$AD$52,AS$37)-INDEX($D$52:$AD$52,AS$37-1))/1000,1)&gt;0,-0.38462,NA()),NA()),IF(AS$38="B",NA(),IF(AS$38="C",NA(),NA())))</f>
        <v>0</v>
      </c>
      <c r="AT66" s="68">
        <f>IF(AT$38="A",IF(AND(ISNUMBER(INDEX($D$52:$AD$52,AT$37)),ISNUMBER(INDEX($D$52:$AD$52,AT$37-1))),IF(ROUND((INDEX($D$52:$AD$52,AT$37)-INDEX($D$52:$AD$52,AT$37-1))/1000,1)&gt;0,-0.38462,NA()),NA()),IF(AT$38="B",NA(),IF(AT$38="C",NA(),NA())))</f>
        <v>0</v>
      </c>
      <c r="AU66" s="68">
        <f>IF(AU$38="A",IF(AND(ISNUMBER(INDEX($D$52:$AD$52,AU$37)),ISNUMBER(INDEX($D$52:$AD$52,AU$37-1))),IF(ROUND((INDEX($D$52:$AD$52,AU$37)-INDEX($D$52:$AD$52,AU$37-1))/1000,1)&gt;0,-0.38462,NA()),NA()),IF(AU$38="B",NA(),IF(AU$38="C",NA(),NA())))</f>
        <v>0</v>
      </c>
      <c r="AV66" s="68">
        <f>IF(AV$38="A",IF(AND(ISNUMBER(INDEX($D$52:$AD$52,AV$37)),ISNUMBER(INDEX($D$52:$AD$52,AV$37-1))),IF(ROUND((INDEX($D$52:$AD$52,AV$37)-INDEX($D$52:$AD$52,AV$37-1))/1000,1)&gt;0,-0.38462,NA()),NA()),IF(AV$38="B",NA(),IF(AV$38="C",NA(),NA())))</f>
        <v>0</v>
      </c>
      <c r="AW66" s="68">
        <f>IF(AW$38="A",IF(AND(ISNUMBER(INDEX($D$52:$AD$52,AW$37)),ISNUMBER(INDEX($D$52:$AD$52,AW$37-1))),IF(ROUND((INDEX($D$52:$AD$52,AW$37)-INDEX($D$52:$AD$52,AW$37-1))/1000,1)&gt;0,-0.38462,NA()),NA()),IF(AW$38="B",NA(),IF(AW$38="C",NA(),NA())))</f>
        <v>0</v>
      </c>
      <c r="AX66" s="68">
        <f>IF(AX$38="A",IF(AND(ISNUMBER(INDEX($D$52:$AD$52,AX$37)),ISNUMBER(INDEX($D$52:$AD$52,AX$37-1))),IF(ROUND((INDEX($D$52:$AD$52,AX$37)-INDEX($D$52:$AD$52,AX$37-1))/1000,1)&gt;0,-0.38462,NA()),NA()),IF(AX$38="B",NA(),IF(AX$38="C",NA(),NA())))</f>
        <v>0</v>
      </c>
      <c r="AY66" s="68">
        <f>IF(AY$38="A",IF(AND(ISNUMBER(INDEX($D$52:$AD$52,AY$37)),ISNUMBER(INDEX($D$52:$AD$52,AY$37-1))),IF(ROUND((INDEX($D$52:$AD$52,AY$37)-INDEX($D$52:$AD$52,AY$37-1))/1000,1)&gt;0,-0.38462,NA()),NA()),IF(AY$38="B",NA(),IF(AY$38="C",NA(),NA())))</f>
        <v>0</v>
      </c>
      <c r="AZ66" s="68">
        <f>IF(AZ$38="A",IF(AND(ISNUMBER(INDEX($D$52:$AD$52,AZ$37)),ISNUMBER(INDEX($D$52:$AD$52,AZ$37-1))),IF(ROUND((INDEX($D$52:$AD$52,AZ$37)-INDEX($D$52:$AD$52,AZ$37-1))/1000,1)&gt;0,-0.38462,NA()),NA()),IF(AZ$38="B",NA(),IF(AZ$38="C",NA(),NA())))</f>
        <v>0</v>
      </c>
      <c r="BA66" s="68">
        <f>IF(BA$38="A",IF(AND(ISNUMBER(INDEX($D$52:$AD$52,BA$37)),ISNUMBER(INDEX($D$52:$AD$52,BA$37-1))),IF(ROUND((INDEX($D$52:$AD$52,BA$37)-INDEX($D$52:$AD$52,BA$37-1))/1000,1)&gt;0,-0.38462,NA()),NA()),IF(BA$38="B",NA(),IF(BA$38="C",NA(),NA())))</f>
        <v>0</v>
      </c>
      <c r="BB66" s="68">
        <f>IF(BB$38="A",IF(AND(ISNUMBER(INDEX($D$52:$AD$52,BB$37)),ISNUMBER(INDEX($D$52:$AD$52,BB$37-1))),IF(ROUND((INDEX($D$52:$AD$52,BB$37)-INDEX($D$52:$AD$52,BB$37-1))/1000,1)&gt;0,-0.38462,NA()),NA()),IF(BB$38="B",NA(),IF(BB$38="C",NA(),NA())))</f>
        <v>0</v>
      </c>
      <c r="BC66" s="68">
        <f>IF(BC$38="A",IF(AND(ISNUMBER(INDEX($D$52:$AD$52,BC$37)),ISNUMBER(INDEX($D$52:$AD$52,BC$37-1))),IF(ROUND((INDEX($D$52:$AD$52,BC$37)-INDEX($D$52:$AD$52,BC$37-1))/1000,1)&gt;0,-0.38462,NA()),NA()),IF(BC$38="B",NA(),IF(BC$38="C",NA(),NA())))</f>
        <v>0</v>
      </c>
      <c r="BD66" s="68">
        <f>IF(BD$38="A",IF(AND(ISNUMBER(INDEX($D$52:$AD$52,BD$37)),ISNUMBER(INDEX($D$52:$AD$52,BD$37-1))),IF(ROUND((INDEX($D$52:$AD$52,BD$37)-INDEX($D$52:$AD$52,BD$37-1))/1000,1)&gt;0,-0.38462,NA()),NA()),IF(BD$38="B",NA(),IF(BD$38="C",NA(),NA())))</f>
        <v>0</v>
      </c>
      <c r="BE66" s="68">
        <f>IF(BE$38="A",IF(AND(ISNUMBER(INDEX($D$52:$AD$52,BE$37)),ISNUMBER(INDEX($D$52:$AD$52,BE$37-1))),IF(ROUND((INDEX($D$52:$AD$52,BE$37)-INDEX($D$52:$AD$52,BE$37-1))/1000,1)&gt;0,-0.38462,NA()),NA()),IF(BE$38="B",NA(),IF(BE$38="C",NA(),NA())))</f>
        <v>0</v>
      </c>
      <c r="BF66" s="68">
        <f>IF(BF$38="A",IF(AND(ISNUMBER(INDEX($D$52:$AD$52,BF$37)),ISNUMBER(INDEX($D$52:$AD$52,BF$37-1))),IF(ROUND((INDEX($D$52:$AD$52,BF$37)-INDEX($D$52:$AD$52,BF$37-1))/1000,1)&gt;0,-0.38462,NA()),NA()),IF(BF$38="B",NA(),IF(BF$38="C",NA(),NA())))</f>
        <v>0</v>
      </c>
      <c r="BG66" s="68">
        <f>IF(BG$38="A",IF(AND(ISNUMBER(INDEX($D$52:$AD$52,BG$37)),ISNUMBER(INDEX($D$52:$AD$52,BG$37-1))),IF(ROUND((INDEX($D$52:$AD$52,BG$37)-INDEX($D$52:$AD$52,BG$37-1))/1000,1)&gt;0,-0.38462,NA()),NA()),IF(BG$38="B",NA(),IF(BG$38="C",NA(),NA())))</f>
        <v>0</v>
      </c>
      <c r="BH66" s="68">
        <f>IF(BH$38="A",IF(AND(ISNUMBER(INDEX($D$52:$AD$52,BH$37)),ISNUMBER(INDEX($D$52:$AD$52,BH$37-1))),IF(ROUND((INDEX($D$52:$AD$52,BH$37)-INDEX($D$52:$AD$52,BH$37-1))/1000,1)&gt;0,-0.38462,NA()),NA()),IF(BH$38="B",NA(),IF(BH$38="C",NA(),NA())))</f>
        <v>0</v>
      </c>
      <c r="BI66" s="68">
        <f>IF(BI$38="A",IF(AND(ISNUMBER(INDEX($D$52:$AD$52,BI$37)),ISNUMBER(INDEX($D$52:$AD$52,BI$37-1))),IF(ROUND((INDEX($D$52:$AD$52,BI$37)-INDEX($D$52:$AD$52,BI$37-1))/1000,1)&gt;0,-0.38462,NA()),NA()),IF(BI$38="B",NA(),IF(BI$38="C",NA(),NA())))</f>
        <v>0</v>
      </c>
      <c r="BJ66" s="68">
        <f>IF(BJ$38="A",IF(AND(ISNUMBER(INDEX($D$52:$AD$52,BJ$37)),ISNUMBER(INDEX($D$52:$AD$52,BJ$37-1))),IF(ROUND((INDEX($D$52:$AD$52,BJ$37)-INDEX($D$52:$AD$52,BJ$37-1))/1000,1)&gt;0,-0.38462,NA()),NA()),IF(BJ$38="B",NA(),IF(BJ$38="C",NA(),NA())))</f>
        <v>0</v>
      </c>
      <c r="BK66" s="68">
        <f>IF(BK$38="A",IF(AND(ISNUMBER(INDEX($D$52:$AD$52,BK$37)),ISNUMBER(INDEX($D$52:$AD$52,BK$37-1))),IF(ROUND((INDEX($D$52:$AD$52,BK$37)-INDEX($D$52:$AD$52,BK$37-1))/1000,1)&gt;0,-0.38462,NA()),NA()),IF(BK$38="B",NA(),IF(BK$38="C",NA(),NA())))</f>
        <v>0</v>
      </c>
      <c r="BL66" s="68">
        <f>IF(BL$38="A",IF(AND(ISNUMBER(INDEX($D$52:$AD$52,BL$37)),ISNUMBER(INDEX($D$52:$AD$52,BL$37-1))),IF(ROUND((INDEX($D$52:$AD$52,BL$37)-INDEX($D$52:$AD$52,BL$37-1))/1000,1)&gt;0,-0.38462,NA()),NA()),IF(BL$38="B",NA(),IF(BL$38="C",NA(),NA())))</f>
        <v>0</v>
      </c>
      <c r="BM66" s="68">
        <f>IF(BM$38="A",IF(AND(ISNUMBER(INDEX($D$52:$AD$52,BM$37)),ISNUMBER(INDEX($D$52:$AD$52,BM$37-1))),IF(ROUND((INDEX($D$52:$AD$52,BM$37)-INDEX($D$52:$AD$52,BM$37-1))/1000,1)&gt;0,-0.38462,NA()),NA()),IF(BM$38="B",NA(),IF(BM$38="C",NA(),NA())))</f>
        <v>0</v>
      </c>
      <c r="BN66" s="68">
        <f>IF(BN$38="A",IF(AND(ISNUMBER(INDEX($D$52:$AD$52,BN$37)),ISNUMBER(INDEX($D$52:$AD$52,BN$37-1))),IF(ROUND((INDEX($D$52:$AD$52,BN$37)-INDEX($D$52:$AD$52,BN$37-1))/1000,1)&gt;0,-0.38462,NA()),NA()),IF(BN$38="B",NA(),IF(BN$38="C",NA(),NA())))</f>
        <v>0</v>
      </c>
      <c r="BO66" s="68">
        <f>IF(BO$38="A",IF(AND(ISNUMBER(INDEX($D$52:$AD$52,BO$37)),ISNUMBER(INDEX($D$52:$AD$52,BO$37-1))),IF(ROUND((INDEX($D$52:$AD$52,BO$37)-INDEX($D$52:$AD$52,BO$37-1))/1000,1)&gt;0,-0.38462,NA()),NA()),IF(BO$38="B",NA(),IF(BO$38="C",NA(),NA())))</f>
        <v>0</v>
      </c>
      <c r="BP66" s="68">
        <f>IF(BP$38="A",IF(AND(ISNUMBER(INDEX($D$52:$AD$52,BP$37)),ISNUMBER(INDEX($D$52:$AD$52,BP$37-1))),IF(ROUND((INDEX($D$52:$AD$52,BP$37)-INDEX($D$52:$AD$52,BP$37-1))/1000,1)&gt;0,-0.38462,NA()),NA()),IF(BP$38="B",NA(),IF(BP$38="C",NA(),NA())))</f>
        <v>0</v>
      </c>
      <c r="BQ66" s="68">
        <f>IF(BQ$38="A",IF(AND(ISNUMBER(INDEX($D$52:$AD$52,BQ$37)),ISNUMBER(INDEX($D$52:$AD$52,BQ$37-1))),IF(ROUND((INDEX($D$52:$AD$52,BQ$37)-INDEX($D$52:$AD$52,BQ$37-1))/1000,1)&gt;0,-0.38462,NA()),NA()),IF(BQ$38="B",NA(),IF(BQ$38="C",NA(),NA())))</f>
        <v>0</v>
      </c>
      <c r="BR66" s="68">
        <f>IF(BR$38="A",IF(AND(ISNUMBER(INDEX($D$52:$AD$52,BR$37)),ISNUMBER(INDEX($D$52:$AD$52,BR$37-1))),IF(ROUND((INDEX($D$52:$AD$52,BR$37)-INDEX($D$52:$AD$52,BR$37-1))/1000,1)&gt;0,-0.38462,NA()),NA()),IF(BR$38="B",NA(),IF(BR$38="C",NA(),NA())))</f>
        <v>0</v>
      </c>
      <c r="BS66" s="68">
        <f>IF(BS$38="A",IF(AND(ISNUMBER(INDEX($D$52:$AD$52,BS$37)),ISNUMBER(INDEX($D$52:$AD$52,BS$37-1))),IF(ROUND((INDEX($D$52:$AD$52,BS$37)-INDEX($D$52:$AD$52,BS$37-1))/1000,1)&gt;0,-0.38462,NA()),NA()),IF(BS$38="B",NA(),IF(BS$38="C",NA(),NA())))</f>
        <v>0</v>
      </c>
      <c r="BT66" s="68">
        <f>IF(BT$38="A",IF(AND(ISNUMBER(INDEX($D$52:$AD$52,BT$37)),ISNUMBER(INDEX($D$52:$AD$52,BT$37-1))),IF(ROUND((INDEX($D$52:$AD$52,BT$37)-INDEX($D$52:$AD$52,BT$37-1))/1000,1)&gt;0,-0.38462,NA()),NA()),IF(BT$38="B",NA(),IF(BT$38="C",NA(),NA())))</f>
        <v>0</v>
      </c>
    </row>
    <row r="67" spans="1:72">
      <c r="A67" s="11" t="s">
        <v>665</v>
      </c>
      <c r="B67" s="11" t="s">
        <v>666</v>
      </c>
      <c r="C67" s="67" t="s">
        <v>610</v>
      </c>
      <c r="AQ67" s="68">
        <f>IF(AQ$38="A",IF(AND(ISNUMBER(INDEX($D$52:$AD$52,AQ$37)),ISNUMBER(INDEX($D$52:$AD$52,AQ$37-1))),IF(ROUND((INDEX($D$52:$AD$52,AQ$37)-INDEX($D$52:$AD$52,AQ$37-1))/1000,1)&lt;0,-0.38462,NA()),NA()),IF(AQ$38="B",NA(),IF(AQ$38="C",NA(),NA())))</f>
        <v>0</v>
      </c>
      <c r="AR67" s="68">
        <f>IF(AR$38="A",IF(AND(ISNUMBER(INDEX($D$52:$AD$52,AR$37)),ISNUMBER(INDEX($D$52:$AD$52,AR$37-1))),IF(ROUND((INDEX($D$52:$AD$52,AR$37)-INDEX($D$52:$AD$52,AR$37-1))/1000,1)&lt;0,-0.38462,NA()),NA()),IF(AR$38="B",NA(),IF(AR$38="C",NA(),NA())))</f>
        <v>0</v>
      </c>
      <c r="AS67" s="68">
        <f>IF(AS$38="A",IF(AND(ISNUMBER(INDEX($D$52:$AD$52,AS$37)),ISNUMBER(INDEX($D$52:$AD$52,AS$37-1))),IF(ROUND((INDEX($D$52:$AD$52,AS$37)-INDEX($D$52:$AD$52,AS$37-1))/1000,1)&lt;0,-0.38462,NA()),NA()),IF(AS$38="B",NA(),IF(AS$38="C",NA(),NA())))</f>
        <v>0</v>
      </c>
      <c r="AT67" s="68">
        <f>IF(AT$38="A",IF(AND(ISNUMBER(INDEX($D$52:$AD$52,AT$37)),ISNUMBER(INDEX($D$52:$AD$52,AT$37-1))),IF(ROUND((INDEX($D$52:$AD$52,AT$37)-INDEX($D$52:$AD$52,AT$37-1))/1000,1)&lt;0,-0.38462,NA()),NA()),IF(AT$38="B",NA(),IF(AT$38="C",NA(),NA())))</f>
        <v>0</v>
      </c>
      <c r="AU67" s="68">
        <f>IF(AU$38="A",IF(AND(ISNUMBER(INDEX($D$52:$AD$52,AU$37)),ISNUMBER(INDEX($D$52:$AD$52,AU$37-1))),IF(ROUND((INDEX($D$52:$AD$52,AU$37)-INDEX($D$52:$AD$52,AU$37-1))/1000,1)&lt;0,-0.38462,NA()),NA()),IF(AU$38="B",NA(),IF(AU$38="C",NA(),NA())))</f>
        <v>0</v>
      </c>
      <c r="AV67" s="68">
        <f>IF(AV$38="A",IF(AND(ISNUMBER(INDEX($D$52:$AD$52,AV$37)),ISNUMBER(INDEX($D$52:$AD$52,AV$37-1))),IF(ROUND((INDEX($D$52:$AD$52,AV$37)-INDEX($D$52:$AD$52,AV$37-1))/1000,1)&lt;0,-0.38462,NA()),NA()),IF(AV$38="B",NA(),IF(AV$38="C",NA(),NA())))</f>
        <v>0</v>
      </c>
      <c r="AW67" s="68">
        <f>IF(AW$38="A",IF(AND(ISNUMBER(INDEX($D$52:$AD$52,AW$37)),ISNUMBER(INDEX($D$52:$AD$52,AW$37-1))),IF(ROUND((INDEX($D$52:$AD$52,AW$37)-INDEX($D$52:$AD$52,AW$37-1))/1000,1)&lt;0,-0.38462,NA()),NA()),IF(AW$38="B",NA(),IF(AW$38="C",NA(),NA())))</f>
        <v>0</v>
      </c>
      <c r="AX67" s="68">
        <f>IF(AX$38="A",IF(AND(ISNUMBER(INDEX($D$52:$AD$52,AX$37)),ISNUMBER(INDEX($D$52:$AD$52,AX$37-1))),IF(ROUND((INDEX($D$52:$AD$52,AX$37)-INDEX($D$52:$AD$52,AX$37-1))/1000,1)&lt;0,-0.38462,NA()),NA()),IF(AX$38="B",NA(),IF(AX$38="C",NA(),NA())))</f>
        <v>0</v>
      </c>
      <c r="AY67" s="68">
        <f>IF(AY$38="A",IF(AND(ISNUMBER(INDEX($D$52:$AD$52,AY$37)),ISNUMBER(INDEX($D$52:$AD$52,AY$37-1))),IF(ROUND((INDEX($D$52:$AD$52,AY$37)-INDEX($D$52:$AD$52,AY$37-1))/1000,1)&lt;0,-0.38462,NA()),NA()),IF(AY$38="B",NA(),IF(AY$38="C",NA(),NA())))</f>
        <v>0</v>
      </c>
      <c r="AZ67" s="68">
        <f>IF(AZ$38="A",IF(AND(ISNUMBER(INDEX($D$52:$AD$52,AZ$37)),ISNUMBER(INDEX($D$52:$AD$52,AZ$37-1))),IF(ROUND((INDEX($D$52:$AD$52,AZ$37)-INDEX($D$52:$AD$52,AZ$37-1))/1000,1)&lt;0,-0.38462,NA()),NA()),IF(AZ$38="B",NA(),IF(AZ$38="C",NA(),NA())))</f>
        <v>0</v>
      </c>
      <c r="BA67" s="68">
        <f>IF(BA$38="A",IF(AND(ISNUMBER(INDEX($D$52:$AD$52,BA$37)),ISNUMBER(INDEX($D$52:$AD$52,BA$37-1))),IF(ROUND((INDEX($D$52:$AD$52,BA$37)-INDEX($D$52:$AD$52,BA$37-1))/1000,1)&lt;0,-0.38462,NA()),NA()),IF(BA$38="B",NA(),IF(BA$38="C",NA(),NA())))</f>
        <v>0</v>
      </c>
      <c r="BB67" s="68">
        <f>IF(BB$38="A",IF(AND(ISNUMBER(INDEX($D$52:$AD$52,BB$37)),ISNUMBER(INDEX($D$52:$AD$52,BB$37-1))),IF(ROUND((INDEX($D$52:$AD$52,BB$37)-INDEX($D$52:$AD$52,BB$37-1))/1000,1)&lt;0,-0.38462,NA()),NA()),IF(BB$38="B",NA(),IF(BB$38="C",NA(),NA())))</f>
        <v>0</v>
      </c>
      <c r="BC67" s="68">
        <f>IF(BC$38="A",IF(AND(ISNUMBER(INDEX($D$52:$AD$52,BC$37)),ISNUMBER(INDEX($D$52:$AD$52,BC$37-1))),IF(ROUND((INDEX($D$52:$AD$52,BC$37)-INDEX($D$52:$AD$52,BC$37-1))/1000,1)&lt;0,-0.38462,NA()),NA()),IF(BC$38="B",NA(),IF(BC$38="C",NA(),NA())))</f>
        <v>0</v>
      </c>
      <c r="BD67" s="68">
        <f>IF(BD$38="A",IF(AND(ISNUMBER(INDEX($D$52:$AD$52,BD$37)),ISNUMBER(INDEX($D$52:$AD$52,BD$37-1))),IF(ROUND((INDEX($D$52:$AD$52,BD$37)-INDEX($D$52:$AD$52,BD$37-1))/1000,1)&lt;0,-0.38462,NA()),NA()),IF(BD$38="B",NA(),IF(BD$38="C",NA(),NA())))</f>
        <v>0</v>
      </c>
      <c r="BE67" s="68">
        <f>IF(BE$38="A",IF(AND(ISNUMBER(INDEX($D$52:$AD$52,BE$37)),ISNUMBER(INDEX($D$52:$AD$52,BE$37-1))),IF(ROUND((INDEX($D$52:$AD$52,BE$37)-INDEX($D$52:$AD$52,BE$37-1))/1000,1)&lt;0,-0.38462,NA()),NA()),IF(BE$38="B",NA(),IF(BE$38="C",NA(),NA())))</f>
        <v>0</v>
      </c>
      <c r="BF67" s="68">
        <f>IF(BF$38="A",IF(AND(ISNUMBER(INDEX($D$52:$AD$52,BF$37)),ISNUMBER(INDEX($D$52:$AD$52,BF$37-1))),IF(ROUND((INDEX($D$52:$AD$52,BF$37)-INDEX($D$52:$AD$52,BF$37-1))/1000,1)&lt;0,-0.38462,NA()),NA()),IF(BF$38="B",NA(),IF(BF$38="C",NA(),NA())))</f>
        <v>0</v>
      </c>
      <c r="BG67" s="68">
        <f>IF(BG$38="A",IF(AND(ISNUMBER(INDEX($D$52:$AD$52,BG$37)),ISNUMBER(INDEX($D$52:$AD$52,BG$37-1))),IF(ROUND((INDEX($D$52:$AD$52,BG$37)-INDEX($D$52:$AD$52,BG$37-1))/1000,1)&lt;0,-0.38462,NA()),NA()),IF(BG$38="B",NA(),IF(BG$38="C",NA(),NA())))</f>
        <v>0</v>
      </c>
      <c r="BH67" s="68">
        <f>IF(BH$38="A",IF(AND(ISNUMBER(INDEX($D$52:$AD$52,BH$37)),ISNUMBER(INDEX($D$52:$AD$52,BH$37-1))),IF(ROUND((INDEX($D$52:$AD$52,BH$37)-INDEX($D$52:$AD$52,BH$37-1))/1000,1)&lt;0,-0.38462,NA()),NA()),IF(BH$38="B",NA(),IF(BH$38="C",NA(),NA())))</f>
        <v>0</v>
      </c>
      <c r="BI67" s="68">
        <f>IF(BI$38="A",IF(AND(ISNUMBER(INDEX($D$52:$AD$52,BI$37)),ISNUMBER(INDEX($D$52:$AD$52,BI$37-1))),IF(ROUND((INDEX($D$52:$AD$52,BI$37)-INDEX($D$52:$AD$52,BI$37-1))/1000,1)&lt;0,-0.38462,NA()),NA()),IF(BI$38="B",NA(),IF(BI$38="C",NA(),NA())))</f>
        <v>0</v>
      </c>
      <c r="BJ67" s="68">
        <f>IF(BJ$38="A",IF(AND(ISNUMBER(INDEX($D$52:$AD$52,BJ$37)),ISNUMBER(INDEX($D$52:$AD$52,BJ$37-1))),IF(ROUND((INDEX($D$52:$AD$52,BJ$37)-INDEX($D$52:$AD$52,BJ$37-1))/1000,1)&lt;0,-0.38462,NA()),NA()),IF(BJ$38="B",NA(),IF(BJ$38="C",NA(),NA())))</f>
        <v>0</v>
      </c>
      <c r="BK67" s="68">
        <f>IF(BK$38="A",IF(AND(ISNUMBER(INDEX($D$52:$AD$52,BK$37)),ISNUMBER(INDEX($D$52:$AD$52,BK$37-1))),IF(ROUND((INDEX($D$52:$AD$52,BK$37)-INDEX($D$52:$AD$52,BK$37-1))/1000,1)&lt;0,-0.38462,NA()),NA()),IF(BK$38="B",NA(),IF(BK$38="C",NA(),NA())))</f>
        <v>0</v>
      </c>
      <c r="BL67" s="68">
        <f>IF(BL$38="A",IF(AND(ISNUMBER(INDEX($D$52:$AD$52,BL$37)),ISNUMBER(INDEX($D$52:$AD$52,BL$37-1))),IF(ROUND((INDEX($D$52:$AD$52,BL$37)-INDEX($D$52:$AD$52,BL$37-1))/1000,1)&lt;0,-0.38462,NA()),NA()),IF(BL$38="B",NA(),IF(BL$38="C",NA(),NA())))</f>
        <v>0</v>
      </c>
      <c r="BM67" s="68">
        <f>IF(BM$38="A",IF(AND(ISNUMBER(INDEX($D$52:$AD$52,BM$37)),ISNUMBER(INDEX($D$52:$AD$52,BM$37-1))),IF(ROUND((INDEX($D$52:$AD$52,BM$37)-INDEX($D$52:$AD$52,BM$37-1))/1000,1)&lt;0,-0.38462,NA()),NA()),IF(BM$38="B",NA(),IF(BM$38="C",NA(),NA())))</f>
        <v>0</v>
      </c>
      <c r="BN67" s="68">
        <f>IF(BN$38="A",IF(AND(ISNUMBER(INDEX($D$52:$AD$52,BN$37)),ISNUMBER(INDEX($D$52:$AD$52,BN$37-1))),IF(ROUND((INDEX($D$52:$AD$52,BN$37)-INDEX($D$52:$AD$52,BN$37-1))/1000,1)&lt;0,-0.38462,NA()),NA()),IF(BN$38="B",NA(),IF(BN$38="C",NA(),NA())))</f>
        <v>0</v>
      </c>
      <c r="BO67" s="68">
        <f>IF(BO$38="A",IF(AND(ISNUMBER(INDEX($D$52:$AD$52,BO$37)),ISNUMBER(INDEX($D$52:$AD$52,BO$37-1))),IF(ROUND((INDEX($D$52:$AD$52,BO$37)-INDEX($D$52:$AD$52,BO$37-1))/1000,1)&lt;0,-0.38462,NA()),NA()),IF(BO$38="B",NA(),IF(BO$38="C",NA(),NA())))</f>
        <v>0</v>
      </c>
      <c r="BP67" s="68">
        <f>IF(BP$38="A",IF(AND(ISNUMBER(INDEX($D$52:$AD$52,BP$37)),ISNUMBER(INDEX($D$52:$AD$52,BP$37-1))),IF(ROUND((INDEX($D$52:$AD$52,BP$37)-INDEX($D$52:$AD$52,BP$37-1))/1000,1)&lt;0,-0.38462,NA()),NA()),IF(BP$38="B",NA(),IF(BP$38="C",NA(),NA())))</f>
        <v>0</v>
      </c>
      <c r="BQ67" s="68">
        <f>IF(BQ$38="A",IF(AND(ISNUMBER(INDEX($D$52:$AD$52,BQ$37)),ISNUMBER(INDEX($D$52:$AD$52,BQ$37-1))),IF(ROUND((INDEX($D$52:$AD$52,BQ$37)-INDEX($D$52:$AD$52,BQ$37-1))/1000,1)&lt;0,-0.38462,NA()),NA()),IF(BQ$38="B",NA(),IF(BQ$38="C",NA(),NA())))</f>
        <v>0</v>
      </c>
      <c r="BR67" s="68">
        <f>IF(BR$38="A",IF(AND(ISNUMBER(INDEX($D$52:$AD$52,BR$37)),ISNUMBER(INDEX($D$52:$AD$52,BR$37-1))),IF(ROUND((INDEX($D$52:$AD$52,BR$37)-INDEX($D$52:$AD$52,BR$37-1))/1000,1)&lt;0,-0.38462,NA()),NA()),IF(BR$38="B",NA(),IF(BR$38="C",NA(),NA())))</f>
        <v>0</v>
      </c>
      <c r="BS67" s="68">
        <f>IF(BS$38="A",IF(AND(ISNUMBER(INDEX($D$52:$AD$52,BS$37)),ISNUMBER(INDEX($D$52:$AD$52,BS$37-1))),IF(ROUND((INDEX($D$52:$AD$52,BS$37)-INDEX($D$52:$AD$52,BS$37-1))/1000,1)&lt;0,-0.38462,NA()),NA()),IF(BS$38="B",NA(),IF(BS$38="C",NA(),NA())))</f>
        <v>0</v>
      </c>
      <c r="BT67" s="68">
        <f>IF(BT$38="A",IF(AND(ISNUMBER(INDEX($D$52:$AD$52,BT$37)),ISNUMBER(INDEX($D$52:$AD$52,BT$37-1))),IF(ROUND((INDEX($D$52:$AD$52,BT$37)-INDEX($D$52:$AD$52,BT$37-1))/1000,1)&lt;0,-0.38462,NA()),NA()),IF(BT$38="B",NA(),IF(BT$38="C",NA(),NA())))</f>
        <v>0</v>
      </c>
    </row>
    <row r="68" spans="1:72">
      <c r="A68" s="11" t="s">
        <v>667</v>
      </c>
      <c r="B68" s="11" t="s">
        <v>668</v>
      </c>
      <c r="C68" s="67" t="s">
        <v>610</v>
      </c>
      <c r="AQ68" s="68">
        <f>IF(AQ$38="A",IF(AND(ISNUMBER(INDEX($D$52:$AD$52,AQ$37)),ISNUMBER(INDEX($D$52:$AD$52,AQ$37-1))),IF(ROUND((INDEX($D$52:$AD$52,AQ$37)-INDEX($D$52:$AD$52,AQ$37-1))/1000,1)=0,-0.38462,NA()),NA()),IF(AQ$38="B",NA(),IF(AQ$38="C",NA(),NA())))</f>
        <v>0</v>
      </c>
      <c r="AR68" s="68">
        <f>IF(AR$38="A",IF(AND(ISNUMBER(INDEX($D$52:$AD$52,AR$37)),ISNUMBER(INDEX($D$52:$AD$52,AR$37-1))),IF(ROUND((INDEX($D$52:$AD$52,AR$37)-INDEX($D$52:$AD$52,AR$37-1))/1000,1)=0,-0.38462,NA()),NA()),IF(AR$38="B",NA(),IF(AR$38="C",NA(),NA())))</f>
        <v>0</v>
      </c>
      <c r="AS68" s="68">
        <f>IF(AS$38="A",IF(AND(ISNUMBER(INDEX($D$52:$AD$52,AS$37)),ISNUMBER(INDEX($D$52:$AD$52,AS$37-1))),IF(ROUND((INDEX($D$52:$AD$52,AS$37)-INDEX($D$52:$AD$52,AS$37-1))/1000,1)=0,-0.38462,NA()),NA()),IF(AS$38="B",NA(),IF(AS$38="C",NA(),NA())))</f>
        <v>0</v>
      </c>
      <c r="AT68" s="68">
        <f>IF(AT$38="A",IF(AND(ISNUMBER(INDEX($D$52:$AD$52,AT$37)),ISNUMBER(INDEX($D$52:$AD$52,AT$37-1))),IF(ROUND((INDEX($D$52:$AD$52,AT$37)-INDEX($D$52:$AD$52,AT$37-1))/1000,1)=0,-0.38462,NA()),NA()),IF(AT$38="B",NA(),IF(AT$38="C",NA(),NA())))</f>
        <v>0</v>
      </c>
      <c r="AU68" s="68">
        <f>IF(AU$38="A",IF(AND(ISNUMBER(INDEX($D$52:$AD$52,AU$37)),ISNUMBER(INDEX($D$52:$AD$52,AU$37-1))),IF(ROUND((INDEX($D$52:$AD$52,AU$37)-INDEX($D$52:$AD$52,AU$37-1))/1000,1)=0,-0.38462,NA()),NA()),IF(AU$38="B",NA(),IF(AU$38="C",NA(),NA())))</f>
        <v>0</v>
      </c>
      <c r="AV68" s="68">
        <f>IF(AV$38="A",IF(AND(ISNUMBER(INDEX($D$52:$AD$52,AV$37)),ISNUMBER(INDEX($D$52:$AD$52,AV$37-1))),IF(ROUND((INDEX($D$52:$AD$52,AV$37)-INDEX($D$52:$AD$52,AV$37-1))/1000,1)=0,-0.38462,NA()),NA()),IF(AV$38="B",NA(),IF(AV$38="C",NA(),NA())))</f>
        <v>0</v>
      </c>
      <c r="AW68" s="68">
        <f>IF(AW$38="A",IF(AND(ISNUMBER(INDEX($D$52:$AD$52,AW$37)),ISNUMBER(INDEX($D$52:$AD$52,AW$37-1))),IF(ROUND((INDEX($D$52:$AD$52,AW$37)-INDEX($D$52:$AD$52,AW$37-1))/1000,1)=0,-0.38462,NA()),NA()),IF(AW$38="B",NA(),IF(AW$38="C",NA(),NA())))</f>
        <v>0</v>
      </c>
      <c r="AX68" s="68">
        <f>IF(AX$38="A",IF(AND(ISNUMBER(INDEX($D$52:$AD$52,AX$37)),ISNUMBER(INDEX($D$52:$AD$52,AX$37-1))),IF(ROUND((INDEX($D$52:$AD$52,AX$37)-INDEX($D$52:$AD$52,AX$37-1))/1000,1)=0,-0.38462,NA()),NA()),IF(AX$38="B",NA(),IF(AX$38="C",NA(),NA())))</f>
        <v>0</v>
      </c>
      <c r="AY68" s="68">
        <f>IF(AY$38="A",IF(AND(ISNUMBER(INDEX($D$52:$AD$52,AY$37)),ISNUMBER(INDEX($D$52:$AD$52,AY$37-1))),IF(ROUND((INDEX($D$52:$AD$52,AY$37)-INDEX($D$52:$AD$52,AY$37-1))/1000,1)=0,-0.38462,NA()),NA()),IF(AY$38="B",NA(),IF(AY$38="C",NA(),NA())))</f>
        <v>0</v>
      </c>
      <c r="AZ68" s="68">
        <f>IF(AZ$38="A",IF(AND(ISNUMBER(INDEX($D$52:$AD$52,AZ$37)),ISNUMBER(INDEX($D$52:$AD$52,AZ$37-1))),IF(ROUND((INDEX($D$52:$AD$52,AZ$37)-INDEX($D$52:$AD$52,AZ$37-1))/1000,1)=0,-0.38462,NA()),NA()),IF(AZ$38="B",NA(),IF(AZ$38="C",NA(),NA())))</f>
        <v>0</v>
      </c>
      <c r="BA68" s="68">
        <f>IF(BA$38="A",IF(AND(ISNUMBER(INDEX($D$52:$AD$52,BA$37)),ISNUMBER(INDEX($D$52:$AD$52,BA$37-1))),IF(ROUND((INDEX($D$52:$AD$52,BA$37)-INDEX($D$52:$AD$52,BA$37-1))/1000,1)=0,-0.38462,NA()),NA()),IF(BA$38="B",NA(),IF(BA$38="C",NA(),NA())))</f>
        <v>0</v>
      </c>
      <c r="BB68" s="68">
        <f>IF(BB$38="A",IF(AND(ISNUMBER(INDEX($D$52:$AD$52,BB$37)),ISNUMBER(INDEX($D$52:$AD$52,BB$37-1))),IF(ROUND((INDEX($D$52:$AD$52,BB$37)-INDEX($D$52:$AD$52,BB$37-1))/1000,1)=0,-0.38462,NA()),NA()),IF(BB$38="B",NA(),IF(BB$38="C",NA(),NA())))</f>
        <v>0</v>
      </c>
      <c r="BC68" s="68">
        <f>IF(BC$38="A",IF(AND(ISNUMBER(INDEX($D$52:$AD$52,BC$37)),ISNUMBER(INDEX($D$52:$AD$52,BC$37-1))),IF(ROUND((INDEX($D$52:$AD$52,BC$37)-INDEX($D$52:$AD$52,BC$37-1))/1000,1)=0,-0.38462,NA()),NA()),IF(BC$38="B",NA(),IF(BC$38="C",NA(),NA())))</f>
        <v>0</v>
      </c>
      <c r="BD68" s="68">
        <f>IF(BD$38="A",IF(AND(ISNUMBER(INDEX($D$52:$AD$52,BD$37)),ISNUMBER(INDEX($D$52:$AD$52,BD$37-1))),IF(ROUND((INDEX($D$52:$AD$52,BD$37)-INDEX($D$52:$AD$52,BD$37-1))/1000,1)=0,-0.38462,NA()),NA()),IF(BD$38="B",NA(),IF(BD$38="C",NA(),NA())))</f>
        <v>0</v>
      </c>
      <c r="BE68" s="68">
        <f>IF(BE$38="A",IF(AND(ISNUMBER(INDEX($D$52:$AD$52,BE$37)),ISNUMBER(INDEX($D$52:$AD$52,BE$37-1))),IF(ROUND((INDEX($D$52:$AD$52,BE$37)-INDEX($D$52:$AD$52,BE$37-1))/1000,1)=0,-0.38462,NA()),NA()),IF(BE$38="B",NA(),IF(BE$38="C",NA(),NA())))</f>
        <v>0</v>
      </c>
      <c r="BF68" s="68">
        <f>IF(BF$38="A",IF(AND(ISNUMBER(INDEX($D$52:$AD$52,BF$37)),ISNUMBER(INDEX($D$52:$AD$52,BF$37-1))),IF(ROUND((INDEX($D$52:$AD$52,BF$37)-INDEX($D$52:$AD$52,BF$37-1))/1000,1)=0,-0.38462,NA()),NA()),IF(BF$38="B",NA(),IF(BF$38="C",NA(),NA())))</f>
        <v>0</v>
      </c>
      <c r="BG68" s="68">
        <f>IF(BG$38="A",IF(AND(ISNUMBER(INDEX($D$52:$AD$52,BG$37)),ISNUMBER(INDEX($D$52:$AD$52,BG$37-1))),IF(ROUND((INDEX($D$52:$AD$52,BG$37)-INDEX($D$52:$AD$52,BG$37-1))/1000,1)=0,-0.38462,NA()),NA()),IF(BG$38="B",NA(),IF(BG$38="C",NA(),NA())))</f>
        <v>0</v>
      </c>
      <c r="BH68" s="68">
        <f>IF(BH$38="A",IF(AND(ISNUMBER(INDEX($D$52:$AD$52,BH$37)),ISNUMBER(INDEX($D$52:$AD$52,BH$37-1))),IF(ROUND((INDEX($D$52:$AD$52,BH$37)-INDEX($D$52:$AD$52,BH$37-1))/1000,1)=0,-0.38462,NA()),NA()),IF(BH$38="B",NA(),IF(BH$38="C",NA(),NA())))</f>
        <v>0</v>
      </c>
      <c r="BI68" s="68">
        <f>IF(BI$38="A",IF(AND(ISNUMBER(INDEX($D$52:$AD$52,BI$37)),ISNUMBER(INDEX($D$52:$AD$52,BI$37-1))),IF(ROUND((INDEX($D$52:$AD$52,BI$37)-INDEX($D$52:$AD$52,BI$37-1))/1000,1)=0,-0.38462,NA()),NA()),IF(BI$38="B",NA(),IF(BI$38="C",NA(),NA())))</f>
        <v>0</v>
      </c>
      <c r="BJ68" s="68">
        <f>IF(BJ$38="A",IF(AND(ISNUMBER(INDEX($D$52:$AD$52,BJ$37)),ISNUMBER(INDEX($D$52:$AD$52,BJ$37-1))),IF(ROUND((INDEX($D$52:$AD$52,BJ$37)-INDEX($D$52:$AD$52,BJ$37-1))/1000,1)=0,-0.38462,NA()),NA()),IF(BJ$38="B",NA(),IF(BJ$38="C",NA(),NA())))</f>
        <v>0</v>
      </c>
      <c r="BK68" s="68">
        <f>IF(BK$38="A",IF(AND(ISNUMBER(INDEX($D$52:$AD$52,BK$37)),ISNUMBER(INDEX($D$52:$AD$52,BK$37-1))),IF(ROUND((INDEX($D$52:$AD$52,BK$37)-INDEX($D$52:$AD$52,BK$37-1))/1000,1)=0,-0.38462,NA()),NA()),IF(BK$38="B",NA(),IF(BK$38="C",NA(),NA())))</f>
        <v>0</v>
      </c>
      <c r="BL68" s="68">
        <f>IF(BL$38="A",IF(AND(ISNUMBER(INDEX($D$52:$AD$52,BL$37)),ISNUMBER(INDEX($D$52:$AD$52,BL$37-1))),IF(ROUND((INDEX($D$52:$AD$52,BL$37)-INDEX($D$52:$AD$52,BL$37-1))/1000,1)=0,-0.38462,NA()),NA()),IF(BL$38="B",NA(),IF(BL$38="C",NA(),NA())))</f>
        <v>0</v>
      </c>
      <c r="BM68" s="68">
        <f>IF(BM$38="A",IF(AND(ISNUMBER(INDEX($D$52:$AD$52,BM$37)),ISNUMBER(INDEX($D$52:$AD$52,BM$37-1))),IF(ROUND((INDEX($D$52:$AD$52,BM$37)-INDEX($D$52:$AD$52,BM$37-1))/1000,1)=0,-0.38462,NA()),NA()),IF(BM$38="B",NA(),IF(BM$38="C",NA(),NA())))</f>
        <v>0</v>
      </c>
      <c r="BN68" s="68">
        <f>IF(BN$38="A",IF(AND(ISNUMBER(INDEX($D$52:$AD$52,BN$37)),ISNUMBER(INDEX($D$52:$AD$52,BN$37-1))),IF(ROUND((INDEX($D$52:$AD$52,BN$37)-INDEX($D$52:$AD$52,BN$37-1))/1000,1)=0,-0.38462,NA()),NA()),IF(BN$38="B",NA(),IF(BN$38="C",NA(),NA())))</f>
        <v>0</v>
      </c>
      <c r="BO68" s="68">
        <f>IF(BO$38="A",IF(AND(ISNUMBER(INDEX($D$52:$AD$52,BO$37)),ISNUMBER(INDEX($D$52:$AD$52,BO$37-1))),IF(ROUND((INDEX($D$52:$AD$52,BO$37)-INDEX($D$52:$AD$52,BO$37-1))/1000,1)=0,-0.38462,NA()),NA()),IF(BO$38="B",NA(),IF(BO$38="C",NA(),NA())))</f>
        <v>0</v>
      </c>
      <c r="BP68" s="68">
        <f>IF(BP$38="A",IF(AND(ISNUMBER(INDEX($D$52:$AD$52,BP$37)),ISNUMBER(INDEX($D$52:$AD$52,BP$37-1))),IF(ROUND((INDEX($D$52:$AD$52,BP$37)-INDEX($D$52:$AD$52,BP$37-1))/1000,1)=0,-0.38462,NA()),NA()),IF(BP$38="B",NA(),IF(BP$38="C",NA(),NA())))</f>
        <v>0</v>
      </c>
      <c r="BQ68" s="68">
        <f>IF(BQ$38="A",IF(AND(ISNUMBER(INDEX($D$52:$AD$52,BQ$37)),ISNUMBER(INDEX($D$52:$AD$52,BQ$37-1))),IF(ROUND((INDEX($D$52:$AD$52,BQ$37)-INDEX($D$52:$AD$52,BQ$37-1))/1000,1)=0,-0.38462,NA()),NA()),IF(BQ$38="B",NA(),IF(BQ$38="C",NA(),NA())))</f>
        <v>0</v>
      </c>
      <c r="BR68" s="68">
        <f>IF(BR$38="A",IF(AND(ISNUMBER(INDEX($D$52:$AD$52,BR$37)),ISNUMBER(INDEX($D$52:$AD$52,BR$37-1))),IF(ROUND((INDEX($D$52:$AD$52,BR$37)-INDEX($D$52:$AD$52,BR$37-1))/1000,1)=0,-0.38462,NA()),NA()),IF(BR$38="B",NA(),IF(BR$38="C",NA(),NA())))</f>
        <v>0</v>
      </c>
      <c r="BS68" s="68">
        <f>IF(BS$38="A",IF(AND(ISNUMBER(INDEX($D$52:$AD$52,BS$37)),ISNUMBER(INDEX($D$52:$AD$52,BS$37-1))),IF(ROUND((INDEX($D$52:$AD$52,BS$37)-INDEX($D$52:$AD$52,BS$37-1))/1000,1)=0,-0.38462,NA()),NA()),IF(BS$38="B",NA(),IF(BS$38="C",NA(),NA())))</f>
        <v>0</v>
      </c>
      <c r="BT68" s="68">
        <f>IF(BT$38="A",IF(AND(ISNUMBER(INDEX($D$52:$AD$52,BT$37)),ISNUMBER(INDEX($D$52:$AD$52,BT$37-1))),IF(ROUND((INDEX($D$52:$AD$52,BT$37)-INDEX($D$52:$AD$52,BT$37-1))/1000,1)=0,-0.38462,NA()),NA()),IF(BT$38="B",NA(),IF(BT$38="C",NA(),NA())))</f>
        <v>0</v>
      </c>
    </row>
    <row r="69" spans="1:72">
      <c r="A69" s="11" t="s">
        <v>669</v>
      </c>
      <c r="B69" s="11" t="s">
        <v>670</v>
      </c>
      <c r="C69" s="67" t="s">
        <v>610</v>
      </c>
      <c r="AQ69" s="11">
        <f>IF(AQ$38="A",IF(AND(ISNUMBER(INDEX($D$52:$AD$52,AQ$37)),ISNUMBER(INDEX($D$52:$AD$52,AQ$37-1))),IF(ROUND((INDEX($D$52:$AD$52,AQ$37)-INDEX($D$52:$AD$52,AQ$37-1))/1000,1)&gt;0,"+"&amp;FIXED(ROUND((INDEX($D$52:$AD$52,AQ$37)-INDEX($D$52:$AD$52,AQ$37-1))/1000,1),1),IF(ROUND((INDEX($D$52:$AD$52,AQ$37)-INDEX($D$52:$AD$52,AQ$37-1))/1000,1)&lt;0,"−"&amp;FIXED(-ROUND((INDEX($D$52:$AD$52,AQ$37)-INDEX($D$52:$AD$52,AQ$37-1))/1000,1),1),"±0")),""),IF(AQ$38="B","",IF(AQ$38="C","","")))</f>
        <v>0</v>
      </c>
      <c r="AR69" s="11">
        <f>IF(AR$38="A",IF(AND(ISNUMBER(INDEX($D$52:$AD$52,AR$37)),ISNUMBER(INDEX($D$52:$AD$52,AR$37-1))),IF(ROUND((INDEX($D$52:$AD$52,AR$37)-INDEX($D$52:$AD$52,AR$37-1))/1000,1)&gt;0,"+"&amp;FIXED(ROUND((INDEX($D$52:$AD$52,AR$37)-INDEX($D$52:$AD$52,AR$37-1))/1000,1),1),IF(ROUND((INDEX($D$52:$AD$52,AR$37)-INDEX($D$52:$AD$52,AR$37-1))/1000,1)&lt;0,"−"&amp;FIXED(-ROUND((INDEX($D$52:$AD$52,AR$37)-INDEX($D$52:$AD$52,AR$37-1))/1000,1),1),"±0")),""),IF(AR$38="B","",IF(AR$38="C","","")))</f>
        <v>0</v>
      </c>
      <c r="AS69" s="11">
        <f>IF(AS$38="A",IF(AND(ISNUMBER(INDEX($D$52:$AD$52,AS$37)),ISNUMBER(INDEX($D$52:$AD$52,AS$37-1))),IF(ROUND((INDEX($D$52:$AD$52,AS$37)-INDEX($D$52:$AD$52,AS$37-1))/1000,1)&gt;0,"+"&amp;FIXED(ROUND((INDEX($D$52:$AD$52,AS$37)-INDEX($D$52:$AD$52,AS$37-1))/1000,1),1),IF(ROUND((INDEX($D$52:$AD$52,AS$37)-INDEX($D$52:$AD$52,AS$37-1))/1000,1)&lt;0,"−"&amp;FIXED(-ROUND((INDEX($D$52:$AD$52,AS$37)-INDEX($D$52:$AD$52,AS$37-1))/1000,1),1),"±0")),""),IF(AS$38="B","",IF(AS$38="C","","")))</f>
        <v>0</v>
      </c>
      <c r="AT69" s="11">
        <f>IF(AT$38="A",IF(AND(ISNUMBER(INDEX($D$52:$AD$52,AT$37)),ISNUMBER(INDEX($D$52:$AD$52,AT$37-1))),IF(ROUND((INDEX($D$52:$AD$52,AT$37)-INDEX($D$52:$AD$52,AT$37-1))/1000,1)&gt;0,"+"&amp;FIXED(ROUND((INDEX($D$52:$AD$52,AT$37)-INDEX($D$52:$AD$52,AT$37-1))/1000,1),1),IF(ROUND((INDEX($D$52:$AD$52,AT$37)-INDEX($D$52:$AD$52,AT$37-1))/1000,1)&lt;0,"−"&amp;FIXED(-ROUND((INDEX($D$52:$AD$52,AT$37)-INDEX($D$52:$AD$52,AT$37-1))/1000,1),1),"±0")),""),IF(AT$38="B","",IF(AT$38="C","","")))</f>
        <v>0</v>
      </c>
      <c r="AU69" s="11">
        <f>IF(AU$38="A",IF(AND(ISNUMBER(INDEX($D$52:$AD$52,AU$37)),ISNUMBER(INDEX($D$52:$AD$52,AU$37-1))),IF(ROUND((INDEX($D$52:$AD$52,AU$37)-INDEX($D$52:$AD$52,AU$37-1))/1000,1)&gt;0,"+"&amp;FIXED(ROUND((INDEX($D$52:$AD$52,AU$37)-INDEX($D$52:$AD$52,AU$37-1))/1000,1),1),IF(ROUND((INDEX($D$52:$AD$52,AU$37)-INDEX($D$52:$AD$52,AU$37-1))/1000,1)&lt;0,"−"&amp;FIXED(-ROUND((INDEX($D$52:$AD$52,AU$37)-INDEX($D$52:$AD$52,AU$37-1))/1000,1),1),"±0")),""),IF(AU$38="B","",IF(AU$38="C","","")))</f>
        <v>0</v>
      </c>
      <c r="AV69" s="11">
        <f>IF(AV$38="A",IF(AND(ISNUMBER(INDEX($D$52:$AD$52,AV$37)),ISNUMBER(INDEX($D$52:$AD$52,AV$37-1))),IF(ROUND((INDEX($D$52:$AD$52,AV$37)-INDEX($D$52:$AD$52,AV$37-1))/1000,1)&gt;0,"+"&amp;FIXED(ROUND((INDEX($D$52:$AD$52,AV$37)-INDEX($D$52:$AD$52,AV$37-1))/1000,1),1),IF(ROUND((INDEX($D$52:$AD$52,AV$37)-INDEX($D$52:$AD$52,AV$37-1))/1000,1)&lt;0,"−"&amp;FIXED(-ROUND((INDEX($D$52:$AD$52,AV$37)-INDEX($D$52:$AD$52,AV$37-1))/1000,1),1),"±0")),""),IF(AV$38="B","",IF(AV$38="C","","")))</f>
        <v>0</v>
      </c>
      <c r="AW69" s="11">
        <f>IF(AW$38="A",IF(AND(ISNUMBER(INDEX($D$52:$AD$52,AW$37)),ISNUMBER(INDEX($D$52:$AD$52,AW$37-1))),IF(ROUND((INDEX($D$52:$AD$52,AW$37)-INDEX($D$52:$AD$52,AW$37-1))/1000,1)&gt;0,"+"&amp;FIXED(ROUND((INDEX($D$52:$AD$52,AW$37)-INDEX($D$52:$AD$52,AW$37-1))/1000,1),1),IF(ROUND((INDEX($D$52:$AD$52,AW$37)-INDEX($D$52:$AD$52,AW$37-1))/1000,1)&lt;0,"−"&amp;FIXED(-ROUND((INDEX($D$52:$AD$52,AW$37)-INDEX($D$52:$AD$52,AW$37-1))/1000,1),1),"±0")),""),IF(AW$38="B","",IF(AW$38="C","","")))</f>
        <v>0</v>
      </c>
      <c r="AX69" s="11">
        <f>IF(AX$38="A",IF(AND(ISNUMBER(INDEX($D$52:$AD$52,AX$37)),ISNUMBER(INDEX($D$52:$AD$52,AX$37-1))),IF(ROUND((INDEX($D$52:$AD$52,AX$37)-INDEX($D$52:$AD$52,AX$37-1))/1000,1)&gt;0,"+"&amp;FIXED(ROUND((INDEX($D$52:$AD$52,AX$37)-INDEX($D$52:$AD$52,AX$37-1))/1000,1),1),IF(ROUND((INDEX($D$52:$AD$52,AX$37)-INDEX($D$52:$AD$52,AX$37-1))/1000,1)&lt;0,"−"&amp;FIXED(-ROUND((INDEX($D$52:$AD$52,AX$37)-INDEX($D$52:$AD$52,AX$37-1))/1000,1),1),"±0")),""),IF(AX$38="B","",IF(AX$38="C","","")))</f>
        <v>0</v>
      </c>
      <c r="AY69" s="11">
        <f>IF(AY$38="A",IF(AND(ISNUMBER(INDEX($D$52:$AD$52,AY$37)),ISNUMBER(INDEX($D$52:$AD$52,AY$37-1))),IF(ROUND((INDEX($D$52:$AD$52,AY$37)-INDEX($D$52:$AD$52,AY$37-1))/1000,1)&gt;0,"+"&amp;FIXED(ROUND((INDEX($D$52:$AD$52,AY$37)-INDEX($D$52:$AD$52,AY$37-1))/1000,1),1),IF(ROUND((INDEX($D$52:$AD$52,AY$37)-INDEX($D$52:$AD$52,AY$37-1))/1000,1)&lt;0,"−"&amp;FIXED(-ROUND((INDEX($D$52:$AD$52,AY$37)-INDEX($D$52:$AD$52,AY$37-1))/1000,1),1),"±0")),""),IF(AY$38="B","",IF(AY$38="C","","")))</f>
        <v>0</v>
      </c>
      <c r="AZ69" s="11">
        <f>IF(AZ$38="A",IF(AND(ISNUMBER(INDEX($D$52:$AD$52,AZ$37)),ISNUMBER(INDEX($D$52:$AD$52,AZ$37-1))),IF(ROUND((INDEX($D$52:$AD$52,AZ$37)-INDEX($D$52:$AD$52,AZ$37-1))/1000,1)&gt;0,"+"&amp;FIXED(ROUND((INDEX($D$52:$AD$52,AZ$37)-INDEX($D$52:$AD$52,AZ$37-1))/1000,1),1),IF(ROUND((INDEX($D$52:$AD$52,AZ$37)-INDEX($D$52:$AD$52,AZ$37-1))/1000,1)&lt;0,"−"&amp;FIXED(-ROUND((INDEX($D$52:$AD$52,AZ$37)-INDEX($D$52:$AD$52,AZ$37-1))/1000,1),1),"±0")),""),IF(AZ$38="B","",IF(AZ$38="C","","")))</f>
        <v>0</v>
      </c>
      <c r="BA69" s="11">
        <f>IF(BA$38="A",IF(AND(ISNUMBER(INDEX($D$52:$AD$52,BA$37)),ISNUMBER(INDEX($D$52:$AD$52,BA$37-1))),IF(ROUND((INDEX($D$52:$AD$52,BA$37)-INDEX($D$52:$AD$52,BA$37-1))/1000,1)&gt;0,"+"&amp;FIXED(ROUND((INDEX($D$52:$AD$52,BA$37)-INDEX($D$52:$AD$52,BA$37-1))/1000,1),1),IF(ROUND((INDEX($D$52:$AD$52,BA$37)-INDEX($D$52:$AD$52,BA$37-1))/1000,1)&lt;0,"−"&amp;FIXED(-ROUND((INDEX($D$52:$AD$52,BA$37)-INDEX($D$52:$AD$52,BA$37-1))/1000,1),1),"±0")),""),IF(BA$38="B","",IF(BA$38="C","","")))</f>
        <v>0</v>
      </c>
      <c r="BB69" s="11">
        <f>IF(BB$38="A",IF(AND(ISNUMBER(INDEX($D$52:$AD$52,BB$37)),ISNUMBER(INDEX($D$52:$AD$52,BB$37-1))),IF(ROUND((INDEX($D$52:$AD$52,BB$37)-INDEX($D$52:$AD$52,BB$37-1))/1000,1)&gt;0,"+"&amp;FIXED(ROUND((INDEX($D$52:$AD$52,BB$37)-INDEX($D$52:$AD$52,BB$37-1))/1000,1),1),IF(ROUND((INDEX($D$52:$AD$52,BB$37)-INDEX($D$52:$AD$52,BB$37-1))/1000,1)&lt;0,"−"&amp;FIXED(-ROUND((INDEX($D$52:$AD$52,BB$37)-INDEX($D$52:$AD$52,BB$37-1))/1000,1),1),"±0")),""),IF(BB$38="B","",IF(BB$38="C","","")))</f>
        <v>0</v>
      </c>
      <c r="BC69" s="11">
        <f>IF(BC$38="A",IF(AND(ISNUMBER(INDEX($D$52:$AD$52,BC$37)),ISNUMBER(INDEX($D$52:$AD$52,BC$37-1))),IF(ROUND((INDEX($D$52:$AD$52,BC$37)-INDEX($D$52:$AD$52,BC$37-1))/1000,1)&gt;0,"+"&amp;FIXED(ROUND((INDEX($D$52:$AD$52,BC$37)-INDEX($D$52:$AD$52,BC$37-1))/1000,1),1),IF(ROUND((INDEX($D$52:$AD$52,BC$37)-INDEX($D$52:$AD$52,BC$37-1))/1000,1)&lt;0,"−"&amp;FIXED(-ROUND((INDEX($D$52:$AD$52,BC$37)-INDEX($D$52:$AD$52,BC$37-1))/1000,1),1),"±0")),""),IF(BC$38="B","",IF(BC$38="C","","")))</f>
        <v>0</v>
      </c>
      <c r="BD69" s="11">
        <f>IF(BD$38="A",IF(AND(ISNUMBER(INDEX($D$52:$AD$52,BD$37)),ISNUMBER(INDEX($D$52:$AD$52,BD$37-1))),IF(ROUND((INDEX($D$52:$AD$52,BD$37)-INDEX($D$52:$AD$52,BD$37-1))/1000,1)&gt;0,"+"&amp;FIXED(ROUND((INDEX($D$52:$AD$52,BD$37)-INDEX($D$52:$AD$52,BD$37-1))/1000,1),1),IF(ROUND((INDEX($D$52:$AD$52,BD$37)-INDEX($D$52:$AD$52,BD$37-1))/1000,1)&lt;0,"−"&amp;FIXED(-ROUND((INDEX($D$52:$AD$52,BD$37)-INDEX($D$52:$AD$52,BD$37-1))/1000,1),1),"±0")),""),IF(BD$38="B","",IF(BD$38="C","","")))</f>
        <v>0</v>
      </c>
      <c r="BE69" s="11">
        <f>IF(BE$38="A",IF(AND(ISNUMBER(INDEX($D$52:$AD$52,BE$37)),ISNUMBER(INDEX($D$52:$AD$52,BE$37-1))),IF(ROUND((INDEX($D$52:$AD$52,BE$37)-INDEX($D$52:$AD$52,BE$37-1))/1000,1)&gt;0,"+"&amp;FIXED(ROUND((INDEX($D$52:$AD$52,BE$37)-INDEX($D$52:$AD$52,BE$37-1))/1000,1),1),IF(ROUND((INDEX($D$52:$AD$52,BE$37)-INDEX($D$52:$AD$52,BE$37-1))/1000,1)&lt;0,"−"&amp;FIXED(-ROUND((INDEX($D$52:$AD$52,BE$37)-INDEX($D$52:$AD$52,BE$37-1))/1000,1),1),"±0")),""),IF(BE$38="B","",IF(BE$38="C","","")))</f>
        <v>0</v>
      </c>
      <c r="BF69" s="11">
        <f>IF(BF$38="A",IF(AND(ISNUMBER(INDEX($D$52:$AD$52,BF$37)),ISNUMBER(INDEX($D$52:$AD$52,BF$37-1))),IF(ROUND((INDEX($D$52:$AD$52,BF$37)-INDEX($D$52:$AD$52,BF$37-1))/1000,1)&gt;0,"+"&amp;FIXED(ROUND((INDEX($D$52:$AD$52,BF$37)-INDEX($D$52:$AD$52,BF$37-1))/1000,1),1),IF(ROUND((INDEX($D$52:$AD$52,BF$37)-INDEX($D$52:$AD$52,BF$37-1))/1000,1)&lt;0,"−"&amp;FIXED(-ROUND((INDEX($D$52:$AD$52,BF$37)-INDEX($D$52:$AD$52,BF$37-1))/1000,1),1),"±0")),""),IF(BF$38="B","",IF(BF$38="C","","")))</f>
        <v>0</v>
      </c>
      <c r="BG69" s="11">
        <f>IF(BG$38="A",IF(AND(ISNUMBER(INDEX($D$52:$AD$52,BG$37)),ISNUMBER(INDEX($D$52:$AD$52,BG$37-1))),IF(ROUND((INDEX($D$52:$AD$52,BG$37)-INDEX($D$52:$AD$52,BG$37-1))/1000,1)&gt;0,"+"&amp;FIXED(ROUND((INDEX($D$52:$AD$52,BG$37)-INDEX($D$52:$AD$52,BG$37-1))/1000,1),1),IF(ROUND((INDEX($D$52:$AD$52,BG$37)-INDEX($D$52:$AD$52,BG$37-1))/1000,1)&lt;0,"−"&amp;FIXED(-ROUND((INDEX($D$52:$AD$52,BG$37)-INDEX($D$52:$AD$52,BG$37-1))/1000,1),1),"±0")),""),IF(BG$38="B","",IF(BG$38="C","","")))</f>
        <v>0</v>
      </c>
      <c r="BH69" s="11">
        <f>IF(BH$38="A",IF(AND(ISNUMBER(INDEX($D$52:$AD$52,BH$37)),ISNUMBER(INDEX($D$52:$AD$52,BH$37-1))),IF(ROUND((INDEX($D$52:$AD$52,BH$37)-INDEX($D$52:$AD$52,BH$37-1))/1000,1)&gt;0,"+"&amp;FIXED(ROUND((INDEX($D$52:$AD$52,BH$37)-INDEX($D$52:$AD$52,BH$37-1))/1000,1),1),IF(ROUND((INDEX($D$52:$AD$52,BH$37)-INDEX($D$52:$AD$52,BH$37-1))/1000,1)&lt;0,"−"&amp;FIXED(-ROUND((INDEX($D$52:$AD$52,BH$37)-INDEX($D$52:$AD$52,BH$37-1))/1000,1),1),"±0")),""),IF(BH$38="B","",IF(BH$38="C","","")))</f>
        <v>0</v>
      </c>
      <c r="BI69" s="11">
        <f>IF(BI$38="A",IF(AND(ISNUMBER(INDEX($D$52:$AD$52,BI$37)),ISNUMBER(INDEX($D$52:$AD$52,BI$37-1))),IF(ROUND((INDEX($D$52:$AD$52,BI$37)-INDEX($D$52:$AD$52,BI$37-1))/1000,1)&gt;0,"+"&amp;FIXED(ROUND((INDEX($D$52:$AD$52,BI$37)-INDEX($D$52:$AD$52,BI$37-1))/1000,1),1),IF(ROUND((INDEX($D$52:$AD$52,BI$37)-INDEX($D$52:$AD$52,BI$37-1))/1000,1)&lt;0,"−"&amp;FIXED(-ROUND((INDEX($D$52:$AD$52,BI$37)-INDEX($D$52:$AD$52,BI$37-1))/1000,1),1),"±0")),""),IF(BI$38="B","",IF(BI$38="C","","")))</f>
        <v>0</v>
      </c>
      <c r="BJ69" s="11">
        <f>IF(BJ$38="A",IF(AND(ISNUMBER(INDEX($D$52:$AD$52,BJ$37)),ISNUMBER(INDEX($D$52:$AD$52,BJ$37-1))),IF(ROUND((INDEX($D$52:$AD$52,BJ$37)-INDEX($D$52:$AD$52,BJ$37-1))/1000,1)&gt;0,"+"&amp;FIXED(ROUND((INDEX($D$52:$AD$52,BJ$37)-INDEX($D$52:$AD$52,BJ$37-1))/1000,1),1),IF(ROUND((INDEX($D$52:$AD$52,BJ$37)-INDEX($D$52:$AD$52,BJ$37-1))/1000,1)&lt;0,"−"&amp;FIXED(-ROUND((INDEX($D$52:$AD$52,BJ$37)-INDEX($D$52:$AD$52,BJ$37-1))/1000,1),1),"±0")),""),IF(BJ$38="B","",IF(BJ$38="C","","")))</f>
        <v>0</v>
      </c>
      <c r="BK69" s="11">
        <f>IF(BK$38="A",IF(AND(ISNUMBER(INDEX($D$52:$AD$52,BK$37)),ISNUMBER(INDEX($D$52:$AD$52,BK$37-1))),IF(ROUND((INDEX($D$52:$AD$52,BK$37)-INDEX($D$52:$AD$52,BK$37-1))/1000,1)&gt;0,"+"&amp;FIXED(ROUND((INDEX($D$52:$AD$52,BK$37)-INDEX($D$52:$AD$52,BK$37-1))/1000,1),1),IF(ROUND((INDEX($D$52:$AD$52,BK$37)-INDEX($D$52:$AD$52,BK$37-1))/1000,1)&lt;0,"−"&amp;FIXED(-ROUND((INDEX($D$52:$AD$52,BK$37)-INDEX($D$52:$AD$52,BK$37-1))/1000,1),1),"±0")),""),IF(BK$38="B","",IF(BK$38="C","","")))</f>
        <v>0</v>
      </c>
      <c r="BL69" s="11">
        <f>IF(BL$38="A",IF(AND(ISNUMBER(INDEX($D$52:$AD$52,BL$37)),ISNUMBER(INDEX($D$52:$AD$52,BL$37-1))),IF(ROUND((INDEX($D$52:$AD$52,BL$37)-INDEX($D$52:$AD$52,BL$37-1))/1000,1)&gt;0,"+"&amp;FIXED(ROUND((INDEX($D$52:$AD$52,BL$37)-INDEX($D$52:$AD$52,BL$37-1))/1000,1),1),IF(ROUND((INDEX($D$52:$AD$52,BL$37)-INDEX($D$52:$AD$52,BL$37-1))/1000,1)&lt;0,"−"&amp;FIXED(-ROUND((INDEX($D$52:$AD$52,BL$37)-INDEX($D$52:$AD$52,BL$37-1))/1000,1),1),"±0")),""),IF(BL$38="B","",IF(BL$38="C","","")))</f>
        <v>0</v>
      </c>
      <c r="BM69" s="11">
        <f>IF(BM$38="A",IF(AND(ISNUMBER(INDEX($D$52:$AD$52,BM$37)),ISNUMBER(INDEX($D$52:$AD$52,BM$37-1))),IF(ROUND((INDEX($D$52:$AD$52,BM$37)-INDEX($D$52:$AD$52,BM$37-1))/1000,1)&gt;0,"+"&amp;FIXED(ROUND((INDEX($D$52:$AD$52,BM$37)-INDEX($D$52:$AD$52,BM$37-1))/1000,1),1),IF(ROUND((INDEX($D$52:$AD$52,BM$37)-INDEX($D$52:$AD$52,BM$37-1))/1000,1)&lt;0,"−"&amp;FIXED(-ROUND((INDEX($D$52:$AD$52,BM$37)-INDEX($D$52:$AD$52,BM$37-1))/1000,1),1),"±0")),""),IF(BM$38="B","",IF(BM$38="C","","")))</f>
        <v>0</v>
      </c>
      <c r="BN69" s="11">
        <f>IF(BN$38="A",IF(AND(ISNUMBER(INDEX($D$52:$AD$52,BN$37)),ISNUMBER(INDEX($D$52:$AD$52,BN$37-1))),IF(ROUND((INDEX($D$52:$AD$52,BN$37)-INDEX($D$52:$AD$52,BN$37-1))/1000,1)&gt;0,"+"&amp;FIXED(ROUND((INDEX($D$52:$AD$52,BN$37)-INDEX($D$52:$AD$52,BN$37-1))/1000,1),1),IF(ROUND((INDEX($D$52:$AD$52,BN$37)-INDEX($D$52:$AD$52,BN$37-1))/1000,1)&lt;0,"−"&amp;FIXED(-ROUND((INDEX($D$52:$AD$52,BN$37)-INDEX($D$52:$AD$52,BN$37-1))/1000,1),1),"±0")),""),IF(BN$38="B","",IF(BN$38="C","","")))</f>
        <v>0</v>
      </c>
      <c r="BO69" s="11">
        <f>IF(BO$38="A",IF(AND(ISNUMBER(INDEX($D$52:$AD$52,BO$37)),ISNUMBER(INDEX($D$52:$AD$52,BO$37-1))),IF(ROUND((INDEX($D$52:$AD$52,BO$37)-INDEX($D$52:$AD$52,BO$37-1))/1000,1)&gt;0,"+"&amp;FIXED(ROUND((INDEX($D$52:$AD$52,BO$37)-INDEX($D$52:$AD$52,BO$37-1))/1000,1),1),IF(ROUND((INDEX($D$52:$AD$52,BO$37)-INDEX($D$52:$AD$52,BO$37-1))/1000,1)&lt;0,"−"&amp;FIXED(-ROUND((INDEX($D$52:$AD$52,BO$37)-INDEX($D$52:$AD$52,BO$37-1))/1000,1),1),"±0")),""),IF(BO$38="B","",IF(BO$38="C","","")))</f>
        <v>0</v>
      </c>
      <c r="BP69" s="11">
        <f>IF(BP$38="A",IF(AND(ISNUMBER(INDEX($D$52:$AD$52,BP$37)),ISNUMBER(INDEX($D$52:$AD$52,BP$37-1))),IF(ROUND((INDEX($D$52:$AD$52,BP$37)-INDEX($D$52:$AD$52,BP$37-1))/1000,1)&gt;0,"+"&amp;FIXED(ROUND((INDEX($D$52:$AD$52,BP$37)-INDEX($D$52:$AD$52,BP$37-1))/1000,1),1),IF(ROUND((INDEX($D$52:$AD$52,BP$37)-INDEX($D$52:$AD$52,BP$37-1))/1000,1)&lt;0,"−"&amp;FIXED(-ROUND((INDEX($D$52:$AD$52,BP$37)-INDEX($D$52:$AD$52,BP$37-1))/1000,1),1),"±0")),""),IF(BP$38="B","",IF(BP$38="C","","")))</f>
        <v>0</v>
      </c>
      <c r="BQ69" s="11">
        <f>IF(BQ$38="A",IF(AND(ISNUMBER(INDEX($D$52:$AD$52,BQ$37)),ISNUMBER(INDEX($D$52:$AD$52,BQ$37-1))),IF(ROUND((INDEX($D$52:$AD$52,BQ$37)-INDEX($D$52:$AD$52,BQ$37-1))/1000,1)&gt;0,"+"&amp;FIXED(ROUND((INDEX($D$52:$AD$52,BQ$37)-INDEX($D$52:$AD$52,BQ$37-1))/1000,1),1),IF(ROUND((INDEX($D$52:$AD$52,BQ$37)-INDEX($D$52:$AD$52,BQ$37-1))/1000,1)&lt;0,"−"&amp;FIXED(-ROUND((INDEX($D$52:$AD$52,BQ$37)-INDEX($D$52:$AD$52,BQ$37-1))/1000,1),1),"±0")),""),IF(BQ$38="B","",IF(BQ$38="C","","")))</f>
        <v>0</v>
      </c>
      <c r="BR69" s="11">
        <f>IF(BR$38="A",IF(AND(ISNUMBER(INDEX($D$52:$AD$52,BR$37)),ISNUMBER(INDEX($D$52:$AD$52,BR$37-1))),IF(ROUND((INDEX($D$52:$AD$52,BR$37)-INDEX($D$52:$AD$52,BR$37-1))/1000,1)&gt;0,"+"&amp;FIXED(ROUND((INDEX($D$52:$AD$52,BR$37)-INDEX($D$52:$AD$52,BR$37-1))/1000,1),1),IF(ROUND((INDEX($D$52:$AD$52,BR$37)-INDEX($D$52:$AD$52,BR$37-1))/1000,1)&lt;0,"−"&amp;FIXED(-ROUND((INDEX($D$52:$AD$52,BR$37)-INDEX($D$52:$AD$52,BR$37-1))/1000,1),1),"±0")),""),IF(BR$38="B","",IF(BR$38="C","","")))</f>
        <v>0</v>
      </c>
      <c r="BS69" s="11">
        <f>IF(BS$38="A",IF(AND(ISNUMBER(INDEX($D$52:$AD$52,BS$37)),ISNUMBER(INDEX($D$52:$AD$52,BS$37-1))),IF(ROUND((INDEX($D$52:$AD$52,BS$37)-INDEX($D$52:$AD$52,BS$37-1))/1000,1)&gt;0,"+"&amp;FIXED(ROUND((INDEX($D$52:$AD$52,BS$37)-INDEX($D$52:$AD$52,BS$37-1))/1000,1),1),IF(ROUND((INDEX($D$52:$AD$52,BS$37)-INDEX($D$52:$AD$52,BS$37-1))/1000,1)&lt;0,"−"&amp;FIXED(-ROUND((INDEX($D$52:$AD$52,BS$37)-INDEX($D$52:$AD$52,BS$37-1))/1000,1),1),"±0")),""),IF(BS$38="B","",IF(BS$38="C","","")))</f>
        <v>0</v>
      </c>
      <c r="BT69" s="11">
        <f>IF(BT$38="A",IF(AND(ISNUMBER(INDEX($D$52:$AD$52,BT$37)),ISNUMBER(INDEX($D$52:$AD$52,BT$37-1))),IF(ROUND((INDEX($D$52:$AD$52,BT$37)-INDEX($D$52:$AD$52,BT$37-1))/1000,1)&gt;0,"+"&amp;FIXED(ROUND((INDEX($D$52:$AD$52,BT$37)-INDEX($D$52:$AD$52,BT$37-1))/1000,1),1),IF(ROUND((INDEX($D$52:$AD$52,BT$37)-INDEX($D$52:$AD$52,BT$37-1))/1000,1)&lt;0,"−"&amp;FIXED(-ROUND((INDEX($D$52:$AD$52,BT$37)-INDEX($D$52:$AD$52,BT$37-1))/1000,1),1),"±0")),""),IF(BT$38="B","",IF(BT$38="C","","")))</f>
        <v>0</v>
      </c>
    </row>
    <row r="70" spans="1:72">
      <c r="A70" s="11" t="s">
        <v>671</v>
      </c>
      <c r="B70" s="11" t="s">
        <v>672</v>
      </c>
      <c r="C70" s="67" t="s">
        <v>610</v>
      </c>
      <c r="AQ70" s="68">
        <f>IF(AQ$38="A",IF(ISNUMBER(INDEX($D$50:$AD$50,AQ$37)),INDEX($D$50:$AD$50,AQ$37)/MAX(1,_xlfn.AGGREGATE(4,6,INDEX($D$50:$AD$50,28-$D$36):$AD$50),_xlfn.AGGREGATE(4,6,INDEX($D$51:$AD$51,28-$D$36):$AD$51)),NA()),IF(AQ$38="B",NA(),IF(AQ$38="C",NA(),NA())))</f>
        <v>0</v>
      </c>
      <c r="AR70" s="68">
        <f>IF(AR$38="A",IF(ISNUMBER(INDEX($D$50:$AD$50,AR$37)),INDEX($D$50:$AD$50,AR$37)/MAX(1,_xlfn.AGGREGATE(4,6,INDEX($D$50:$AD$50,28-$D$36):$AD$50),_xlfn.AGGREGATE(4,6,INDEX($D$51:$AD$51,28-$D$36):$AD$51)),NA()),IF(AR$38="B",NA(),IF(AR$38="C",NA(),NA())))</f>
        <v>0</v>
      </c>
      <c r="AS70" s="68">
        <f>IF(AS$38="A",IF(ISNUMBER(INDEX($D$50:$AD$50,AS$37)),INDEX($D$50:$AD$50,AS$37)/MAX(1,_xlfn.AGGREGATE(4,6,INDEX($D$50:$AD$50,28-$D$36):$AD$50),_xlfn.AGGREGATE(4,6,INDEX($D$51:$AD$51,28-$D$36):$AD$51)),NA()),IF(AS$38="B",NA(),IF(AS$38="C",NA(),NA())))</f>
        <v>0</v>
      </c>
      <c r="AT70" s="68">
        <f>IF(AT$38="A",IF(ISNUMBER(INDEX($D$50:$AD$50,AT$37)),INDEX($D$50:$AD$50,AT$37)/MAX(1,_xlfn.AGGREGATE(4,6,INDEX($D$50:$AD$50,28-$D$36):$AD$50),_xlfn.AGGREGATE(4,6,INDEX($D$51:$AD$51,28-$D$36):$AD$51)),NA()),IF(AT$38="B",NA(),IF(AT$38="C",NA(),NA())))</f>
        <v>0</v>
      </c>
      <c r="AU70" s="68">
        <f>IF(AU$38="A",IF(ISNUMBER(INDEX($D$50:$AD$50,AU$37)),INDEX($D$50:$AD$50,AU$37)/MAX(1,_xlfn.AGGREGATE(4,6,INDEX($D$50:$AD$50,28-$D$36):$AD$50),_xlfn.AGGREGATE(4,6,INDEX($D$51:$AD$51,28-$D$36):$AD$51)),NA()),IF(AU$38="B",NA(),IF(AU$38="C",NA(),NA())))</f>
        <v>0</v>
      </c>
      <c r="AV70" s="68">
        <f>IF(AV$38="A",IF(ISNUMBER(INDEX($D$50:$AD$50,AV$37)),INDEX($D$50:$AD$50,AV$37)/MAX(1,_xlfn.AGGREGATE(4,6,INDEX($D$50:$AD$50,28-$D$36):$AD$50),_xlfn.AGGREGATE(4,6,INDEX($D$51:$AD$51,28-$D$36):$AD$51)),NA()),IF(AV$38="B",NA(),IF(AV$38="C",NA(),NA())))</f>
        <v>0</v>
      </c>
      <c r="AW70" s="68">
        <f>IF(AW$38="A",IF(ISNUMBER(INDEX($D$50:$AD$50,AW$37)),INDEX($D$50:$AD$50,AW$37)/MAX(1,_xlfn.AGGREGATE(4,6,INDEX($D$50:$AD$50,28-$D$36):$AD$50),_xlfn.AGGREGATE(4,6,INDEX($D$51:$AD$51,28-$D$36):$AD$51)),NA()),IF(AW$38="B",NA(),IF(AW$38="C",NA(),NA())))</f>
        <v>0</v>
      </c>
      <c r="AX70" s="68">
        <f>IF(AX$38="A",IF(ISNUMBER(INDEX($D$50:$AD$50,AX$37)),INDEX($D$50:$AD$50,AX$37)/MAX(1,_xlfn.AGGREGATE(4,6,INDEX($D$50:$AD$50,28-$D$36):$AD$50),_xlfn.AGGREGATE(4,6,INDEX($D$51:$AD$51,28-$D$36):$AD$51)),NA()),IF(AX$38="B",NA(),IF(AX$38="C",NA(),NA())))</f>
        <v>0</v>
      </c>
      <c r="AY70" s="68">
        <f>IF(AY$38="A",IF(ISNUMBER(INDEX($D$50:$AD$50,AY$37)),INDEX($D$50:$AD$50,AY$37)/MAX(1,_xlfn.AGGREGATE(4,6,INDEX($D$50:$AD$50,28-$D$36):$AD$50),_xlfn.AGGREGATE(4,6,INDEX($D$51:$AD$51,28-$D$36):$AD$51)),NA()),IF(AY$38="B",NA(),IF(AY$38="C",NA(),NA())))</f>
        <v>0</v>
      </c>
      <c r="AZ70" s="68">
        <f>IF(AZ$38="A",IF(ISNUMBER(INDEX($D$50:$AD$50,AZ$37)),INDEX($D$50:$AD$50,AZ$37)/MAX(1,_xlfn.AGGREGATE(4,6,INDEX($D$50:$AD$50,28-$D$36):$AD$50),_xlfn.AGGREGATE(4,6,INDEX($D$51:$AD$51,28-$D$36):$AD$51)),NA()),IF(AZ$38="B",NA(),IF(AZ$38="C",NA(),NA())))</f>
        <v>0</v>
      </c>
      <c r="BA70" s="68">
        <f>IF(BA$38="A",IF(ISNUMBER(INDEX($D$50:$AD$50,BA$37)),INDEX($D$50:$AD$50,BA$37)/MAX(1,_xlfn.AGGREGATE(4,6,INDEX($D$50:$AD$50,28-$D$36):$AD$50),_xlfn.AGGREGATE(4,6,INDEX($D$51:$AD$51,28-$D$36):$AD$51)),NA()),IF(BA$38="B",NA(),IF(BA$38="C",NA(),NA())))</f>
        <v>0</v>
      </c>
      <c r="BB70" s="68">
        <f>IF(BB$38="A",IF(ISNUMBER(INDEX($D$50:$AD$50,BB$37)),INDEX($D$50:$AD$50,BB$37)/MAX(1,_xlfn.AGGREGATE(4,6,INDEX($D$50:$AD$50,28-$D$36):$AD$50),_xlfn.AGGREGATE(4,6,INDEX($D$51:$AD$51,28-$D$36):$AD$51)),NA()),IF(BB$38="B",NA(),IF(BB$38="C",NA(),NA())))</f>
        <v>0</v>
      </c>
      <c r="BC70" s="68">
        <f>IF(BC$38="A",IF(ISNUMBER(INDEX($D$50:$AD$50,BC$37)),INDEX($D$50:$AD$50,BC$37)/MAX(1,_xlfn.AGGREGATE(4,6,INDEX($D$50:$AD$50,28-$D$36):$AD$50),_xlfn.AGGREGATE(4,6,INDEX($D$51:$AD$51,28-$D$36):$AD$51)),NA()),IF(BC$38="B",NA(),IF(BC$38="C",NA(),NA())))</f>
        <v>0</v>
      </c>
      <c r="BD70" s="68">
        <f>IF(BD$38="A",IF(ISNUMBER(INDEX($D$50:$AD$50,BD$37)),INDEX($D$50:$AD$50,BD$37)/MAX(1,_xlfn.AGGREGATE(4,6,INDEX($D$50:$AD$50,28-$D$36):$AD$50),_xlfn.AGGREGATE(4,6,INDEX($D$51:$AD$51,28-$D$36):$AD$51)),NA()),IF(BD$38="B",NA(),IF(BD$38="C",NA(),NA())))</f>
        <v>0</v>
      </c>
      <c r="BE70" s="68">
        <f>IF(BE$38="A",IF(ISNUMBER(INDEX($D$50:$AD$50,BE$37)),INDEX($D$50:$AD$50,BE$37)/MAX(1,_xlfn.AGGREGATE(4,6,INDEX($D$50:$AD$50,28-$D$36):$AD$50),_xlfn.AGGREGATE(4,6,INDEX($D$51:$AD$51,28-$D$36):$AD$51)),NA()),IF(BE$38="B",NA(),IF(BE$38="C",NA(),NA())))</f>
        <v>0</v>
      </c>
      <c r="BF70" s="68">
        <f>IF(BF$38="A",IF(ISNUMBER(INDEX($D$50:$AD$50,BF$37)),INDEX($D$50:$AD$50,BF$37)/MAX(1,_xlfn.AGGREGATE(4,6,INDEX($D$50:$AD$50,28-$D$36):$AD$50),_xlfn.AGGREGATE(4,6,INDEX($D$51:$AD$51,28-$D$36):$AD$51)),NA()),IF(BF$38="B",NA(),IF(BF$38="C",NA(),NA())))</f>
        <v>0</v>
      </c>
      <c r="BG70" s="68">
        <f>IF(BG$38="A",IF(ISNUMBER(INDEX($D$50:$AD$50,BG$37)),INDEX($D$50:$AD$50,BG$37)/MAX(1,_xlfn.AGGREGATE(4,6,INDEX($D$50:$AD$50,28-$D$36):$AD$50),_xlfn.AGGREGATE(4,6,INDEX($D$51:$AD$51,28-$D$36):$AD$51)),NA()),IF(BG$38="B",NA(),IF(BG$38="C",NA(),NA())))</f>
        <v>0</v>
      </c>
      <c r="BH70" s="68">
        <f>IF(BH$38="A",IF(ISNUMBER(INDEX($D$50:$AD$50,BH$37)),INDEX($D$50:$AD$50,BH$37)/MAX(1,_xlfn.AGGREGATE(4,6,INDEX($D$50:$AD$50,28-$D$36):$AD$50),_xlfn.AGGREGATE(4,6,INDEX($D$51:$AD$51,28-$D$36):$AD$51)),NA()),IF(BH$38="B",NA(),IF(BH$38="C",NA(),NA())))</f>
        <v>0</v>
      </c>
      <c r="BI70" s="68">
        <f>IF(BI$38="A",IF(ISNUMBER(INDEX($D$50:$AD$50,BI$37)),INDEX($D$50:$AD$50,BI$37)/MAX(1,_xlfn.AGGREGATE(4,6,INDEX($D$50:$AD$50,28-$D$36):$AD$50),_xlfn.AGGREGATE(4,6,INDEX($D$51:$AD$51,28-$D$36):$AD$51)),NA()),IF(BI$38="B",NA(),IF(BI$38="C",NA(),NA())))</f>
        <v>0</v>
      </c>
      <c r="BJ70" s="68">
        <f>IF(BJ$38="A",IF(ISNUMBER(INDEX($D$50:$AD$50,BJ$37)),INDEX($D$50:$AD$50,BJ$37)/MAX(1,_xlfn.AGGREGATE(4,6,INDEX($D$50:$AD$50,28-$D$36):$AD$50),_xlfn.AGGREGATE(4,6,INDEX($D$51:$AD$51,28-$D$36):$AD$51)),NA()),IF(BJ$38="B",NA(),IF(BJ$38="C",NA(),NA())))</f>
        <v>0</v>
      </c>
      <c r="BK70" s="68">
        <f>IF(BK$38="A",IF(ISNUMBER(INDEX($D$50:$AD$50,BK$37)),INDEX($D$50:$AD$50,BK$37)/MAX(1,_xlfn.AGGREGATE(4,6,INDEX($D$50:$AD$50,28-$D$36):$AD$50),_xlfn.AGGREGATE(4,6,INDEX($D$51:$AD$51,28-$D$36):$AD$51)),NA()),IF(BK$38="B",NA(),IF(BK$38="C",NA(),NA())))</f>
        <v>0</v>
      </c>
      <c r="BL70" s="68">
        <f>IF(BL$38="A",IF(ISNUMBER(INDEX($D$50:$AD$50,BL$37)),INDEX($D$50:$AD$50,BL$37)/MAX(1,_xlfn.AGGREGATE(4,6,INDEX($D$50:$AD$50,28-$D$36):$AD$50),_xlfn.AGGREGATE(4,6,INDEX($D$51:$AD$51,28-$D$36):$AD$51)),NA()),IF(BL$38="B",NA(),IF(BL$38="C",NA(),NA())))</f>
        <v>0</v>
      </c>
      <c r="BM70" s="68">
        <f>IF(BM$38="A",IF(ISNUMBER(INDEX($D$50:$AD$50,BM$37)),INDEX($D$50:$AD$50,BM$37)/MAX(1,_xlfn.AGGREGATE(4,6,INDEX($D$50:$AD$50,28-$D$36):$AD$50),_xlfn.AGGREGATE(4,6,INDEX($D$51:$AD$51,28-$D$36):$AD$51)),NA()),IF(BM$38="B",NA(),IF(BM$38="C",NA(),NA())))</f>
        <v>0</v>
      </c>
      <c r="BN70" s="68">
        <f>IF(BN$38="A",IF(ISNUMBER(INDEX($D$50:$AD$50,BN$37)),INDEX($D$50:$AD$50,BN$37)/MAX(1,_xlfn.AGGREGATE(4,6,INDEX($D$50:$AD$50,28-$D$36):$AD$50),_xlfn.AGGREGATE(4,6,INDEX($D$51:$AD$51,28-$D$36):$AD$51)),NA()),IF(BN$38="B",NA(),IF(BN$38="C",NA(),NA())))</f>
        <v>0</v>
      </c>
      <c r="BO70" s="68">
        <f>IF(BO$38="A",IF(ISNUMBER(INDEX($D$50:$AD$50,BO$37)),INDEX($D$50:$AD$50,BO$37)/MAX(1,_xlfn.AGGREGATE(4,6,INDEX($D$50:$AD$50,28-$D$36):$AD$50),_xlfn.AGGREGATE(4,6,INDEX($D$51:$AD$51,28-$D$36):$AD$51)),NA()),IF(BO$38="B",NA(),IF(BO$38="C",NA(),NA())))</f>
        <v>0</v>
      </c>
      <c r="BP70" s="68">
        <f>IF(BP$38="A",IF(ISNUMBER(INDEX($D$50:$AD$50,BP$37)),INDEX($D$50:$AD$50,BP$37)/MAX(1,_xlfn.AGGREGATE(4,6,INDEX($D$50:$AD$50,28-$D$36):$AD$50),_xlfn.AGGREGATE(4,6,INDEX($D$51:$AD$51,28-$D$36):$AD$51)),NA()),IF(BP$38="B",NA(),IF(BP$38="C",NA(),NA())))</f>
        <v>0</v>
      </c>
      <c r="BQ70" s="68">
        <f>IF(BQ$38="A",IF(ISNUMBER(INDEX($D$50:$AD$50,BQ$37)),INDEX($D$50:$AD$50,BQ$37)/MAX(1,_xlfn.AGGREGATE(4,6,INDEX($D$50:$AD$50,28-$D$36):$AD$50),_xlfn.AGGREGATE(4,6,INDEX($D$51:$AD$51,28-$D$36):$AD$51)),NA()),IF(BQ$38="B",NA(),IF(BQ$38="C",NA(),NA())))</f>
        <v>0</v>
      </c>
      <c r="BR70" s="68">
        <f>IF(BR$38="A",IF(ISNUMBER(INDEX($D$50:$AD$50,BR$37)),INDEX($D$50:$AD$50,BR$37)/MAX(1,_xlfn.AGGREGATE(4,6,INDEX($D$50:$AD$50,28-$D$36):$AD$50),_xlfn.AGGREGATE(4,6,INDEX($D$51:$AD$51,28-$D$36):$AD$51)),NA()),IF(BR$38="B",NA(),IF(BR$38="C",NA(),NA())))</f>
        <v>0</v>
      </c>
      <c r="BS70" s="68">
        <f>IF(BS$38="A",IF(ISNUMBER(INDEX($D$50:$AD$50,BS$37)),INDEX($D$50:$AD$50,BS$37)/MAX(1,_xlfn.AGGREGATE(4,6,INDEX($D$50:$AD$50,28-$D$36):$AD$50),_xlfn.AGGREGATE(4,6,INDEX($D$51:$AD$51,28-$D$36):$AD$51)),NA()),IF(BS$38="B",NA(),IF(BS$38="C",NA(),NA())))</f>
        <v>0</v>
      </c>
      <c r="BT70" s="68">
        <f>IF(BT$38="A",IF(ISNUMBER(INDEX($D$50:$AD$50,BT$37)),INDEX($D$50:$AD$50,BT$37)/MAX(1,_xlfn.AGGREGATE(4,6,INDEX($D$50:$AD$50,28-$D$36):$AD$50),_xlfn.AGGREGATE(4,6,INDEX($D$51:$AD$51,28-$D$36):$AD$51)),NA()),IF(BT$38="B",NA(),IF(BT$38="C",NA(),NA())))</f>
        <v>0</v>
      </c>
    </row>
    <row r="71" spans="1:72">
      <c r="A71" s="11" t="s">
        <v>673</v>
      </c>
      <c r="B71" s="11" t="s">
        <v>674</v>
      </c>
      <c r="C71" s="67" t="s">
        <v>610</v>
      </c>
      <c r="AQ71" s="68">
        <f>IF(AQ$38="A",IF(ISNUMBER(INDEX($D$51:$AD$51,AQ$37)),INDEX($D$51:$AD$51,AQ$37)/MAX(1,_xlfn.AGGREGATE(4,6,INDEX($D$50:$AD$50,28-$D$36):$AD$50),_xlfn.AGGREGATE(4,6,INDEX($D$51:$AD$51,28-$D$36):$AD$51)),NA()),IF(AQ$38="B",NA(),IF(AQ$38="C",NA(),NA())))</f>
        <v>0</v>
      </c>
      <c r="AR71" s="68">
        <f>IF(AR$38="A",IF(ISNUMBER(INDEX($D$51:$AD$51,AR$37)),INDEX($D$51:$AD$51,AR$37)/MAX(1,_xlfn.AGGREGATE(4,6,INDEX($D$50:$AD$50,28-$D$36):$AD$50),_xlfn.AGGREGATE(4,6,INDEX($D$51:$AD$51,28-$D$36):$AD$51)),NA()),IF(AR$38="B",NA(),IF(AR$38="C",NA(),NA())))</f>
        <v>0</v>
      </c>
      <c r="AS71" s="68">
        <f>IF(AS$38="A",IF(ISNUMBER(INDEX($D$51:$AD$51,AS$37)),INDEX($D$51:$AD$51,AS$37)/MAX(1,_xlfn.AGGREGATE(4,6,INDEX($D$50:$AD$50,28-$D$36):$AD$50),_xlfn.AGGREGATE(4,6,INDEX($D$51:$AD$51,28-$D$36):$AD$51)),NA()),IF(AS$38="B",NA(),IF(AS$38="C",NA(),NA())))</f>
        <v>0</v>
      </c>
      <c r="AT71" s="68">
        <f>IF(AT$38="A",IF(ISNUMBER(INDEX($D$51:$AD$51,AT$37)),INDEX($D$51:$AD$51,AT$37)/MAX(1,_xlfn.AGGREGATE(4,6,INDEX($D$50:$AD$50,28-$D$36):$AD$50),_xlfn.AGGREGATE(4,6,INDEX($D$51:$AD$51,28-$D$36):$AD$51)),NA()),IF(AT$38="B",NA(),IF(AT$38="C",NA(),NA())))</f>
        <v>0</v>
      </c>
      <c r="AU71" s="68">
        <f>IF(AU$38="A",IF(ISNUMBER(INDEX($D$51:$AD$51,AU$37)),INDEX($D$51:$AD$51,AU$37)/MAX(1,_xlfn.AGGREGATE(4,6,INDEX($D$50:$AD$50,28-$D$36):$AD$50),_xlfn.AGGREGATE(4,6,INDEX($D$51:$AD$51,28-$D$36):$AD$51)),NA()),IF(AU$38="B",NA(),IF(AU$38="C",NA(),NA())))</f>
        <v>0</v>
      </c>
      <c r="AV71" s="68">
        <f>IF(AV$38="A",IF(ISNUMBER(INDEX($D$51:$AD$51,AV$37)),INDEX($D$51:$AD$51,AV$37)/MAX(1,_xlfn.AGGREGATE(4,6,INDEX($D$50:$AD$50,28-$D$36):$AD$50),_xlfn.AGGREGATE(4,6,INDEX($D$51:$AD$51,28-$D$36):$AD$51)),NA()),IF(AV$38="B",NA(),IF(AV$38="C",NA(),NA())))</f>
        <v>0</v>
      </c>
      <c r="AW71" s="68">
        <f>IF(AW$38="A",IF(ISNUMBER(INDEX($D$51:$AD$51,AW$37)),INDEX($D$51:$AD$51,AW$37)/MAX(1,_xlfn.AGGREGATE(4,6,INDEX($D$50:$AD$50,28-$D$36):$AD$50),_xlfn.AGGREGATE(4,6,INDEX($D$51:$AD$51,28-$D$36):$AD$51)),NA()),IF(AW$38="B",NA(),IF(AW$38="C",NA(),NA())))</f>
        <v>0</v>
      </c>
      <c r="AX71" s="68">
        <f>IF(AX$38="A",IF(ISNUMBER(INDEX($D$51:$AD$51,AX$37)),INDEX($D$51:$AD$51,AX$37)/MAX(1,_xlfn.AGGREGATE(4,6,INDEX($D$50:$AD$50,28-$D$36):$AD$50),_xlfn.AGGREGATE(4,6,INDEX($D$51:$AD$51,28-$D$36):$AD$51)),NA()),IF(AX$38="B",NA(),IF(AX$38="C",NA(),NA())))</f>
        <v>0</v>
      </c>
      <c r="AY71" s="68">
        <f>IF(AY$38="A",IF(ISNUMBER(INDEX($D$51:$AD$51,AY$37)),INDEX($D$51:$AD$51,AY$37)/MAX(1,_xlfn.AGGREGATE(4,6,INDEX($D$50:$AD$50,28-$D$36):$AD$50),_xlfn.AGGREGATE(4,6,INDEX($D$51:$AD$51,28-$D$36):$AD$51)),NA()),IF(AY$38="B",NA(),IF(AY$38="C",NA(),NA())))</f>
        <v>0</v>
      </c>
      <c r="AZ71" s="68">
        <f>IF(AZ$38="A",IF(ISNUMBER(INDEX($D$51:$AD$51,AZ$37)),INDEX($D$51:$AD$51,AZ$37)/MAX(1,_xlfn.AGGREGATE(4,6,INDEX($D$50:$AD$50,28-$D$36):$AD$50),_xlfn.AGGREGATE(4,6,INDEX($D$51:$AD$51,28-$D$36):$AD$51)),NA()),IF(AZ$38="B",NA(),IF(AZ$38="C",NA(),NA())))</f>
        <v>0</v>
      </c>
      <c r="BA71" s="68">
        <f>IF(BA$38="A",IF(ISNUMBER(INDEX($D$51:$AD$51,BA$37)),INDEX($D$51:$AD$51,BA$37)/MAX(1,_xlfn.AGGREGATE(4,6,INDEX($D$50:$AD$50,28-$D$36):$AD$50),_xlfn.AGGREGATE(4,6,INDEX($D$51:$AD$51,28-$D$36):$AD$51)),NA()),IF(BA$38="B",NA(),IF(BA$38="C",NA(),NA())))</f>
        <v>0</v>
      </c>
      <c r="BB71" s="68">
        <f>IF(BB$38="A",IF(ISNUMBER(INDEX($D$51:$AD$51,BB$37)),INDEX($D$51:$AD$51,BB$37)/MAX(1,_xlfn.AGGREGATE(4,6,INDEX($D$50:$AD$50,28-$D$36):$AD$50),_xlfn.AGGREGATE(4,6,INDEX($D$51:$AD$51,28-$D$36):$AD$51)),NA()),IF(BB$38="B",NA(),IF(BB$38="C",NA(),NA())))</f>
        <v>0</v>
      </c>
      <c r="BC71" s="68">
        <f>IF(BC$38="A",IF(ISNUMBER(INDEX($D$51:$AD$51,BC$37)),INDEX($D$51:$AD$51,BC$37)/MAX(1,_xlfn.AGGREGATE(4,6,INDEX($D$50:$AD$50,28-$D$36):$AD$50),_xlfn.AGGREGATE(4,6,INDEX($D$51:$AD$51,28-$D$36):$AD$51)),NA()),IF(BC$38="B",NA(),IF(BC$38="C",NA(),NA())))</f>
        <v>0</v>
      </c>
      <c r="BD71" s="68">
        <f>IF(BD$38="A",IF(ISNUMBER(INDEX($D$51:$AD$51,BD$37)),INDEX($D$51:$AD$51,BD$37)/MAX(1,_xlfn.AGGREGATE(4,6,INDEX($D$50:$AD$50,28-$D$36):$AD$50),_xlfn.AGGREGATE(4,6,INDEX($D$51:$AD$51,28-$D$36):$AD$51)),NA()),IF(BD$38="B",NA(),IF(BD$38="C",NA(),NA())))</f>
        <v>0</v>
      </c>
      <c r="BE71" s="68">
        <f>IF(BE$38="A",IF(ISNUMBER(INDEX($D$51:$AD$51,BE$37)),INDEX($D$51:$AD$51,BE$37)/MAX(1,_xlfn.AGGREGATE(4,6,INDEX($D$50:$AD$50,28-$D$36):$AD$50),_xlfn.AGGREGATE(4,6,INDEX($D$51:$AD$51,28-$D$36):$AD$51)),NA()),IF(BE$38="B",NA(),IF(BE$38="C",NA(),NA())))</f>
        <v>0</v>
      </c>
      <c r="BF71" s="68">
        <f>IF(BF$38="A",IF(ISNUMBER(INDEX($D$51:$AD$51,BF$37)),INDEX($D$51:$AD$51,BF$37)/MAX(1,_xlfn.AGGREGATE(4,6,INDEX($D$50:$AD$50,28-$D$36):$AD$50),_xlfn.AGGREGATE(4,6,INDEX($D$51:$AD$51,28-$D$36):$AD$51)),NA()),IF(BF$38="B",NA(),IF(BF$38="C",NA(),NA())))</f>
        <v>0</v>
      </c>
      <c r="BG71" s="68">
        <f>IF(BG$38="A",IF(ISNUMBER(INDEX($D$51:$AD$51,BG$37)),INDEX($D$51:$AD$51,BG$37)/MAX(1,_xlfn.AGGREGATE(4,6,INDEX($D$50:$AD$50,28-$D$36):$AD$50),_xlfn.AGGREGATE(4,6,INDEX($D$51:$AD$51,28-$D$36):$AD$51)),NA()),IF(BG$38="B",NA(),IF(BG$38="C",NA(),NA())))</f>
        <v>0</v>
      </c>
      <c r="BH71" s="68">
        <f>IF(BH$38="A",IF(ISNUMBER(INDEX($D$51:$AD$51,BH$37)),INDEX($D$51:$AD$51,BH$37)/MAX(1,_xlfn.AGGREGATE(4,6,INDEX($D$50:$AD$50,28-$D$36):$AD$50),_xlfn.AGGREGATE(4,6,INDEX($D$51:$AD$51,28-$D$36):$AD$51)),NA()),IF(BH$38="B",NA(),IF(BH$38="C",NA(),NA())))</f>
        <v>0</v>
      </c>
      <c r="BI71" s="68">
        <f>IF(BI$38="A",IF(ISNUMBER(INDEX($D$51:$AD$51,BI$37)),INDEX($D$51:$AD$51,BI$37)/MAX(1,_xlfn.AGGREGATE(4,6,INDEX($D$50:$AD$50,28-$D$36):$AD$50),_xlfn.AGGREGATE(4,6,INDEX($D$51:$AD$51,28-$D$36):$AD$51)),NA()),IF(BI$38="B",NA(),IF(BI$38="C",NA(),NA())))</f>
        <v>0</v>
      </c>
      <c r="BJ71" s="68">
        <f>IF(BJ$38="A",IF(ISNUMBER(INDEX($D$51:$AD$51,BJ$37)),INDEX($D$51:$AD$51,BJ$37)/MAX(1,_xlfn.AGGREGATE(4,6,INDEX($D$50:$AD$50,28-$D$36):$AD$50),_xlfn.AGGREGATE(4,6,INDEX($D$51:$AD$51,28-$D$36):$AD$51)),NA()),IF(BJ$38="B",NA(),IF(BJ$38="C",NA(),NA())))</f>
        <v>0</v>
      </c>
      <c r="BK71" s="68">
        <f>IF(BK$38="A",IF(ISNUMBER(INDEX($D$51:$AD$51,BK$37)),INDEX($D$51:$AD$51,BK$37)/MAX(1,_xlfn.AGGREGATE(4,6,INDEX($D$50:$AD$50,28-$D$36):$AD$50),_xlfn.AGGREGATE(4,6,INDEX($D$51:$AD$51,28-$D$36):$AD$51)),NA()),IF(BK$38="B",NA(),IF(BK$38="C",NA(),NA())))</f>
        <v>0</v>
      </c>
      <c r="BL71" s="68">
        <f>IF(BL$38="A",IF(ISNUMBER(INDEX($D$51:$AD$51,BL$37)),INDEX($D$51:$AD$51,BL$37)/MAX(1,_xlfn.AGGREGATE(4,6,INDEX($D$50:$AD$50,28-$D$36):$AD$50),_xlfn.AGGREGATE(4,6,INDEX($D$51:$AD$51,28-$D$36):$AD$51)),NA()),IF(BL$38="B",NA(),IF(BL$38="C",NA(),NA())))</f>
        <v>0</v>
      </c>
      <c r="BM71" s="68">
        <f>IF(BM$38="A",IF(ISNUMBER(INDEX($D$51:$AD$51,BM$37)),INDEX($D$51:$AD$51,BM$37)/MAX(1,_xlfn.AGGREGATE(4,6,INDEX($D$50:$AD$50,28-$D$36):$AD$50),_xlfn.AGGREGATE(4,6,INDEX($D$51:$AD$51,28-$D$36):$AD$51)),NA()),IF(BM$38="B",NA(),IF(BM$38="C",NA(),NA())))</f>
        <v>0</v>
      </c>
      <c r="BN71" s="68">
        <f>IF(BN$38="A",IF(ISNUMBER(INDEX($D$51:$AD$51,BN$37)),INDEX($D$51:$AD$51,BN$37)/MAX(1,_xlfn.AGGREGATE(4,6,INDEX($D$50:$AD$50,28-$D$36):$AD$50),_xlfn.AGGREGATE(4,6,INDEX($D$51:$AD$51,28-$D$36):$AD$51)),NA()),IF(BN$38="B",NA(),IF(BN$38="C",NA(),NA())))</f>
        <v>0</v>
      </c>
      <c r="BO71" s="68">
        <f>IF(BO$38="A",IF(ISNUMBER(INDEX($D$51:$AD$51,BO$37)),INDEX($D$51:$AD$51,BO$37)/MAX(1,_xlfn.AGGREGATE(4,6,INDEX($D$50:$AD$50,28-$D$36):$AD$50),_xlfn.AGGREGATE(4,6,INDEX($D$51:$AD$51,28-$D$36):$AD$51)),NA()),IF(BO$38="B",NA(),IF(BO$38="C",NA(),NA())))</f>
        <v>0</v>
      </c>
      <c r="BP71" s="68">
        <f>IF(BP$38="A",IF(ISNUMBER(INDEX($D$51:$AD$51,BP$37)),INDEX($D$51:$AD$51,BP$37)/MAX(1,_xlfn.AGGREGATE(4,6,INDEX($D$50:$AD$50,28-$D$36):$AD$50),_xlfn.AGGREGATE(4,6,INDEX($D$51:$AD$51,28-$D$36):$AD$51)),NA()),IF(BP$38="B",NA(),IF(BP$38="C",NA(),NA())))</f>
        <v>0</v>
      </c>
      <c r="BQ71" s="68">
        <f>IF(BQ$38="A",IF(ISNUMBER(INDEX($D$51:$AD$51,BQ$37)),INDEX($D$51:$AD$51,BQ$37)/MAX(1,_xlfn.AGGREGATE(4,6,INDEX($D$50:$AD$50,28-$D$36):$AD$50),_xlfn.AGGREGATE(4,6,INDEX($D$51:$AD$51,28-$D$36):$AD$51)),NA()),IF(BQ$38="B",NA(),IF(BQ$38="C",NA(),NA())))</f>
        <v>0</v>
      </c>
      <c r="BR71" s="68">
        <f>IF(BR$38="A",IF(ISNUMBER(INDEX($D$51:$AD$51,BR$37)),INDEX($D$51:$AD$51,BR$37)/MAX(1,_xlfn.AGGREGATE(4,6,INDEX($D$50:$AD$50,28-$D$36):$AD$50),_xlfn.AGGREGATE(4,6,INDEX($D$51:$AD$51,28-$D$36):$AD$51)),NA()),IF(BR$38="B",NA(),IF(BR$38="C",NA(),NA())))</f>
        <v>0</v>
      </c>
      <c r="BS71" s="68">
        <f>IF(BS$38="A",IF(ISNUMBER(INDEX($D$51:$AD$51,BS$37)),INDEX($D$51:$AD$51,BS$37)/MAX(1,_xlfn.AGGREGATE(4,6,INDEX($D$50:$AD$50,28-$D$36):$AD$50),_xlfn.AGGREGATE(4,6,INDEX($D$51:$AD$51,28-$D$36):$AD$51)),NA()),IF(BS$38="B",NA(),IF(BS$38="C",NA(),NA())))</f>
        <v>0</v>
      </c>
      <c r="BT71" s="68">
        <f>IF(BT$38="A",IF(ISNUMBER(INDEX($D$51:$AD$51,BT$37)),INDEX($D$51:$AD$51,BT$37)/MAX(1,_xlfn.AGGREGATE(4,6,INDEX($D$50:$AD$50,28-$D$36):$AD$50),_xlfn.AGGREGATE(4,6,INDEX($D$51:$AD$51,28-$D$36):$AD$51)),NA()),IF(BT$38="B",NA(),IF(BT$38="C",NA(),NA())))</f>
        <v>0</v>
      </c>
    </row>
    <row r="72" spans="1:72">
      <c r="A72" s="11" t="s">
        <v>675</v>
      </c>
      <c r="B72" s="11" t="s">
        <v>676</v>
      </c>
      <c r="C72" s="67" t="s">
        <v>610</v>
      </c>
      <c r="AQ72" s="68">
        <f>IF(AQ$38="A",NA(),IF(AQ$38="B",IF(ISNUMBER(INDEX($D$50:$AD$50,AQ$37)),MAX(MAX(N(INDEX($D$50:$AD$50,AQ$37)),N(INDEX($D$51:$AD$51,AQ$37)))/MAX(1,_xlfn.AGGREGATE(4,6,INDEX($D$50:$AD$50,28-$D$36):$AD$50),_xlfn.AGGREGATE(4,6,INDEX($D$51:$AD$51,28-$D$36):$AD$51))-0.10811,0.32432),NA()),IF(AQ$38="C",NA(),NA())))</f>
        <v>0</v>
      </c>
      <c r="AR72" s="68">
        <f>IF(AR$38="A",NA(),IF(AR$38="B",IF(ISNUMBER(INDEX($D$50:$AD$50,AR$37)),MAX(MAX(N(INDEX($D$50:$AD$50,AR$37)),N(INDEX($D$51:$AD$51,AR$37)))/MAX(1,_xlfn.AGGREGATE(4,6,INDEX($D$50:$AD$50,28-$D$36):$AD$50),_xlfn.AGGREGATE(4,6,INDEX($D$51:$AD$51,28-$D$36):$AD$51))-0.10811,0.32432),NA()),IF(AR$38="C",NA(),NA())))</f>
        <v>0</v>
      </c>
      <c r="AS72" s="68">
        <f>IF(AS$38="A",NA(),IF(AS$38="B",IF(ISNUMBER(INDEX($D$50:$AD$50,AS$37)),MAX(MAX(N(INDEX($D$50:$AD$50,AS$37)),N(INDEX($D$51:$AD$51,AS$37)))/MAX(1,_xlfn.AGGREGATE(4,6,INDEX($D$50:$AD$50,28-$D$36):$AD$50),_xlfn.AGGREGATE(4,6,INDEX($D$51:$AD$51,28-$D$36):$AD$51))-0.10811,0.32432),NA()),IF(AS$38="C",NA(),NA())))</f>
        <v>0</v>
      </c>
      <c r="AT72" s="68">
        <f>IF(AT$38="A",NA(),IF(AT$38="B",IF(ISNUMBER(INDEX($D$50:$AD$50,AT$37)),MAX(MAX(N(INDEX($D$50:$AD$50,AT$37)),N(INDEX($D$51:$AD$51,AT$37)))/MAX(1,_xlfn.AGGREGATE(4,6,INDEX($D$50:$AD$50,28-$D$36):$AD$50),_xlfn.AGGREGATE(4,6,INDEX($D$51:$AD$51,28-$D$36):$AD$51))-0.10811,0.32432),NA()),IF(AT$38="C",NA(),NA())))</f>
        <v>0</v>
      </c>
      <c r="AU72" s="68">
        <f>IF(AU$38="A",NA(),IF(AU$38="B",IF(ISNUMBER(INDEX($D$50:$AD$50,AU$37)),MAX(MAX(N(INDEX($D$50:$AD$50,AU$37)),N(INDEX($D$51:$AD$51,AU$37)))/MAX(1,_xlfn.AGGREGATE(4,6,INDEX($D$50:$AD$50,28-$D$36):$AD$50),_xlfn.AGGREGATE(4,6,INDEX($D$51:$AD$51,28-$D$36):$AD$51))-0.10811,0.32432),NA()),IF(AU$38="C",NA(),NA())))</f>
        <v>0</v>
      </c>
      <c r="AV72" s="68">
        <f>IF(AV$38="A",NA(),IF(AV$38="B",IF(ISNUMBER(INDEX($D$50:$AD$50,AV$37)),MAX(MAX(N(INDEX($D$50:$AD$50,AV$37)),N(INDEX($D$51:$AD$51,AV$37)))/MAX(1,_xlfn.AGGREGATE(4,6,INDEX($D$50:$AD$50,28-$D$36):$AD$50),_xlfn.AGGREGATE(4,6,INDEX($D$51:$AD$51,28-$D$36):$AD$51))-0.10811,0.32432),NA()),IF(AV$38="C",NA(),NA())))</f>
        <v>0</v>
      </c>
      <c r="AW72" s="68">
        <f>IF(AW$38="A",NA(),IF(AW$38="B",IF(ISNUMBER(INDEX($D$50:$AD$50,AW$37)),MAX(MAX(N(INDEX($D$50:$AD$50,AW$37)),N(INDEX($D$51:$AD$51,AW$37)))/MAX(1,_xlfn.AGGREGATE(4,6,INDEX($D$50:$AD$50,28-$D$36):$AD$50),_xlfn.AGGREGATE(4,6,INDEX($D$51:$AD$51,28-$D$36):$AD$51))-0.10811,0.32432),NA()),IF(AW$38="C",NA(),NA())))</f>
        <v>0</v>
      </c>
      <c r="AX72" s="68">
        <f>IF(AX$38="A",NA(),IF(AX$38="B",IF(ISNUMBER(INDEX($D$50:$AD$50,AX$37)),MAX(MAX(N(INDEX($D$50:$AD$50,AX$37)),N(INDEX($D$51:$AD$51,AX$37)))/MAX(1,_xlfn.AGGREGATE(4,6,INDEX($D$50:$AD$50,28-$D$36):$AD$50),_xlfn.AGGREGATE(4,6,INDEX($D$51:$AD$51,28-$D$36):$AD$51))-0.10811,0.32432),NA()),IF(AX$38="C",NA(),NA())))</f>
        <v>0</v>
      </c>
      <c r="AY72" s="68">
        <f>IF(AY$38="A",NA(),IF(AY$38="B",IF(ISNUMBER(INDEX($D$50:$AD$50,AY$37)),MAX(MAX(N(INDEX($D$50:$AD$50,AY$37)),N(INDEX($D$51:$AD$51,AY$37)))/MAX(1,_xlfn.AGGREGATE(4,6,INDEX($D$50:$AD$50,28-$D$36):$AD$50),_xlfn.AGGREGATE(4,6,INDEX($D$51:$AD$51,28-$D$36):$AD$51))-0.10811,0.32432),NA()),IF(AY$38="C",NA(),NA())))</f>
        <v>0</v>
      </c>
      <c r="AZ72" s="68">
        <f>IF(AZ$38="A",NA(),IF(AZ$38="B",IF(ISNUMBER(INDEX($D$50:$AD$50,AZ$37)),MAX(MAX(N(INDEX($D$50:$AD$50,AZ$37)),N(INDEX($D$51:$AD$51,AZ$37)))/MAX(1,_xlfn.AGGREGATE(4,6,INDEX($D$50:$AD$50,28-$D$36):$AD$50),_xlfn.AGGREGATE(4,6,INDEX($D$51:$AD$51,28-$D$36):$AD$51))-0.10811,0.32432),NA()),IF(AZ$38="C",NA(),NA())))</f>
        <v>0</v>
      </c>
      <c r="BA72" s="68">
        <f>IF(BA$38="A",NA(),IF(BA$38="B",IF(ISNUMBER(INDEX($D$50:$AD$50,BA$37)),MAX(MAX(N(INDEX($D$50:$AD$50,BA$37)),N(INDEX($D$51:$AD$51,BA$37)))/MAX(1,_xlfn.AGGREGATE(4,6,INDEX($D$50:$AD$50,28-$D$36):$AD$50),_xlfn.AGGREGATE(4,6,INDEX($D$51:$AD$51,28-$D$36):$AD$51))-0.10811,0.32432),NA()),IF(BA$38="C",NA(),NA())))</f>
        <v>0</v>
      </c>
      <c r="BB72" s="68">
        <f>IF(BB$38="A",NA(),IF(BB$38="B",IF(ISNUMBER(INDEX($D$50:$AD$50,BB$37)),MAX(MAX(N(INDEX($D$50:$AD$50,BB$37)),N(INDEX($D$51:$AD$51,BB$37)))/MAX(1,_xlfn.AGGREGATE(4,6,INDEX($D$50:$AD$50,28-$D$36):$AD$50),_xlfn.AGGREGATE(4,6,INDEX($D$51:$AD$51,28-$D$36):$AD$51))-0.10811,0.32432),NA()),IF(BB$38="C",NA(),NA())))</f>
        <v>0</v>
      </c>
      <c r="BC72" s="68">
        <f>IF(BC$38="A",NA(),IF(BC$38="B",IF(ISNUMBER(INDEX($D$50:$AD$50,BC$37)),MAX(MAX(N(INDEX($D$50:$AD$50,BC$37)),N(INDEX($D$51:$AD$51,BC$37)))/MAX(1,_xlfn.AGGREGATE(4,6,INDEX($D$50:$AD$50,28-$D$36):$AD$50),_xlfn.AGGREGATE(4,6,INDEX($D$51:$AD$51,28-$D$36):$AD$51))-0.10811,0.32432),NA()),IF(BC$38="C",NA(),NA())))</f>
        <v>0</v>
      </c>
      <c r="BD72" s="68">
        <f>IF(BD$38="A",NA(),IF(BD$38="B",IF(ISNUMBER(INDEX($D$50:$AD$50,BD$37)),MAX(MAX(N(INDEX($D$50:$AD$50,BD$37)),N(INDEX($D$51:$AD$51,BD$37)))/MAX(1,_xlfn.AGGREGATE(4,6,INDEX($D$50:$AD$50,28-$D$36):$AD$50),_xlfn.AGGREGATE(4,6,INDEX($D$51:$AD$51,28-$D$36):$AD$51))-0.10811,0.32432),NA()),IF(BD$38="C",NA(),NA())))</f>
        <v>0</v>
      </c>
      <c r="BE72" s="68">
        <f>IF(BE$38="A",NA(),IF(BE$38="B",IF(ISNUMBER(INDEX($D$50:$AD$50,BE$37)),MAX(MAX(N(INDEX($D$50:$AD$50,BE$37)),N(INDEX($D$51:$AD$51,BE$37)))/MAX(1,_xlfn.AGGREGATE(4,6,INDEX($D$50:$AD$50,28-$D$36):$AD$50),_xlfn.AGGREGATE(4,6,INDEX($D$51:$AD$51,28-$D$36):$AD$51))-0.10811,0.32432),NA()),IF(BE$38="C",NA(),NA())))</f>
        <v>0</v>
      </c>
      <c r="BF72" s="68">
        <f>IF(BF$38="A",NA(),IF(BF$38="B",IF(ISNUMBER(INDEX($D$50:$AD$50,BF$37)),MAX(MAX(N(INDEX($D$50:$AD$50,BF$37)),N(INDEX($D$51:$AD$51,BF$37)))/MAX(1,_xlfn.AGGREGATE(4,6,INDEX($D$50:$AD$50,28-$D$36):$AD$50),_xlfn.AGGREGATE(4,6,INDEX($D$51:$AD$51,28-$D$36):$AD$51))-0.10811,0.32432),NA()),IF(BF$38="C",NA(),NA())))</f>
        <v>0</v>
      </c>
      <c r="BG72" s="68">
        <f>IF(BG$38="A",NA(),IF(BG$38="B",IF(ISNUMBER(INDEX($D$50:$AD$50,BG$37)),MAX(MAX(N(INDEX($D$50:$AD$50,BG$37)),N(INDEX($D$51:$AD$51,BG$37)))/MAX(1,_xlfn.AGGREGATE(4,6,INDEX($D$50:$AD$50,28-$D$36):$AD$50),_xlfn.AGGREGATE(4,6,INDEX($D$51:$AD$51,28-$D$36):$AD$51))-0.10811,0.32432),NA()),IF(BG$38="C",NA(),NA())))</f>
        <v>0</v>
      </c>
      <c r="BH72" s="68">
        <f>IF(BH$38="A",NA(),IF(BH$38="B",IF(ISNUMBER(INDEX($D$50:$AD$50,BH$37)),MAX(MAX(N(INDEX($D$50:$AD$50,BH$37)),N(INDEX($D$51:$AD$51,BH$37)))/MAX(1,_xlfn.AGGREGATE(4,6,INDEX($D$50:$AD$50,28-$D$36):$AD$50),_xlfn.AGGREGATE(4,6,INDEX($D$51:$AD$51,28-$D$36):$AD$51))-0.10811,0.32432),NA()),IF(BH$38="C",NA(),NA())))</f>
        <v>0</v>
      </c>
      <c r="BI72" s="68">
        <f>IF(BI$38="A",NA(),IF(BI$38="B",IF(ISNUMBER(INDEX($D$50:$AD$50,BI$37)),MAX(MAX(N(INDEX($D$50:$AD$50,BI$37)),N(INDEX($D$51:$AD$51,BI$37)))/MAX(1,_xlfn.AGGREGATE(4,6,INDEX($D$50:$AD$50,28-$D$36):$AD$50),_xlfn.AGGREGATE(4,6,INDEX($D$51:$AD$51,28-$D$36):$AD$51))-0.10811,0.32432),NA()),IF(BI$38="C",NA(),NA())))</f>
        <v>0</v>
      </c>
      <c r="BJ72" s="68">
        <f>IF(BJ$38="A",NA(),IF(BJ$38="B",IF(ISNUMBER(INDEX($D$50:$AD$50,BJ$37)),MAX(MAX(N(INDEX($D$50:$AD$50,BJ$37)),N(INDEX($D$51:$AD$51,BJ$37)))/MAX(1,_xlfn.AGGREGATE(4,6,INDEX($D$50:$AD$50,28-$D$36):$AD$50),_xlfn.AGGREGATE(4,6,INDEX($D$51:$AD$51,28-$D$36):$AD$51))-0.10811,0.32432),NA()),IF(BJ$38="C",NA(),NA())))</f>
        <v>0</v>
      </c>
      <c r="BK72" s="68">
        <f>IF(BK$38="A",NA(),IF(BK$38="B",IF(ISNUMBER(INDEX($D$50:$AD$50,BK$37)),MAX(MAX(N(INDEX($D$50:$AD$50,BK$37)),N(INDEX($D$51:$AD$51,BK$37)))/MAX(1,_xlfn.AGGREGATE(4,6,INDEX($D$50:$AD$50,28-$D$36):$AD$50),_xlfn.AGGREGATE(4,6,INDEX($D$51:$AD$51,28-$D$36):$AD$51))-0.10811,0.32432),NA()),IF(BK$38="C",NA(),NA())))</f>
        <v>0</v>
      </c>
      <c r="BL72" s="68">
        <f>IF(BL$38="A",NA(),IF(BL$38="B",IF(ISNUMBER(INDEX($D$50:$AD$50,BL$37)),MAX(MAX(N(INDEX($D$50:$AD$50,BL$37)),N(INDEX($D$51:$AD$51,BL$37)))/MAX(1,_xlfn.AGGREGATE(4,6,INDEX($D$50:$AD$50,28-$D$36):$AD$50),_xlfn.AGGREGATE(4,6,INDEX($D$51:$AD$51,28-$D$36):$AD$51))-0.10811,0.32432),NA()),IF(BL$38="C",NA(),NA())))</f>
        <v>0</v>
      </c>
      <c r="BM72" s="68">
        <f>IF(BM$38="A",NA(),IF(BM$38="B",IF(ISNUMBER(INDEX($D$50:$AD$50,BM$37)),MAX(MAX(N(INDEX($D$50:$AD$50,BM$37)),N(INDEX($D$51:$AD$51,BM$37)))/MAX(1,_xlfn.AGGREGATE(4,6,INDEX($D$50:$AD$50,28-$D$36):$AD$50),_xlfn.AGGREGATE(4,6,INDEX($D$51:$AD$51,28-$D$36):$AD$51))-0.10811,0.32432),NA()),IF(BM$38="C",NA(),NA())))</f>
        <v>0</v>
      </c>
      <c r="BN72" s="68">
        <f>IF(BN$38="A",NA(),IF(BN$38="B",IF(ISNUMBER(INDEX($D$50:$AD$50,BN$37)),MAX(MAX(N(INDEX($D$50:$AD$50,BN$37)),N(INDEX($D$51:$AD$51,BN$37)))/MAX(1,_xlfn.AGGREGATE(4,6,INDEX($D$50:$AD$50,28-$D$36):$AD$50),_xlfn.AGGREGATE(4,6,INDEX($D$51:$AD$51,28-$D$36):$AD$51))-0.10811,0.32432),NA()),IF(BN$38="C",NA(),NA())))</f>
        <v>0</v>
      </c>
      <c r="BO72" s="68">
        <f>IF(BO$38="A",NA(),IF(BO$38="B",IF(ISNUMBER(INDEX($D$50:$AD$50,BO$37)),MAX(MAX(N(INDEX($D$50:$AD$50,BO$37)),N(INDEX($D$51:$AD$51,BO$37)))/MAX(1,_xlfn.AGGREGATE(4,6,INDEX($D$50:$AD$50,28-$D$36):$AD$50),_xlfn.AGGREGATE(4,6,INDEX($D$51:$AD$51,28-$D$36):$AD$51))-0.10811,0.32432),NA()),IF(BO$38="C",NA(),NA())))</f>
        <v>0</v>
      </c>
      <c r="BP72" s="68">
        <f>IF(BP$38="A",NA(),IF(BP$38="B",IF(ISNUMBER(INDEX($D$50:$AD$50,BP$37)),MAX(MAX(N(INDEX($D$50:$AD$50,BP$37)),N(INDEX($D$51:$AD$51,BP$37)))/MAX(1,_xlfn.AGGREGATE(4,6,INDEX($D$50:$AD$50,28-$D$36):$AD$50),_xlfn.AGGREGATE(4,6,INDEX($D$51:$AD$51,28-$D$36):$AD$51))-0.10811,0.32432),NA()),IF(BP$38="C",NA(),NA())))</f>
        <v>0</v>
      </c>
      <c r="BQ72" s="68">
        <f>IF(BQ$38="A",NA(),IF(BQ$38="B",IF(ISNUMBER(INDEX($D$50:$AD$50,BQ$37)),MAX(MAX(N(INDEX($D$50:$AD$50,BQ$37)),N(INDEX($D$51:$AD$51,BQ$37)))/MAX(1,_xlfn.AGGREGATE(4,6,INDEX($D$50:$AD$50,28-$D$36):$AD$50),_xlfn.AGGREGATE(4,6,INDEX($D$51:$AD$51,28-$D$36):$AD$51))-0.10811,0.32432),NA()),IF(BQ$38="C",NA(),NA())))</f>
        <v>0</v>
      </c>
      <c r="BR72" s="68">
        <f>IF(BR$38="A",NA(),IF(BR$38="B",IF(ISNUMBER(INDEX($D$50:$AD$50,BR$37)),MAX(MAX(N(INDEX($D$50:$AD$50,BR$37)),N(INDEX($D$51:$AD$51,BR$37)))/MAX(1,_xlfn.AGGREGATE(4,6,INDEX($D$50:$AD$50,28-$D$36):$AD$50),_xlfn.AGGREGATE(4,6,INDEX($D$51:$AD$51,28-$D$36):$AD$51))-0.10811,0.32432),NA()),IF(BR$38="C",NA(),NA())))</f>
        <v>0</v>
      </c>
      <c r="BS72" s="68">
        <f>IF(BS$38="A",NA(),IF(BS$38="B",IF(ISNUMBER(INDEX($D$50:$AD$50,BS$37)),MAX(MAX(N(INDEX($D$50:$AD$50,BS$37)),N(INDEX($D$51:$AD$51,BS$37)))/MAX(1,_xlfn.AGGREGATE(4,6,INDEX($D$50:$AD$50,28-$D$36):$AD$50),_xlfn.AGGREGATE(4,6,INDEX($D$51:$AD$51,28-$D$36):$AD$51))-0.10811,0.32432),NA()),IF(BS$38="C",NA(),NA())))</f>
        <v>0</v>
      </c>
      <c r="BT72" s="68">
        <f>IF(BT$38="A",NA(),IF(BT$38="B",IF(ISNUMBER(INDEX($D$50:$AD$50,BT$37)),MAX(MAX(N(INDEX($D$50:$AD$50,BT$37)),N(INDEX($D$51:$AD$51,BT$37)))/MAX(1,_xlfn.AGGREGATE(4,6,INDEX($D$50:$AD$50,28-$D$36):$AD$50),_xlfn.AGGREGATE(4,6,INDEX($D$51:$AD$51,28-$D$36):$AD$51))-0.10811,0.32432),NA()),IF(BT$38="C",NA(),NA())))</f>
        <v>0</v>
      </c>
    </row>
    <row r="73" spans="1:72">
      <c r="A73" s="11" t="s">
        <v>677</v>
      </c>
      <c r="B73" s="11" t="s">
        <v>678</v>
      </c>
      <c r="C73" s="67" t="s">
        <v>610</v>
      </c>
      <c r="AQ73" s="11">
        <f>IF(AQ$38="A","",IF(AQ$38="B",IF(ISNUMBER(INDEX($D$50:$AD$50,AQ$37)),FIXED(INDEX($D$50:$AD$50,AQ$37)/1000,1),""),IF(AQ$38="C","","")))</f>
        <v>0</v>
      </c>
      <c r="AR73" s="11">
        <f>IF(AR$38="A","",IF(AR$38="B",IF(ISNUMBER(INDEX($D$50:$AD$50,AR$37)),FIXED(INDEX($D$50:$AD$50,AR$37)/1000,1),""),IF(AR$38="C","","")))</f>
        <v>0</v>
      </c>
      <c r="AS73" s="11">
        <f>IF(AS$38="A","",IF(AS$38="B",IF(ISNUMBER(INDEX($D$50:$AD$50,AS$37)),FIXED(INDEX($D$50:$AD$50,AS$37)/1000,1),""),IF(AS$38="C","","")))</f>
        <v>0</v>
      </c>
      <c r="AT73" s="11">
        <f>IF(AT$38="A","",IF(AT$38="B",IF(ISNUMBER(INDEX($D$50:$AD$50,AT$37)),FIXED(INDEX($D$50:$AD$50,AT$37)/1000,1),""),IF(AT$38="C","","")))</f>
        <v>0</v>
      </c>
      <c r="AU73" s="11">
        <f>IF(AU$38="A","",IF(AU$38="B",IF(ISNUMBER(INDEX($D$50:$AD$50,AU$37)),FIXED(INDEX($D$50:$AD$50,AU$37)/1000,1),""),IF(AU$38="C","","")))</f>
        <v>0</v>
      </c>
      <c r="AV73" s="11">
        <f>IF(AV$38="A","",IF(AV$38="B",IF(ISNUMBER(INDEX($D$50:$AD$50,AV$37)),FIXED(INDEX($D$50:$AD$50,AV$37)/1000,1),""),IF(AV$38="C","","")))</f>
        <v>0</v>
      </c>
      <c r="AW73" s="11">
        <f>IF(AW$38="A","",IF(AW$38="B",IF(ISNUMBER(INDEX($D$50:$AD$50,AW$37)),FIXED(INDEX($D$50:$AD$50,AW$37)/1000,1),""),IF(AW$38="C","","")))</f>
        <v>0</v>
      </c>
      <c r="AX73" s="11">
        <f>IF(AX$38="A","",IF(AX$38="B",IF(ISNUMBER(INDEX($D$50:$AD$50,AX$37)),FIXED(INDEX($D$50:$AD$50,AX$37)/1000,1),""),IF(AX$38="C","","")))</f>
        <v>0</v>
      </c>
      <c r="AY73" s="11">
        <f>IF(AY$38="A","",IF(AY$38="B",IF(ISNUMBER(INDEX($D$50:$AD$50,AY$37)),FIXED(INDEX($D$50:$AD$50,AY$37)/1000,1),""),IF(AY$38="C","","")))</f>
        <v>0</v>
      </c>
      <c r="AZ73" s="11">
        <f>IF(AZ$38="A","",IF(AZ$38="B",IF(ISNUMBER(INDEX($D$50:$AD$50,AZ$37)),FIXED(INDEX($D$50:$AD$50,AZ$37)/1000,1),""),IF(AZ$38="C","","")))</f>
        <v>0</v>
      </c>
      <c r="BA73" s="11">
        <f>IF(BA$38="A","",IF(BA$38="B",IF(ISNUMBER(INDEX($D$50:$AD$50,BA$37)),FIXED(INDEX($D$50:$AD$50,BA$37)/1000,1),""),IF(BA$38="C","","")))</f>
        <v>0</v>
      </c>
      <c r="BB73" s="11">
        <f>IF(BB$38="A","",IF(BB$38="B",IF(ISNUMBER(INDEX($D$50:$AD$50,BB$37)),FIXED(INDEX($D$50:$AD$50,BB$37)/1000,1),""),IF(BB$38="C","","")))</f>
        <v>0</v>
      </c>
      <c r="BC73" s="11">
        <f>IF(BC$38="A","",IF(BC$38="B",IF(ISNUMBER(INDEX($D$50:$AD$50,BC$37)),FIXED(INDEX($D$50:$AD$50,BC$37)/1000,1),""),IF(BC$38="C","","")))</f>
        <v>0</v>
      </c>
      <c r="BD73" s="11">
        <f>IF(BD$38="A","",IF(BD$38="B",IF(ISNUMBER(INDEX($D$50:$AD$50,BD$37)),FIXED(INDEX($D$50:$AD$50,BD$37)/1000,1),""),IF(BD$38="C","","")))</f>
        <v>0</v>
      </c>
      <c r="BE73" s="11">
        <f>IF(BE$38="A","",IF(BE$38="B",IF(ISNUMBER(INDEX($D$50:$AD$50,BE$37)),FIXED(INDEX($D$50:$AD$50,BE$37)/1000,1),""),IF(BE$38="C","","")))</f>
        <v>0</v>
      </c>
      <c r="BF73" s="11">
        <f>IF(BF$38="A","",IF(BF$38="B",IF(ISNUMBER(INDEX($D$50:$AD$50,BF$37)),FIXED(INDEX($D$50:$AD$50,BF$37)/1000,1),""),IF(BF$38="C","","")))</f>
        <v>0</v>
      </c>
      <c r="BG73" s="11">
        <f>IF(BG$38="A","",IF(BG$38="B",IF(ISNUMBER(INDEX($D$50:$AD$50,BG$37)),FIXED(INDEX($D$50:$AD$50,BG$37)/1000,1),""),IF(BG$38="C","","")))</f>
        <v>0</v>
      </c>
      <c r="BH73" s="11">
        <f>IF(BH$38="A","",IF(BH$38="B",IF(ISNUMBER(INDEX($D$50:$AD$50,BH$37)),FIXED(INDEX($D$50:$AD$50,BH$37)/1000,1),""),IF(BH$38="C","","")))</f>
        <v>0</v>
      </c>
      <c r="BI73" s="11">
        <f>IF(BI$38="A","",IF(BI$38="B",IF(ISNUMBER(INDEX($D$50:$AD$50,BI$37)),FIXED(INDEX($D$50:$AD$50,BI$37)/1000,1),""),IF(BI$38="C","","")))</f>
        <v>0</v>
      </c>
      <c r="BJ73" s="11">
        <f>IF(BJ$38="A","",IF(BJ$38="B",IF(ISNUMBER(INDEX($D$50:$AD$50,BJ$37)),FIXED(INDEX($D$50:$AD$50,BJ$37)/1000,1),""),IF(BJ$38="C","","")))</f>
        <v>0</v>
      </c>
      <c r="BK73" s="11">
        <f>IF(BK$38="A","",IF(BK$38="B",IF(ISNUMBER(INDEX($D$50:$AD$50,BK$37)),FIXED(INDEX($D$50:$AD$50,BK$37)/1000,1),""),IF(BK$38="C","","")))</f>
        <v>0</v>
      </c>
      <c r="BL73" s="11">
        <f>IF(BL$38="A","",IF(BL$38="B",IF(ISNUMBER(INDEX($D$50:$AD$50,BL$37)),FIXED(INDEX($D$50:$AD$50,BL$37)/1000,1),""),IF(BL$38="C","","")))</f>
        <v>0</v>
      </c>
      <c r="BM73" s="11">
        <f>IF(BM$38="A","",IF(BM$38="B",IF(ISNUMBER(INDEX($D$50:$AD$50,BM$37)),FIXED(INDEX($D$50:$AD$50,BM$37)/1000,1),""),IF(BM$38="C","","")))</f>
        <v>0</v>
      </c>
      <c r="BN73" s="11">
        <f>IF(BN$38="A","",IF(BN$38="B",IF(ISNUMBER(INDEX($D$50:$AD$50,BN$37)),FIXED(INDEX($D$50:$AD$50,BN$37)/1000,1),""),IF(BN$38="C","","")))</f>
        <v>0</v>
      </c>
      <c r="BO73" s="11">
        <f>IF(BO$38="A","",IF(BO$38="B",IF(ISNUMBER(INDEX($D$50:$AD$50,BO$37)),FIXED(INDEX($D$50:$AD$50,BO$37)/1000,1),""),IF(BO$38="C","","")))</f>
        <v>0</v>
      </c>
      <c r="BP73" s="11">
        <f>IF(BP$38="A","",IF(BP$38="B",IF(ISNUMBER(INDEX($D$50:$AD$50,BP$37)),FIXED(INDEX($D$50:$AD$50,BP$37)/1000,1),""),IF(BP$38="C","","")))</f>
        <v>0</v>
      </c>
      <c r="BQ73" s="11">
        <f>IF(BQ$38="A","",IF(BQ$38="B",IF(ISNUMBER(INDEX($D$50:$AD$50,BQ$37)),FIXED(INDEX($D$50:$AD$50,BQ$37)/1000,1),""),IF(BQ$38="C","","")))</f>
        <v>0</v>
      </c>
      <c r="BR73" s="11">
        <f>IF(BR$38="A","",IF(BR$38="B",IF(ISNUMBER(INDEX($D$50:$AD$50,BR$37)),FIXED(INDEX($D$50:$AD$50,BR$37)/1000,1),""),IF(BR$38="C","","")))</f>
        <v>0</v>
      </c>
      <c r="BS73" s="11">
        <f>IF(BS$38="A","",IF(BS$38="B",IF(ISNUMBER(INDEX($D$50:$AD$50,BS$37)),FIXED(INDEX($D$50:$AD$50,BS$37)/1000,1),""),IF(BS$38="C","","")))</f>
        <v>0</v>
      </c>
      <c r="BT73" s="11">
        <f>IF(BT$38="A","",IF(BT$38="B",IF(ISNUMBER(INDEX($D$50:$AD$50,BT$37)),FIXED(INDEX($D$50:$AD$50,BT$37)/1000,1),""),IF(BT$38="C","","")))</f>
        <v>0</v>
      </c>
    </row>
    <row r="74" spans="1:72">
      <c r="A74" s="11" t="s">
        <v>679</v>
      </c>
      <c r="B74" s="11" t="s">
        <v>680</v>
      </c>
      <c r="C74" s="67" t="s">
        <v>610</v>
      </c>
      <c r="AQ74" s="68">
        <f>IF(AQ$38="A",NA(),IF(AQ$38="B",IF(ISNUMBER(INDEX($D$51:$AD$51,AQ$37)),MAX(MAX(N(INDEX($D$50:$AD$50,AQ$37)),N(INDEX($D$51:$AD$51,AQ$37)))/MAX(1,_xlfn.AGGREGATE(4,6,INDEX($D$50:$AD$50,28-$D$36):$AD$50),_xlfn.AGGREGATE(4,6,INDEX($D$51:$AD$51,28-$D$36):$AD$51))-0.32432,0.10811),NA()),IF(AQ$38="C",NA(),NA())))</f>
        <v>0</v>
      </c>
      <c r="AR74" s="68">
        <f>IF(AR$38="A",NA(),IF(AR$38="B",IF(ISNUMBER(INDEX($D$51:$AD$51,AR$37)),MAX(MAX(N(INDEX($D$50:$AD$50,AR$37)),N(INDEX($D$51:$AD$51,AR$37)))/MAX(1,_xlfn.AGGREGATE(4,6,INDEX($D$50:$AD$50,28-$D$36):$AD$50),_xlfn.AGGREGATE(4,6,INDEX($D$51:$AD$51,28-$D$36):$AD$51))-0.32432,0.10811),NA()),IF(AR$38="C",NA(),NA())))</f>
        <v>0</v>
      </c>
      <c r="AS74" s="68">
        <f>IF(AS$38="A",NA(),IF(AS$38="B",IF(ISNUMBER(INDEX($D$51:$AD$51,AS$37)),MAX(MAX(N(INDEX($D$50:$AD$50,AS$37)),N(INDEX($D$51:$AD$51,AS$37)))/MAX(1,_xlfn.AGGREGATE(4,6,INDEX($D$50:$AD$50,28-$D$36):$AD$50),_xlfn.AGGREGATE(4,6,INDEX($D$51:$AD$51,28-$D$36):$AD$51))-0.32432,0.10811),NA()),IF(AS$38="C",NA(),NA())))</f>
        <v>0</v>
      </c>
      <c r="AT74" s="68">
        <f>IF(AT$38="A",NA(),IF(AT$38="B",IF(ISNUMBER(INDEX($D$51:$AD$51,AT$37)),MAX(MAX(N(INDEX($D$50:$AD$50,AT$37)),N(INDEX($D$51:$AD$51,AT$37)))/MAX(1,_xlfn.AGGREGATE(4,6,INDEX($D$50:$AD$50,28-$D$36):$AD$50),_xlfn.AGGREGATE(4,6,INDEX($D$51:$AD$51,28-$D$36):$AD$51))-0.32432,0.10811),NA()),IF(AT$38="C",NA(),NA())))</f>
        <v>0</v>
      </c>
      <c r="AU74" s="68">
        <f>IF(AU$38="A",NA(),IF(AU$38="B",IF(ISNUMBER(INDEX($D$51:$AD$51,AU$37)),MAX(MAX(N(INDEX($D$50:$AD$50,AU$37)),N(INDEX($D$51:$AD$51,AU$37)))/MAX(1,_xlfn.AGGREGATE(4,6,INDEX($D$50:$AD$50,28-$D$36):$AD$50),_xlfn.AGGREGATE(4,6,INDEX($D$51:$AD$51,28-$D$36):$AD$51))-0.32432,0.10811),NA()),IF(AU$38="C",NA(),NA())))</f>
        <v>0</v>
      </c>
      <c r="AV74" s="68">
        <f>IF(AV$38="A",NA(),IF(AV$38="B",IF(ISNUMBER(INDEX($D$51:$AD$51,AV$37)),MAX(MAX(N(INDEX($D$50:$AD$50,AV$37)),N(INDEX($D$51:$AD$51,AV$37)))/MAX(1,_xlfn.AGGREGATE(4,6,INDEX($D$50:$AD$50,28-$D$36):$AD$50),_xlfn.AGGREGATE(4,6,INDEX($D$51:$AD$51,28-$D$36):$AD$51))-0.32432,0.10811),NA()),IF(AV$38="C",NA(),NA())))</f>
        <v>0</v>
      </c>
      <c r="AW74" s="68">
        <f>IF(AW$38="A",NA(),IF(AW$38="B",IF(ISNUMBER(INDEX($D$51:$AD$51,AW$37)),MAX(MAX(N(INDEX($D$50:$AD$50,AW$37)),N(INDEX($D$51:$AD$51,AW$37)))/MAX(1,_xlfn.AGGREGATE(4,6,INDEX($D$50:$AD$50,28-$D$36):$AD$50),_xlfn.AGGREGATE(4,6,INDEX($D$51:$AD$51,28-$D$36):$AD$51))-0.32432,0.10811),NA()),IF(AW$38="C",NA(),NA())))</f>
        <v>0</v>
      </c>
      <c r="AX74" s="68">
        <f>IF(AX$38="A",NA(),IF(AX$38="B",IF(ISNUMBER(INDEX($D$51:$AD$51,AX$37)),MAX(MAX(N(INDEX($D$50:$AD$50,AX$37)),N(INDEX($D$51:$AD$51,AX$37)))/MAX(1,_xlfn.AGGREGATE(4,6,INDEX($D$50:$AD$50,28-$D$36):$AD$50),_xlfn.AGGREGATE(4,6,INDEX($D$51:$AD$51,28-$D$36):$AD$51))-0.32432,0.10811),NA()),IF(AX$38="C",NA(),NA())))</f>
        <v>0</v>
      </c>
      <c r="AY74" s="68">
        <f>IF(AY$38="A",NA(),IF(AY$38="B",IF(ISNUMBER(INDEX($D$51:$AD$51,AY$37)),MAX(MAX(N(INDEX($D$50:$AD$50,AY$37)),N(INDEX($D$51:$AD$51,AY$37)))/MAX(1,_xlfn.AGGREGATE(4,6,INDEX($D$50:$AD$50,28-$D$36):$AD$50),_xlfn.AGGREGATE(4,6,INDEX($D$51:$AD$51,28-$D$36):$AD$51))-0.32432,0.10811),NA()),IF(AY$38="C",NA(),NA())))</f>
        <v>0</v>
      </c>
      <c r="AZ74" s="68">
        <f>IF(AZ$38="A",NA(),IF(AZ$38="B",IF(ISNUMBER(INDEX($D$51:$AD$51,AZ$37)),MAX(MAX(N(INDEX($D$50:$AD$50,AZ$37)),N(INDEX($D$51:$AD$51,AZ$37)))/MAX(1,_xlfn.AGGREGATE(4,6,INDEX($D$50:$AD$50,28-$D$36):$AD$50),_xlfn.AGGREGATE(4,6,INDEX($D$51:$AD$51,28-$D$36):$AD$51))-0.32432,0.10811),NA()),IF(AZ$38="C",NA(),NA())))</f>
        <v>0</v>
      </c>
      <c r="BA74" s="68">
        <f>IF(BA$38="A",NA(),IF(BA$38="B",IF(ISNUMBER(INDEX($D$51:$AD$51,BA$37)),MAX(MAX(N(INDEX($D$50:$AD$50,BA$37)),N(INDEX($D$51:$AD$51,BA$37)))/MAX(1,_xlfn.AGGREGATE(4,6,INDEX($D$50:$AD$50,28-$D$36):$AD$50),_xlfn.AGGREGATE(4,6,INDEX($D$51:$AD$51,28-$D$36):$AD$51))-0.32432,0.10811),NA()),IF(BA$38="C",NA(),NA())))</f>
        <v>0</v>
      </c>
      <c r="BB74" s="68">
        <f>IF(BB$38="A",NA(),IF(BB$38="B",IF(ISNUMBER(INDEX($D$51:$AD$51,BB$37)),MAX(MAX(N(INDEX($D$50:$AD$50,BB$37)),N(INDEX($D$51:$AD$51,BB$37)))/MAX(1,_xlfn.AGGREGATE(4,6,INDEX($D$50:$AD$50,28-$D$36):$AD$50),_xlfn.AGGREGATE(4,6,INDEX($D$51:$AD$51,28-$D$36):$AD$51))-0.32432,0.10811),NA()),IF(BB$38="C",NA(),NA())))</f>
        <v>0</v>
      </c>
      <c r="BC74" s="68">
        <f>IF(BC$38="A",NA(),IF(BC$38="B",IF(ISNUMBER(INDEX($D$51:$AD$51,BC$37)),MAX(MAX(N(INDEX($D$50:$AD$50,BC$37)),N(INDEX($D$51:$AD$51,BC$37)))/MAX(1,_xlfn.AGGREGATE(4,6,INDEX($D$50:$AD$50,28-$D$36):$AD$50),_xlfn.AGGREGATE(4,6,INDEX($D$51:$AD$51,28-$D$36):$AD$51))-0.32432,0.10811),NA()),IF(BC$38="C",NA(),NA())))</f>
        <v>0</v>
      </c>
      <c r="BD74" s="68">
        <f>IF(BD$38="A",NA(),IF(BD$38="B",IF(ISNUMBER(INDEX($D$51:$AD$51,BD$37)),MAX(MAX(N(INDEX($D$50:$AD$50,BD$37)),N(INDEX($D$51:$AD$51,BD$37)))/MAX(1,_xlfn.AGGREGATE(4,6,INDEX($D$50:$AD$50,28-$D$36):$AD$50),_xlfn.AGGREGATE(4,6,INDEX($D$51:$AD$51,28-$D$36):$AD$51))-0.32432,0.10811),NA()),IF(BD$38="C",NA(),NA())))</f>
        <v>0</v>
      </c>
      <c r="BE74" s="68">
        <f>IF(BE$38="A",NA(),IF(BE$38="B",IF(ISNUMBER(INDEX($D$51:$AD$51,BE$37)),MAX(MAX(N(INDEX($D$50:$AD$50,BE$37)),N(INDEX($D$51:$AD$51,BE$37)))/MAX(1,_xlfn.AGGREGATE(4,6,INDEX($D$50:$AD$50,28-$D$36):$AD$50),_xlfn.AGGREGATE(4,6,INDEX($D$51:$AD$51,28-$D$36):$AD$51))-0.32432,0.10811),NA()),IF(BE$38="C",NA(),NA())))</f>
        <v>0</v>
      </c>
      <c r="BF74" s="68">
        <f>IF(BF$38="A",NA(),IF(BF$38="B",IF(ISNUMBER(INDEX($D$51:$AD$51,BF$37)),MAX(MAX(N(INDEX($D$50:$AD$50,BF$37)),N(INDEX($D$51:$AD$51,BF$37)))/MAX(1,_xlfn.AGGREGATE(4,6,INDEX($D$50:$AD$50,28-$D$36):$AD$50),_xlfn.AGGREGATE(4,6,INDEX($D$51:$AD$51,28-$D$36):$AD$51))-0.32432,0.10811),NA()),IF(BF$38="C",NA(),NA())))</f>
        <v>0</v>
      </c>
      <c r="BG74" s="68">
        <f>IF(BG$38="A",NA(),IF(BG$38="B",IF(ISNUMBER(INDEX($D$51:$AD$51,BG$37)),MAX(MAX(N(INDEX($D$50:$AD$50,BG$37)),N(INDEX($D$51:$AD$51,BG$37)))/MAX(1,_xlfn.AGGREGATE(4,6,INDEX($D$50:$AD$50,28-$D$36):$AD$50),_xlfn.AGGREGATE(4,6,INDEX($D$51:$AD$51,28-$D$36):$AD$51))-0.32432,0.10811),NA()),IF(BG$38="C",NA(),NA())))</f>
        <v>0</v>
      </c>
      <c r="BH74" s="68">
        <f>IF(BH$38="A",NA(),IF(BH$38="B",IF(ISNUMBER(INDEX($D$51:$AD$51,BH$37)),MAX(MAX(N(INDEX($D$50:$AD$50,BH$37)),N(INDEX($D$51:$AD$51,BH$37)))/MAX(1,_xlfn.AGGREGATE(4,6,INDEX($D$50:$AD$50,28-$D$36):$AD$50),_xlfn.AGGREGATE(4,6,INDEX($D$51:$AD$51,28-$D$36):$AD$51))-0.32432,0.10811),NA()),IF(BH$38="C",NA(),NA())))</f>
        <v>0</v>
      </c>
      <c r="BI74" s="68">
        <f>IF(BI$38="A",NA(),IF(BI$38="B",IF(ISNUMBER(INDEX($D$51:$AD$51,BI$37)),MAX(MAX(N(INDEX($D$50:$AD$50,BI$37)),N(INDEX($D$51:$AD$51,BI$37)))/MAX(1,_xlfn.AGGREGATE(4,6,INDEX($D$50:$AD$50,28-$D$36):$AD$50),_xlfn.AGGREGATE(4,6,INDEX($D$51:$AD$51,28-$D$36):$AD$51))-0.32432,0.10811),NA()),IF(BI$38="C",NA(),NA())))</f>
        <v>0</v>
      </c>
      <c r="BJ74" s="68">
        <f>IF(BJ$38="A",NA(),IF(BJ$38="B",IF(ISNUMBER(INDEX($D$51:$AD$51,BJ$37)),MAX(MAX(N(INDEX($D$50:$AD$50,BJ$37)),N(INDEX($D$51:$AD$51,BJ$37)))/MAX(1,_xlfn.AGGREGATE(4,6,INDEX($D$50:$AD$50,28-$D$36):$AD$50),_xlfn.AGGREGATE(4,6,INDEX($D$51:$AD$51,28-$D$36):$AD$51))-0.32432,0.10811),NA()),IF(BJ$38="C",NA(),NA())))</f>
        <v>0</v>
      </c>
      <c r="BK74" s="68">
        <f>IF(BK$38="A",NA(),IF(BK$38="B",IF(ISNUMBER(INDEX($D$51:$AD$51,BK$37)),MAX(MAX(N(INDEX($D$50:$AD$50,BK$37)),N(INDEX($D$51:$AD$51,BK$37)))/MAX(1,_xlfn.AGGREGATE(4,6,INDEX($D$50:$AD$50,28-$D$36):$AD$50),_xlfn.AGGREGATE(4,6,INDEX($D$51:$AD$51,28-$D$36):$AD$51))-0.32432,0.10811),NA()),IF(BK$38="C",NA(),NA())))</f>
        <v>0</v>
      </c>
      <c r="BL74" s="68">
        <f>IF(BL$38="A",NA(),IF(BL$38="B",IF(ISNUMBER(INDEX($D$51:$AD$51,BL$37)),MAX(MAX(N(INDEX($D$50:$AD$50,BL$37)),N(INDEX($D$51:$AD$51,BL$37)))/MAX(1,_xlfn.AGGREGATE(4,6,INDEX($D$50:$AD$50,28-$D$36):$AD$50),_xlfn.AGGREGATE(4,6,INDEX($D$51:$AD$51,28-$D$36):$AD$51))-0.32432,0.10811),NA()),IF(BL$38="C",NA(),NA())))</f>
        <v>0</v>
      </c>
      <c r="BM74" s="68">
        <f>IF(BM$38="A",NA(),IF(BM$38="B",IF(ISNUMBER(INDEX($D$51:$AD$51,BM$37)),MAX(MAX(N(INDEX($D$50:$AD$50,BM$37)),N(INDEX($D$51:$AD$51,BM$37)))/MAX(1,_xlfn.AGGREGATE(4,6,INDEX($D$50:$AD$50,28-$D$36):$AD$50),_xlfn.AGGREGATE(4,6,INDEX($D$51:$AD$51,28-$D$36):$AD$51))-0.32432,0.10811),NA()),IF(BM$38="C",NA(),NA())))</f>
        <v>0</v>
      </c>
      <c r="BN74" s="68">
        <f>IF(BN$38="A",NA(),IF(BN$38="B",IF(ISNUMBER(INDEX($D$51:$AD$51,BN$37)),MAX(MAX(N(INDEX($D$50:$AD$50,BN$37)),N(INDEX($D$51:$AD$51,BN$37)))/MAX(1,_xlfn.AGGREGATE(4,6,INDEX($D$50:$AD$50,28-$D$36):$AD$50),_xlfn.AGGREGATE(4,6,INDEX($D$51:$AD$51,28-$D$36):$AD$51))-0.32432,0.10811),NA()),IF(BN$38="C",NA(),NA())))</f>
        <v>0</v>
      </c>
      <c r="BO74" s="68">
        <f>IF(BO$38="A",NA(),IF(BO$38="B",IF(ISNUMBER(INDEX($D$51:$AD$51,BO$37)),MAX(MAX(N(INDEX($D$50:$AD$50,BO$37)),N(INDEX($D$51:$AD$51,BO$37)))/MAX(1,_xlfn.AGGREGATE(4,6,INDEX($D$50:$AD$50,28-$D$36):$AD$50),_xlfn.AGGREGATE(4,6,INDEX($D$51:$AD$51,28-$D$36):$AD$51))-0.32432,0.10811),NA()),IF(BO$38="C",NA(),NA())))</f>
        <v>0</v>
      </c>
      <c r="BP74" s="68">
        <f>IF(BP$38="A",NA(),IF(BP$38="B",IF(ISNUMBER(INDEX($D$51:$AD$51,BP$37)),MAX(MAX(N(INDEX($D$50:$AD$50,BP$37)),N(INDEX($D$51:$AD$51,BP$37)))/MAX(1,_xlfn.AGGREGATE(4,6,INDEX($D$50:$AD$50,28-$D$36):$AD$50),_xlfn.AGGREGATE(4,6,INDEX($D$51:$AD$51,28-$D$36):$AD$51))-0.32432,0.10811),NA()),IF(BP$38="C",NA(),NA())))</f>
        <v>0</v>
      </c>
      <c r="BQ74" s="68">
        <f>IF(BQ$38="A",NA(),IF(BQ$38="B",IF(ISNUMBER(INDEX($D$51:$AD$51,BQ$37)),MAX(MAX(N(INDEX($D$50:$AD$50,BQ$37)),N(INDEX($D$51:$AD$51,BQ$37)))/MAX(1,_xlfn.AGGREGATE(4,6,INDEX($D$50:$AD$50,28-$D$36):$AD$50),_xlfn.AGGREGATE(4,6,INDEX($D$51:$AD$51,28-$D$36):$AD$51))-0.32432,0.10811),NA()),IF(BQ$38="C",NA(),NA())))</f>
        <v>0</v>
      </c>
      <c r="BR74" s="68">
        <f>IF(BR$38="A",NA(),IF(BR$38="B",IF(ISNUMBER(INDEX($D$51:$AD$51,BR$37)),MAX(MAX(N(INDEX($D$50:$AD$50,BR$37)),N(INDEX($D$51:$AD$51,BR$37)))/MAX(1,_xlfn.AGGREGATE(4,6,INDEX($D$50:$AD$50,28-$D$36):$AD$50),_xlfn.AGGREGATE(4,6,INDEX($D$51:$AD$51,28-$D$36):$AD$51))-0.32432,0.10811),NA()),IF(BR$38="C",NA(),NA())))</f>
        <v>0</v>
      </c>
      <c r="BS74" s="68">
        <f>IF(BS$38="A",NA(),IF(BS$38="B",IF(ISNUMBER(INDEX($D$51:$AD$51,BS$37)),MAX(MAX(N(INDEX($D$50:$AD$50,BS$37)),N(INDEX($D$51:$AD$51,BS$37)))/MAX(1,_xlfn.AGGREGATE(4,6,INDEX($D$50:$AD$50,28-$D$36):$AD$50),_xlfn.AGGREGATE(4,6,INDEX($D$51:$AD$51,28-$D$36):$AD$51))-0.32432,0.10811),NA()),IF(BS$38="C",NA(),NA())))</f>
        <v>0</v>
      </c>
      <c r="BT74" s="68">
        <f>IF(BT$38="A",NA(),IF(BT$38="B",IF(ISNUMBER(INDEX($D$51:$AD$51,BT$37)),MAX(MAX(N(INDEX($D$50:$AD$50,BT$37)),N(INDEX($D$51:$AD$51,BT$37)))/MAX(1,_xlfn.AGGREGATE(4,6,INDEX($D$50:$AD$50,28-$D$36):$AD$50),_xlfn.AGGREGATE(4,6,INDEX($D$51:$AD$51,28-$D$36):$AD$51))-0.32432,0.10811),NA()),IF(BT$38="C",NA(),NA())))</f>
        <v>0</v>
      </c>
    </row>
    <row r="75" spans="1:72">
      <c r="A75" s="11" t="s">
        <v>681</v>
      </c>
      <c r="B75" s="11" t="s">
        <v>682</v>
      </c>
      <c r="C75" s="67" t="s">
        <v>610</v>
      </c>
      <c r="AQ75" s="11">
        <f>IF(AQ$38="A","",IF(AQ$38="B",IF(ISNUMBER(INDEX($D$51:$AD$51,AQ$37)),FIXED(INDEX($D$51:$AD$51,AQ$37)/1000,1),""),IF(AQ$38="C","","")))</f>
        <v>0</v>
      </c>
      <c r="AR75" s="11">
        <f>IF(AR$38="A","",IF(AR$38="B",IF(ISNUMBER(INDEX($D$51:$AD$51,AR$37)),FIXED(INDEX($D$51:$AD$51,AR$37)/1000,1),""),IF(AR$38="C","","")))</f>
        <v>0</v>
      </c>
      <c r="AS75" s="11">
        <f>IF(AS$38="A","",IF(AS$38="B",IF(ISNUMBER(INDEX($D$51:$AD$51,AS$37)),FIXED(INDEX($D$51:$AD$51,AS$37)/1000,1),""),IF(AS$38="C","","")))</f>
        <v>0</v>
      </c>
      <c r="AT75" s="11">
        <f>IF(AT$38="A","",IF(AT$38="B",IF(ISNUMBER(INDEX($D$51:$AD$51,AT$37)),FIXED(INDEX($D$51:$AD$51,AT$37)/1000,1),""),IF(AT$38="C","","")))</f>
        <v>0</v>
      </c>
      <c r="AU75" s="11">
        <f>IF(AU$38="A","",IF(AU$38="B",IF(ISNUMBER(INDEX($D$51:$AD$51,AU$37)),FIXED(INDEX($D$51:$AD$51,AU$37)/1000,1),""),IF(AU$38="C","","")))</f>
        <v>0</v>
      </c>
      <c r="AV75" s="11">
        <f>IF(AV$38="A","",IF(AV$38="B",IF(ISNUMBER(INDEX($D$51:$AD$51,AV$37)),FIXED(INDEX($D$51:$AD$51,AV$37)/1000,1),""),IF(AV$38="C","","")))</f>
        <v>0</v>
      </c>
      <c r="AW75" s="11">
        <f>IF(AW$38="A","",IF(AW$38="B",IF(ISNUMBER(INDEX($D$51:$AD$51,AW$37)),FIXED(INDEX($D$51:$AD$51,AW$37)/1000,1),""),IF(AW$38="C","","")))</f>
        <v>0</v>
      </c>
      <c r="AX75" s="11">
        <f>IF(AX$38="A","",IF(AX$38="B",IF(ISNUMBER(INDEX($D$51:$AD$51,AX$37)),FIXED(INDEX($D$51:$AD$51,AX$37)/1000,1),""),IF(AX$38="C","","")))</f>
        <v>0</v>
      </c>
      <c r="AY75" s="11">
        <f>IF(AY$38="A","",IF(AY$38="B",IF(ISNUMBER(INDEX($D$51:$AD$51,AY$37)),FIXED(INDEX($D$51:$AD$51,AY$37)/1000,1),""),IF(AY$38="C","","")))</f>
        <v>0</v>
      </c>
      <c r="AZ75" s="11">
        <f>IF(AZ$38="A","",IF(AZ$38="B",IF(ISNUMBER(INDEX($D$51:$AD$51,AZ$37)),FIXED(INDEX($D$51:$AD$51,AZ$37)/1000,1),""),IF(AZ$38="C","","")))</f>
        <v>0</v>
      </c>
      <c r="BA75" s="11">
        <f>IF(BA$38="A","",IF(BA$38="B",IF(ISNUMBER(INDEX($D$51:$AD$51,BA$37)),FIXED(INDEX($D$51:$AD$51,BA$37)/1000,1),""),IF(BA$38="C","","")))</f>
        <v>0</v>
      </c>
      <c r="BB75" s="11">
        <f>IF(BB$38="A","",IF(BB$38="B",IF(ISNUMBER(INDEX($D$51:$AD$51,BB$37)),FIXED(INDEX($D$51:$AD$51,BB$37)/1000,1),""),IF(BB$38="C","","")))</f>
        <v>0</v>
      </c>
      <c r="BC75" s="11">
        <f>IF(BC$38="A","",IF(BC$38="B",IF(ISNUMBER(INDEX($D$51:$AD$51,BC$37)),FIXED(INDEX($D$51:$AD$51,BC$37)/1000,1),""),IF(BC$38="C","","")))</f>
        <v>0</v>
      </c>
      <c r="BD75" s="11">
        <f>IF(BD$38="A","",IF(BD$38="B",IF(ISNUMBER(INDEX($D$51:$AD$51,BD$37)),FIXED(INDEX($D$51:$AD$51,BD$37)/1000,1),""),IF(BD$38="C","","")))</f>
        <v>0</v>
      </c>
      <c r="BE75" s="11">
        <f>IF(BE$38="A","",IF(BE$38="B",IF(ISNUMBER(INDEX($D$51:$AD$51,BE$37)),FIXED(INDEX($D$51:$AD$51,BE$37)/1000,1),""),IF(BE$38="C","","")))</f>
        <v>0</v>
      </c>
      <c r="BF75" s="11">
        <f>IF(BF$38="A","",IF(BF$38="B",IF(ISNUMBER(INDEX($D$51:$AD$51,BF$37)),FIXED(INDEX($D$51:$AD$51,BF$37)/1000,1),""),IF(BF$38="C","","")))</f>
        <v>0</v>
      </c>
      <c r="BG75" s="11">
        <f>IF(BG$38="A","",IF(BG$38="B",IF(ISNUMBER(INDEX($D$51:$AD$51,BG$37)),FIXED(INDEX($D$51:$AD$51,BG$37)/1000,1),""),IF(BG$38="C","","")))</f>
        <v>0</v>
      </c>
      <c r="BH75" s="11">
        <f>IF(BH$38="A","",IF(BH$38="B",IF(ISNUMBER(INDEX($D$51:$AD$51,BH$37)),FIXED(INDEX($D$51:$AD$51,BH$37)/1000,1),""),IF(BH$38="C","","")))</f>
        <v>0</v>
      </c>
      <c r="BI75" s="11">
        <f>IF(BI$38="A","",IF(BI$38="B",IF(ISNUMBER(INDEX($D$51:$AD$51,BI$37)),FIXED(INDEX($D$51:$AD$51,BI$37)/1000,1),""),IF(BI$38="C","","")))</f>
        <v>0</v>
      </c>
      <c r="BJ75" s="11">
        <f>IF(BJ$38="A","",IF(BJ$38="B",IF(ISNUMBER(INDEX($D$51:$AD$51,BJ$37)),FIXED(INDEX($D$51:$AD$51,BJ$37)/1000,1),""),IF(BJ$38="C","","")))</f>
        <v>0</v>
      </c>
      <c r="BK75" s="11">
        <f>IF(BK$38="A","",IF(BK$38="B",IF(ISNUMBER(INDEX($D$51:$AD$51,BK$37)),FIXED(INDEX($D$51:$AD$51,BK$37)/1000,1),""),IF(BK$38="C","","")))</f>
        <v>0</v>
      </c>
      <c r="BL75" s="11">
        <f>IF(BL$38="A","",IF(BL$38="B",IF(ISNUMBER(INDEX($D$51:$AD$51,BL$37)),FIXED(INDEX($D$51:$AD$51,BL$37)/1000,1),""),IF(BL$38="C","","")))</f>
        <v>0</v>
      </c>
      <c r="BM75" s="11">
        <f>IF(BM$38="A","",IF(BM$38="B",IF(ISNUMBER(INDEX($D$51:$AD$51,BM$37)),FIXED(INDEX($D$51:$AD$51,BM$37)/1000,1),""),IF(BM$38="C","","")))</f>
        <v>0</v>
      </c>
      <c r="BN75" s="11">
        <f>IF(BN$38="A","",IF(BN$38="B",IF(ISNUMBER(INDEX($D$51:$AD$51,BN$37)),FIXED(INDEX($D$51:$AD$51,BN$37)/1000,1),""),IF(BN$38="C","","")))</f>
        <v>0</v>
      </c>
      <c r="BO75" s="11">
        <f>IF(BO$38="A","",IF(BO$38="B",IF(ISNUMBER(INDEX($D$51:$AD$51,BO$37)),FIXED(INDEX($D$51:$AD$51,BO$37)/1000,1),""),IF(BO$38="C","","")))</f>
        <v>0</v>
      </c>
      <c r="BP75" s="11">
        <f>IF(BP$38="A","",IF(BP$38="B",IF(ISNUMBER(INDEX($D$51:$AD$51,BP$37)),FIXED(INDEX($D$51:$AD$51,BP$37)/1000,1),""),IF(BP$38="C","","")))</f>
        <v>0</v>
      </c>
      <c r="BQ75" s="11">
        <f>IF(BQ$38="A","",IF(BQ$38="B",IF(ISNUMBER(INDEX($D$51:$AD$51,BQ$37)),FIXED(INDEX($D$51:$AD$51,BQ$37)/1000,1),""),IF(BQ$38="C","","")))</f>
        <v>0</v>
      </c>
      <c r="BR75" s="11">
        <f>IF(BR$38="A","",IF(BR$38="B",IF(ISNUMBER(INDEX($D$51:$AD$51,BR$37)),FIXED(INDEX($D$51:$AD$51,BR$37)/1000,1),""),IF(BR$38="C","","")))</f>
        <v>0</v>
      </c>
      <c r="BS75" s="11">
        <f>IF(BS$38="A","",IF(BS$38="B",IF(ISNUMBER(INDEX($D$51:$AD$51,BS$37)),FIXED(INDEX($D$51:$AD$51,BS$37)/1000,1),""),IF(BS$38="C","","")))</f>
        <v>0</v>
      </c>
      <c r="BT75" s="11">
        <f>IF(BT$38="A","",IF(BT$38="B",IF(ISNUMBER(INDEX($D$51:$AD$51,BT$37)),FIXED(INDEX($D$51:$AD$51,BT$37)/1000,1),""),IF(BT$38="C","","")))</f>
        <v>0</v>
      </c>
    </row>
    <row r="76" spans="1:72">
      <c r="A76" s="11" t="s">
        <v>683</v>
      </c>
      <c r="B76" s="11" t="s">
        <v>684</v>
      </c>
      <c r="C76" s="67" t="s">
        <v>610</v>
      </c>
      <c r="AQ76" s="68">
        <f>IF(AQ$38="A",IF(ISNUMBER(INDEX($D$53:$AD$53,AQ$37)),IF(ROUND(INDEX($D$53:$AD$53,AQ$37)/1000,1)&gt;0,-0.40541,NA()),NA()),IF(AQ$38="B",NA(),IF(AQ$38="C",NA(),NA())))</f>
        <v>0</v>
      </c>
      <c r="AR76" s="68">
        <f>IF(AR$38="A",IF(ISNUMBER(INDEX($D$53:$AD$53,AR$37)),IF(ROUND(INDEX($D$53:$AD$53,AR$37)/1000,1)&gt;0,-0.40541,NA()),NA()),IF(AR$38="B",NA(),IF(AR$38="C",NA(),NA())))</f>
        <v>0</v>
      </c>
      <c r="AS76" s="68">
        <f>IF(AS$38="A",IF(ISNUMBER(INDEX($D$53:$AD$53,AS$37)),IF(ROUND(INDEX($D$53:$AD$53,AS$37)/1000,1)&gt;0,-0.40541,NA()),NA()),IF(AS$38="B",NA(),IF(AS$38="C",NA(),NA())))</f>
        <v>0</v>
      </c>
      <c r="AT76" s="68">
        <f>IF(AT$38="A",IF(ISNUMBER(INDEX($D$53:$AD$53,AT$37)),IF(ROUND(INDEX($D$53:$AD$53,AT$37)/1000,1)&gt;0,-0.40541,NA()),NA()),IF(AT$38="B",NA(),IF(AT$38="C",NA(),NA())))</f>
        <v>0</v>
      </c>
      <c r="AU76" s="68">
        <f>IF(AU$38="A",IF(ISNUMBER(INDEX($D$53:$AD$53,AU$37)),IF(ROUND(INDEX($D$53:$AD$53,AU$37)/1000,1)&gt;0,-0.40541,NA()),NA()),IF(AU$38="B",NA(),IF(AU$38="C",NA(),NA())))</f>
        <v>0</v>
      </c>
      <c r="AV76" s="68">
        <f>IF(AV$38="A",IF(ISNUMBER(INDEX($D$53:$AD$53,AV$37)),IF(ROUND(INDEX($D$53:$AD$53,AV$37)/1000,1)&gt;0,-0.40541,NA()),NA()),IF(AV$38="B",NA(),IF(AV$38="C",NA(),NA())))</f>
        <v>0</v>
      </c>
      <c r="AW76" s="68">
        <f>IF(AW$38="A",IF(ISNUMBER(INDEX($D$53:$AD$53,AW$37)),IF(ROUND(INDEX($D$53:$AD$53,AW$37)/1000,1)&gt;0,-0.40541,NA()),NA()),IF(AW$38="B",NA(),IF(AW$38="C",NA(),NA())))</f>
        <v>0</v>
      </c>
      <c r="AX76" s="68">
        <f>IF(AX$38="A",IF(ISNUMBER(INDEX($D$53:$AD$53,AX$37)),IF(ROUND(INDEX($D$53:$AD$53,AX$37)/1000,1)&gt;0,-0.40541,NA()),NA()),IF(AX$38="B",NA(),IF(AX$38="C",NA(),NA())))</f>
        <v>0</v>
      </c>
      <c r="AY76" s="68">
        <f>IF(AY$38="A",IF(ISNUMBER(INDEX($D$53:$AD$53,AY$37)),IF(ROUND(INDEX($D$53:$AD$53,AY$37)/1000,1)&gt;0,-0.40541,NA()),NA()),IF(AY$38="B",NA(),IF(AY$38="C",NA(),NA())))</f>
        <v>0</v>
      </c>
      <c r="AZ76" s="68">
        <f>IF(AZ$38="A",IF(ISNUMBER(INDEX($D$53:$AD$53,AZ$37)),IF(ROUND(INDEX($D$53:$AD$53,AZ$37)/1000,1)&gt;0,-0.40541,NA()),NA()),IF(AZ$38="B",NA(),IF(AZ$38="C",NA(),NA())))</f>
        <v>0</v>
      </c>
      <c r="BA76" s="68">
        <f>IF(BA$38="A",IF(ISNUMBER(INDEX($D$53:$AD$53,BA$37)),IF(ROUND(INDEX($D$53:$AD$53,BA$37)/1000,1)&gt;0,-0.40541,NA()),NA()),IF(BA$38="B",NA(),IF(BA$38="C",NA(),NA())))</f>
        <v>0</v>
      </c>
      <c r="BB76" s="68">
        <f>IF(BB$38="A",IF(ISNUMBER(INDEX($D$53:$AD$53,BB$37)),IF(ROUND(INDEX($D$53:$AD$53,BB$37)/1000,1)&gt;0,-0.40541,NA()),NA()),IF(BB$38="B",NA(),IF(BB$38="C",NA(),NA())))</f>
        <v>0</v>
      </c>
      <c r="BC76" s="68">
        <f>IF(BC$38="A",IF(ISNUMBER(INDEX($D$53:$AD$53,BC$37)),IF(ROUND(INDEX($D$53:$AD$53,BC$37)/1000,1)&gt;0,-0.40541,NA()),NA()),IF(BC$38="B",NA(),IF(BC$38="C",NA(),NA())))</f>
        <v>0</v>
      </c>
      <c r="BD76" s="68">
        <f>IF(BD$38="A",IF(ISNUMBER(INDEX($D$53:$AD$53,BD$37)),IF(ROUND(INDEX($D$53:$AD$53,BD$37)/1000,1)&gt;0,-0.40541,NA()),NA()),IF(BD$38="B",NA(),IF(BD$38="C",NA(),NA())))</f>
        <v>0</v>
      </c>
      <c r="BE76" s="68">
        <f>IF(BE$38="A",IF(ISNUMBER(INDEX($D$53:$AD$53,BE$37)),IF(ROUND(INDEX($D$53:$AD$53,BE$37)/1000,1)&gt;0,-0.40541,NA()),NA()),IF(BE$38="B",NA(),IF(BE$38="C",NA(),NA())))</f>
        <v>0</v>
      </c>
      <c r="BF76" s="68">
        <f>IF(BF$38="A",IF(ISNUMBER(INDEX($D$53:$AD$53,BF$37)),IF(ROUND(INDEX($D$53:$AD$53,BF$37)/1000,1)&gt;0,-0.40541,NA()),NA()),IF(BF$38="B",NA(),IF(BF$38="C",NA(),NA())))</f>
        <v>0</v>
      </c>
      <c r="BG76" s="68">
        <f>IF(BG$38="A",IF(ISNUMBER(INDEX($D$53:$AD$53,BG$37)),IF(ROUND(INDEX($D$53:$AD$53,BG$37)/1000,1)&gt;0,-0.40541,NA()),NA()),IF(BG$38="B",NA(),IF(BG$38="C",NA(),NA())))</f>
        <v>0</v>
      </c>
      <c r="BH76" s="68">
        <f>IF(BH$38="A",IF(ISNUMBER(INDEX($D$53:$AD$53,BH$37)),IF(ROUND(INDEX($D$53:$AD$53,BH$37)/1000,1)&gt;0,-0.40541,NA()),NA()),IF(BH$38="B",NA(),IF(BH$38="C",NA(),NA())))</f>
        <v>0</v>
      </c>
      <c r="BI76" s="68">
        <f>IF(BI$38="A",IF(ISNUMBER(INDEX($D$53:$AD$53,BI$37)),IF(ROUND(INDEX($D$53:$AD$53,BI$37)/1000,1)&gt;0,-0.40541,NA()),NA()),IF(BI$38="B",NA(),IF(BI$38="C",NA(),NA())))</f>
        <v>0</v>
      </c>
      <c r="BJ76" s="68">
        <f>IF(BJ$38="A",IF(ISNUMBER(INDEX($D$53:$AD$53,BJ$37)),IF(ROUND(INDEX($D$53:$AD$53,BJ$37)/1000,1)&gt;0,-0.40541,NA()),NA()),IF(BJ$38="B",NA(),IF(BJ$38="C",NA(),NA())))</f>
        <v>0</v>
      </c>
      <c r="BK76" s="68">
        <f>IF(BK$38="A",IF(ISNUMBER(INDEX($D$53:$AD$53,BK$37)),IF(ROUND(INDEX($D$53:$AD$53,BK$37)/1000,1)&gt;0,-0.40541,NA()),NA()),IF(BK$38="B",NA(),IF(BK$38="C",NA(),NA())))</f>
        <v>0</v>
      </c>
      <c r="BL76" s="68">
        <f>IF(BL$38="A",IF(ISNUMBER(INDEX($D$53:$AD$53,BL$37)),IF(ROUND(INDEX($D$53:$AD$53,BL$37)/1000,1)&gt;0,-0.40541,NA()),NA()),IF(BL$38="B",NA(),IF(BL$38="C",NA(),NA())))</f>
        <v>0</v>
      </c>
      <c r="BM76" s="68">
        <f>IF(BM$38="A",IF(ISNUMBER(INDEX($D$53:$AD$53,BM$37)),IF(ROUND(INDEX($D$53:$AD$53,BM$37)/1000,1)&gt;0,-0.40541,NA()),NA()),IF(BM$38="B",NA(),IF(BM$38="C",NA(),NA())))</f>
        <v>0</v>
      </c>
      <c r="BN76" s="68">
        <f>IF(BN$38="A",IF(ISNUMBER(INDEX($D$53:$AD$53,BN$37)),IF(ROUND(INDEX($D$53:$AD$53,BN$37)/1000,1)&gt;0,-0.40541,NA()),NA()),IF(BN$38="B",NA(),IF(BN$38="C",NA(),NA())))</f>
        <v>0</v>
      </c>
      <c r="BO76" s="68">
        <f>IF(BO$38="A",IF(ISNUMBER(INDEX($D$53:$AD$53,BO$37)),IF(ROUND(INDEX($D$53:$AD$53,BO$37)/1000,1)&gt;0,-0.40541,NA()),NA()),IF(BO$38="B",NA(),IF(BO$38="C",NA(),NA())))</f>
        <v>0</v>
      </c>
      <c r="BP76" s="68">
        <f>IF(BP$38="A",IF(ISNUMBER(INDEX($D$53:$AD$53,BP$37)),IF(ROUND(INDEX($D$53:$AD$53,BP$37)/1000,1)&gt;0,-0.40541,NA()),NA()),IF(BP$38="B",NA(),IF(BP$38="C",NA(),NA())))</f>
        <v>0</v>
      </c>
      <c r="BQ76" s="68">
        <f>IF(BQ$38="A",IF(ISNUMBER(INDEX($D$53:$AD$53,BQ$37)),IF(ROUND(INDEX($D$53:$AD$53,BQ$37)/1000,1)&gt;0,-0.40541,NA()),NA()),IF(BQ$38="B",NA(),IF(BQ$38="C",NA(),NA())))</f>
        <v>0</v>
      </c>
      <c r="BR76" s="68">
        <f>IF(BR$38="A",IF(ISNUMBER(INDEX($D$53:$AD$53,BR$37)),IF(ROUND(INDEX($D$53:$AD$53,BR$37)/1000,1)&gt;0,-0.40541,NA()),NA()),IF(BR$38="B",NA(),IF(BR$38="C",NA(),NA())))</f>
        <v>0</v>
      </c>
      <c r="BS76" s="68">
        <f>IF(BS$38="A",IF(ISNUMBER(INDEX($D$53:$AD$53,BS$37)),IF(ROUND(INDEX($D$53:$AD$53,BS$37)/1000,1)&gt;0,-0.40541,NA()),NA()),IF(BS$38="B",NA(),IF(BS$38="C",NA(),NA())))</f>
        <v>0</v>
      </c>
      <c r="BT76" s="68">
        <f>IF(BT$38="A",IF(ISNUMBER(INDEX($D$53:$AD$53,BT$37)),IF(ROUND(INDEX($D$53:$AD$53,BT$37)/1000,1)&gt;0,-0.40541,NA()),NA()),IF(BT$38="B",NA(),IF(BT$38="C",NA(),NA())))</f>
        <v>0</v>
      </c>
    </row>
    <row r="77" spans="1:72">
      <c r="A77" s="11" t="s">
        <v>685</v>
      </c>
      <c r="B77" s="11" t="s">
        <v>686</v>
      </c>
      <c r="C77" s="67" t="s">
        <v>610</v>
      </c>
      <c r="AQ77" s="68">
        <f>IF(AQ$38="A",IF(ISNUMBER(INDEX($D$53:$AD$53,AQ$37)),IF(ROUND(INDEX($D$53:$AD$53,AQ$37)/1000,1)&lt;0,-0.40541,NA()),NA()),IF(AQ$38="B",NA(),IF(AQ$38="C",NA(),NA())))</f>
        <v>0</v>
      </c>
      <c r="AR77" s="68">
        <f>IF(AR$38="A",IF(ISNUMBER(INDEX($D$53:$AD$53,AR$37)),IF(ROUND(INDEX($D$53:$AD$53,AR$37)/1000,1)&lt;0,-0.40541,NA()),NA()),IF(AR$38="B",NA(),IF(AR$38="C",NA(),NA())))</f>
        <v>0</v>
      </c>
      <c r="AS77" s="68">
        <f>IF(AS$38="A",IF(ISNUMBER(INDEX($D$53:$AD$53,AS$37)),IF(ROUND(INDEX($D$53:$AD$53,AS$37)/1000,1)&lt;0,-0.40541,NA()),NA()),IF(AS$38="B",NA(),IF(AS$38="C",NA(),NA())))</f>
        <v>0</v>
      </c>
      <c r="AT77" s="68">
        <f>IF(AT$38="A",IF(ISNUMBER(INDEX($D$53:$AD$53,AT$37)),IF(ROUND(INDEX($D$53:$AD$53,AT$37)/1000,1)&lt;0,-0.40541,NA()),NA()),IF(AT$38="B",NA(),IF(AT$38="C",NA(),NA())))</f>
        <v>0</v>
      </c>
      <c r="AU77" s="68">
        <f>IF(AU$38="A",IF(ISNUMBER(INDEX($D$53:$AD$53,AU$37)),IF(ROUND(INDEX($D$53:$AD$53,AU$37)/1000,1)&lt;0,-0.40541,NA()),NA()),IF(AU$38="B",NA(),IF(AU$38="C",NA(),NA())))</f>
        <v>0</v>
      </c>
      <c r="AV77" s="68">
        <f>IF(AV$38="A",IF(ISNUMBER(INDEX($D$53:$AD$53,AV$37)),IF(ROUND(INDEX($D$53:$AD$53,AV$37)/1000,1)&lt;0,-0.40541,NA()),NA()),IF(AV$38="B",NA(),IF(AV$38="C",NA(),NA())))</f>
        <v>0</v>
      </c>
      <c r="AW77" s="68">
        <f>IF(AW$38="A",IF(ISNUMBER(INDEX($D$53:$AD$53,AW$37)),IF(ROUND(INDEX($D$53:$AD$53,AW$37)/1000,1)&lt;0,-0.40541,NA()),NA()),IF(AW$38="B",NA(),IF(AW$38="C",NA(),NA())))</f>
        <v>0</v>
      </c>
      <c r="AX77" s="68">
        <f>IF(AX$38="A",IF(ISNUMBER(INDEX($D$53:$AD$53,AX$37)),IF(ROUND(INDEX($D$53:$AD$53,AX$37)/1000,1)&lt;0,-0.40541,NA()),NA()),IF(AX$38="B",NA(),IF(AX$38="C",NA(),NA())))</f>
        <v>0</v>
      </c>
      <c r="AY77" s="68">
        <f>IF(AY$38="A",IF(ISNUMBER(INDEX($D$53:$AD$53,AY$37)),IF(ROUND(INDEX($D$53:$AD$53,AY$37)/1000,1)&lt;0,-0.40541,NA()),NA()),IF(AY$38="B",NA(),IF(AY$38="C",NA(),NA())))</f>
        <v>0</v>
      </c>
      <c r="AZ77" s="68">
        <f>IF(AZ$38="A",IF(ISNUMBER(INDEX($D$53:$AD$53,AZ$37)),IF(ROUND(INDEX($D$53:$AD$53,AZ$37)/1000,1)&lt;0,-0.40541,NA()),NA()),IF(AZ$38="B",NA(),IF(AZ$38="C",NA(),NA())))</f>
        <v>0</v>
      </c>
      <c r="BA77" s="68">
        <f>IF(BA$38="A",IF(ISNUMBER(INDEX($D$53:$AD$53,BA$37)),IF(ROUND(INDEX($D$53:$AD$53,BA$37)/1000,1)&lt;0,-0.40541,NA()),NA()),IF(BA$38="B",NA(),IF(BA$38="C",NA(),NA())))</f>
        <v>0</v>
      </c>
      <c r="BB77" s="68">
        <f>IF(BB$38="A",IF(ISNUMBER(INDEX($D$53:$AD$53,BB$37)),IF(ROUND(INDEX($D$53:$AD$53,BB$37)/1000,1)&lt;0,-0.40541,NA()),NA()),IF(BB$38="B",NA(),IF(BB$38="C",NA(),NA())))</f>
        <v>0</v>
      </c>
      <c r="BC77" s="68">
        <f>IF(BC$38="A",IF(ISNUMBER(INDEX($D$53:$AD$53,BC$37)),IF(ROUND(INDEX($D$53:$AD$53,BC$37)/1000,1)&lt;0,-0.40541,NA()),NA()),IF(BC$38="B",NA(),IF(BC$38="C",NA(),NA())))</f>
        <v>0</v>
      </c>
      <c r="BD77" s="68">
        <f>IF(BD$38="A",IF(ISNUMBER(INDEX($D$53:$AD$53,BD$37)),IF(ROUND(INDEX($D$53:$AD$53,BD$37)/1000,1)&lt;0,-0.40541,NA()),NA()),IF(BD$38="B",NA(),IF(BD$38="C",NA(),NA())))</f>
        <v>0</v>
      </c>
      <c r="BE77" s="68">
        <f>IF(BE$38="A",IF(ISNUMBER(INDEX($D$53:$AD$53,BE$37)),IF(ROUND(INDEX($D$53:$AD$53,BE$37)/1000,1)&lt;0,-0.40541,NA()),NA()),IF(BE$38="B",NA(),IF(BE$38="C",NA(),NA())))</f>
        <v>0</v>
      </c>
      <c r="BF77" s="68">
        <f>IF(BF$38="A",IF(ISNUMBER(INDEX($D$53:$AD$53,BF$37)),IF(ROUND(INDEX($D$53:$AD$53,BF$37)/1000,1)&lt;0,-0.40541,NA()),NA()),IF(BF$38="B",NA(),IF(BF$38="C",NA(),NA())))</f>
        <v>0</v>
      </c>
      <c r="BG77" s="68">
        <f>IF(BG$38="A",IF(ISNUMBER(INDEX($D$53:$AD$53,BG$37)),IF(ROUND(INDEX($D$53:$AD$53,BG$37)/1000,1)&lt;0,-0.40541,NA()),NA()),IF(BG$38="B",NA(),IF(BG$38="C",NA(),NA())))</f>
        <v>0</v>
      </c>
      <c r="BH77" s="68">
        <f>IF(BH$38="A",IF(ISNUMBER(INDEX($D$53:$AD$53,BH$37)),IF(ROUND(INDEX($D$53:$AD$53,BH$37)/1000,1)&lt;0,-0.40541,NA()),NA()),IF(BH$38="B",NA(),IF(BH$38="C",NA(),NA())))</f>
        <v>0</v>
      </c>
      <c r="BI77" s="68">
        <f>IF(BI$38="A",IF(ISNUMBER(INDEX($D$53:$AD$53,BI$37)),IF(ROUND(INDEX($D$53:$AD$53,BI$37)/1000,1)&lt;0,-0.40541,NA()),NA()),IF(BI$38="B",NA(),IF(BI$38="C",NA(),NA())))</f>
        <v>0</v>
      </c>
      <c r="BJ77" s="68">
        <f>IF(BJ$38="A",IF(ISNUMBER(INDEX($D$53:$AD$53,BJ$37)),IF(ROUND(INDEX($D$53:$AD$53,BJ$37)/1000,1)&lt;0,-0.40541,NA()),NA()),IF(BJ$38="B",NA(),IF(BJ$38="C",NA(),NA())))</f>
        <v>0</v>
      </c>
      <c r="BK77" s="68">
        <f>IF(BK$38="A",IF(ISNUMBER(INDEX($D$53:$AD$53,BK$37)),IF(ROUND(INDEX($D$53:$AD$53,BK$37)/1000,1)&lt;0,-0.40541,NA()),NA()),IF(BK$38="B",NA(),IF(BK$38="C",NA(),NA())))</f>
        <v>0</v>
      </c>
      <c r="BL77" s="68">
        <f>IF(BL$38="A",IF(ISNUMBER(INDEX($D$53:$AD$53,BL$37)),IF(ROUND(INDEX($D$53:$AD$53,BL$37)/1000,1)&lt;0,-0.40541,NA()),NA()),IF(BL$38="B",NA(),IF(BL$38="C",NA(),NA())))</f>
        <v>0</v>
      </c>
      <c r="BM77" s="68">
        <f>IF(BM$38="A",IF(ISNUMBER(INDEX($D$53:$AD$53,BM$37)),IF(ROUND(INDEX($D$53:$AD$53,BM$37)/1000,1)&lt;0,-0.40541,NA()),NA()),IF(BM$38="B",NA(),IF(BM$38="C",NA(),NA())))</f>
        <v>0</v>
      </c>
      <c r="BN77" s="68">
        <f>IF(BN$38="A",IF(ISNUMBER(INDEX($D$53:$AD$53,BN$37)),IF(ROUND(INDEX($D$53:$AD$53,BN$37)/1000,1)&lt;0,-0.40541,NA()),NA()),IF(BN$38="B",NA(),IF(BN$38="C",NA(),NA())))</f>
        <v>0</v>
      </c>
      <c r="BO77" s="68">
        <f>IF(BO$38="A",IF(ISNUMBER(INDEX($D$53:$AD$53,BO$37)),IF(ROUND(INDEX($D$53:$AD$53,BO$37)/1000,1)&lt;0,-0.40541,NA()),NA()),IF(BO$38="B",NA(),IF(BO$38="C",NA(),NA())))</f>
        <v>0</v>
      </c>
      <c r="BP77" s="68">
        <f>IF(BP$38="A",IF(ISNUMBER(INDEX($D$53:$AD$53,BP$37)),IF(ROUND(INDEX($D$53:$AD$53,BP$37)/1000,1)&lt;0,-0.40541,NA()),NA()),IF(BP$38="B",NA(),IF(BP$38="C",NA(),NA())))</f>
        <v>0</v>
      </c>
      <c r="BQ77" s="68">
        <f>IF(BQ$38="A",IF(ISNUMBER(INDEX($D$53:$AD$53,BQ$37)),IF(ROUND(INDEX($D$53:$AD$53,BQ$37)/1000,1)&lt;0,-0.40541,NA()),NA()),IF(BQ$38="B",NA(),IF(BQ$38="C",NA(),NA())))</f>
        <v>0</v>
      </c>
      <c r="BR77" s="68">
        <f>IF(BR$38="A",IF(ISNUMBER(INDEX($D$53:$AD$53,BR$37)),IF(ROUND(INDEX($D$53:$AD$53,BR$37)/1000,1)&lt;0,-0.40541,NA()),NA()),IF(BR$38="B",NA(),IF(BR$38="C",NA(),NA())))</f>
        <v>0</v>
      </c>
      <c r="BS77" s="68">
        <f>IF(BS$38="A",IF(ISNUMBER(INDEX($D$53:$AD$53,BS$37)),IF(ROUND(INDEX($D$53:$AD$53,BS$37)/1000,1)&lt;0,-0.40541,NA()),NA()),IF(BS$38="B",NA(),IF(BS$38="C",NA(),NA())))</f>
        <v>0</v>
      </c>
      <c r="BT77" s="68">
        <f>IF(BT$38="A",IF(ISNUMBER(INDEX($D$53:$AD$53,BT$37)),IF(ROUND(INDEX($D$53:$AD$53,BT$37)/1000,1)&lt;0,-0.40541,NA()),NA()),IF(BT$38="B",NA(),IF(BT$38="C",NA(),NA())))</f>
        <v>0</v>
      </c>
    </row>
    <row r="78" spans="1:72">
      <c r="A78" s="11" t="s">
        <v>687</v>
      </c>
      <c r="B78" s="11" t="s">
        <v>688</v>
      </c>
      <c r="C78" s="67" t="s">
        <v>610</v>
      </c>
      <c r="AQ78" s="68">
        <f>IF(AQ$38="A",IF(ISNUMBER(INDEX($D$53:$AD$53,AQ$37)),IF(ROUND(INDEX($D$53:$AD$53,AQ$37)/1000,1)=0,-0.40541,NA()),NA()),IF(AQ$38="B",NA(),IF(AQ$38="C",NA(),NA())))</f>
        <v>0</v>
      </c>
      <c r="AR78" s="68">
        <f>IF(AR$38="A",IF(ISNUMBER(INDEX($D$53:$AD$53,AR$37)),IF(ROUND(INDEX($D$53:$AD$53,AR$37)/1000,1)=0,-0.40541,NA()),NA()),IF(AR$38="B",NA(),IF(AR$38="C",NA(),NA())))</f>
        <v>0</v>
      </c>
      <c r="AS78" s="68">
        <f>IF(AS$38="A",IF(ISNUMBER(INDEX($D$53:$AD$53,AS$37)),IF(ROUND(INDEX($D$53:$AD$53,AS$37)/1000,1)=0,-0.40541,NA()),NA()),IF(AS$38="B",NA(),IF(AS$38="C",NA(),NA())))</f>
        <v>0</v>
      </c>
      <c r="AT78" s="68">
        <f>IF(AT$38="A",IF(ISNUMBER(INDEX($D$53:$AD$53,AT$37)),IF(ROUND(INDEX($D$53:$AD$53,AT$37)/1000,1)=0,-0.40541,NA()),NA()),IF(AT$38="B",NA(),IF(AT$38="C",NA(),NA())))</f>
        <v>0</v>
      </c>
      <c r="AU78" s="68">
        <f>IF(AU$38="A",IF(ISNUMBER(INDEX($D$53:$AD$53,AU$37)),IF(ROUND(INDEX($D$53:$AD$53,AU$37)/1000,1)=0,-0.40541,NA()),NA()),IF(AU$38="B",NA(),IF(AU$38="C",NA(),NA())))</f>
        <v>0</v>
      </c>
      <c r="AV78" s="68">
        <f>IF(AV$38="A",IF(ISNUMBER(INDEX($D$53:$AD$53,AV$37)),IF(ROUND(INDEX($D$53:$AD$53,AV$37)/1000,1)=0,-0.40541,NA()),NA()),IF(AV$38="B",NA(),IF(AV$38="C",NA(),NA())))</f>
        <v>0</v>
      </c>
      <c r="AW78" s="68">
        <f>IF(AW$38="A",IF(ISNUMBER(INDEX($D$53:$AD$53,AW$37)),IF(ROUND(INDEX($D$53:$AD$53,AW$37)/1000,1)=0,-0.40541,NA()),NA()),IF(AW$38="B",NA(),IF(AW$38="C",NA(),NA())))</f>
        <v>0</v>
      </c>
      <c r="AX78" s="68">
        <f>IF(AX$38="A",IF(ISNUMBER(INDEX($D$53:$AD$53,AX$37)),IF(ROUND(INDEX($D$53:$AD$53,AX$37)/1000,1)=0,-0.40541,NA()),NA()),IF(AX$38="B",NA(),IF(AX$38="C",NA(),NA())))</f>
        <v>0</v>
      </c>
      <c r="AY78" s="68">
        <f>IF(AY$38="A",IF(ISNUMBER(INDEX($D$53:$AD$53,AY$37)),IF(ROUND(INDEX($D$53:$AD$53,AY$37)/1000,1)=0,-0.40541,NA()),NA()),IF(AY$38="B",NA(),IF(AY$38="C",NA(),NA())))</f>
        <v>0</v>
      </c>
      <c r="AZ78" s="68">
        <f>IF(AZ$38="A",IF(ISNUMBER(INDEX($D$53:$AD$53,AZ$37)),IF(ROUND(INDEX($D$53:$AD$53,AZ$37)/1000,1)=0,-0.40541,NA()),NA()),IF(AZ$38="B",NA(),IF(AZ$38="C",NA(),NA())))</f>
        <v>0</v>
      </c>
      <c r="BA78" s="68">
        <f>IF(BA$38="A",IF(ISNUMBER(INDEX($D$53:$AD$53,BA$37)),IF(ROUND(INDEX($D$53:$AD$53,BA$37)/1000,1)=0,-0.40541,NA()),NA()),IF(BA$38="B",NA(),IF(BA$38="C",NA(),NA())))</f>
        <v>0</v>
      </c>
      <c r="BB78" s="68">
        <f>IF(BB$38="A",IF(ISNUMBER(INDEX($D$53:$AD$53,BB$37)),IF(ROUND(INDEX($D$53:$AD$53,BB$37)/1000,1)=0,-0.40541,NA()),NA()),IF(BB$38="B",NA(),IF(BB$38="C",NA(),NA())))</f>
        <v>0</v>
      </c>
      <c r="BC78" s="68">
        <f>IF(BC$38="A",IF(ISNUMBER(INDEX($D$53:$AD$53,BC$37)),IF(ROUND(INDEX($D$53:$AD$53,BC$37)/1000,1)=0,-0.40541,NA()),NA()),IF(BC$38="B",NA(),IF(BC$38="C",NA(),NA())))</f>
        <v>0</v>
      </c>
      <c r="BD78" s="68">
        <f>IF(BD$38="A",IF(ISNUMBER(INDEX($D$53:$AD$53,BD$37)),IF(ROUND(INDEX($D$53:$AD$53,BD$37)/1000,1)=0,-0.40541,NA()),NA()),IF(BD$38="B",NA(),IF(BD$38="C",NA(),NA())))</f>
        <v>0</v>
      </c>
      <c r="BE78" s="68">
        <f>IF(BE$38="A",IF(ISNUMBER(INDEX($D$53:$AD$53,BE$37)),IF(ROUND(INDEX($D$53:$AD$53,BE$37)/1000,1)=0,-0.40541,NA()),NA()),IF(BE$38="B",NA(),IF(BE$38="C",NA(),NA())))</f>
        <v>0</v>
      </c>
      <c r="BF78" s="68">
        <f>IF(BF$38="A",IF(ISNUMBER(INDEX($D$53:$AD$53,BF$37)),IF(ROUND(INDEX($D$53:$AD$53,BF$37)/1000,1)=0,-0.40541,NA()),NA()),IF(BF$38="B",NA(),IF(BF$38="C",NA(),NA())))</f>
        <v>0</v>
      </c>
      <c r="BG78" s="68">
        <f>IF(BG$38="A",IF(ISNUMBER(INDEX($D$53:$AD$53,BG$37)),IF(ROUND(INDEX($D$53:$AD$53,BG$37)/1000,1)=0,-0.40541,NA()),NA()),IF(BG$38="B",NA(),IF(BG$38="C",NA(),NA())))</f>
        <v>0</v>
      </c>
      <c r="BH78" s="68">
        <f>IF(BH$38="A",IF(ISNUMBER(INDEX($D$53:$AD$53,BH$37)),IF(ROUND(INDEX($D$53:$AD$53,BH$37)/1000,1)=0,-0.40541,NA()),NA()),IF(BH$38="B",NA(),IF(BH$38="C",NA(),NA())))</f>
        <v>0</v>
      </c>
      <c r="BI78" s="68">
        <f>IF(BI$38="A",IF(ISNUMBER(INDEX($D$53:$AD$53,BI$37)),IF(ROUND(INDEX($D$53:$AD$53,BI$37)/1000,1)=0,-0.40541,NA()),NA()),IF(BI$38="B",NA(),IF(BI$38="C",NA(),NA())))</f>
        <v>0</v>
      </c>
      <c r="BJ78" s="68">
        <f>IF(BJ$38="A",IF(ISNUMBER(INDEX($D$53:$AD$53,BJ$37)),IF(ROUND(INDEX($D$53:$AD$53,BJ$37)/1000,1)=0,-0.40541,NA()),NA()),IF(BJ$38="B",NA(),IF(BJ$38="C",NA(),NA())))</f>
        <v>0</v>
      </c>
      <c r="BK78" s="68">
        <f>IF(BK$38="A",IF(ISNUMBER(INDEX($D$53:$AD$53,BK$37)),IF(ROUND(INDEX($D$53:$AD$53,BK$37)/1000,1)=0,-0.40541,NA()),NA()),IF(BK$38="B",NA(),IF(BK$38="C",NA(),NA())))</f>
        <v>0</v>
      </c>
      <c r="BL78" s="68">
        <f>IF(BL$38="A",IF(ISNUMBER(INDEX($D$53:$AD$53,BL$37)),IF(ROUND(INDEX($D$53:$AD$53,BL$37)/1000,1)=0,-0.40541,NA()),NA()),IF(BL$38="B",NA(),IF(BL$38="C",NA(),NA())))</f>
        <v>0</v>
      </c>
      <c r="BM78" s="68">
        <f>IF(BM$38="A",IF(ISNUMBER(INDEX($D$53:$AD$53,BM$37)),IF(ROUND(INDEX($D$53:$AD$53,BM$37)/1000,1)=0,-0.40541,NA()),NA()),IF(BM$38="B",NA(),IF(BM$38="C",NA(),NA())))</f>
        <v>0</v>
      </c>
      <c r="BN78" s="68">
        <f>IF(BN$38="A",IF(ISNUMBER(INDEX($D$53:$AD$53,BN$37)),IF(ROUND(INDEX($D$53:$AD$53,BN$37)/1000,1)=0,-0.40541,NA()),NA()),IF(BN$38="B",NA(),IF(BN$38="C",NA(),NA())))</f>
        <v>0</v>
      </c>
      <c r="BO78" s="68">
        <f>IF(BO$38="A",IF(ISNUMBER(INDEX($D$53:$AD$53,BO$37)),IF(ROUND(INDEX($D$53:$AD$53,BO$37)/1000,1)=0,-0.40541,NA()),NA()),IF(BO$38="B",NA(),IF(BO$38="C",NA(),NA())))</f>
        <v>0</v>
      </c>
      <c r="BP78" s="68">
        <f>IF(BP$38="A",IF(ISNUMBER(INDEX($D$53:$AD$53,BP$37)),IF(ROUND(INDEX($D$53:$AD$53,BP$37)/1000,1)=0,-0.40541,NA()),NA()),IF(BP$38="B",NA(),IF(BP$38="C",NA(),NA())))</f>
        <v>0</v>
      </c>
      <c r="BQ78" s="68">
        <f>IF(BQ$38="A",IF(ISNUMBER(INDEX($D$53:$AD$53,BQ$37)),IF(ROUND(INDEX($D$53:$AD$53,BQ$37)/1000,1)=0,-0.40541,NA()),NA()),IF(BQ$38="B",NA(),IF(BQ$38="C",NA(),NA())))</f>
        <v>0</v>
      </c>
      <c r="BR78" s="68">
        <f>IF(BR$38="A",IF(ISNUMBER(INDEX($D$53:$AD$53,BR$37)),IF(ROUND(INDEX($D$53:$AD$53,BR$37)/1000,1)=0,-0.40541,NA()),NA()),IF(BR$38="B",NA(),IF(BR$38="C",NA(),NA())))</f>
        <v>0</v>
      </c>
      <c r="BS78" s="68">
        <f>IF(BS$38="A",IF(ISNUMBER(INDEX($D$53:$AD$53,BS$37)),IF(ROUND(INDEX($D$53:$AD$53,BS$37)/1000,1)=0,-0.40541,NA()),NA()),IF(BS$38="B",NA(),IF(BS$38="C",NA(),NA())))</f>
        <v>0</v>
      </c>
      <c r="BT78" s="68">
        <f>IF(BT$38="A",IF(ISNUMBER(INDEX($D$53:$AD$53,BT$37)),IF(ROUND(INDEX($D$53:$AD$53,BT$37)/1000,1)=0,-0.40541,NA()),NA()),IF(BT$38="B",NA(),IF(BT$38="C",NA(),NA())))</f>
        <v>0</v>
      </c>
    </row>
    <row r="79" spans="1:72">
      <c r="A79" s="11" t="s">
        <v>689</v>
      </c>
      <c r="B79" s="11" t="s">
        <v>690</v>
      </c>
      <c r="C79" s="67" t="s">
        <v>610</v>
      </c>
      <c r="AQ79" s="11">
        <f>IF(AQ$38="A",IF(ISNUMBER(INDEX($D$53:$AD$53,AQ$37)),IF(ROUND(INDEX($D$53:$AD$53,AQ$37)/1000,1)&gt;0,"+"&amp;FIXED(ROUND(INDEX($D$53:$AD$53,AQ$37)/1000,1),1),IF(ROUND(INDEX($D$53:$AD$53,AQ$37)/1000,1)&lt;0,"−"&amp;FIXED(-ROUND(INDEX($D$53:$AD$53,AQ$37)/1000,1),1),"±0")),""),IF(AQ$38="B","",IF(AQ$38="C","","")))</f>
        <v>0</v>
      </c>
      <c r="AR79" s="11">
        <f>IF(AR$38="A",IF(ISNUMBER(INDEX($D$53:$AD$53,AR$37)),IF(ROUND(INDEX($D$53:$AD$53,AR$37)/1000,1)&gt;0,"+"&amp;FIXED(ROUND(INDEX($D$53:$AD$53,AR$37)/1000,1),1),IF(ROUND(INDEX($D$53:$AD$53,AR$37)/1000,1)&lt;0,"−"&amp;FIXED(-ROUND(INDEX($D$53:$AD$53,AR$37)/1000,1),1),"±0")),""),IF(AR$38="B","",IF(AR$38="C","","")))</f>
        <v>0</v>
      </c>
      <c r="AS79" s="11">
        <f>IF(AS$38="A",IF(ISNUMBER(INDEX($D$53:$AD$53,AS$37)),IF(ROUND(INDEX($D$53:$AD$53,AS$37)/1000,1)&gt;0,"+"&amp;FIXED(ROUND(INDEX($D$53:$AD$53,AS$37)/1000,1),1),IF(ROUND(INDEX($D$53:$AD$53,AS$37)/1000,1)&lt;0,"−"&amp;FIXED(-ROUND(INDEX($D$53:$AD$53,AS$37)/1000,1),1),"±0")),""),IF(AS$38="B","",IF(AS$38="C","","")))</f>
        <v>0</v>
      </c>
      <c r="AT79" s="11">
        <f>IF(AT$38="A",IF(ISNUMBER(INDEX($D$53:$AD$53,AT$37)),IF(ROUND(INDEX($D$53:$AD$53,AT$37)/1000,1)&gt;0,"+"&amp;FIXED(ROUND(INDEX($D$53:$AD$53,AT$37)/1000,1),1),IF(ROUND(INDEX($D$53:$AD$53,AT$37)/1000,1)&lt;0,"−"&amp;FIXED(-ROUND(INDEX($D$53:$AD$53,AT$37)/1000,1),1),"±0")),""),IF(AT$38="B","",IF(AT$38="C","","")))</f>
        <v>0</v>
      </c>
      <c r="AU79" s="11">
        <f>IF(AU$38="A",IF(ISNUMBER(INDEX($D$53:$AD$53,AU$37)),IF(ROUND(INDEX($D$53:$AD$53,AU$37)/1000,1)&gt;0,"+"&amp;FIXED(ROUND(INDEX($D$53:$AD$53,AU$37)/1000,1),1),IF(ROUND(INDEX($D$53:$AD$53,AU$37)/1000,1)&lt;0,"−"&amp;FIXED(-ROUND(INDEX($D$53:$AD$53,AU$37)/1000,1),1),"±0")),""),IF(AU$38="B","",IF(AU$38="C","","")))</f>
        <v>0</v>
      </c>
      <c r="AV79" s="11">
        <f>IF(AV$38="A",IF(ISNUMBER(INDEX($D$53:$AD$53,AV$37)),IF(ROUND(INDEX($D$53:$AD$53,AV$37)/1000,1)&gt;0,"+"&amp;FIXED(ROUND(INDEX($D$53:$AD$53,AV$37)/1000,1),1),IF(ROUND(INDEX($D$53:$AD$53,AV$37)/1000,1)&lt;0,"−"&amp;FIXED(-ROUND(INDEX($D$53:$AD$53,AV$37)/1000,1),1),"±0")),""),IF(AV$38="B","",IF(AV$38="C","","")))</f>
        <v>0</v>
      </c>
      <c r="AW79" s="11">
        <f>IF(AW$38="A",IF(ISNUMBER(INDEX($D$53:$AD$53,AW$37)),IF(ROUND(INDEX($D$53:$AD$53,AW$37)/1000,1)&gt;0,"+"&amp;FIXED(ROUND(INDEX($D$53:$AD$53,AW$37)/1000,1),1),IF(ROUND(INDEX($D$53:$AD$53,AW$37)/1000,1)&lt;0,"−"&amp;FIXED(-ROUND(INDEX($D$53:$AD$53,AW$37)/1000,1),1),"±0")),""),IF(AW$38="B","",IF(AW$38="C","","")))</f>
        <v>0</v>
      </c>
      <c r="AX79" s="11">
        <f>IF(AX$38="A",IF(ISNUMBER(INDEX($D$53:$AD$53,AX$37)),IF(ROUND(INDEX($D$53:$AD$53,AX$37)/1000,1)&gt;0,"+"&amp;FIXED(ROUND(INDEX($D$53:$AD$53,AX$37)/1000,1),1),IF(ROUND(INDEX($D$53:$AD$53,AX$37)/1000,1)&lt;0,"−"&amp;FIXED(-ROUND(INDEX($D$53:$AD$53,AX$37)/1000,1),1),"±0")),""),IF(AX$38="B","",IF(AX$38="C","","")))</f>
        <v>0</v>
      </c>
      <c r="AY79" s="11">
        <f>IF(AY$38="A",IF(ISNUMBER(INDEX($D$53:$AD$53,AY$37)),IF(ROUND(INDEX($D$53:$AD$53,AY$37)/1000,1)&gt;0,"+"&amp;FIXED(ROUND(INDEX($D$53:$AD$53,AY$37)/1000,1),1),IF(ROUND(INDEX($D$53:$AD$53,AY$37)/1000,1)&lt;0,"−"&amp;FIXED(-ROUND(INDEX($D$53:$AD$53,AY$37)/1000,1),1),"±0")),""),IF(AY$38="B","",IF(AY$38="C","","")))</f>
        <v>0</v>
      </c>
      <c r="AZ79" s="11">
        <f>IF(AZ$38="A",IF(ISNUMBER(INDEX($D$53:$AD$53,AZ$37)),IF(ROUND(INDEX($D$53:$AD$53,AZ$37)/1000,1)&gt;0,"+"&amp;FIXED(ROUND(INDEX($D$53:$AD$53,AZ$37)/1000,1),1),IF(ROUND(INDEX($D$53:$AD$53,AZ$37)/1000,1)&lt;0,"−"&amp;FIXED(-ROUND(INDEX($D$53:$AD$53,AZ$37)/1000,1),1),"±0")),""),IF(AZ$38="B","",IF(AZ$38="C","","")))</f>
        <v>0</v>
      </c>
      <c r="BA79" s="11">
        <f>IF(BA$38="A",IF(ISNUMBER(INDEX($D$53:$AD$53,BA$37)),IF(ROUND(INDEX($D$53:$AD$53,BA$37)/1000,1)&gt;0,"+"&amp;FIXED(ROUND(INDEX($D$53:$AD$53,BA$37)/1000,1),1),IF(ROUND(INDEX($D$53:$AD$53,BA$37)/1000,1)&lt;0,"−"&amp;FIXED(-ROUND(INDEX($D$53:$AD$53,BA$37)/1000,1),1),"±0")),""),IF(BA$38="B","",IF(BA$38="C","","")))</f>
        <v>0</v>
      </c>
      <c r="BB79" s="11">
        <f>IF(BB$38="A",IF(ISNUMBER(INDEX($D$53:$AD$53,BB$37)),IF(ROUND(INDEX($D$53:$AD$53,BB$37)/1000,1)&gt;0,"+"&amp;FIXED(ROUND(INDEX($D$53:$AD$53,BB$37)/1000,1),1),IF(ROUND(INDEX($D$53:$AD$53,BB$37)/1000,1)&lt;0,"−"&amp;FIXED(-ROUND(INDEX($D$53:$AD$53,BB$37)/1000,1),1),"±0")),""),IF(BB$38="B","",IF(BB$38="C","","")))</f>
        <v>0</v>
      </c>
      <c r="BC79" s="11">
        <f>IF(BC$38="A",IF(ISNUMBER(INDEX($D$53:$AD$53,BC$37)),IF(ROUND(INDEX($D$53:$AD$53,BC$37)/1000,1)&gt;0,"+"&amp;FIXED(ROUND(INDEX($D$53:$AD$53,BC$37)/1000,1),1),IF(ROUND(INDEX($D$53:$AD$53,BC$37)/1000,1)&lt;0,"−"&amp;FIXED(-ROUND(INDEX($D$53:$AD$53,BC$37)/1000,1),1),"±0")),""),IF(BC$38="B","",IF(BC$38="C","","")))</f>
        <v>0</v>
      </c>
      <c r="BD79" s="11">
        <f>IF(BD$38="A",IF(ISNUMBER(INDEX($D$53:$AD$53,BD$37)),IF(ROUND(INDEX($D$53:$AD$53,BD$37)/1000,1)&gt;0,"+"&amp;FIXED(ROUND(INDEX($D$53:$AD$53,BD$37)/1000,1),1),IF(ROUND(INDEX($D$53:$AD$53,BD$37)/1000,1)&lt;0,"−"&amp;FIXED(-ROUND(INDEX($D$53:$AD$53,BD$37)/1000,1),1),"±0")),""),IF(BD$38="B","",IF(BD$38="C","","")))</f>
        <v>0</v>
      </c>
      <c r="BE79" s="11">
        <f>IF(BE$38="A",IF(ISNUMBER(INDEX($D$53:$AD$53,BE$37)),IF(ROUND(INDEX($D$53:$AD$53,BE$37)/1000,1)&gt;0,"+"&amp;FIXED(ROUND(INDEX($D$53:$AD$53,BE$37)/1000,1),1),IF(ROUND(INDEX($D$53:$AD$53,BE$37)/1000,1)&lt;0,"−"&amp;FIXED(-ROUND(INDEX($D$53:$AD$53,BE$37)/1000,1),1),"±0")),""),IF(BE$38="B","",IF(BE$38="C","","")))</f>
        <v>0</v>
      </c>
      <c r="BF79" s="11">
        <f>IF(BF$38="A",IF(ISNUMBER(INDEX($D$53:$AD$53,BF$37)),IF(ROUND(INDEX($D$53:$AD$53,BF$37)/1000,1)&gt;0,"+"&amp;FIXED(ROUND(INDEX($D$53:$AD$53,BF$37)/1000,1),1),IF(ROUND(INDEX($D$53:$AD$53,BF$37)/1000,1)&lt;0,"−"&amp;FIXED(-ROUND(INDEX($D$53:$AD$53,BF$37)/1000,1),1),"±0")),""),IF(BF$38="B","",IF(BF$38="C","","")))</f>
        <v>0</v>
      </c>
      <c r="BG79" s="11">
        <f>IF(BG$38="A",IF(ISNUMBER(INDEX($D$53:$AD$53,BG$37)),IF(ROUND(INDEX($D$53:$AD$53,BG$37)/1000,1)&gt;0,"+"&amp;FIXED(ROUND(INDEX($D$53:$AD$53,BG$37)/1000,1),1),IF(ROUND(INDEX($D$53:$AD$53,BG$37)/1000,1)&lt;0,"−"&amp;FIXED(-ROUND(INDEX($D$53:$AD$53,BG$37)/1000,1),1),"±0")),""),IF(BG$38="B","",IF(BG$38="C","","")))</f>
        <v>0</v>
      </c>
      <c r="BH79" s="11">
        <f>IF(BH$38="A",IF(ISNUMBER(INDEX($D$53:$AD$53,BH$37)),IF(ROUND(INDEX($D$53:$AD$53,BH$37)/1000,1)&gt;0,"+"&amp;FIXED(ROUND(INDEX($D$53:$AD$53,BH$37)/1000,1),1),IF(ROUND(INDEX($D$53:$AD$53,BH$37)/1000,1)&lt;0,"−"&amp;FIXED(-ROUND(INDEX($D$53:$AD$53,BH$37)/1000,1),1),"±0")),""),IF(BH$38="B","",IF(BH$38="C","","")))</f>
        <v>0</v>
      </c>
      <c r="BI79" s="11">
        <f>IF(BI$38="A",IF(ISNUMBER(INDEX($D$53:$AD$53,BI$37)),IF(ROUND(INDEX($D$53:$AD$53,BI$37)/1000,1)&gt;0,"+"&amp;FIXED(ROUND(INDEX($D$53:$AD$53,BI$37)/1000,1),1),IF(ROUND(INDEX($D$53:$AD$53,BI$37)/1000,1)&lt;0,"−"&amp;FIXED(-ROUND(INDEX($D$53:$AD$53,BI$37)/1000,1),1),"±0")),""),IF(BI$38="B","",IF(BI$38="C","","")))</f>
        <v>0</v>
      </c>
      <c r="BJ79" s="11">
        <f>IF(BJ$38="A",IF(ISNUMBER(INDEX($D$53:$AD$53,BJ$37)),IF(ROUND(INDEX($D$53:$AD$53,BJ$37)/1000,1)&gt;0,"+"&amp;FIXED(ROUND(INDEX($D$53:$AD$53,BJ$37)/1000,1),1),IF(ROUND(INDEX($D$53:$AD$53,BJ$37)/1000,1)&lt;0,"−"&amp;FIXED(-ROUND(INDEX($D$53:$AD$53,BJ$37)/1000,1),1),"±0")),""),IF(BJ$38="B","",IF(BJ$38="C","","")))</f>
        <v>0</v>
      </c>
      <c r="BK79" s="11">
        <f>IF(BK$38="A",IF(ISNUMBER(INDEX($D$53:$AD$53,BK$37)),IF(ROUND(INDEX($D$53:$AD$53,BK$37)/1000,1)&gt;0,"+"&amp;FIXED(ROUND(INDEX($D$53:$AD$53,BK$37)/1000,1),1),IF(ROUND(INDEX($D$53:$AD$53,BK$37)/1000,1)&lt;0,"−"&amp;FIXED(-ROUND(INDEX($D$53:$AD$53,BK$37)/1000,1),1),"±0")),""),IF(BK$38="B","",IF(BK$38="C","","")))</f>
        <v>0</v>
      </c>
      <c r="BL79" s="11">
        <f>IF(BL$38="A",IF(ISNUMBER(INDEX($D$53:$AD$53,BL$37)),IF(ROUND(INDEX($D$53:$AD$53,BL$37)/1000,1)&gt;0,"+"&amp;FIXED(ROUND(INDEX($D$53:$AD$53,BL$37)/1000,1),1),IF(ROUND(INDEX($D$53:$AD$53,BL$37)/1000,1)&lt;0,"−"&amp;FIXED(-ROUND(INDEX($D$53:$AD$53,BL$37)/1000,1),1),"±0")),""),IF(BL$38="B","",IF(BL$38="C","","")))</f>
        <v>0</v>
      </c>
      <c r="BM79" s="11">
        <f>IF(BM$38="A",IF(ISNUMBER(INDEX($D$53:$AD$53,BM$37)),IF(ROUND(INDEX($D$53:$AD$53,BM$37)/1000,1)&gt;0,"+"&amp;FIXED(ROUND(INDEX($D$53:$AD$53,BM$37)/1000,1),1),IF(ROUND(INDEX($D$53:$AD$53,BM$37)/1000,1)&lt;0,"−"&amp;FIXED(-ROUND(INDEX($D$53:$AD$53,BM$37)/1000,1),1),"±0")),""),IF(BM$38="B","",IF(BM$38="C","","")))</f>
        <v>0</v>
      </c>
      <c r="BN79" s="11">
        <f>IF(BN$38="A",IF(ISNUMBER(INDEX($D$53:$AD$53,BN$37)),IF(ROUND(INDEX($D$53:$AD$53,BN$37)/1000,1)&gt;0,"+"&amp;FIXED(ROUND(INDEX($D$53:$AD$53,BN$37)/1000,1),1),IF(ROUND(INDEX($D$53:$AD$53,BN$37)/1000,1)&lt;0,"−"&amp;FIXED(-ROUND(INDEX($D$53:$AD$53,BN$37)/1000,1),1),"±0")),""),IF(BN$38="B","",IF(BN$38="C","","")))</f>
        <v>0</v>
      </c>
      <c r="BO79" s="11">
        <f>IF(BO$38="A",IF(ISNUMBER(INDEX($D$53:$AD$53,BO$37)),IF(ROUND(INDEX($D$53:$AD$53,BO$37)/1000,1)&gt;0,"+"&amp;FIXED(ROUND(INDEX($D$53:$AD$53,BO$37)/1000,1),1),IF(ROUND(INDEX($D$53:$AD$53,BO$37)/1000,1)&lt;0,"−"&amp;FIXED(-ROUND(INDEX($D$53:$AD$53,BO$37)/1000,1),1),"±0")),""),IF(BO$38="B","",IF(BO$38="C","","")))</f>
        <v>0</v>
      </c>
      <c r="BP79" s="11">
        <f>IF(BP$38="A",IF(ISNUMBER(INDEX($D$53:$AD$53,BP$37)),IF(ROUND(INDEX($D$53:$AD$53,BP$37)/1000,1)&gt;0,"+"&amp;FIXED(ROUND(INDEX($D$53:$AD$53,BP$37)/1000,1),1),IF(ROUND(INDEX($D$53:$AD$53,BP$37)/1000,1)&lt;0,"−"&amp;FIXED(-ROUND(INDEX($D$53:$AD$53,BP$37)/1000,1),1),"±0")),""),IF(BP$38="B","",IF(BP$38="C","","")))</f>
        <v>0</v>
      </c>
      <c r="BQ79" s="11">
        <f>IF(BQ$38="A",IF(ISNUMBER(INDEX($D$53:$AD$53,BQ$37)),IF(ROUND(INDEX($D$53:$AD$53,BQ$37)/1000,1)&gt;0,"+"&amp;FIXED(ROUND(INDEX($D$53:$AD$53,BQ$37)/1000,1),1),IF(ROUND(INDEX($D$53:$AD$53,BQ$37)/1000,1)&lt;0,"−"&amp;FIXED(-ROUND(INDEX($D$53:$AD$53,BQ$37)/1000,1),1),"±0")),""),IF(BQ$38="B","",IF(BQ$38="C","","")))</f>
        <v>0</v>
      </c>
      <c r="BR79" s="11">
        <f>IF(BR$38="A",IF(ISNUMBER(INDEX($D$53:$AD$53,BR$37)),IF(ROUND(INDEX($D$53:$AD$53,BR$37)/1000,1)&gt;0,"+"&amp;FIXED(ROUND(INDEX($D$53:$AD$53,BR$37)/1000,1),1),IF(ROUND(INDEX($D$53:$AD$53,BR$37)/1000,1)&lt;0,"−"&amp;FIXED(-ROUND(INDEX($D$53:$AD$53,BR$37)/1000,1),1),"±0")),""),IF(BR$38="B","",IF(BR$38="C","","")))</f>
        <v>0</v>
      </c>
      <c r="BS79" s="11">
        <f>IF(BS$38="A",IF(ISNUMBER(INDEX($D$53:$AD$53,BS$37)),IF(ROUND(INDEX($D$53:$AD$53,BS$37)/1000,1)&gt;0,"+"&amp;FIXED(ROUND(INDEX($D$53:$AD$53,BS$37)/1000,1),1),IF(ROUND(INDEX($D$53:$AD$53,BS$37)/1000,1)&lt;0,"−"&amp;FIXED(-ROUND(INDEX($D$53:$AD$53,BS$37)/1000,1),1),"±0")),""),IF(BS$38="B","",IF(BS$38="C","","")))</f>
        <v>0</v>
      </c>
      <c r="BT79" s="11">
        <f>IF(BT$38="A",IF(ISNUMBER(INDEX($D$53:$AD$53,BT$37)),IF(ROUND(INDEX($D$53:$AD$53,BT$37)/1000,1)&gt;0,"+"&amp;FIXED(ROUND(INDEX($D$53:$AD$53,BT$37)/1000,1),1),IF(ROUND(INDEX($D$53:$AD$53,BT$37)/1000,1)&lt;0,"−"&amp;FIXED(-ROUND(INDEX($D$53:$AD$53,BT$37)/1000,1),1),"±0")),""),IF(BT$38="B","",IF(BT$38="C","","")))</f>
        <v>0</v>
      </c>
    </row>
    <row r="80" spans="1:72">
      <c r="A80" s="11" t="s">
        <v>691</v>
      </c>
      <c r="B80" s="11" t="s">
        <v>692</v>
      </c>
      <c r="C80" s="67" t="s">
        <v>602</v>
      </c>
      <c r="D80" s="68">
        <v>10</v>
      </c>
    </row>
    <row r="81" spans="1:72">
      <c r="A81" s="11" t="s">
        <v>693</v>
      </c>
      <c r="B81" s="11" t="s">
        <v>694</v>
      </c>
      <c r="C81" s="67" t="s">
        <v>605</v>
      </c>
      <c r="AQ81" s="68">
        <f>IF(0&lt;($D$80-2),28-$D$80+0,IF(0&lt;($D$80-2)+6,26+INT((0-($D$80-2))/3),0))</f>
        <v>0</v>
      </c>
      <c r="AR81" s="68">
        <f>IF(1&lt;($D$80-2),28-$D$80+1,IF(1&lt;($D$80-2)+6,26+INT((1-($D$80-2))/3),0))</f>
        <v>0</v>
      </c>
      <c r="AS81" s="68">
        <f>IF(2&lt;($D$80-2),28-$D$80+2,IF(2&lt;($D$80-2)+6,26+INT((2-($D$80-2))/3),0))</f>
        <v>0</v>
      </c>
      <c r="AT81" s="68">
        <f>IF(3&lt;($D$80-2),28-$D$80+3,IF(3&lt;($D$80-2)+6,26+INT((3-($D$80-2))/3),0))</f>
        <v>0</v>
      </c>
      <c r="AU81" s="68">
        <f>IF(4&lt;($D$80-2),28-$D$80+4,IF(4&lt;($D$80-2)+6,26+INT((4-($D$80-2))/3),0))</f>
        <v>0</v>
      </c>
      <c r="AV81" s="68">
        <f>IF(5&lt;($D$80-2),28-$D$80+5,IF(5&lt;($D$80-2)+6,26+INT((5-($D$80-2))/3),0))</f>
        <v>0</v>
      </c>
      <c r="AW81" s="68">
        <f>IF(6&lt;($D$80-2),28-$D$80+6,IF(6&lt;($D$80-2)+6,26+INT((6-($D$80-2))/3),0))</f>
        <v>0</v>
      </c>
      <c r="AX81" s="68">
        <f>IF(7&lt;($D$80-2),28-$D$80+7,IF(7&lt;($D$80-2)+6,26+INT((7-($D$80-2))/3),0))</f>
        <v>0</v>
      </c>
      <c r="AY81" s="68">
        <f>IF(8&lt;($D$80-2),28-$D$80+8,IF(8&lt;($D$80-2)+6,26+INT((8-($D$80-2))/3),0))</f>
        <v>0</v>
      </c>
      <c r="AZ81" s="68">
        <f>IF(9&lt;($D$80-2),28-$D$80+9,IF(9&lt;($D$80-2)+6,26+INT((9-($D$80-2))/3),0))</f>
        <v>0</v>
      </c>
      <c r="BA81" s="68">
        <f>IF(10&lt;($D$80-2),28-$D$80+10,IF(10&lt;($D$80-2)+6,26+INT((10-($D$80-2))/3),0))</f>
        <v>0</v>
      </c>
      <c r="BB81" s="68">
        <f>IF(11&lt;($D$80-2),28-$D$80+11,IF(11&lt;($D$80-2)+6,26+INT((11-($D$80-2))/3),0))</f>
        <v>0</v>
      </c>
      <c r="BC81" s="68">
        <f>IF(12&lt;($D$80-2),28-$D$80+12,IF(12&lt;($D$80-2)+6,26+INT((12-($D$80-2))/3),0))</f>
        <v>0</v>
      </c>
      <c r="BD81" s="68">
        <f>IF(13&lt;($D$80-2),28-$D$80+13,IF(13&lt;($D$80-2)+6,26+INT((13-($D$80-2))/3),0))</f>
        <v>0</v>
      </c>
      <c r="BE81" s="68">
        <f>IF(14&lt;($D$80-2),28-$D$80+14,IF(14&lt;($D$80-2)+6,26+INT((14-($D$80-2))/3),0))</f>
        <v>0</v>
      </c>
      <c r="BF81" s="68">
        <f>IF(15&lt;($D$80-2),28-$D$80+15,IF(15&lt;($D$80-2)+6,26+INT((15-($D$80-2))/3),0))</f>
        <v>0</v>
      </c>
      <c r="BG81" s="68">
        <f>IF(16&lt;($D$80-2),28-$D$80+16,IF(16&lt;($D$80-2)+6,26+INT((16-($D$80-2))/3),0))</f>
        <v>0</v>
      </c>
      <c r="BH81" s="68">
        <f>IF(17&lt;($D$80-2),28-$D$80+17,IF(17&lt;($D$80-2)+6,26+INT((17-($D$80-2))/3),0))</f>
        <v>0</v>
      </c>
      <c r="BI81" s="68">
        <f>IF(18&lt;($D$80-2),28-$D$80+18,IF(18&lt;($D$80-2)+6,26+INT((18-($D$80-2))/3),0))</f>
        <v>0</v>
      </c>
      <c r="BJ81" s="68">
        <f>IF(19&lt;($D$80-2),28-$D$80+19,IF(19&lt;($D$80-2)+6,26+INT((19-($D$80-2))/3),0))</f>
        <v>0</v>
      </c>
      <c r="BK81" s="68">
        <f>IF(20&lt;($D$80-2),28-$D$80+20,IF(20&lt;($D$80-2)+6,26+INT((20-($D$80-2))/3),0))</f>
        <v>0</v>
      </c>
      <c r="BL81" s="68">
        <f>IF(21&lt;($D$80-2),28-$D$80+21,IF(21&lt;($D$80-2)+6,26+INT((21-($D$80-2))/3),0))</f>
        <v>0</v>
      </c>
      <c r="BM81" s="68">
        <f>IF(22&lt;($D$80-2),28-$D$80+22,IF(22&lt;($D$80-2)+6,26+INT((22-($D$80-2))/3),0))</f>
        <v>0</v>
      </c>
      <c r="BN81" s="68">
        <f>IF(23&lt;($D$80-2),28-$D$80+23,IF(23&lt;($D$80-2)+6,26+INT((23-($D$80-2))/3),0))</f>
        <v>0</v>
      </c>
      <c r="BO81" s="68">
        <f>IF(24&lt;($D$80-2),28-$D$80+24,IF(24&lt;($D$80-2)+6,26+INT((24-($D$80-2))/3),0))</f>
        <v>0</v>
      </c>
      <c r="BP81" s="68">
        <f>IF(25&lt;($D$80-2),28-$D$80+25,IF(25&lt;($D$80-2)+6,26+INT((25-($D$80-2))/3),0))</f>
        <v>0</v>
      </c>
      <c r="BQ81" s="68">
        <f>IF(26&lt;($D$80-2),28-$D$80+26,IF(26&lt;($D$80-2)+6,26+INT((26-($D$80-2))/3),0))</f>
        <v>0</v>
      </c>
      <c r="BR81" s="68">
        <f>IF(27&lt;($D$80-2),28-$D$80+27,IF(27&lt;($D$80-2)+6,26+INT((27-($D$80-2))/3),0))</f>
        <v>0</v>
      </c>
      <c r="BS81" s="68">
        <f>IF(28&lt;($D$80-2),28-$D$80+28,IF(28&lt;($D$80-2)+6,26+INT((28-($D$80-2))/3),0))</f>
        <v>0</v>
      </c>
      <c r="BT81" s="68">
        <f>IF(29&lt;($D$80-2),28-$D$80+29,IF(29&lt;($D$80-2)+6,26+INT((29-($D$80-2))/3),0))</f>
        <v>0</v>
      </c>
    </row>
    <row r="82" spans="1:72">
      <c r="A82" s="11" t="s">
        <v>695</v>
      </c>
      <c r="B82" s="11" t="s">
        <v>696</v>
      </c>
      <c r="C82" s="67" t="s">
        <v>605</v>
      </c>
      <c r="AQ82" s="11">
        <f>IF(0&lt;($D$80-2),"A",IF(0&lt;($D$80-2)+6,MID("ABC",MOD(0-($D$80-2),3)+1,1),""))</f>
        <v>0</v>
      </c>
      <c r="AR82" s="11">
        <f>IF(1&lt;($D$80-2),"A",IF(1&lt;($D$80-2)+6,MID("ABC",MOD(1-($D$80-2),3)+1,1),""))</f>
        <v>0</v>
      </c>
      <c r="AS82" s="11">
        <f>IF(2&lt;($D$80-2),"A",IF(2&lt;($D$80-2)+6,MID("ABC",MOD(2-($D$80-2),3)+1,1),""))</f>
        <v>0</v>
      </c>
      <c r="AT82" s="11">
        <f>IF(3&lt;($D$80-2),"A",IF(3&lt;($D$80-2)+6,MID("ABC",MOD(3-($D$80-2),3)+1,1),""))</f>
        <v>0</v>
      </c>
      <c r="AU82" s="11">
        <f>IF(4&lt;($D$80-2),"A",IF(4&lt;($D$80-2)+6,MID("ABC",MOD(4-($D$80-2),3)+1,1),""))</f>
        <v>0</v>
      </c>
      <c r="AV82" s="11">
        <f>IF(5&lt;($D$80-2),"A",IF(5&lt;($D$80-2)+6,MID("ABC",MOD(5-($D$80-2),3)+1,1),""))</f>
        <v>0</v>
      </c>
      <c r="AW82" s="11">
        <f>IF(6&lt;($D$80-2),"A",IF(6&lt;($D$80-2)+6,MID("ABC",MOD(6-($D$80-2),3)+1,1),""))</f>
        <v>0</v>
      </c>
      <c r="AX82" s="11">
        <f>IF(7&lt;($D$80-2),"A",IF(7&lt;($D$80-2)+6,MID("ABC",MOD(7-($D$80-2),3)+1,1),""))</f>
        <v>0</v>
      </c>
      <c r="AY82" s="11">
        <f>IF(8&lt;($D$80-2),"A",IF(8&lt;($D$80-2)+6,MID("ABC",MOD(8-($D$80-2),3)+1,1),""))</f>
        <v>0</v>
      </c>
      <c r="AZ82" s="11">
        <f>IF(9&lt;($D$80-2),"A",IF(9&lt;($D$80-2)+6,MID("ABC",MOD(9-($D$80-2),3)+1,1),""))</f>
        <v>0</v>
      </c>
      <c r="BA82" s="11">
        <f>IF(10&lt;($D$80-2),"A",IF(10&lt;($D$80-2)+6,MID("ABC",MOD(10-($D$80-2),3)+1,1),""))</f>
        <v>0</v>
      </c>
      <c r="BB82" s="11">
        <f>IF(11&lt;($D$80-2),"A",IF(11&lt;($D$80-2)+6,MID("ABC",MOD(11-($D$80-2),3)+1,1),""))</f>
        <v>0</v>
      </c>
      <c r="BC82" s="11">
        <f>IF(12&lt;($D$80-2),"A",IF(12&lt;($D$80-2)+6,MID("ABC",MOD(12-($D$80-2),3)+1,1),""))</f>
        <v>0</v>
      </c>
      <c r="BD82" s="11">
        <f>IF(13&lt;($D$80-2),"A",IF(13&lt;($D$80-2)+6,MID("ABC",MOD(13-($D$80-2),3)+1,1),""))</f>
        <v>0</v>
      </c>
      <c r="BE82" s="11">
        <f>IF(14&lt;($D$80-2),"A",IF(14&lt;($D$80-2)+6,MID("ABC",MOD(14-($D$80-2),3)+1,1),""))</f>
        <v>0</v>
      </c>
      <c r="BF82" s="11">
        <f>IF(15&lt;($D$80-2),"A",IF(15&lt;($D$80-2)+6,MID("ABC",MOD(15-($D$80-2),3)+1,1),""))</f>
        <v>0</v>
      </c>
      <c r="BG82" s="11">
        <f>IF(16&lt;($D$80-2),"A",IF(16&lt;($D$80-2)+6,MID("ABC",MOD(16-($D$80-2),3)+1,1),""))</f>
        <v>0</v>
      </c>
      <c r="BH82" s="11">
        <f>IF(17&lt;($D$80-2),"A",IF(17&lt;($D$80-2)+6,MID("ABC",MOD(17-($D$80-2),3)+1,1),""))</f>
        <v>0</v>
      </c>
      <c r="BI82" s="11">
        <f>IF(18&lt;($D$80-2),"A",IF(18&lt;($D$80-2)+6,MID("ABC",MOD(18-($D$80-2),3)+1,1),""))</f>
        <v>0</v>
      </c>
      <c r="BJ82" s="11">
        <f>IF(19&lt;($D$80-2),"A",IF(19&lt;($D$80-2)+6,MID("ABC",MOD(19-($D$80-2),3)+1,1),""))</f>
        <v>0</v>
      </c>
      <c r="BK82" s="11">
        <f>IF(20&lt;($D$80-2),"A",IF(20&lt;($D$80-2)+6,MID("ABC",MOD(20-($D$80-2),3)+1,1),""))</f>
        <v>0</v>
      </c>
      <c r="BL82" s="11">
        <f>IF(21&lt;($D$80-2),"A",IF(21&lt;($D$80-2)+6,MID("ABC",MOD(21-($D$80-2),3)+1,1),""))</f>
        <v>0</v>
      </c>
      <c r="BM82" s="11">
        <f>IF(22&lt;($D$80-2),"A",IF(22&lt;($D$80-2)+6,MID("ABC",MOD(22-($D$80-2),3)+1,1),""))</f>
        <v>0</v>
      </c>
      <c r="BN82" s="11">
        <f>IF(23&lt;($D$80-2),"A",IF(23&lt;($D$80-2)+6,MID("ABC",MOD(23-($D$80-2),3)+1,1),""))</f>
        <v>0</v>
      </c>
      <c r="BO82" s="11">
        <f>IF(24&lt;($D$80-2),"A",IF(24&lt;($D$80-2)+6,MID("ABC",MOD(24-($D$80-2),3)+1,1),""))</f>
        <v>0</v>
      </c>
      <c r="BP82" s="11">
        <f>IF(25&lt;($D$80-2),"A",IF(25&lt;($D$80-2)+6,MID("ABC",MOD(25-($D$80-2),3)+1,1),""))</f>
        <v>0</v>
      </c>
      <c r="BQ82" s="11">
        <f>IF(26&lt;($D$80-2),"A",IF(26&lt;($D$80-2)+6,MID("ABC",MOD(26-($D$80-2),3)+1,1),""))</f>
        <v>0</v>
      </c>
      <c r="BR82" s="11">
        <f>IF(27&lt;($D$80-2),"A",IF(27&lt;($D$80-2)+6,MID("ABC",MOD(27-($D$80-2),3)+1,1),""))</f>
        <v>0</v>
      </c>
      <c r="BS82" s="11">
        <f>IF(28&lt;($D$80-2),"A",IF(28&lt;($D$80-2)+6,MID("ABC",MOD(28-($D$80-2),3)+1,1),""))</f>
        <v>0</v>
      </c>
      <c r="BT82" s="11">
        <f>IF(29&lt;($D$80-2),"A",IF(29&lt;($D$80-2)+6,MID("ABC",MOD(29-($D$80-2),3)+1,1),""))</f>
        <v>0</v>
      </c>
    </row>
    <row r="83" spans="1:72">
      <c r="A83" s="11" t="s">
        <v>697</v>
      </c>
      <c r="B83" s="11" t="s">
        <v>698</v>
      </c>
      <c r="C83" s="67" t="s">
        <v>610</v>
      </c>
      <c r="AQ83" s="11">
        <f>IF(AQ$82="A",""&amp;_xlfn.ISOWEEKNUM(INDEX($D$4:$AD$4,AQ$81)),IF(AQ$82="B","",IF(AQ$82="C","","")))</f>
        <v>0</v>
      </c>
      <c r="AR83" s="11">
        <f>IF(AR$82="A",""&amp;_xlfn.ISOWEEKNUM(INDEX($D$4:$AD$4,AR$81)),IF(AR$82="B","",IF(AR$82="C","","")))</f>
        <v>0</v>
      </c>
      <c r="AS83" s="11">
        <f>IF(AS$82="A",""&amp;_xlfn.ISOWEEKNUM(INDEX($D$4:$AD$4,AS$81)),IF(AS$82="B","",IF(AS$82="C","","")))</f>
        <v>0</v>
      </c>
      <c r="AT83" s="11">
        <f>IF(AT$82="A",""&amp;_xlfn.ISOWEEKNUM(INDEX($D$4:$AD$4,AT$81)),IF(AT$82="B","",IF(AT$82="C","","")))</f>
        <v>0</v>
      </c>
      <c r="AU83" s="11">
        <f>IF(AU$82="A",""&amp;_xlfn.ISOWEEKNUM(INDEX($D$4:$AD$4,AU$81)),IF(AU$82="B","",IF(AU$82="C","","")))</f>
        <v>0</v>
      </c>
      <c r="AV83" s="11">
        <f>IF(AV$82="A",""&amp;_xlfn.ISOWEEKNUM(INDEX($D$4:$AD$4,AV$81)),IF(AV$82="B","",IF(AV$82="C","","")))</f>
        <v>0</v>
      </c>
      <c r="AW83" s="11">
        <f>IF(AW$82="A",""&amp;_xlfn.ISOWEEKNUM(INDEX($D$4:$AD$4,AW$81)),IF(AW$82="B","",IF(AW$82="C","","")))</f>
        <v>0</v>
      </c>
      <c r="AX83" s="11">
        <f>IF(AX$82="A",""&amp;_xlfn.ISOWEEKNUM(INDEX($D$4:$AD$4,AX$81)),IF(AX$82="B","",IF(AX$82="C","","")))</f>
        <v>0</v>
      </c>
      <c r="AY83" s="11">
        <f>IF(AY$82="A",""&amp;_xlfn.ISOWEEKNUM(INDEX($D$4:$AD$4,AY$81)),IF(AY$82="B","",IF(AY$82="C","","")))</f>
        <v>0</v>
      </c>
      <c r="AZ83" s="11">
        <f>IF(AZ$82="A",""&amp;_xlfn.ISOWEEKNUM(INDEX($D$4:$AD$4,AZ$81)),IF(AZ$82="B","",IF(AZ$82="C","","")))</f>
        <v>0</v>
      </c>
      <c r="BA83" s="11">
        <f>IF(BA$82="A",""&amp;_xlfn.ISOWEEKNUM(INDEX($D$4:$AD$4,BA$81)),IF(BA$82="B","",IF(BA$82="C","","")))</f>
        <v>0</v>
      </c>
      <c r="BB83" s="11">
        <f>IF(BB$82="A",""&amp;_xlfn.ISOWEEKNUM(INDEX($D$4:$AD$4,BB$81)),IF(BB$82="B","",IF(BB$82="C","","")))</f>
        <v>0</v>
      </c>
      <c r="BC83" s="11">
        <f>IF(BC$82="A",""&amp;_xlfn.ISOWEEKNUM(INDEX($D$4:$AD$4,BC$81)),IF(BC$82="B","",IF(BC$82="C","","")))</f>
        <v>0</v>
      </c>
      <c r="BD83" s="11">
        <f>IF(BD$82="A",""&amp;_xlfn.ISOWEEKNUM(INDEX($D$4:$AD$4,BD$81)),IF(BD$82="B","",IF(BD$82="C","","")))</f>
        <v>0</v>
      </c>
      <c r="BE83" s="11">
        <f>IF(BE$82="A",""&amp;_xlfn.ISOWEEKNUM(INDEX($D$4:$AD$4,BE$81)),IF(BE$82="B","",IF(BE$82="C","","")))</f>
        <v>0</v>
      </c>
      <c r="BF83" s="11">
        <f>IF(BF$82="A",""&amp;_xlfn.ISOWEEKNUM(INDEX($D$4:$AD$4,BF$81)),IF(BF$82="B","",IF(BF$82="C","","")))</f>
        <v>0</v>
      </c>
      <c r="BG83" s="11">
        <f>IF(BG$82="A",""&amp;_xlfn.ISOWEEKNUM(INDEX($D$4:$AD$4,BG$81)),IF(BG$82="B","",IF(BG$82="C","","")))</f>
        <v>0</v>
      </c>
      <c r="BH83" s="11">
        <f>IF(BH$82="A",""&amp;_xlfn.ISOWEEKNUM(INDEX($D$4:$AD$4,BH$81)),IF(BH$82="B","",IF(BH$82="C","","")))</f>
        <v>0</v>
      </c>
      <c r="BI83" s="11">
        <f>IF(BI$82="A",""&amp;_xlfn.ISOWEEKNUM(INDEX($D$4:$AD$4,BI$81)),IF(BI$82="B","",IF(BI$82="C","","")))</f>
        <v>0</v>
      </c>
      <c r="BJ83" s="11">
        <f>IF(BJ$82="A",""&amp;_xlfn.ISOWEEKNUM(INDEX($D$4:$AD$4,BJ$81)),IF(BJ$82="B","",IF(BJ$82="C","","")))</f>
        <v>0</v>
      </c>
      <c r="BK83" s="11">
        <f>IF(BK$82="A",""&amp;_xlfn.ISOWEEKNUM(INDEX($D$4:$AD$4,BK$81)),IF(BK$82="B","",IF(BK$82="C","","")))</f>
        <v>0</v>
      </c>
      <c r="BL83" s="11">
        <f>IF(BL$82="A",""&amp;_xlfn.ISOWEEKNUM(INDEX($D$4:$AD$4,BL$81)),IF(BL$82="B","",IF(BL$82="C","","")))</f>
        <v>0</v>
      </c>
      <c r="BM83" s="11">
        <f>IF(BM$82="A",""&amp;_xlfn.ISOWEEKNUM(INDEX($D$4:$AD$4,BM$81)),IF(BM$82="B","",IF(BM$82="C","","")))</f>
        <v>0</v>
      </c>
      <c r="BN83" s="11">
        <f>IF(BN$82="A",""&amp;_xlfn.ISOWEEKNUM(INDEX($D$4:$AD$4,BN$81)),IF(BN$82="B","",IF(BN$82="C","","")))</f>
        <v>0</v>
      </c>
      <c r="BO83" s="11">
        <f>IF(BO$82="A",""&amp;_xlfn.ISOWEEKNUM(INDEX($D$4:$AD$4,BO$81)),IF(BO$82="B","",IF(BO$82="C","","")))</f>
        <v>0</v>
      </c>
      <c r="BP83" s="11">
        <f>IF(BP$82="A",""&amp;_xlfn.ISOWEEKNUM(INDEX($D$4:$AD$4,BP$81)),IF(BP$82="B","",IF(BP$82="C","","")))</f>
        <v>0</v>
      </c>
      <c r="BQ83" s="11">
        <f>IF(BQ$82="A",""&amp;_xlfn.ISOWEEKNUM(INDEX($D$4:$AD$4,BQ$81)),IF(BQ$82="B","",IF(BQ$82="C","","")))</f>
        <v>0</v>
      </c>
      <c r="BR83" s="11">
        <f>IF(BR$82="A",""&amp;_xlfn.ISOWEEKNUM(INDEX($D$4:$AD$4,BR$81)),IF(BR$82="B","",IF(BR$82="C","","")))</f>
        <v>0</v>
      </c>
      <c r="BS83" s="11">
        <f>IF(BS$82="A",""&amp;_xlfn.ISOWEEKNUM(INDEX($D$4:$AD$4,BS$81)),IF(BS$82="B","",IF(BS$82="C","","")))</f>
        <v>0</v>
      </c>
      <c r="BT83" s="11">
        <f>IF(BT$82="A",""&amp;_xlfn.ISOWEEKNUM(INDEX($D$4:$AD$4,BT$81)),IF(BT$82="B","",IF(BT$82="C","","")))</f>
        <v>0</v>
      </c>
    </row>
    <row r="84" spans="1:72">
      <c r="A84" s="11" t="s">
        <v>127</v>
      </c>
      <c r="B84" s="11" t="s">
        <v>699</v>
      </c>
      <c r="C84" s="67" t="s">
        <v>700</v>
      </c>
      <c r="D84" s="68">
        <f>IFERROR(IF(ISNUMBER(INDEX(Rohdaten!$A$79:$LJ$79,MATCH(D$4,RD_Kopf,0))),INDEX(Rohdaten!$A$79:$LJ$79,MATCH(D$4,RD_Kopf,0)),NA()),NA())</f>
        <v>0</v>
      </c>
      <c r="E84" s="68">
        <f>IFERROR(IF(ISNUMBER(INDEX(Rohdaten!$A$79:$LJ$79,MATCH(E$4,RD_Kopf,0))),INDEX(Rohdaten!$A$79:$LJ$79,MATCH(E$4,RD_Kopf,0)),NA()),NA())</f>
        <v>0</v>
      </c>
      <c r="F84" s="68">
        <f>IFERROR(IF(ISNUMBER(INDEX(Rohdaten!$A$79:$LJ$79,MATCH(F$4,RD_Kopf,0))),INDEX(Rohdaten!$A$79:$LJ$79,MATCH(F$4,RD_Kopf,0)),NA()),NA())</f>
        <v>0</v>
      </c>
      <c r="G84" s="68">
        <f>IFERROR(IF(ISNUMBER(INDEX(Rohdaten!$A$79:$LJ$79,MATCH(G$4,RD_Kopf,0))),INDEX(Rohdaten!$A$79:$LJ$79,MATCH(G$4,RD_Kopf,0)),NA()),NA())</f>
        <v>0</v>
      </c>
      <c r="H84" s="68">
        <f>IFERROR(IF(ISNUMBER(INDEX(Rohdaten!$A$79:$LJ$79,MATCH(H$4,RD_Kopf,0))),INDEX(Rohdaten!$A$79:$LJ$79,MATCH(H$4,RD_Kopf,0)),NA()),NA())</f>
        <v>0</v>
      </c>
      <c r="I84" s="68">
        <f>IFERROR(IF(ISNUMBER(INDEX(Rohdaten!$A$79:$LJ$79,MATCH(I$4,RD_Kopf,0))),INDEX(Rohdaten!$A$79:$LJ$79,MATCH(I$4,RD_Kopf,0)),NA()),NA())</f>
        <v>0</v>
      </c>
      <c r="J84" s="68">
        <f>IFERROR(IF(ISNUMBER(INDEX(Rohdaten!$A$79:$LJ$79,MATCH(J$4,RD_Kopf,0))),INDEX(Rohdaten!$A$79:$LJ$79,MATCH(J$4,RD_Kopf,0)),NA()),NA())</f>
        <v>0</v>
      </c>
      <c r="K84" s="68">
        <f>IFERROR(IF(ISNUMBER(INDEX(Rohdaten!$A$79:$LJ$79,MATCH(K$4,RD_Kopf,0))),INDEX(Rohdaten!$A$79:$LJ$79,MATCH(K$4,RD_Kopf,0)),NA()),NA())</f>
        <v>0</v>
      </c>
      <c r="L84" s="68">
        <f>IFERROR(IF(ISNUMBER(INDEX(Rohdaten!$A$79:$LJ$79,MATCH(L$4,RD_Kopf,0))),INDEX(Rohdaten!$A$79:$LJ$79,MATCH(L$4,RD_Kopf,0)),NA()),NA())</f>
        <v>0</v>
      </c>
      <c r="M84" s="68">
        <f>IFERROR(IF(ISNUMBER(INDEX(Rohdaten!$A$79:$LJ$79,MATCH(M$4,RD_Kopf,0))),INDEX(Rohdaten!$A$79:$LJ$79,MATCH(M$4,RD_Kopf,0)),NA()),NA())</f>
        <v>0</v>
      </c>
      <c r="N84" s="68">
        <f>IFERROR(IF(ISNUMBER(INDEX(Rohdaten!$A$79:$LJ$79,MATCH(N$4,RD_Kopf,0))),INDEX(Rohdaten!$A$79:$LJ$79,MATCH(N$4,RD_Kopf,0)),NA()),NA())</f>
        <v>0</v>
      </c>
      <c r="O84" s="68">
        <f>IFERROR(IF(ISNUMBER(INDEX(Rohdaten!$A$79:$LJ$79,MATCH(O$4,RD_Kopf,0))),INDEX(Rohdaten!$A$79:$LJ$79,MATCH(O$4,RD_Kopf,0)),NA()),NA())</f>
        <v>0</v>
      </c>
      <c r="P84" s="68">
        <f>IFERROR(IF(ISNUMBER(INDEX(Rohdaten!$A$79:$LJ$79,MATCH(P$4,RD_Kopf,0))),INDEX(Rohdaten!$A$79:$LJ$79,MATCH(P$4,RD_Kopf,0)),NA()),NA())</f>
        <v>0</v>
      </c>
      <c r="Q84" s="68">
        <f>IFERROR(IF(ISNUMBER(INDEX(Rohdaten!$A$79:$LJ$79,MATCH(Q$4,RD_Kopf,0))),INDEX(Rohdaten!$A$79:$LJ$79,MATCH(Q$4,RD_Kopf,0)),NA()),NA())</f>
        <v>0</v>
      </c>
      <c r="R84" s="68">
        <f>IFERROR(IF(ISNUMBER(INDEX(Rohdaten!$A$79:$LJ$79,MATCH(R$4,RD_Kopf,0))),INDEX(Rohdaten!$A$79:$LJ$79,MATCH(R$4,RD_Kopf,0)),NA()),NA())</f>
        <v>0</v>
      </c>
      <c r="S84" s="68">
        <f>IFERROR(IF(ISNUMBER(INDEX(Rohdaten!$A$79:$LJ$79,MATCH(S$4,RD_Kopf,0))),INDEX(Rohdaten!$A$79:$LJ$79,MATCH(S$4,RD_Kopf,0)),NA()),NA())</f>
        <v>0</v>
      </c>
      <c r="T84" s="68">
        <f>IFERROR(IF(ISNUMBER(INDEX(Rohdaten!$A$79:$LJ$79,MATCH(T$4,RD_Kopf,0))),INDEX(Rohdaten!$A$79:$LJ$79,MATCH(T$4,RD_Kopf,0)),NA()),NA())</f>
        <v>0</v>
      </c>
      <c r="U84" s="68">
        <f>IFERROR(IF(ISNUMBER(INDEX(Rohdaten!$A$79:$LJ$79,MATCH(U$4,RD_Kopf,0))),INDEX(Rohdaten!$A$79:$LJ$79,MATCH(U$4,RD_Kopf,0)),NA()),NA())</f>
        <v>0</v>
      </c>
      <c r="V84" s="68">
        <f>IFERROR(IF(ISNUMBER(INDEX(Rohdaten!$A$79:$LJ$79,MATCH(V$4,RD_Kopf,0))),INDEX(Rohdaten!$A$79:$LJ$79,MATCH(V$4,RD_Kopf,0)),NA()),NA())</f>
        <v>0</v>
      </c>
      <c r="W84" s="68">
        <f>IFERROR(IF(ISNUMBER(INDEX(Rohdaten!$A$79:$LJ$79,MATCH(W$4,RD_Kopf,0))),INDEX(Rohdaten!$A$79:$LJ$79,MATCH(W$4,RD_Kopf,0)),NA()),NA())</f>
        <v>0</v>
      </c>
      <c r="X84" s="68">
        <f>IFERROR(IF(ISNUMBER(INDEX(Rohdaten!$A$79:$LJ$79,MATCH(X$4,RD_Kopf,0))),INDEX(Rohdaten!$A$79:$LJ$79,MATCH(X$4,RD_Kopf,0)),NA()),NA())</f>
        <v>0</v>
      </c>
      <c r="Y84" s="68">
        <f>IFERROR(IF(ISNUMBER(INDEX(Rohdaten!$A$79:$LJ$79,MATCH(Y$4,RD_Kopf,0))),INDEX(Rohdaten!$A$79:$LJ$79,MATCH(Y$4,RD_Kopf,0)),NA()),NA())</f>
        <v>0</v>
      </c>
      <c r="Z84" s="68">
        <f>IFERROR(IF(ISNUMBER(INDEX(Rohdaten!$A$79:$LJ$79,MATCH(Z$4,RD_Kopf,0))),INDEX(Rohdaten!$A$79:$LJ$79,MATCH(Z$4,RD_Kopf,0)),NA()),NA())</f>
        <v>0</v>
      </c>
      <c r="AA84" s="68">
        <f>IFERROR(IF(ISNUMBER(INDEX(Rohdaten!$A$79:$LJ$79,MATCH(AA$4,RD_Kopf,0))),INDEX(Rohdaten!$A$79:$LJ$79,MATCH(AA$4,RD_Kopf,0)),NA()),NA())</f>
        <v>0</v>
      </c>
      <c r="AB84" s="68">
        <f>IFERROR(IF(ISNUMBER(INDEX(Rohdaten!$A$79:$LJ$79,MATCH(AB$4,RD_Kopf,0))),INDEX(Rohdaten!$A$79:$LJ$79,MATCH(AB$4,RD_Kopf,0)),NA()),NA())</f>
        <v>0</v>
      </c>
      <c r="AC84" s="68">
        <f>IFERROR(IF(ISNUMBER(INDEX(Rohdaten!$A$79:$LJ$79,MATCH(AC$4,RD_Kopf,0))),INDEX(Rohdaten!$A$79:$LJ$79,MATCH(AC$4,RD_Kopf,0)),NA()),NA())</f>
        <v>0</v>
      </c>
      <c r="AD84" s="68">
        <f>IFERROR(IF(ISNUMBER(INDEX(Rohdaten!$A$79:$LJ$79,MATCH(AD$4,RD_Kopf,0))),INDEX(Rohdaten!$A$79:$LJ$79,MATCH(AD$4,RD_Kopf,0)),NA()),NA())</f>
        <v>0</v>
      </c>
    </row>
    <row r="85" spans="1:72">
      <c r="A85" s="11" t="s">
        <v>131</v>
      </c>
      <c r="B85" s="11" t="s">
        <v>701</v>
      </c>
      <c r="C85" s="67" t="s">
        <v>702</v>
      </c>
      <c r="D85" s="68">
        <f>IFERROR(IF(ISNUMBER(INDEX(Rohdaten!$A$80:$LJ$80,MATCH(D$4,RD_Kopf,0))),INDEX(Rohdaten!$A$80:$LJ$80,MATCH(D$4,RD_Kopf,0)),NA()),NA())</f>
        <v>0</v>
      </c>
      <c r="E85" s="68">
        <f>IFERROR(IF(ISNUMBER(INDEX(Rohdaten!$A$80:$LJ$80,MATCH(E$4,RD_Kopf,0))),INDEX(Rohdaten!$A$80:$LJ$80,MATCH(E$4,RD_Kopf,0)),NA()),NA())</f>
        <v>0</v>
      </c>
      <c r="F85" s="68">
        <f>IFERROR(IF(ISNUMBER(INDEX(Rohdaten!$A$80:$LJ$80,MATCH(F$4,RD_Kopf,0))),INDEX(Rohdaten!$A$80:$LJ$80,MATCH(F$4,RD_Kopf,0)),NA()),NA())</f>
        <v>0</v>
      </c>
      <c r="G85" s="68">
        <f>IFERROR(IF(ISNUMBER(INDEX(Rohdaten!$A$80:$LJ$80,MATCH(G$4,RD_Kopf,0))),INDEX(Rohdaten!$A$80:$LJ$80,MATCH(G$4,RD_Kopf,0)),NA()),NA())</f>
        <v>0</v>
      </c>
      <c r="H85" s="68">
        <f>IFERROR(IF(ISNUMBER(INDEX(Rohdaten!$A$80:$LJ$80,MATCH(H$4,RD_Kopf,0))),INDEX(Rohdaten!$A$80:$LJ$80,MATCH(H$4,RD_Kopf,0)),NA()),NA())</f>
        <v>0</v>
      </c>
      <c r="I85" s="68">
        <f>IFERROR(IF(ISNUMBER(INDEX(Rohdaten!$A$80:$LJ$80,MATCH(I$4,RD_Kopf,0))),INDEX(Rohdaten!$A$80:$LJ$80,MATCH(I$4,RD_Kopf,0)),NA()),NA())</f>
        <v>0</v>
      </c>
      <c r="J85" s="68">
        <f>IFERROR(IF(ISNUMBER(INDEX(Rohdaten!$A$80:$LJ$80,MATCH(J$4,RD_Kopf,0))),INDEX(Rohdaten!$A$80:$LJ$80,MATCH(J$4,RD_Kopf,0)),NA()),NA())</f>
        <v>0</v>
      </c>
      <c r="K85" s="68">
        <f>IFERROR(IF(ISNUMBER(INDEX(Rohdaten!$A$80:$LJ$80,MATCH(K$4,RD_Kopf,0))),INDEX(Rohdaten!$A$80:$LJ$80,MATCH(K$4,RD_Kopf,0)),NA()),NA())</f>
        <v>0</v>
      </c>
      <c r="L85" s="68">
        <f>IFERROR(IF(ISNUMBER(INDEX(Rohdaten!$A$80:$LJ$80,MATCH(L$4,RD_Kopf,0))),INDEX(Rohdaten!$A$80:$LJ$80,MATCH(L$4,RD_Kopf,0)),NA()),NA())</f>
        <v>0</v>
      </c>
      <c r="M85" s="68">
        <f>IFERROR(IF(ISNUMBER(INDEX(Rohdaten!$A$80:$LJ$80,MATCH(M$4,RD_Kopf,0))),INDEX(Rohdaten!$A$80:$LJ$80,MATCH(M$4,RD_Kopf,0)),NA()),NA())</f>
        <v>0</v>
      </c>
      <c r="N85" s="68">
        <f>IFERROR(IF(ISNUMBER(INDEX(Rohdaten!$A$80:$LJ$80,MATCH(N$4,RD_Kopf,0))),INDEX(Rohdaten!$A$80:$LJ$80,MATCH(N$4,RD_Kopf,0)),NA()),NA())</f>
        <v>0</v>
      </c>
      <c r="O85" s="68">
        <f>IFERROR(IF(ISNUMBER(INDEX(Rohdaten!$A$80:$LJ$80,MATCH(O$4,RD_Kopf,0))),INDEX(Rohdaten!$A$80:$LJ$80,MATCH(O$4,RD_Kopf,0)),NA()),NA())</f>
        <v>0</v>
      </c>
      <c r="P85" s="68">
        <f>IFERROR(IF(ISNUMBER(INDEX(Rohdaten!$A$80:$LJ$80,MATCH(P$4,RD_Kopf,0))),INDEX(Rohdaten!$A$80:$LJ$80,MATCH(P$4,RD_Kopf,0)),NA()),NA())</f>
        <v>0</v>
      </c>
      <c r="Q85" s="68">
        <f>IFERROR(IF(ISNUMBER(INDEX(Rohdaten!$A$80:$LJ$80,MATCH(Q$4,RD_Kopf,0))),INDEX(Rohdaten!$A$80:$LJ$80,MATCH(Q$4,RD_Kopf,0)),NA()),NA())</f>
        <v>0</v>
      </c>
      <c r="R85" s="68">
        <f>IFERROR(IF(ISNUMBER(INDEX(Rohdaten!$A$80:$LJ$80,MATCH(R$4,RD_Kopf,0))),INDEX(Rohdaten!$A$80:$LJ$80,MATCH(R$4,RD_Kopf,0)),NA()),NA())</f>
        <v>0</v>
      </c>
      <c r="S85" s="68">
        <f>IFERROR(IF(ISNUMBER(INDEX(Rohdaten!$A$80:$LJ$80,MATCH(S$4,RD_Kopf,0))),INDEX(Rohdaten!$A$80:$LJ$80,MATCH(S$4,RD_Kopf,0)),NA()),NA())</f>
        <v>0</v>
      </c>
      <c r="T85" s="68">
        <f>IFERROR(IF(ISNUMBER(INDEX(Rohdaten!$A$80:$LJ$80,MATCH(T$4,RD_Kopf,0))),INDEX(Rohdaten!$A$80:$LJ$80,MATCH(T$4,RD_Kopf,0)),NA()),NA())</f>
        <v>0</v>
      </c>
      <c r="U85" s="68">
        <f>IFERROR(IF(ISNUMBER(INDEX(Rohdaten!$A$80:$LJ$80,MATCH(U$4,RD_Kopf,0))),INDEX(Rohdaten!$A$80:$LJ$80,MATCH(U$4,RD_Kopf,0)),NA()),NA())</f>
        <v>0</v>
      </c>
      <c r="V85" s="68">
        <f>IFERROR(IF(ISNUMBER(INDEX(Rohdaten!$A$80:$LJ$80,MATCH(V$4,RD_Kopf,0))),INDEX(Rohdaten!$A$80:$LJ$80,MATCH(V$4,RD_Kopf,0)),NA()),NA())</f>
        <v>0</v>
      </c>
      <c r="W85" s="68">
        <f>IFERROR(IF(ISNUMBER(INDEX(Rohdaten!$A$80:$LJ$80,MATCH(W$4,RD_Kopf,0))),INDEX(Rohdaten!$A$80:$LJ$80,MATCH(W$4,RD_Kopf,0)),NA()),NA())</f>
        <v>0</v>
      </c>
      <c r="X85" s="68">
        <f>IFERROR(IF(ISNUMBER(INDEX(Rohdaten!$A$80:$LJ$80,MATCH(X$4,RD_Kopf,0))),INDEX(Rohdaten!$A$80:$LJ$80,MATCH(X$4,RD_Kopf,0)),NA()),NA())</f>
        <v>0</v>
      </c>
      <c r="Y85" s="68">
        <f>IFERROR(IF(ISNUMBER(INDEX(Rohdaten!$A$80:$LJ$80,MATCH(Y$4,RD_Kopf,0))),INDEX(Rohdaten!$A$80:$LJ$80,MATCH(Y$4,RD_Kopf,0)),NA()),NA())</f>
        <v>0</v>
      </c>
      <c r="Z85" s="68">
        <f>IFERROR(IF(ISNUMBER(INDEX(Rohdaten!$A$80:$LJ$80,MATCH(Z$4,RD_Kopf,0))),INDEX(Rohdaten!$A$80:$LJ$80,MATCH(Z$4,RD_Kopf,0)),NA()),NA())</f>
        <v>0</v>
      </c>
      <c r="AA85" s="68">
        <f>IFERROR(IF(ISNUMBER(INDEX(Rohdaten!$A$80:$LJ$80,MATCH(AA$4,RD_Kopf,0))),INDEX(Rohdaten!$A$80:$LJ$80,MATCH(AA$4,RD_Kopf,0)),NA()),NA())</f>
        <v>0</v>
      </c>
      <c r="AB85" s="68">
        <f>IFERROR(IF(ISNUMBER(INDEX(Rohdaten!$A$80:$LJ$80,MATCH(AB$4,RD_Kopf,0))),INDEX(Rohdaten!$A$80:$LJ$80,MATCH(AB$4,RD_Kopf,0)),NA()),NA())</f>
        <v>0</v>
      </c>
      <c r="AC85" s="68">
        <f>IFERROR(IF(ISNUMBER(INDEX(Rohdaten!$A$80:$LJ$80,MATCH(AC$4,RD_Kopf,0))),INDEX(Rohdaten!$A$80:$LJ$80,MATCH(AC$4,RD_Kopf,0)),NA()),NA())</f>
        <v>0</v>
      </c>
      <c r="AD85" s="68">
        <f>IFERROR(IF(ISNUMBER(INDEX(Rohdaten!$A$80:$LJ$80,MATCH(AD$4,RD_Kopf,0))),INDEX(Rohdaten!$A$80:$LJ$80,MATCH(AD$4,RD_Kopf,0)),NA()),NA())</f>
        <v>0</v>
      </c>
    </row>
    <row r="86" spans="1:72">
      <c r="A86" s="11" t="s">
        <v>134</v>
      </c>
      <c r="B86" s="11" t="s">
        <v>703</v>
      </c>
      <c r="C86" s="67" t="s">
        <v>704</v>
      </c>
      <c r="D86" s="68">
        <f>IFERROR(IF(ISNUMBER(INDEX(Rohdaten!$A$81:$LJ$81,MATCH(D$4,RD_Kopf,0))),INDEX(Rohdaten!$A$81:$LJ$81,MATCH(D$4,RD_Kopf,0)),NA()),NA())</f>
        <v>0</v>
      </c>
      <c r="E86" s="68">
        <f>IFERROR(IF(ISNUMBER(INDEX(Rohdaten!$A$81:$LJ$81,MATCH(E$4,RD_Kopf,0))),INDEX(Rohdaten!$A$81:$LJ$81,MATCH(E$4,RD_Kopf,0)),NA()),NA())</f>
        <v>0</v>
      </c>
      <c r="F86" s="68">
        <f>IFERROR(IF(ISNUMBER(INDEX(Rohdaten!$A$81:$LJ$81,MATCH(F$4,RD_Kopf,0))),INDEX(Rohdaten!$A$81:$LJ$81,MATCH(F$4,RD_Kopf,0)),NA()),NA())</f>
        <v>0</v>
      </c>
      <c r="G86" s="68">
        <f>IFERROR(IF(ISNUMBER(INDEX(Rohdaten!$A$81:$LJ$81,MATCH(G$4,RD_Kopf,0))),INDEX(Rohdaten!$A$81:$LJ$81,MATCH(G$4,RD_Kopf,0)),NA()),NA())</f>
        <v>0</v>
      </c>
      <c r="H86" s="68">
        <f>IFERROR(IF(ISNUMBER(INDEX(Rohdaten!$A$81:$LJ$81,MATCH(H$4,RD_Kopf,0))),INDEX(Rohdaten!$A$81:$LJ$81,MATCH(H$4,RD_Kopf,0)),NA()),NA())</f>
        <v>0</v>
      </c>
      <c r="I86" s="68">
        <f>IFERROR(IF(ISNUMBER(INDEX(Rohdaten!$A$81:$LJ$81,MATCH(I$4,RD_Kopf,0))),INDEX(Rohdaten!$A$81:$LJ$81,MATCH(I$4,RD_Kopf,0)),NA()),NA())</f>
        <v>0</v>
      </c>
      <c r="J86" s="68">
        <f>IFERROR(IF(ISNUMBER(INDEX(Rohdaten!$A$81:$LJ$81,MATCH(J$4,RD_Kopf,0))),INDEX(Rohdaten!$A$81:$LJ$81,MATCH(J$4,RD_Kopf,0)),NA()),NA())</f>
        <v>0</v>
      </c>
      <c r="K86" s="68">
        <f>IFERROR(IF(ISNUMBER(INDEX(Rohdaten!$A$81:$LJ$81,MATCH(K$4,RD_Kopf,0))),INDEX(Rohdaten!$A$81:$LJ$81,MATCH(K$4,RD_Kopf,0)),NA()),NA())</f>
        <v>0</v>
      </c>
      <c r="L86" s="68">
        <f>IFERROR(IF(ISNUMBER(INDEX(Rohdaten!$A$81:$LJ$81,MATCH(L$4,RD_Kopf,0))),INDEX(Rohdaten!$A$81:$LJ$81,MATCH(L$4,RD_Kopf,0)),NA()),NA())</f>
        <v>0</v>
      </c>
      <c r="M86" s="68">
        <f>IFERROR(IF(ISNUMBER(INDEX(Rohdaten!$A$81:$LJ$81,MATCH(M$4,RD_Kopf,0))),INDEX(Rohdaten!$A$81:$LJ$81,MATCH(M$4,RD_Kopf,0)),NA()),NA())</f>
        <v>0</v>
      </c>
      <c r="N86" s="68">
        <f>IFERROR(IF(ISNUMBER(INDEX(Rohdaten!$A$81:$LJ$81,MATCH(N$4,RD_Kopf,0))),INDEX(Rohdaten!$A$81:$LJ$81,MATCH(N$4,RD_Kopf,0)),NA()),NA())</f>
        <v>0</v>
      </c>
      <c r="O86" s="68">
        <f>IFERROR(IF(ISNUMBER(INDEX(Rohdaten!$A$81:$LJ$81,MATCH(O$4,RD_Kopf,0))),INDEX(Rohdaten!$A$81:$LJ$81,MATCH(O$4,RD_Kopf,0)),NA()),NA())</f>
        <v>0</v>
      </c>
      <c r="P86" s="68">
        <f>IFERROR(IF(ISNUMBER(INDEX(Rohdaten!$A$81:$LJ$81,MATCH(P$4,RD_Kopf,0))),INDEX(Rohdaten!$A$81:$LJ$81,MATCH(P$4,RD_Kopf,0)),NA()),NA())</f>
        <v>0</v>
      </c>
      <c r="Q86" s="68">
        <f>IFERROR(IF(ISNUMBER(INDEX(Rohdaten!$A$81:$LJ$81,MATCH(Q$4,RD_Kopf,0))),INDEX(Rohdaten!$A$81:$LJ$81,MATCH(Q$4,RD_Kopf,0)),NA()),NA())</f>
        <v>0</v>
      </c>
      <c r="R86" s="68">
        <f>IFERROR(IF(ISNUMBER(INDEX(Rohdaten!$A$81:$LJ$81,MATCH(R$4,RD_Kopf,0))),INDEX(Rohdaten!$A$81:$LJ$81,MATCH(R$4,RD_Kopf,0)),NA()),NA())</f>
        <v>0</v>
      </c>
      <c r="S86" s="68">
        <f>IFERROR(IF(ISNUMBER(INDEX(Rohdaten!$A$81:$LJ$81,MATCH(S$4,RD_Kopf,0))),INDEX(Rohdaten!$A$81:$LJ$81,MATCH(S$4,RD_Kopf,0)),NA()),NA())</f>
        <v>0</v>
      </c>
      <c r="T86" s="68">
        <f>IFERROR(IF(ISNUMBER(INDEX(Rohdaten!$A$81:$LJ$81,MATCH(T$4,RD_Kopf,0))),INDEX(Rohdaten!$A$81:$LJ$81,MATCH(T$4,RD_Kopf,0)),NA()),NA())</f>
        <v>0</v>
      </c>
      <c r="U86" s="68">
        <f>IFERROR(IF(ISNUMBER(INDEX(Rohdaten!$A$81:$LJ$81,MATCH(U$4,RD_Kopf,0))),INDEX(Rohdaten!$A$81:$LJ$81,MATCH(U$4,RD_Kopf,0)),NA()),NA())</f>
        <v>0</v>
      </c>
      <c r="V86" s="68">
        <f>IFERROR(IF(ISNUMBER(INDEX(Rohdaten!$A$81:$LJ$81,MATCH(V$4,RD_Kopf,0))),INDEX(Rohdaten!$A$81:$LJ$81,MATCH(V$4,RD_Kopf,0)),NA()),NA())</f>
        <v>0</v>
      </c>
      <c r="W86" s="68">
        <f>IFERROR(IF(ISNUMBER(INDEX(Rohdaten!$A$81:$LJ$81,MATCH(W$4,RD_Kopf,0))),INDEX(Rohdaten!$A$81:$LJ$81,MATCH(W$4,RD_Kopf,0)),NA()),NA())</f>
        <v>0</v>
      </c>
      <c r="X86" s="68">
        <f>IFERROR(IF(ISNUMBER(INDEX(Rohdaten!$A$81:$LJ$81,MATCH(X$4,RD_Kopf,0))),INDEX(Rohdaten!$A$81:$LJ$81,MATCH(X$4,RD_Kopf,0)),NA()),NA())</f>
        <v>0</v>
      </c>
      <c r="Y86" s="68">
        <f>IFERROR(IF(ISNUMBER(INDEX(Rohdaten!$A$81:$LJ$81,MATCH(Y$4,RD_Kopf,0))),INDEX(Rohdaten!$A$81:$LJ$81,MATCH(Y$4,RD_Kopf,0)),NA()),NA())</f>
        <v>0</v>
      </c>
      <c r="Z86" s="68">
        <f>IFERROR(IF(ISNUMBER(INDEX(Rohdaten!$A$81:$LJ$81,MATCH(Z$4,RD_Kopf,0))),INDEX(Rohdaten!$A$81:$LJ$81,MATCH(Z$4,RD_Kopf,0)),NA()),NA())</f>
        <v>0</v>
      </c>
      <c r="AA86" s="68">
        <f>IFERROR(IF(ISNUMBER(INDEX(Rohdaten!$A$81:$LJ$81,MATCH(AA$4,RD_Kopf,0))),INDEX(Rohdaten!$A$81:$LJ$81,MATCH(AA$4,RD_Kopf,0)),NA()),NA())</f>
        <v>0</v>
      </c>
      <c r="AB86" s="68">
        <f>IFERROR(IF(ISNUMBER(INDEX(Rohdaten!$A$81:$LJ$81,MATCH(AB$4,RD_Kopf,0))),INDEX(Rohdaten!$A$81:$LJ$81,MATCH(AB$4,RD_Kopf,0)),NA()),NA())</f>
        <v>0</v>
      </c>
      <c r="AC86" s="68">
        <f>IFERROR(IF(ISNUMBER(INDEX(Rohdaten!$A$81:$LJ$81,MATCH(AC$4,RD_Kopf,0))),INDEX(Rohdaten!$A$81:$LJ$81,MATCH(AC$4,RD_Kopf,0)),NA()),NA())</f>
        <v>0</v>
      </c>
      <c r="AD86" s="68">
        <f>IFERROR(IF(ISNUMBER(INDEX(Rohdaten!$A$81:$LJ$81,MATCH(AD$4,RD_Kopf,0))),INDEX(Rohdaten!$A$81:$LJ$81,MATCH(AD$4,RD_Kopf,0)),NA()),NA())</f>
        <v>0</v>
      </c>
    </row>
    <row r="87" spans="1:72">
      <c r="A87" s="11" t="s">
        <v>137</v>
      </c>
      <c r="B87" s="11" t="s">
        <v>705</v>
      </c>
      <c r="C87" s="67" t="s">
        <v>706</v>
      </c>
      <c r="D87" s="68">
        <f>IFERROR(IF(ISNUMBER(INDEX(Rohdaten!$A$82:$LJ$82,MATCH(D$4,RD_Kopf,0))),INDEX(Rohdaten!$A$82:$LJ$82,MATCH(D$4,RD_Kopf,0)),NA()),NA())</f>
        <v>0</v>
      </c>
      <c r="E87" s="68">
        <f>IFERROR(IF(ISNUMBER(INDEX(Rohdaten!$A$82:$LJ$82,MATCH(E$4,RD_Kopf,0))),INDEX(Rohdaten!$A$82:$LJ$82,MATCH(E$4,RD_Kopf,0)),NA()),NA())</f>
        <v>0</v>
      </c>
      <c r="F87" s="68">
        <f>IFERROR(IF(ISNUMBER(INDEX(Rohdaten!$A$82:$LJ$82,MATCH(F$4,RD_Kopf,0))),INDEX(Rohdaten!$A$82:$LJ$82,MATCH(F$4,RD_Kopf,0)),NA()),NA())</f>
        <v>0</v>
      </c>
      <c r="G87" s="68">
        <f>IFERROR(IF(ISNUMBER(INDEX(Rohdaten!$A$82:$LJ$82,MATCH(G$4,RD_Kopf,0))),INDEX(Rohdaten!$A$82:$LJ$82,MATCH(G$4,RD_Kopf,0)),NA()),NA())</f>
        <v>0</v>
      </c>
      <c r="H87" s="68">
        <f>IFERROR(IF(ISNUMBER(INDEX(Rohdaten!$A$82:$LJ$82,MATCH(H$4,RD_Kopf,0))),INDEX(Rohdaten!$A$82:$LJ$82,MATCH(H$4,RD_Kopf,0)),NA()),NA())</f>
        <v>0</v>
      </c>
      <c r="I87" s="68">
        <f>IFERROR(IF(ISNUMBER(INDEX(Rohdaten!$A$82:$LJ$82,MATCH(I$4,RD_Kopf,0))),INDEX(Rohdaten!$A$82:$LJ$82,MATCH(I$4,RD_Kopf,0)),NA()),NA())</f>
        <v>0</v>
      </c>
      <c r="J87" s="68">
        <f>IFERROR(IF(ISNUMBER(INDEX(Rohdaten!$A$82:$LJ$82,MATCH(J$4,RD_Kopf,0))),INDEX(Rohdaten!$A$82:$LJ$82,MATCH(J$4,RD_Kopf,0)),NA()),NA())</f>
        <v>0</v>
      </c>
      <c r="K87" s="68">
        <f>IFERROR(IF(ISNUMBER(INDEX(Rohdaten!$A$82:$LJ$82,MATCH(K$4,RD_Kopf,0))),INDEX(Rohdaten!$A$82:$LJ$82,MATCH(K$4,RD_Kopf,0)),NA()),NA())</f>
        <v>0</v>
      </c>
      <c r="L87" s="68">
        <f>IFERROR(IF(ISNUMBER(INDEX(Rohdaten!$A$82:$LJ$82,MATCH(L$4,RD_Kopf,0))),INDEX(Rohdaten!$A$82:$LJ$82,MATCH(L$4,RD_Kopf,0)),NA()),NA())</f>
        <v>0</v>
      </c>
      <c r="M87" s="68">
        <f>IFERROR(IF(ISNUMBER(INDEX(Rohdaten!$A$82:$LJ$82,MATCH(M$4,RD_Kopf,0))),INDEX(Rohdaten!$A$82:$LJ$82,MATCH(M$4,RD_Kopf,0)),NA()),NA())</f>
        <v>0</v>
      </c>
      <c r="N87" s="68">
        <f>IFERROR(IF(ISNUMBER(INDEX(Rohdaten!$A$82:$LJ$82,MATCH(N$4,RD_Kopf,0))),INDEX(Rohdaten!$A$82:$LJ$82,MATCH(N$4,RD_Kopf,0)),NA()),NA())</f>
        <v>0</v>
      </c>
      <c r="O87" s="68">
        <f>IFERROR(IF(ISNUMBER(INDEX(Rohdaten!$A$82:$LJ$82,MATCH(O$4,RD_Kopf,0))),INDEX(Rohdaten!$A$82:$LJ$82,MATCH(O$4,RD_Kopf,0)),NA()),NA())</f>
        <v>0</v>
      </c>
      <c r="P87" s="68">
        <f>IFERROR(IF(ISNUMBER(INDEX(Rohdaten!$A$82:$LJ$82,MATCH(P$4,RD_Kopf,0))),INDEX(Rohdaten!$A$82:$LJ$82,MATCH(P$4,RD_Kopf,0)),NA()),NA())</f>
        <v>0</v>
      </c>
      <c r="Q87" s="68">
        <f>IFERROR(IF(ISNUMBER(INDEX(Rohdaten!$A$82:$LJ$82,MATCH(Q$4,RD_Kopf,0))),INDEX(Rohdaten!$A$82:$LJ$82,MATCH(Q$4,RD_Kopf,0)),NA()),NA())</f>
        <v>0</v>
      </c>
      <c r="R87" s="68">
        <f>IFERROR(IF(ISNUMBER(INDEX(Rohdaten!$A$82:$LJ$82,MATCH(R$4,RD_Kopf,0))),INDEX(Rohdaten!$A$82:$LJ$82,MATCH(R$4,RD_Kopf,0)),NA()),NA())</f>
        <v>0</v>
      </c>
      <c r="S87" s="68">
        <f>IFERROR(IF(ISNUMBER(INDEX(Rohdaten!$A$82:$LJ$82,MATCH(S$4,RD_Kopf,0))),INDEX(Rohdaten!$A$82:$LJ$82,MATCH(S$4,RD_Kopf,0)),NA()),NA())</f>
        <v>0</v>
      </c>
      <c r="T87" s="68">
        <f>IFERROR(IF(ISNUMBER(INDEX(Rohdaten!$A$82:$LJ$82,MATCH(T$4,RD_Kopf,0))),INDEX(Rohdaten!$A$82:$LJ$82,MATCH(T$4,RD_Kopf,0)),NA()),NA())</f>
        <v>0</v>
      </c>
      <c r="U87" s="68">
        <f>IFERROR(IF(ISNUMBER(INDEX(Rohdaten!$A$82:$LJ$82,MATCH(U$4,RD_Kopf,0))),INDEX(Rohdaten!$A$82:$LJ$82,MATCH(U$4,RD_Kopf,0)),NA()),NA())</f>
        <v>0</v>
      </c>
      <c r="V87" s="68">
        <f>IFERROR(IF(ISNUMBER(INDEX(Rohdaten!$A$82:$LJ$82,MATCH(V$4,RD_Kopf,0))),INDEX(Rohdaten!$A$82:$LJ$82,MATCH(V$4,RD_Kopf,0)),NA()),NA())</f>
        <v>0</v>
      </c>
      <c r="W87" s="68">
        <f>IFERROR(IF(ISNUMBER(INDEX(Rohdaten!$A$82:$LJ$82,MATCH(W$4,RD_Kopf,0))),INDEX(Rohdaten!$A$82:$LJ$82,MATCH(W$4,RD_Kopf,0)),NA()),NA())</f>
        <v>0</v>
      </c>
      <c r="X87" s="68">
        <f>IFERROR(IF(ISNUMBER(INDEX(Rohdaten!$A$82:$LJ$82,MATCH(X$4,RD_Kopf,0))),INDEX(Rohdaten!$A$82:$LJ$82,MATCH(X$4,RD_Kopf,0)),NA()),NA())</f>
        <v>0</v>
      </c>
      <c r="Y87" s="68">
        <f>IFERROR(IF(ISNUMBER(INDEX(Rohdaten!$A$82:$LJ$82,MATCH(Y$4,RD_Kopf,0))),INDEX(Rohdaten!$A$82:$LJ$82,MATCH(Y$4,RD_Kopf,0)),NA()),NA())</f>
        <v>0</v>
      </c>
      <c r="Z87" s="68">
        <f>IFERROR(IF(ISNUMBER(INDEX(Rohdaten!$A$82:$LJ$82,MATCH(Z$4,RD_Kopf,0))),INDEX(Rohdaten!$A$82:$LJ$82,MATCH(Z$4,RD_Kopf,0)),NA()),NA())</f>
        <v>0</v>
      </c>
      <c r="AA87" s="68">
        <f>IFERROR(IF(ISNUMBER(INDEX(Rohdaten!$A$82:$LJ$82,MATCH(AA$4,RD_Kopf,0))),INDEX(Rohdaten!$A$82:$LJ$82,MATCH(AA$4,RD_Kopf,0)),NA()),NA())</f>
        <v>0</v>
      </c>
      <c r="AB87" s="68">
        <f>IFERROR(IF(ISNUMBER(INDEX(Rohdaten!$A$82:$LJ$82,MATCH(AB$4,RD_Kopf,0))),INDEX(Rohdaten!$A$82:$LJ$82,MATCH(AB$4,RD_Kopf,0)),NA()),NA())</f>
        <v>0</v>
      </c>
      <c r="AC87" s="68">
        <f>IFERROR(IF(ISNUMBER(INDEX(Rohdaten!$A$82:$LJ$82,MATCH(AC$4,RD_Kopf,0))),INDEX(Rohdaten!$A$82:$LJ$82,MATCH(AC$4,RD_Kopf,0)),NA()),NA())</f>
        <v>0</v>
      </c>
      <c r="AD87" s="68">
        <f>IFERROR(IF(ISNUMBER(INDEX(Rohdaten!$A$82:$LJ$82,MATCH(AD$4,RD_Kopf,0))),INDEX(Rohdaten!$A$82:$LJ$82,MATCH(AD$4,RD_Kopf,0)),NA()),NA())</f>
        <v>0</v>
      </c>
    </row>
    <row r="88" spans="1:72">
      <c r="A88" s="11" t="s">
        <v>142</v>
      </c>
      <c r="B88" s="11" t="s">
        <v>707</v>
      </c>
      <c r="C88" s="67" t="s">
        <v>708</v>
      </c>
      <c r="D88" s="68">
        <f>IFERROR(IF(ISNUMBER(INDEX(Rohdaten!$A$84:$LJ$84,MATCH(D$4,RD_Kopf,0))),INDEX(Rohdaten!$A$84:$LJ$84,MATCH(D$4,RD_Kopf,0)),NA()),NA())</f>
        <v>0</v>
      </c>
      <c r="E88" s="68">
        <f>IFERROR(IF(ISNUMBER(INDEX(Rohdaten!$A$84:$LJ$84,MATCH(E$4,RD_Kopf,0))),INDEX(Rohdaten!$A$84:$LJ$84,MATCH(E$4,RD_Kopf,0)),NA()),NA())</f>
        <v>0</v>
      </c>
      <c r="F88" s="68">
        <f>IFERROR(IF(ISNUMBER(INDEX(Rohdaten!$A$84:$LJ$84,MATCH(F$4,RD_Kopf,0))),INDEX(Rohdaten!$A$84:$LJ$84,MATCH(F$4,RD_Kopf,0)),NA()),NA())</f>
        <v>0</v>
      </c>
      <c r="G88" s="68">
        <f>IFERROR(IF(ISNUMBER(INDEX(Rohdaten!$A$84:$LJ$84,MATCH(G$4,RD_Kopf,0))),INDEX(Rohdaten!$A$84:$LJ$84,MATCH(G$4,RD_Kopf,0)),NA()),NA())</f>
        <v>0</v>
      </c>
      <c r="H88" s="68">
        <f>IFERROR(IF(ISNUMBER(INDEX(Rohdaten!$A$84:$LJ$84,MATCH(H$4,RD_Kopf,0))),INDEX(Rohdaten!$A$84:$LJ$84,MATCH(H$4,RD_Kopf,0)),NA()),NA())</f>
        <v>0</v>
      </c>
      <c r="I88" s="68">
        <f>IFERROR(IF(ISNUMBER(INDEX(Rohdaten!$A$84:$LJ$84,MATCH(I$4,RD_Kopf,0))),INDEX(Rohdaten!$A$84:$LJ$84,MATCH(I$4,RD_Kopf,0)),NA()),NA())</f>
        <v>0</v>
      </c>
      <c r="J88" s="68">
        <f>IFERROR(IF(ISNUMBER(INDEX(Rohdaten!$A$84:$LJ$84,MATCH(J$4,RD_Kopf,0))),INDEX(Rohdaten!$A$84:$LJ$84,MATCH(J$4,RD_Kopf,0)),NA()),NA())</f>
        <v>0</v>
      </c>
      <c r="K88" s="68">
        <f>IFERROR(IF(ISNUMBER(INDEX(Rohdaten!$A$84:$LJ$84,MATCH(K$4,RD_Kopf,0))),INDEX(Rohdaten!$A$84:$LJ$84,MATCH(K$4,RD_Kopf,0)),NA()),NA())</f>
        <v>0</v>
      </c>
      <c r="L88" s="68">
        <f>IFERROR(IF(ISNUMBER(INDEX(Rohdaten!$A$84:$LJ$84,MATCH(L$4,RD_Kopf,0))),INDEX(Rohdaten!$A$84:$LJ$84,MATCH(L$4,RD_Kopf,0)),NA()),NA())</f>
        <v>0</v>
      </c>
      <c r="M88" s="68">
        <f>IFERROR(IF(ISNUMBER(INDEX(Rohdaten!$A$84:$LJ$84,MATCH(M$4,RD_Kopf,0))),INDEX(Rohdaten!$A$84:$LJ$84,MATCH(M$4,RD_Kopf,0)),NA()),NA())</f>
        <v>0</v>
      </c>
      <c r="N88" s="68">
        <f>IFERROR(IF(ISNUMBER(INDEX(Rohdaten!$A$84:$LJ$84,MATCH(N$4,RD_Kopf,0))),INDEX(Rohdaten!$A$84:$LJ$84,MATCH(N$4,RD_Kopf,0)),NA()),NA())</f>
        <v>0</v>
      </c>
      <c r="O88" s="68">
        <f>IFERROR(IF(ISNUMBER(INDEX(Rohdaten!$A$84:$LJ$84,MATCH(O$4,RD_Kopf,0))),INDEX(Rohdaten!$A$84:$LJ$84,MATCH(O$4,RD_Kopf,0)),NA()),NA())</f>
        <v>0</v>
      </c>
      <c r="P88" s="68">
        <f>IFERROR(IF(ISNUMBER(INDEX(Rohdaten!$A$84:$LJ$84,MATCH(P$4,RD_Kopf,0))),INDEX(Rohdaten!$A$84:$LJ$84,MATCH(P$4,RD_Kopf,0)),NA()),NA())</f>
        <v>0</v>
      </c>
      <c r="Q88" s="68">
        <f>IFERROR(IF(ISNUMBER(INDEX(Rohdaten!$A$84:$LJ$84,MATCH(Q$4,RD_Kopf,0))),INDEX(Rohdaten!$A$84:$LJ$84,MATCH(Q$4,RD_Kopf,0)),NA()),NA())</f>
        <v>0</v>
      </c>
      <c r="R88" s="68">
        <f>IFERROR(IF(ISNUMBER(INDEX(Rohdaten!$A$84:$LJ$84,MATCH(R$4,RD_Kopf,0))),INDEX(Rohdaten!$A$84:$LJ$84,MATCH(R$4,RD_Kopf,0)),NA()),NA())</f>
        <v>0</v>
      </c>
      <c r="S88" s="68">
        <f>IFERROR(IF(ISNUMBER(INDEX(Rohdaten!$A$84:$LJ$84,MATCH(S$4,RD_Kopf,0))),INDEX(Rohdaten!$A$84:$LJ$84,MATCH(S$4,RD_Kopf,0)),NA()),NA())</f>
        <v>0</v>
      </c>
      <c r="T88" s="68">
        <f>IFERROR(IF(ISNUMBER(INDEX(Rohdaten!$A$84:$LJ$84,MATCH(T$4,RD_Kopf,0))),INDEX(Rohdaten!$A$84:$LJ$84,MATCH(T$4,RD_Kopf,0)),NA()),NA())</f>
        <v>0</v>
      </c>
      <c r="U88" s="68">
        <f>IFERROR(IF(ISNUMBER(INDEX(Rohdaten!$A$84:$LJ$84,MATCH(U$4,RD_Kopf,0))),INDEX(Rohdaten!$A$84:$LJ$84,MATCH(U$4,RD_Kopf,0)),NA()),NA())</f>
        <v>0</v>
      </c>
      <c r="V88" s="68">
        <f>IFERROR(IF(ISNUMBER(INDEX(Rohdaten!$A$84:$LJ$84,MATCH(V$4,RD_Kopf,0))),INDEX(Rohdaten!$A$84:$LJ$84,MATCH(V$4,RD_Kopf,0)),NA()),NA())</f>
        <v>0</v>
      </c>
      <c r="W88" s="68">
        <f>IFERROR(IF(ISNUMBER(INDEX(Rohdaten!$A$84:$LJ$84,MATCH(W$4,RD_Kopf,0))),INDEX(Rohdaten!$A$84:$LJ$84,MATCH(W$4,RD_Kopf,0)),NA()),NA())</f>
        <v>0</v>
      </c>
      <c r="X88" s="68">
        <f>IFERROR(IF(ISNUMBER(INDEX(Rohdaten!$A$84:$LJ$84,MATCH(X$4,RD_Kopf,0))),INDEX(Rohdaten!$A$84:$LJ$84,MATCH(X$4,RD_Kopf,0)),NA()),NA())</f>
        <v>0</v>
      </c>
      <c r="Y88" s="68">
        <f>IFERROR(IF(ISNUMBER(INDEX(Rohdaten!$A$84:$LJ$84,MATCH(Y$4,RD_Kopf,0))),INDEX(Rohdaten!$A$84:$LJ$84,MATCH(Y$4,RD_Kopf,0)),NA()),NA())</f>
        <v>0</v>
      </c>
      <c r="Z88" s="68">
        <f>IFERROR(IF(ISNUMBER(INDEX(Rohdaten!$A$84:$LJ$84,MATCH(Z$4,RD_Kopf,0))),INDEX(Rohdaten!$A$84:$LJ$84,MATCH(Z$4,RD_Kopf,0)),NA()),NA())</f>
        <v>0</v>
      </c>
      <c r="AA88" s="68">
        <f>IFERROR(IF(ISNUMBER(INDEX(Rohdaten!$A$84:$LJ$84,MATCH(AA$4,RD_Kopf,0))),INDEX(Rohdaten!$A$84:$LJ$84,MATCH(AA$4,RD_Kopf,0)),NA()),NA())</f>
        <v>0</v>
      </c>
      <c r="AB88" s="68">
        <f>IFERROR(IF(ISNUMBER(INDEX(Rohdaten!$A$84:$LJ$84,MATCH(AB$4,RD_Kopf,0))),INDEX(Rohdaten!$A$84:$LJ$84,MATCH(AB$4,RD_Kopf,0)),NA()),NA())</f>
        <v>0</v>
      </c>
      <c r="AC88" s="68">
        <f>IFERROR(IF(ISNUMBER(INDEX(Rohdaten!$A$84:$LJ$84,MATCH(AC$4,RD_Kopf,0))),INDEX(Rohdaten!$A$84:$LJ$84,MATCH(AC$4,RD_Kopf,0)),NA()),NA())</f>
        <v>0</v>
      </c>
      <c r="AD88" s="68">
        <f>IFERROR(IF(ISNUMBER(INDEX(Rohdaten!$A$84:$LJ$84,MATCH(AD$4,RD_Kopf,0))),INDEX(Rohdaten!$A$84:$LJ$84,MATCH(AD$4,RD_Kopf,0)),NA()),NA())</f>
        <v>0</v>
      </c>
    </row>
    <row r="89" spans="1:72">
      <c r="A89" s="11" t="s">
        <v>151</v>
      </c>
      <c r="B89" s="11" t="s">
        <v>709</v>
      </c>
      <c r="C89" s="67" t="s">
        <v>710</v>
      </c>
      <c r="D89" s="68">
        <f>IFERROR(IF(ISNUMBER(INDEX(Rohdaten!$A$88:$LJ$88,MATCH(D$4,RD_Kopf,0))),INDEX(Rohdaten!$A$88:$LJ$88,MATCH(D$4,RD_Kopf,0)),NA()),NA())</f>
        <v>0</v>
      </c>
      <c r="E89" s="68">
        <f>IFERROR(IF(ISNUMBER(INDEX(Rohdaten!$A$88:$LJ$88,MATCH(E$4,RD_Kopf,0))),INDEX(Rohdaten!$A$88:$LJ$88,MATCH(E$4,RD_Kopf,0)),NA()),NA())</f>
        <v>0</v>
      </c>
      <c r="F89" s="68">
        <f>IFERROR(IF(ISNUMBER(INDEX(Rohdaten!$A$88:$LJ$88,MATCH(F$4,RD_Kopf,0))),INDEX(Rohdaten!$A$88:$LJ$88,MATCH(F$4,RD_Kopf,0)),NA()),NA())</f>
        <v>0</v>
      </c>
      <c r="G89" s="68">
        <f>IFERROR(IF(ISNUMBER(INDEX(Rohdaten!$A$88:$LJ$88,MATCH(G$4,RD_Kopf,0))),INDEX(Rohdaten!$A$88:$LJ$88,MATCH(G$4,RD_Kopf,0)),NA()),NA())</f>
        <v>0</v>
      </c>
      <c r="H89" s="68">
        <f>IFERROR(IF(ISNUMBER(INDEX(Rohdaten!$A$88:$LJ$88,MATCH(H$4,RD_Kopf,0))),INDEX(Rohdaten!$A$88:$LJ$88,MATCH(H$4,RD_Kopf,0)),NA()),NA())</f>
        <v>0</v>
      </c>
      <c r="I89" s="68">
        <f>IFERROR(IF(ISNUMBER(INDEX(Rohdaten!$A$88:$LJ$88,MATCH(I$4,RD_Kopf,0))),INDEX(Rohdaten!$A$88:$LJ$88,MATCH(I$4,RD_Kopf,0)),NA()),NA())</f>
        <v>0</v>
      </c>
      <c r="J89" s="68">
        <f>IFERROR(IF(ISNUMBER(INDEX(Rohdaten!$A$88:$LJ$88,MATCH(J$4,RD_Kopf,0))),INDEX(Rohdaten!$A$88:$LJ$88,MATCH(J$4,RD_Kopf,0)),NA()),NA())</f>
        <v>0</v>
      </c>
      <c r="K89" s="68">
        <f>IFERROR(IF(ISNUMBER(INDEX(Rohdaten!$A$88:$LJ$88,MATCH(K$4,RD_Kopf,0))),INDEX(Rohdaten!$A$88:$LJ$88,MATCH(K$4,RD_Kopf,0)),NA()),NA())</f>
        <v>0</v>
      </c>
      <c r="L89" s="68">
        <f>IFERROR(IF(ISNUMBER(INDEX(Rohdaten!$A$88:$LJ$88,MATCH(L$4,RD_Kopf,0))),INDEX(Rohdaten!$A$88:$LJ$88,MATCH(L$4,RD_Kopf,0)),NA()),NA())</f>
        <v>0</v>
      </c>
      <c r="M89" s="68">
        <f>IFERROR(IF(ISNUMBER(INDEX(Rohdaten!$A$88:$LJ$88,MATCH(M$4,RD_Kopf,0))),INDEX(Rohdaten!$A$88:$LJ$88,MATCH(M$4,RD_Kopf,0)),NA()),NA())</f>
        <v>0</v>
      </c>
      <c r="N89" s="68">
        <f>IFERROR(IF(ISNUMBER(INDEX(Rohdaten!$A$88:$LJ$88,MATCH(N$4,RD_Kopf,0))),INDEX(Rohdaten!$A$88:$LJ$88,MATCH(N$4,RD_Kopf,0)),NA()),NA())</f>
        <v>0</v>
      </c>
      <c r="O89" s="68">
        <f>IFERROR(IF(ISNUMBER(INDEX(Rohdaten!$A$88:$LJ$88,MATCH(O$4,RD_Kopf,0))),INDEX(Rohdaten!$A$88:$LJ$88,MATCH(O$4,RD_Kopf,0)),NA()),NA())</f>
        <v>0</v>
      </c>
      <c r="P89" s="68">
        <f>IFERROR(IF(ISNUMBER(INDEX(Rohdaten!$A$88:$LJ$88,MATCH(P$4,RD_Kopf,0))),INDEX(Rohdaten!$A$88:$LJ$88,MATCH(P$4,RD_Kopf,0)),NA()),NA())</f>
        <v>0</v>
      </c>
      <c r="Q89" s="68">
        <f>IFERROR(IF(ISNUMBER(INDEX(Rohdaten!$A$88:$LJ$88,MATCH(Q$4,RD_Kopf,0))),INDEX(Rohdaten!$A$88:$LJ$88,MATCH(Q$4,RD_Kopf,0)),NA()),NA())</f>
        <v>0</v>
      </c>
      <c r="R89" s="68">
        <f>IFERROR(IF(ISNUMBER(INDEX(Rohdaten!$A$88:$LJ$88,MATCH(R$4,RD_Kopf,0))),INDEX(Rohdaten!$A$88:$LJ$88,MATCH(R$4,RD_Kopf,0)),NA()),NA())</f>
        <v>0</v>
      </c>
      <c r="S89" s="68">
        <f>IFERROR(IF(ISNUMBER(INDEX(Rohdaten!$A$88:$LJ$88,MATCH(S$4,RD_Kopf,0))),INDEX(Rohdaten!$A$88:$LJ$88,MATCH(S$4,RD_Kopf,0)),NA()),NA())</f>
        <v>0</v>
      </c>
      <c r="T89" s="68">
        <f>IFERROR(IF(ISNUMBER(INDEX(Rohdaten!$A$88:$LJ$88,MATCH(T$4,RD_Kopf,0))),INDEX(Rohdaten!$A$88:$LJ$88,MATCH(T$4,RD_Kopf,0)),NA()),NA())</f>
        <v>0</v>
      </c>
      <c r="U89" s="68">
        <f>IFERROR(IF(ISNUMBER(INDEX(Rohdaten!$A$88:$LJ$88,MATCH(U$4,RD_Kopf,0))),INDEX(Rohdaten!$A$88:$LJ$88,MATCH(U$4,RD_Kopf,0)),NA()),NA())</f>
        <v>0</v>
      </c>
      <c r="V89" s="68">
        <f>IFERROR(IF(ISNUMBER(INDEX(Rohdaten!$A$88:$LJ$88,MATCH(V$4,RD_Kopf,0))),INDEX(Rohdaten!$A$88:$LJ$88,MATCH(V$4,RD_Kopf,0)),NA()),NA())</f>
        <v>0</v>
      </c>
      <c r="W89" s="68">
        <f>IFERROR(IF(ISNUMBER(INDEX(Rohdaten!$A$88:$LJ$88,MATCH(W$4,RD_Kopf,0))),INDEX(Rohdaten!$A$88:$LJ$88,MATCH(W$4,RD_Kopf,0)),NA()),NA())</f>
        <v>0</v>
      </c>
      <c r="X89" s="68">
        <f>IFERROR(IF(ISNUMBER(INDEX(Rohdaten!$A$88:$LJ$88,MATCH(X$4,RD_Kopf,0))),INDEX(Rohdaten!$A$88:$LJ$88,MATCH(X$4,RD_Kopf,0)),NA()),NA())</f>
        <v>0</v>
      </c>
      <c r="Y89" s="68">
        <f>IFERROR(IF(ISNUMBER(INDEX(Rohdaten!$A$88:$LJ$88,MATCH(Y$4,RD_Kopf,0))),INDEX(Rohdaten!$A$88:$LJ$88,MATCH(Y$4,RD_Kopf,0)),NA()),NA())</f>
        <v>0</v>
      </c>
      <c r="Z89" s="68">
        <f>IFERROR(IF(ISNUMBER(INDEX(Rohdaten!$A$88:$LJ$88,MATCH(Z$4,RD_Kopf,0))),INDEX(Rohdaten!$A$88:$LJ$88,MATCH(Z$4,RD_Kopf,0)),NA()),NA())</f>
        <v>0</v>
      </c>
      <c r="AA89" s="68">
        <f>IFERROR(IF(ISNUMBER(INDEX(Rohdaten!$A$88:$LJ$88,MATCH(AA$4,RD_Kopf,0))),INDEX(Rohdaten!$A$88:$LJ$88,MATCH(AA$4,RD_Kopf,0)),NA()),NA())</f>
        <v>0</v>
      </c>
      <c r="AB89" s="68">
        <f>IFERROR(IF(ISNUMBER(INDEX(Rohdaten!$A$88:$LJ$88,MATCH(AB$4,RD_Kopf,0))),INDEX(Rohdaten!$A$88:$LJ$88,MATCH(AB$4,RD_Kopf,0)),NA()),NA())</f>
        <v>0</v>
      </c>
      <c r="AC89" s="68">
        <f>IFERROR(IF(ISNUMBER(INDEX(Rohdaten!$A$88:$LJ$88,MATCH(AC$4,RD_Kopf,0))),INDEX(Rohdaten!$A$88:$LJ$88,MATCH(AC$4,RD_Kopf,0)),NA()),NA())</f>
        <v>0</v>
      </c>
      <c r="AD89" s="68">
        <f>IFERROR(IF(ISNUMBER(INDEX(Rohdaten!$A$88:$LJ$88,MATCH(AD$4,RD_Kopf,0))),INDEX(Rohdaten!$A$88:$LJ$88,MATCH(AD$4,RD_Kopf,0)),NA()),NA())</f>
        <v>0</v>
      </c>
    </row>
    <row r="90" spans="1:72">
      <c r="A90" s="11" t="s">
        <v>144</v>
      </c>
      <c r="B90" s="11" t="s">
        <v>711</v>
      </c>
      <c r="C90" s="67" t="s">
        <v>712</v>
      </c>
      <c r="D90" s="68">
        <f>IFERROR(IF(ISNUMBER(INDEX(Rohdaten!$A$85:$LJ$85,MATCH(D$4,RD_Kopf,0))),INDEX(Rohdaten!$A$85:$LJ$85,MATCH(D$4,RD_Kopf,0)),NA()),NA())</f>
        <v>0</v>
      </c>
      <c r="E90" s="68">
        <f>IFERROR(IF(ISNUMBER(INDEX(Rohdaten!$A$85:$LJ$85,MATCH(E$4,RD_Kopf,0))),INDEX(Rohdaten!$A$85:$LJ$85,MATCH(E$4,RD_Kopf,0)),NA()),NA())</f>
        <v>0</v>
      </c>
      <c r="F90" s="68">
        <f>IFERROR(IF(ISNUMBER(INDEX(Rohdaten!$A$85:$LJ$85,MATCH(F$4,RD_Kopf,0))),INDEX(Rohdaten!$A$85:$LJ$85,MATCH(F$4,RD_Kopf,0)),NA()),NA())</f>
        <v>0</v>
      </c>
      <c r="G90" s="68">
        <f>IFERROR(IF(ISNUMBER(INDEX(Rohdaten!$A$85:$LJ$85,MATCH(G$4,RD_Kopf,0))),INDEX(Rohdaten!$A$85:$LJ$85,MATCH(G$4,RD_Kopf,0)),NA()),NA())</f>
        <v>0</v>
      </c>
      <c r="H90" s="68">
        <f>IFERROR(IF(ISNUMBER(INDEX(Rohdaten!$A$85:$LJ$85,MATCH(H$4,RD_Kopf,0))),INDEX(Rohdaten!$A$85:$LJ$85,MATCH(H$4,RD_Kopf,0)),NA()),NA())</f>
        <v>0</v>
      </c>
      <c r="I90" s="68">
        <f>IFERROR(IF(ISNUMBER(INDEX(Rohdaten!$A$85:$LJ$85,MATCH(I$4,RD_Kopf,0))),INDEX(Rohdaten!$A$85:$LJ$85,MATCH(I$4,RD_Kopf,0)),NA()),NA())</f>
        <v>0</v>
      </c>
      <c r="J90" s="68">
        <f>IFERROR(IF(ISNUMBER(INDEX(Rohdaten!$A$85:$LJ$85,MATCH(J$4,RD_Kopf,0))),INDEX(Rohdaten!$A$85:$LJ$85,MATCH(J$4,RD_Kopf,0)),NA()),NA())</f>
        <v>0</v>
      </c>
      <c r="K90" s="68">
        <f>IFERROR(IF(ISNUMBER(INDEX(Rohdaten!$A$85:$LJ$85,MATCH(K$4,RD_Kopf,0))),INDEX(Rohdaten!$A$85:$LJ$85,MATCH(K$4,RD_Kopf,0)),NA()),NA())</f>
        <v>0</v>
      </c>
      <c r="L90" s="68">
        <f>IFERROR(IF(ISNUMBER(INDEX(Rohdaten!$A$85:$LJ$85,MATCH(L$4,RD_Kopf,0))),INDEX(Rohdaten!$A$85:$LJ$85,MATCH(L$4,RD_Kopf,0)),NA()),NA())</f>
        <v>0</v>
      </c>
      <c r="M90" s="68">
        <f>IFERROR(IF(ISNUMBER(INDEX(Rohdaten!$A$85:$LJ$85,MATCH(M$4,RD_Kopf,0))),INDEX(Rohdaten!$A$85:$LJ$85,MATCH(M$4,RD_Kopf,0)),NA()),NA())</f>
        <v>0</v>
      </c>
      <c r="N90" s="68">
        <f>IFERROR(IF(ISNUMBER(INDEX(Rohdaten!$A$85:$LJ$85,MATCH(N$4,RD_Kopf,0))),INDEX(Rohdaten!$A$85:$LJ$85,MATCH(N$4,RD_Kopf,0)),NA()),NA())</f>
        <v>0</v>
      </c>
      <c r="O90" s="68">
        <f>IFERROR(IF(ISNUMBER(INDEX(Rohdaten!$A$85:$LJ$85,MATCH(O$4,RD_Kopf,0))),INDEX(Rohdaten!$A$85:$LJ$85,MATCH(O$4,RD_Kopf,0)),NA()),NA())</f>
        <v>0</v>
      </c>
      <c r="P90" s="68">
        <f>IFERROR(IF(ISNUMBER(INDEX(Rohdaten!$A$85:$LJ$85,MATCH(P$4,RD_Kopf,0))),INDEX(Rohdaten!$A$85:$LJ$85,MATCH(P$4,RD_Kopf,0)),NA()),NA())</f>
        <v>0</v>
      </c>
      <c r="Q90" s="68">
        <f>IFERROR(IF(ISNUMBER(INDEX(Rohdaten!$A$85:$LJ$85,MATCH(Q$4,RD_Kopf,0))),INDEX(Rohdaten!$A$85:$LJ$85,MATCH(Q$4,RD_Kopf,0)),NA()),NA())</f>
        <v>0</v>
      </c>
      <c r="R90" s="68">
        <f>IFERROR(IF(ISNUMBER(INDEX(Rohdaten!$A$85:$LJ$85,MATCH(R$4,RD_Kopf,0))),INDEX(Rohdaten!$A$85:$LJ$85,MATCH(R$4,RD_Kopf,0)),NA()),NA())</f>
        <v>0</v>
      </c>
      <c r="S90" s="68">
        <f>IFERROR(IF(ISNUMBER(INDEX(Rohdaten!$A$85:$LJ$85,MATCH(S$4,RD_Kopf,0))),INDEX(Rohdaten!$A$85:$LJ$85,MATCH(S$4,RD_Kopf,0)),NA()),NA())</f>
        <v>0</v>
      </c>
      <c r="T90" s="68">
        <f>IFERROR(IF(ISNUMBER(INDEX(Rohdaten!$A$85:$LJ$85,MATCH(T$4,RD_Kopf,0))),INDEX(Rohdaten!$A$85:$LJ$85,MATCH(T$4,RD_Kopf,0)),NA()),NA())</f>
        <v>0</v>
      </c>
      <c r="U90" s="68">
        <f>IFERROR(IF(ISNUMBER(INDEX(Rohdaten!$A$85:$LJ$85,MATCH(U$4,RD_Kopf,0))),INDEX(Rohdaten!$A$85:$LJ$85,MATCH(U$4,RD_Kopf,0)),NA()),NA())</f>
        <v>0</v>
      </c>
      <c r="V90" s="68">
        <f>IFERROR(IF(ISNUMBER(INDEX(Rohdaten!$A$85:$LJ$85,MATCH(V$4,RD_Kopf,0))),INDEX(Rohdaten!$A$85:$LJ$85,MATCH(V$4,RD_Kopf,0)),NA()),NA())</f>
        <v>0</v>
      </c>
      <c r="W90" s="68">
        <f>IFERROR(IF(ISNUMBER(INDEX(Rohdaten!$A$85:$LJ$85,MATCH(W$4,RD_Kopf,0))),INDEX(Rohdaten!$A$85:$LJ$85,MATCH(W$4,RD_Kopf,0)),NA()),NA())</f>
        <v>0</v>
      </c>
      <c r="X90" s="68">
        <f>IFERROR(IF(ISNUMBER(INDEX(Rohdaten!$A$85:$LJ$85,MATCH(X$4,RD_Kopf,0))),INDEX(Rohdaten!$A$85:$LJ$85,MATCH(X$4,RD_Kopf,0)),NA()),NA())</f>
        <v>0</v>
      </c>
      <c r="Y90" s="68">
        <f>IFERROR(IF(ISNUMBER(INDEX(Rohdaten!$A$85:$LJ$85,MATCH(Y$4,RD_Kopf,0))),INDEX(Rohdaten!$A$85:$LJ$85,MATCH(Y$4,RD_Kopf,0)),NA()),NA())</f>
        <v>0</v>
      </c>
      <c r="Z90" s="68">
        <f>IFERROR(IF(ISNUMBER(INDEX(Rohdaten!$A$85:$LJ$85,MATCH(Z$4,RD_Kopf,0))),INDEX(Rohdaten!$A$85:$LJ$85,MATCH(Z$4,RD_Kopf,0)),NA()),NA())</f>
        <v>0</v>
      </c>
      <c r="AA90" s="68">
        <f>IFERROR(IF(ISNUMBER(INDEX(Rohdaten!$A$85:$LJ$85,MATCH(AA$4,RD_Kopf,0))),INDEX(Rohdaten!$A$85:$LJ$85,MATCH(AA$4,RD_Kopf,0)),NA()),NA())</f>
        <v>0</v>
      </c>
      <c r="AB90" s="68">
        <f>IFERROR(IF(ISNUMBER(INDEX(Rohdaten!$A$85:$LJ$85,MATCH(AB$4,RD_Kopf,0))),INDEX(Rohdaten!$A$85:$LJ$85,MATCH(AB$4,RD_Kopf,0)),NA()),NA())</f>
        <v>0</v>
      </c>
      <c r="AC90" s="68">
        <f>IFERROR(IF(ISNUMBER(INDEX(Rohdaten!$A$85:$LJ$85,MATCH(AC$4,RD_Kopf,0))),INDEX(Rohdaten!$A$85:$LJ$85,MATCH(AC$4,RD_Kopf,0)),NA()),NA())</f>
        <v>0</v>
      </c>
      <c r="AD90" s="68">
        <f>IFERROR(IF(ISNUMBER(INDEX(Rohdaten!$A$85:$LJ$85,MATCH(AD$4,RD_Kopf,0))),INDEX(Rohdaten!$A$85:$LJ$85,MATCH(AD$4,RD_Kopf,0)),NA()),NA())</f>
        <v>0</v>
      </c>
    </row>
    <row r="91" spans="1:72">
      <c r="A91" s="11" t="s">
        <v>153</v>
      </c>
      <c r="B91" s="11" t="s">
        <v>713</v>
      </c>
      <c r="C91" s="67" t="s">
        <v>714</v>
      </c>
      <c r="D91" s="68">
        <f>IFERROR(IF(ISNUMBER(INDEX(Rohdaten!$A$89:$LJ$89,MATCH(D$4,RD_Kopf,0))),INDEX(Rohdaten!$A$89:$LJ$89,MATCH(D$4,RD_Kopf,0)),NA()),NA())</f>
        <v>0</v>
      </c>
      <c r="E91" s="68">
        <f>IFERROR(IF(ISNUMBER(INDEX(Rohdaten!$A$89:$LJ$89,MATCH(E$4,RD_Kopf,0))),INDEX(Rohdaten!$A$89:$LJ$89,MATCH(E$4,RD_Kopf,0)),NA()),NA())</f>
        <v>0</v>
      </c>
      <c r="F91" s="68">
        <f>IFERROR(IF(ISNUMBER(INDEX(Rohdaten!$A$89:$LJ$89,MATCH(F$4,RD_Kopf,0))),INDEX(Rohdaten!$A$89:$LJ$89,MATCH(F$4,RD_Kopf,0)),NA()),NA())</f>
        <v>0</v>
      </c>
      <c r="G91" s="68">
        <f>IFERROR(IF(ISNUMBER(INDEX(Rohdaten!$A$89:$LJ$89,MATCH(G$4,RD_Kopf,0))),INDEX(Rohdaten!$A$89:$LJ$89,MATCH(G$4,RD_Kopf,0)),NA()),NA())</f>
        <v>0</v>
      </c>
      <c r="H91" s="68">
        <f>IFERROR(IF(ISNUMBER(INDEX(Rohdaten!$A$89:$LJ$89,MATCH(H$4,RD_Kopf,0))),INDEX(Rohdaten!$A$89:$LJ$89,MATCH(H$4,RD_Kopf,0)),NA()),NA())</f>
        <v>0</v>
      </c>
      <c r="I91" s="68">
        <f>IFERROR(IF(ISNUMBER(INDEX(Rohdaten!$A$89:$LJ$89,MATCH(I$4,RD_Kopf,0))),INDEX(Rohdaten!$A$89:$LJ$89,MATCH(I$4,RD_Kopf,0)),NA()),NA())</f>
        <v>0</v>
      </c>
      <c r="J91" s="68">
        <f>IFERROR(IF(ISNUMBER(INDEX(Rohdaten!$A$89:$LJ$89,MATCH(J$4,RD_Kopf,0))),INDEX(Rohdaten!$A$89:$LJ$89,MATCH(J$4,RD_Kopf,0)),NA()),NA())</f>
        <v>0</v>
      </c>
      <c r="K91" s="68">
        <f>IFERROR(IF(ISNUMBER(INDEX(Rohdaten!$A$89:$LJ$89,MATCH(K$4,RD_Kopf,0))),INDEX(Rohdaten!$A$89:$LJ$89,MATCH(K$4,RD_Kopf,0)),NA()),NA())</f>
        <v>0</v>
      </c>
      <c r="L91" s="68">
        <f>IFERROR(IF(ISNUMBER(INDEX(Rohdaten!$A$89:$LJ$89,MATCH(L$4,RD_Kopf,0))),INDEX(Rohdaten!$A$89:$LJ$89,MATCH(L$4,RD_Kopf,0)),NA()),NA())</f>
        <v>0</v>
      </c>
      <c r="M91" s="68">
        <f>IFERROR(IF(ISNUMBER(INDEX(Rohdaten!$A$89:$LJ$89,MATCH(M$4,RD_Kopf,0))),INDEX(Rohdaten!$A$89:$LJ$89,MATCH(M$4,RD_Kopf,0)),NA()),NA())</f>
        <v>0</v>
      </c>
      <c r="N91" s="68">
        <f>IFERROR(IF(ISNUMBER(INDEX(Rohdaten!$A$89:$LJ$89,MATCH(N$4,RD_Kopf,0))),INDEX(Rohdaten!$A$89:$LJ$89,MATCH(N$4,RD_Kopf,0)),NA()),NA())</f>
        <v>0</v>
      </c>
      <c r="O91" s="68">
        <f>IFERROR(IF(ISNUMBER(INDEX(Rohdaten!$A$89:$LJ$89,MATCH(O$4,RD_Kopf,0))),INDEX(Rohdaten!$A$89:$LJ$89,MATCH(O$4,RD_Kopf,0)),NA()),NA())</f>
        <v>0</v>
      </c>
      <c r="P91" s="68">
        <f>IFERROR(IF(ISNUMBER(INDEX(Rohdaten!$A$89:$LJ$89,MATCH(P$4,RD_Kopf,0))),INDEX(Rohdaten!$A$89:$LJ$89,MATCH(P$4,RD_Kopf,0)),NA()),NA())</f>
        <v>0</v>
      </c>
      <c r="Q91" s="68">
        <f>IFERROR(IF(ISNUMBER(INDEX(Rohdaten!$A$89:$LJ$89,MATCH(Q$4,RD_Kopf,0))),INDEX(Rohdaten!$A$89:$LJ$89,MATCH(Q$4,RD_Kopf,0)),NA()),NA())</f>
        <v>0</v>
      </c>
      <c r="R91" s="68">
        <f>IFERROR(IF(ISNUMBER(INDEX(Rohdaten!$A$89:$LJ$89,MATCH(R$4,RD_Kopf,0))),INDEX(Rohdaten!$A$89:$LJ$89,MATCH(R$4,RD_Kopf,0)),NA()),NA())</f>
        <v>0</v>
      </c>
      <c r="S91" s="68">
        <f>IFERROR(IF(ISNUMBER(INDEX(Rohdaten!$A$89:$LJ$89,MATCH(S$4,RD_Kopf,0))),INDEX(Rohdaten!$A$89:$LJ$89,MATCH(S$4,RD_Kopf,0)),NA()),NA())</f>
        <v>0</v>
      </c>
      <c r="T91" s="68">
        <f>IFERROR(IF(ISNUMBER(INDEX(Rohdaten!$A$89:$LJ$89,MATCH(T$4,RD_Kopf,0))),INDEX(Rohdaten!$A$89:$LJ$89,MATCH(T$4,RD_Kopf,0)),NA()),NA())</f>
        <v>0</v>
      </c>
      <c r="U91" s="68">
        <f>IFERROR(IF(ISNUMBER(INDEX(Rohdaten!$A$89:$LJ$89,MATCH(U$4,RD_Kopf,0))),INDEX(Rohdaten!$A$89:$LJ$89,MATCH(U$4,RD_Kopf,0)),NA()),NA())</f>
        <v>0</v>
      </c>
      <c r="V91" s="68">
        <f>IFERROR(IF(ISNUMBER(INDEX(Rohdaten!$A$89:$LJ$89,MATCH(V$4,RD_Kopf,0))),INDEX(Rohdaten!$A$89:$LJ$89,MATCH(V$4,RD_Kopf,0)),NA()),NA())</f>
        <v>0</v>
      </c>
      <c r="W91" s="68">
        <f>IFERROR(IF(ISNUMBER(INDEX(Rohdaten!$A$89:$LJ$89,MATCH(W$4,RD_Kopf,0))),INDEX(Rohdaten!$A$89:$LJ$89,MATCH(W$4,RD_Kopf,0)),NA()),NA())</f>
        <v>0</v>
      </c>
      <c r="X91" s="68">
        <f>IFERROR(IF(ISNUMBER(INDEX(Rohdaten!$A$89:$LJ$89,MATCH(X$4,RD_Kopf,0))),INDEX(Rohdaten!$A$89:$LJ$89,MATCH(X$4,RD_Kopf,0)),NA()),NA())</f>
        <v>0</v>
      </c>
      <c r="Y91" s="68">
        <f>IFERROR(IF(ISNUMBER(INDEX(Rohdaten!$A$89:$LJ$89,MATCH(Y$4,RD_Kopf,0))),INDEX(Rohdaten!$A$89:$LJ$89,MATCH(Y$4,RD_Kopf,0)),NA()),NA())</f>
        <v>0</v>
      </c>
      <c r="Z91" s="68">
        <f>IFERROR(IF(ISNUMBER(INDEX(Rohdaten!$A$89:$LJ$89,MATCH(Z$4,RD_Kopf,0))),INDEX(Rohdaten!$A$89:$LJ$89,MATCH(Z$4,RD_Kopf,0)),NA()),NA())</f>
        <v>0</v>
      </c>
      <c r="AA91" s="68">
        <f>IFERROR(IF(ISNUMBER(INDEX(Rohdaten!$A$89:$LJ$89,MATCH(AA$4,RD_Kopf,0))),INDEX(Rohdaten!$A$89:$LJ$89,MATCH(AA$4,RD_Kopf,0)),NA()),NA())</f>
        <v>0</v>
      </c>
      <c r="AB91" s="68">
        <f>IFERROR(IF(ISNUMBER(INDEX(Rohdaten!$A$89:$LJ$89,MATCH(AB$4,RD_Kopf,0))),INDEX(Rohdaten!$A$89:$LJ$89,MATCH(AB$4,RD_Kopf,0)),NA()),NA())</f>
        <v>0</v>
      </c>
      <c r="AC91" s="68">
        <f>IFERROR(IF(ISNUMBER(INDEX(Rohdaten!$A$89:$LJ$89,MATCH(AC$4,RD_Kopf,0))),INDEX(Rohdaten!$A$89:$LJ$89,MATCH(AC$4,RD_Kopf,0)),NA()),NA())</f>
        <v>0</v>
      </c>
      <c r="AD91" s="68">
        <f>IFERROR(IF(ISNUMBER(INDEX(Rohdaten!$A$89:$LJ$89,MATCH(AD$4,RD_Kopf,0))),INDEX(Rohdaten!$A$89:$LJ$89,MATCH(AD$4,RD_Kopf,0)),NA()),NA())</f>
        <v>0</v>
      </c>
    </row>
    <row r="92" spans="1:72">
      <c r="A92" s="11" t="s">
        <v>146</v>
      </c>
      <c r="B92" s="11" t="s">
        <v>715</v>
      </c>
      <c r="C92" s="67" t="s">
        <v>716</v>
      </c>
      <c r="D92" s="68">
        <f>IFERROR(IF(ISNUMBER(INDEX(Rohdaten!$A$86:$LJ$86,MATCH(D$4,RD_Kopf,0))),INDEX(Rohdaten!$A$86:$LJ$86,MATCH(D$4,RD_Kopf,0)),NA()),NA())</f>
        <v>0</v>
      </c>
      <c r="E92" s="68">
        <f>IFERROR(IF(ISNUMBER(INDEX(Rohdaten!$A$86:$LJ$86,MATCH(E$4,RD_Kopf,0))),INDEX(Rohdaten!$A$86:$LJ$86,MATCH(E$4,RD_Kopf,0)),NA()),NA())</f>
        <v>0</v>
      </c>
      <c r="F92" s="68">
        <f>IFERROR(IF(ISNUMBER(INDEX(Rohdaten!$A$86:$LJ$86,MATCH(F$4,RD_Kopf,0))),INDEX(Rohdaten!$A$86:$LJ$86,MATCH(F$4,RD_Kopf,0)),NA()),NA())</f>
        <v>0</v>
      </c>
      <c r="G92" s="68">
        <f>IFERROR(IF(ISNUMBER(INDEX(Rohdaten!$A$86:$LJ$86,MATCH(G$4,RD_Kopf,0))),INDEX(Rohdaten!$A$86:$LJ$86,MATCH(G$4,RD_Kopf,0)),NA()),NA())</f>
        <v>0</v>
      </c>
      <c r="H92" s="68">
        <f>IFERROR(IF(ISNUMBER(INDEX(Rohdaten!$A$86:$LJ$86,MATCH(H$4,RD_Kopf,0))),INDEX(Rohdaten!$A$86:$LJ$86,MATCH(H$4,RD_Kopf,0)),NA()),NA())</f>
        <v>0</v>
      </c>
      <c r="I92" s="68">
        <f>IFERROR(IF(ISNUMBER(INDEX(Rohdaten!$A$86:$LJ$86,MATCH(I$4,RD_Kopf,0))),INDEX(Rohdaten!$A$86:$LJ$86,MATCH(I$4,RD_Kopf,0)),NA()),NA())</f>
        <v>0</v>
      </c>
      <c r="J92" s="68">
        <f>IFERROR(IF(ISNUMBER(INDEX(Rohdaten!$A$86:$LJ$86,MATCH(J$4,RD_Kopf,0))),INDEX(Rohdaten!$A$86:$LJ$86,MATCH(J$4,RD_Kopf,0)),NA()),NA())</f>
        <v>0</v>
      </c>
      <c r="K92" s="68">
        <f>IFERROR(IF(ISNUMBER(INDEX(Rohdaten!$A$86:$LJ$86,MATCH(K$4,RD_Kopf,0))),INDEX(Rohdaten!$A$86:$LJ$86,MATCH(K$4,RD_Kopf,0)),NA()),NA())</f>
        <v>0</v>
      </c>
      <c r="L92" s="68">
        <f>IFERROR(IF(ISNUMBER(INDEX(Rohdaten!$A$86:$LJ$86,MATCH(L$4,RD_Kopf,0))),INDEX(Rohdaten!$A$86:$LJ$86,MATCH(L$4,RD_Kopf,0)),NA()),NA())</f>
        <v>0</v>
      </c>
      <c r="M92" s="68">
        <f>IFERROR(IF(ISNUMBER(INDEX(Rohdaten!$A$86:$LJ$86,MATCH(M$4,RD_Kopf,0))),INDEX(Rohdaten!$A$86:$LJ$86,MATCH(M$4,RD_Kopf,0)),NA()),NA())</f>
        <v>0</v>
      </c>
      <c r="N92" s="68">
        <f>IFERROR(IF(ISNUMBER(INDEX(Rohdaten!$A$86:$LJ$86,MATCH(N$4,RD_Kopf,0))),INDEX(Rohdaten!$A$86:$LJ$86,MATCH(N$4,RD_Kopf,0)),NA()),NA())</f>
        <v>0</v>
      </c>
      <c r="O92" s="68">
        <f>IFERROR(IF(ISNUMBER(INDEX(Rohdaten!$A$86:$LJ$86,MATCH(O$4,RD_Kopf,0))),INDEX(Rohdaten!$A$86:$LJ$86,MATCH(O$4,RD_Kopf,0)),NA()),NA())</f>
        <v>0</v>
      </c>
      <c r="P92" s="68">
        <f>IFERROR(IF(ISNUMBER(INDEX(Rohdaten!$A$86:$LJ$86,MATCH(P$4,RD_Kopf,0))),INDEX(Rohdaten!$A$86:$LJ$86,MATCH(P$4,RD_Kopf,0)),NA()),NA())</f>
        <v>0</v>
      </c>
      <c r="Q92" s="68">
        <f>IFERROR(IF(ISNUMBER(INDEX(Rohdaten!$A$86:$LJ$86,MATCH(Q$4,RD_Kopf,0))),INDEX(Rohdaten!$A$86:$LJ$86,MATCH(Q$4,RD_Kopf,0)),NA()),NA())</f>
        <v>0</v>
      </c>
      <c r="R92" s="68">
        <f>IFERROR(IF(ISNUMBER(INDEX(Rohdaten!$A$86:$LJ$86,MATCH(R$4,RD_Kopf,0))),INDEX(Rohdaten!$A$86:$LJ$86,MATCH(R$4,RD_Kopf,0)),NA()),NA())</f>
        <v>0</v>
      </c>
      <c r="S92" s="68">
        <f>IFERROR(IF(ISNUMBER(INDEX(Rohdaten!$A$86:$LJ$86,MATCH(S$4,RD_Kopf,0))),INDEX(Rohdaten!$A$86:$LJ$86,MATCH(S$4,RD_Kopf,0)),NA()),NA())</f>
        <v>0</v>
      </c>
      <c r="T92" s="68">
        <f>IFERROR(IF(ISNUMBER(INDEX(Rohdaten!$A$86:$LJ$86,MATCH(T$4,RD_Kopf,0))),INDEX(Rohdaten!$A$86:$LJ$86,MATCH(T$4,RD_Kopf,0)),NA()),NA())</f>
        <v>0</v>
      </c>
      <c r="U92" s="68">
        <f>IFERROR(IF(ISNUMBER(INDEX(Rohdaten!$A$86:$LJ$86,MATCH(U$4,RD_Kopf,0))),INDEX(Rohdaten!$A$86:$LJ$86,MATCH(U$4,RD_Kopf,0)),NA()),NA())</f>
        <v>0</v>
      </c>
      <c r="V92" s="68">
        <f>IFERROR(IF(ISNUMBER(INDEX(Rohdaten!$A$86:$LJ$86,MATCH(V$4,RD_Kopf,0))),INDEX(Rohdaten!$A$86:$LJ$86,MATCH(V$4,RD_Kopf,0)),NA()),NA())</f>
        <v>0</v>
      </c>
      <c r="W92" s="68">
        <f>IFERROR(IF(ISNUMBER(INDEX(Rohdaten!$A$86:$LJ$86,MATCH(W$4,RD_Kopf,0))),INDEX(Rohdaten!$A$86:$LJ$86,MATCH(W$4,RD_Kopf,0)),NA()),NA())</f>
        <v>0</v>
      </c>
      <c r="X92" s="68">
        <f>IFERROR(IF(ISNUMBER(INDEX(Rohdaten!$A$86:$LJ$86,MATCH(X$4,RD_Kopf,0))),INDEX(Rohdaten!$A$86:$LJ$86,MATCH(X$4,RD_Kopf,0)),NA()),NA())</f>
        <v>0</v>
      </c>
      <c r="Y92" s="68">
        <f>IFERROR(IF(ISNUMBER(INDEX(Rohdaten!$A$86:$LJ$86,MATCH(Y$4,RD_Kopf,0))),INDEX(Rohdaten!$A$86:$LJ$86,MATCH(Y$4,RD_Kopf,0)),NA()),NA())</f>
        <v>0</v>
      </c>
      <c r="Z92" s="68">
        <f>IFERROR(IF(ISNUMBER(INDEX(Rohdaten!$A$86:$LJ$86,MATCH(Z$4,RD_Kopf,0))),INDEX(Rohdaten!$A$86:$LJ$86,MATCH(Z$4,RD_Kopf,0)),NA()),NA())</f>
        <v>0</v>
      </c>
      <c r="AA92" s="68">
        <f>IFERROR(IF(ISNUMBER(INDEX(Rohdaten!$A$86:$LJ$86,MATCH(AA$4,RD_Kopf,0))),INDEX(Rohdaten!$A$86:$LJ$86,MATCH(AA$4,RD_Kopf,0)),NA()),NA())</f>
        <v>0</v>
      </c>
      <c r="AB92" s="68">
        <f>IFERROR(IF(ISNUMBER(INDEX(Rohdaten!$A$86:$LJ$86,MATCH(AB$4,RD_Kopf,0))),INDEX(Rohdaten!$A$86:$LJ$86,MATCH(AB$4,RD_Kopf,0)),NA()),NA())</f>
        <v>0</v>
      </c>
      <c r="AC92" s="68">
        <f>IFERROR(IF(ISNUMBER(INDEX(Rohdaten!$A$86:$LJ$86,MATCH(AC$4,RD_Kopf,0))),INDEX(Rohdaten!$A$86:$LJ$86,MATCH(AC$4,RD_Kopf,0)),NA()),NA())</f>
        <v>0</v>
      </c>
      <c r="AD92" s="68">
        <f>IFERROR(IF(ISNUMBER(INDEX(Rohdaten!$A$86:$LJ$86,MATCH(AD$4,RD_Kopf,0))),INDEX(Rohdaten!$A$86:$LJ$86,MATCH(AD$4,RD_Kopf,0)),NA()),NA())</f>
        <v>0</v>
      </c>
    </row>
    <row r="93" spans="1:72">
      <c r="A93" s="11" t="s">
        <v>155</v>
      </c>
      <c r="B93" s="11" t="s">
        <v>717</v>
      </c>
      <c r="C93" s="67" t="s">
        <v>718</v>
      </c>
      <c r="D93" s="68">
        <f>IFERROR(IF(ISNUMBER(INDEX(Rohdaten!$A$90:$LJ$90,MATCH(D$4,RD_Kopf,0))),INDEX(Rohdaten!$A$90:$LJ$90,MATCH(D$4,RD_Kopf,0)),NA()),NA())</f>
        <v>0</v>
      </c>
      <c r="E93" s="68">
        <f>IFERROR(IF(ISNUMBER(INDEX(Rohdaten!$A$90:$LJ$90,MATCH(E$4,RD_Kopf,0))),INDEX(Rohdaten!$A$90:$LJ$90,MATCH(E$4,RD_Kopf,0)),NA()),NA())</f>
        <v>0</v>
      </c>
      <c r="F93" s="68">
        <f>IFERROR(IF(ISNUMBER(INDEX(Rohdaten!$A$90:$LJ$90,MATCH(F$4,RD_Kopf,0))),INDEX(Rohdaten!$A$90:$LJ$90,MATCH(F$4,RD_Kopf,0)),NA()),NA())</f>
        <v>0</v>
      </c>
      <c r="G93" s="68">
        <f>IFERROR(IF(ISNUMBER(INDEX(Rohdaten!$A$90:$LJ$90,MATCH(G$4,RD_Kopf,0))),INDEX(Rohdaten!$A$90:$LJ$90,MATCH(G$4,RD_Kopf,0)),NA()),NA())</f>
        <v>0</v>
      </c>
      <c r="H93" s="68">
        <f>IFERROR(IF(ISNUMBER(INDEX(Rohdaten!$A$90:$LJ$90,MATCH(H$4,RD_Kopf,0))),INDEX(Rohdaten!$A$90:$LJ$90,MATCH(H$4,RD_Kopf,0)),NA()),NA())</f>
        <v>0</v>
      </c>
      <c r="I93" s="68">
        <f>IFERROR(IF(ISNUMBER(INDEX(Rohdaten!$A$90:$LJ$90,MATCH(I$4,RD_Kopf,0))),INDEX(Rohdaten!$A$90:$LJ$90,MATCH(I$4,RD_Kopf,0)),NA()),NA())</f>
        <v>0</v>
      </c>
      <c r="J93" s="68">
        <f>IFERROR(IF(ISNUMBER(INDEX(Rohdaten!$A$90:$LJ$90,MATCH(J$4,RD_Kopf,0))),INDEX(Rohdaten!$A$90:$LJ$90,MATCH(J$4,RD_Kopf,0)),NA()),NA())</f>
        <v>0</v>
      </c>
      <c r="K93" s="68">
        <f>IFERROR(IF(ISNUMBER(INDEX(Rohdaten!$A$90:$LJ$90,MATCH(K$4,RD_Kopf,0))),INDEX(Rohdaten!$A$90:$LJ$90,MATCH(K$4,RD_Kopf,0)),NA()),NA())</f>
        <v>0</v>
      </c>
      <c r="L93" s="68">
        <f>IFERROR(IF(ISNUMBER(INDEX(Rohdaten!$A$90:$LJ$90,MATCH(L$4,RD_Kopf,0))),INDEX(Rohdaten!$A$90:$LJ$90,MATCH(L$4,RD_Kopf,0)),NA()),NA())</f>
        <v>0</v>
      </c>
      <c r="M93" s="68">
        <f>IFERROR(IF(ISNUMBER(INDEX(Rohdaten!$A$90:$LJ$90,MATCH(M$4,RD_Kopf,0))),INDEX(Rohdaten!$A$90:$LJ$90,MATCH(M$4,RD_Kopf,0)),NA()),NA())</f>
        <v>0</v>
      </c>
      <c r="N93" s="68">
        <f>IFERROR(IF(ISNUMBER(INDEX(Rohdaten!$A$90:$LJ$90,MATCH(N$4,RD_Kopf,0))),INDEX(Rohdaten!$A$90:$LJ$90,MATCH(N$4,RD_Kopf,0)),NA()),NA())</f>
        <v>0</v>
      </c>
      <c r="O93" s="68">
        <f>IFERROR(IF(ISNUMBER(INDEX(Rohdaten!$A$90:$LJ$90,MATCH(O$4,RD_Kopf,0))),INDEX(Rohdaten!$A$90:$LJ$90,MATCH(O$4,RD_Kopf,0)),NA()),NA())</f>
        <v>0</v>
      </c>
      <c r="P93" s="68">
        <f>IFERROR(IF(ISNUMBER(INDEX(Rohdaten!$A$90:$LJ$90,MATCH(P$4,RD_Kopf,0))),INDEX(Rohdaten!$A$90:$LJ$90,MATCH(P$4,RD_Kopf,0)),NA()),NA())</f>
        <v>0</v>
      </c>
      <c r="Q93" s="68">
        <f>IFERROR(IF(ISNUMBER(INDEX(Rohdaten!$A$90:$LJ$90,MATCH(Q$4,RD_Kopf,0))),INDEX(Rohdaten!$A$90:$LJ$90,MATCH(Q$4,RD_Kopf,0)),NA()),NA())</f>
        <v>0</v>
      </c>
      <c r="R93" s="68">
        <f>IFERROR(IF(ISNUMBER(INDEX(Rohdaten!$A$90:$LJ$90,MATCH(R$4,RD_Kopf,0))),INDEX(Rohdaten!$A$90:$LJ$90,MATCH(R$4,RD_Kopf,0)),NA()),NA())</f>
        <v>0</v>
      </c>
      <c r="S93" s="68">
        <f>IFERROR(IF(ISNUMBER(INDEX(Rohdaten!$A$90:$LJ$90,MATCH(S$4,RD_Kopf,0))),INDEX(Rohdaten!$A$90:$LJ$90,MATCH(S$4,RD_Kopf,0)),NA()),NA())</f>
        <v>0</v>
      </c>
      <c r="T93" s="68">
        <f>IFERROR(IF(ISNUMBER(INDEX(Rohdaten!$A$90:$LJ$90,MATCH(T$4,RD_Kopf,0))),INDEX(Rohdaten!$A$90:$LJ$90,MATCH(T$4,RD_Kopf,0)),NA()),NA())</f>
        <v>0</v>
      </c>
      <c r="U93" s="68">
        <f>IFERROR(IF(ISNUMBER(INDEX(Rohdaten!$A$90:$LJ$90,MATCH(U$4,RD_Kopf,0))),INDEX(Rohdaten!$A$90:$LJ$90,MATCH(U$4,RD_Kopf,0)),NA()),NA())</f>
        <v>0</v>
      </c>
      <c r="V93" s="68">
        <f>IFERROR(IF(ISNUMBER(INDEX(Rohdaten!$A$90:$LJ$90,MATCH(V$4,RD_Kopf,0))),INDEX(Rohdaten!$A$90:$LJ$90,MATCH(V$4,RD_Kopf,0)),NA()),NA())</f>
        <v>0</v>
      </c>
      <c r="W93" s="68">
        <f>IFERROR(IF(ISNUMBER(INDEX(Rohdaten!$A$90:$LJ$90,MATCH(W$4,RD_Kopf,0))),INDEX(Rohdaten!$A$90:$LJ$90,MATCH(W$4,RD_Kopf,0)),NA()),NA())</f>
        <v>0</v>
      </c>
      <c r="X93" s="68">
        <f>IFERROR(IF(ISNUMBER(INDEX(Rohdaten!$A$90:$LJ$90,MATCH(X$4,RD_Kopf,0))),INDEX(Rohdaten!$A$90:$LJ$90,MATCH(X$4,RD_Kopf,0)),NA()),NA())</f>
        <v>0</v>
      </c>
      <c r="Y93" s="68">
        <f>IFERROR(IF(ISNUMBER(INDEX(Rohdaten!$A$90:$LJ$90,MATCH(Y$4,RD_Kopf,0))),INDEX(Rohdaten!$A$90:$LJ$90,MATCH(Y$4,RD_Kopf,0)),NA()),NA())</f>
        <v>0</v>
      </c>
      <c r="Z93" s="68">
        <f>IFERROR(IF(ISNUMBER(INDEX(Rohdaten!$A$90:$LJ$90,MATCH(Z$4,RD_Kopf,0))),INDEX(Rohdaten!$A$90:$LJ$90,MATCH(Z$4,RD_Kopf,0)),NA()),NA())</f>
        <v>0</v>
      </c>
      <c r="AA93" s="68">
        <f>IFERROR(IF(ISNUMBER(INDEX(Rohdaten!$A$90:$LJ$90,MATCH(AA$4,RD_Kopf,0))),INDEX(Rohdaten!$A$90:$LJ$90,MATCH(AA$4,RD_Kopf,0)),NA()),NA())</f>
        <v>0</v>
      </c>
      <c r="AB93" s="68">
        <f>IFERROR(IF(ISNUMBER(INDEX(Rohdaten!$A$90:$LJ$90,MATCH(AB$4,RD_Kopf,0))),INDEX(Rohdaten!$A$90:$LJ$90,MATCH(AB$4,RD_Kopf,0)),NA()),NA())</f>
        <v>0</v>
      </c>
      <c r="AC93" s="68">
        <f>IFERROR(IF(ISNUMBER(INDEX(Rohdaten!$A$90:$LJ$90,MATCH(AC$4,RD_Kopf,0))),INDEX(Rohdaten!$A$90:$LJ$90,MATCH(AC$4,RD_Kopf,0)),NA()),NA())</f>
        <v>0</v>
      </c>
      <c r="AD93" s="68">
        <f>IFERROR(IF(ISNUMBER(INDEX(Rohdaten!$A$90:$LJ$90,MATCH(AD$4,RD_Kopf,0))),INDEX(Rohdaten!$A$90:$LJ$90,MATCH(AD$4,RD_Kopf,0)),NA()),NA())</f>
        <v>0</v>
      </c>
    </row>
    <row r="94" spans="1:72">
      <c r="A94" s="11" t="s">
        <v>719</v>
      </c>
      <c r="B94" s="11" t="s">
        <v>720</v>
      </c>
      <c r="C94" s="67" t="s">
        <v>605</v>
      </c>
      <c r="D94" s="68">
        <f>IF(COUNT(D88,D90,D92)=0,NA(),SUM(D88,D90,D92))</f>
        <v>0</v>
      </c>
      <c r="E94" s="68">
        <f>IF(COUNT(E88,E90,E92)=0,NA(),SUM(E88,E90,E92))</f>
        <v>0</v>
      </c>
      <c r="F94" s="68">
        <f>IF(COUNT(F88,F90,F92)=0,NA(),SUM(F88,F90,F92))</f>
        <v>0</v>
      </c>
      <c r="G94" s="68">
        <f>IF(COUNT(G88,G90,G92)=0,NA(),SUM(G88,G90,G92))</f>
        <v>0</v>
      </c>
      <c r="H94" s="68">
        <f>IF(COUNT(H88,H90,H92)=0,NA(),SUM(H88,H90,H92))</f>
        <v>0</v>
      </c>
      <c r="I94" s="68">
        <f>IF(COUNT(I88,I90,I92)=0,NA(),SUM(I88,I90,I92))</f>
        <v>0</v>
      </c>
      <c r="J94" s="68">
        <f>IF(COUNT(J88,J90,J92)=0,NA(),SUM(J88,J90,J92))</f>
        <v>0</v>
      </c>
      <c r="K94" s="68">
        <f>IF(COUNT(K88,K90,K92)=0,NA(),SUM(K88,K90,K92))</f>
        <v>0</v>
      </c>
      <c r="L94" s="68">
        <f>IF(COUNT(L88,L90,L92)=0,NA(),SUM(L88,L90,L92))</f>
        <v>0</v>
      </c>
      <c r="M94" s="68">
        <f>IF(COUNT(M88,M90,M92)=0,NA(),SUM(M88,M90,M92))</f>
        <v>0</v>
      </c>
      <c r="N94" s="68">
        <f>IF(COUNT(N88,N90,N92)=0,NA(),SUM(N88,N90,N92))</f>
        <v>0</v>
      </c>
      <c r="O94" s="68">
        <f>IF(COUNT(O88,O90,O92)=0,NA(),SUM(O88,O90,O92))</f>
        <v>0</v>
      </c>
      <c r="P94" s="68">
        <f>IF(COUNT(P88,P90,P92)=0,NA(),SUM(P88,P90,P92))</f>
        <v>0</v>
      </c>
      <c r="Q94" s="68">
        <f>IF(COUNT(Q88,Q90,Q92)=0,NA(),SUM(Q88,Q90,Q92))</f>
        <v>0</v>
      </c>
      <c r="R94" s="68">
        <f>IF(COUNT(R88,R90,R92)=0,NA(),SUM(R88,R90,R92))</f>
        <v>0</v>
      </c>
      <c r="S94" s="68">
        <f>IF(COUNT(S88,S90,S92)=0,NA(),SUM(S88,S90,S92))</f>
        <v>0</v>
      </c>
      <c r="T94" s="68">
        <f>IF(COUNT(T88,T90,T92)=0,NA(),SUM(T88,T90,T92))</f>
        <v>0</v>
      </c>
      <c r="U94" s="68">
        <f>IF(COUNT(U88,U90,U92)=0,NA(),SUM(U88,U90,U92))</f>
        <v>0</v>
      </c>
      <c r="V94" s="68">
        <f>IF(COUNT(V88,V90,V92)=0,NA(),SUM(V88,V90,V92))</f>
        <v>0</v>
      </c>
      <c r="W94" s="68">
        <f>IF(COUNT(W88,W90,W92)=0,NA(),SUM(W88,W90,W92))</f>
        <v>0</v>
      </c>
      <c r="X94" s="68">
        <f>IF(COUNT(X88,X90,X92)=0,NA(),SUM(X88,X90,X92))</f>
        <v>0</v>
      </c>
      <c r="Y94" s="68">
        <f>IF(COUNT(Y88,Y90,Y92)=0,NA(),SUM(Y88,Y90,Y92))</f>
        <v>0</v>
      </c>
      <c r="Z94" s="68">
        <f>IF(COUNT(Z88,Z90,Z92)=0,NA(),SUM(Z88,Z90,Z92))</f>
        <v>0</v>
      </c>
      <c r="AA94" s="68">
        <f>IF(COUNT(AA88,AA90,AA92)=0,NA(),SUM(AA88,AA90,AA92))</f>
        <v>0</v>
      </c>
      <c r="AB94" s="68">
        <f>IF(COUNT(AB88,AB90,AB92)=0,NA(),SUM(AB88,AB90,AB92))</f>
        <v>0</v>
      </c>
      <c r="AC94" s="68">
        <f>IF(COUNT(AC88,AC90,AC92)=0,NA(),SUM(AC88,AC90,AC92))</f>
        <v>0</v>
      </c>
      <c r="AD94" s="68">
        <f>IF(COUNT(AD88,AD90,AD92)=0,NA(),SUM(AD88,AD90,AD92))</f>
        <v>0</v>
      </c>
    </row>
    <row r="95" spans="1:72">
      <c r="A95" s="11" t="s">
        <v>721</v>
      </c>
      <c r="B95" s="11" t="s">
        <v>722</v>
      </c>
      <c r="C95" s="67" t="s">
        <v>605</v>
      </c>
      <c r="D95" s="68">
        <f>IF(COUNT(D89,D91,D93)=0,NA(),SUM(D89,D91,D93))</f>
        <v>0</v>
      </c>
      <c r="E95" s="68">
        <f>IF(COUNT(E89,E91,E93)=0,NA(),SUM(E89,E91,E93))</f>
        <v>0</v>
      </c>
      <c r="F95" s="68">
        <f>IF(COUNT(F89,F91,F93)=0,NA(),SUM(F89,F91,F93))</f>
        <v>0</v>
      </c>
      <c r="G95" s="68">
        <f>IF(COUNT(G89,G91,G93)=0,NA(),SUM(G89,G91,G93))</f>
        <v>0</v>
      </c>
      <c r="H95" s="68">
        <f>IF(COUNT(H89,H91,H93)=0,NA(),SUM(H89,H91,H93))</f>
        <v>0</v>
      </c>
      <c r="I95" s="68">
        <f>IF(COUNT(I89,I91,I93)=0,NA(),SUM(I89,I91,I93))</f>
        <v>0</v>
      </c>
      <c r="J95" s="68">
        <f>IF(COUNT(J89,J91,J93)=0,NA(),SUM(J89,J91,J93))</f>
        <v>0</v>
      </c>
      <c r="K95" s="68">
        <f>IF(COUNT(K89,K91,K93)=0,NA(),SUM(K89,K91,K93))</f>
        <v>0</v>
      </c>
      <c r="L95" s="68">
        <f>IF(COUNT(L89,L91,L93)=0,NA(),SUM(L89,L91,L93))</f>
        <v>0</v>
      </c>
      <c r="M95" s="68">
        <f>IF(COUNT(M89,M91,M93)=0,NA(),SUM(M89,M91,M93))</f>
        <v>0</v>
      </c>
      <c r="N95" s="68">
        <f>IF(COUNT(N89,N91,N93)=0,NA(),SUM(N89,N91,N93))</f>
        <v>0</v>
      </c>
      <c r="O95" s="68">
        <f>IF(COUNT(O89,O91,O93)=0,NA(),SUM(O89,O91,O93))</f>
        <v>0</v>
      </c>
      <c r="P95" s="68">
        <f>IF(COUNT(P89,P91,P93)=0,NA(),SUM(P89,P91,P93))</f>
        <v>0</v>
      </c>
      <c r="Q95" s="68">
        <f>IF(COUNT(Q89,Q91,Q93)=0,NA(),SUM(Q89,Q91,Q93))</f>
        <v>0</v>
      </c>
      <c r="R95" s="68">
        <f>IF(COUNT(R89,R91,R93)=0,NA(),SUM(R89,R91,R93))</f>
        <v>0</v>
      </c>
      <c r="S95" s="68">
        <f>IF(COUNT(S89,S91,S93)=0,NA(),SUM(S89,S91,S93))</f>
        <v>0</v>
      </c>
      <c r="T95" s="68">
        <f>IF(COUNT(T89,T91,T93)=0,NA(),SUM(T89,T91,T93))</f>
        <v>0</v>
      </c>
      <c r="U95" s="68">
        <f>IF(COUNT(U89,U91,U93)=0,NA(),SUM(U89,U91,U93))</f>
        <v>0</v>
      </c>
      <c r="V95" s="68">
        <f>IF(COUNT(V89,V91,V93)=0,NA(),SUM(V89,V91,V93))</f>
        <v>0</v>
      </c>
      <c r="W95" s="68">
        <f>IF(COUNT(W89,W91,W93)=0,NA(),SUM(W89,W91,W93))</f>
        <v>0</v>
      </c>
      <c r="X95" s="68">
        <f>IF(COUNT(X89,X91,X93)=0,NA(),SUM(X89,X91,X93))</f>
        <v>0</v>
      </c>
      <c r="Y95" s="68">
        <f>IF(COUNT(Y89,Y91,Y93)=0,NA(),SUM(Y89,Y91,Y93))</f>
        <v>0</v>
      </c>
      <c r="Z95" s="68">
        <f>IF(COUNT(Z89,Z91,Z93)=0,NA(),SUM(Z89,Z91,Z93))</f>
        <v>0</v>
      </c>
      <c r="AA95" s="68">
        <f>IF(COUNT(AA89,AA91,AA93)=0,NA(),SUM(AA89,AA91,AA93))</f>
        <v>0</v>
      </c>
      <c r="AB95" s="68">
        <f>IF(COUNT(AB89,AB91,AB93)=0,NA(),SUM(AB89,AB91,AB93))</f>
        <v>0</v>
      </c>
      <c r="AC95" s="68">
        <f>IF(COUNT(AC89,AC91,AC93)=0,NA(),SUM(AC89,AC91,AC93))</f>
        <v>0</v>
      </c>
      <c r="AD95" s="68">
        <f>IF(COUNT(AD89,AD91,AD93)=0,NA(),SUM(AD89,AD91,AD93))</f>
        <v>0</v>
      </c>
    </row>
    <row r="96" spans="1:72">
      <c r="A96" s="11" t="s">
        <v>723</v>
      </c>
      <c r="B96" s="11" t="s">
        <v>724</v>
      </c>
      <c r="C96" s="67" t="s">
        <v>605</v>
      </c>
      <c r="D96" s="68">
        <f>IF(COUNT(D85,D86,D87)=0,NA(),SUM(D85,D86,D87))</f>
        <v>0</v>
      </c>
      <c r="E96" s="68">
        <f>IF(COUNT(E85,E86,E87)=0,NA(),SUM(E85,E86,E87))</f>
        <v>0</v>
      </c>
      <c r="F96" s="68">
        <f>IF(COUNT(F85,F86,F87)=0,NA(),SUM(F85,F86,F87))</f>
        <v>0</v>
      </c>
      <c r="G96" s="68">
        <f>IF(COUNT(G85,G86,G87)=0,NA(),SUM(G85,G86,G87))</f>
        <v>0</v>
      </c>
      <c r="H96" s="68">
        <f>IF(COUNT(H85,H86,H87)=0,NA(),SUM(H85,H86,H87))</f>
        <v>0</v>
      </c>
      <c r="I96" s="68">
        <f>IF(COUNT(I85,I86,I87)=0,NA(),SUM(I85,I86,I87))</f>
        <v>0</v>
      </c>
      <c r="J96" s="68">
        <f>IF(COUNT(J85,J86,J87)=0,NA(),SUM(J85,J86,J87))</f>
        <v>0</v>
      </c>
      <c r="K96" s="68">
        <f>IF(COUNT(K85,K86,K87)=0,NA(),SUM(K85,K86,K87))</f>
        <v>0</v>
      </c>
      <c r="L96" s="68">
        <f>IF(COUNT(L85,L86,L87)=0,NA(),SUM(L85,L86,L87))</f>
        <v>0</v>
      </c>
      <c r="M96" s="68">
        <f>IF(COUNT(M85,M86,M87)=0,NA(),SUM(M85,M86,M87))</f>
        <v>0</v>
      </c>
      <c r="N96" s="68">
        <f>IF(COUNT(N85,N86,N87)=0,NA(),SUM(N85,N86,N87))</f>
        <v>0</v>
      </c>
      <c r="O96" s="68">
        <f>IF(COUNT(O85,O86,O87)=0,NA(),SUM(O85,O86,O87))</f>
        <v>0</v>
      </c>
      <c r="P96" s="68">
        <f>IF(COUNT(P85,P86,P87)=0,NA(),SUM(P85,P86,P87))</f>
        <v>0</v>
      </c>
      <c r="Q96" s="68">
        <f>IF(COUNT(Q85,Q86,Q87)=0,NA(),SUM(Q85,Q86,Q87))</f>
        <v>0</v>
      </c>
      <c r="R96" s="68">
        <f>IF(COUNT(R85,R86,R87)=0,NA(),SUM(R85,R86,R87))</f>
        <v>0</v>
      </c>
      <c r="S96" s="68">
        <f>IF(COUNT(S85,S86,S87)=0,NA(),SUM(S85,S86,S87))</f>
        <v>0</v>
      </c>
      <c r="T96" s="68">
        <f>IF(COUNT(T85,T86,T87)=0,NA(),SUM(T85,T86,T87))</f>
        <v>0</v>
      </c>
      <c r="U96" s="68">
        <f>IF(COUNT(U85,U86,U87)=0,NA(),SUM(U85,U86,U87))</f>
        <v>0</v>
      </c>
      <c r="V96" s="68">
        <f>IF(COUNT(V85,V86,V87)=0,NA(),SUM(V85,V86,V87))</f>
        <v>0</v>
      </c>
      <c r="W96" s="68">
        <f>IF(COUNT(W85,W86,W87)=0,NA(),SUM(W85,W86,W87))</f>
        <v>0</v>
      </c>
      <c r="X96" s="68">
        <f>IF(COUNT(X85,X86,X87)=0,NA(),SUM(X85,X86,X87))</f>
        <v>0</v>
      </c>
      <c r="Y96" s="68">
        <f>IF(COUNT(Y85,Y86,Y87)=0,NA(),SUM(Y85,Y86,Y87))</f>
        <v>0</v>
      </c>
      <c r="Z96" s="68">
        <f>IF(COUNT(Z85,Z86,Z87)=0,NA(),SUM(Z85,Z86,Z87))</f>
        <v>0</v>
      </c>
      <c r="AA96" s="68">
        <f>IF(COUNT(AA85,AA86,AA87)=0,NA(),SUM(AA85,AA86,AA87))</f>
        <v>0</v>
      </c>
      <c r="AB96" s="68">
        <f>IF(COUNT(AB85,AB86,AB87)=0,NA(),SUM(AB85,AB86,AB87))</f>
        <v>0</v>
      </c>
      <c r="AC96" s="68">
        <f>IF(COUNT(AC85,AC86,AC87)=0,NA(),SUM(AC85,AC86,AC87))</f>
        <v>0</v>
      </c>
      <c r="AD96" s="68">
        <f>IF(COUNT(AD85,AD86,AD87)=0,NA(),SUM(AD85,AD86,AD87))</f>
        <v>0</v>
      </c>
    </row>
    <row r="97" spans="1:72">
      <c r="A97" s="11" t="s">
        <v>725</v>
      </c>
      <c r="B97" s="11" t="s">
        <v>726</v>
      </c>
      <c r="C97" s="67" t="s">
        <v>605</v>
      </c>
      <c r="D97" s="68">
        <f>IF(AND(ISNUMBER(D94),ISNUMBER(D95)),D94-D95,NA())</f>
        <v>0</v>
      </c>
      <c r="E97" s="68">
        <f>IF(AND(ISNUMBER(E94),ISNUMBER(E95)),E94-E95,NA())</f>
        <v>0</v>
      </c>
      <c r="F97" s="68">
        <f>IF(AND(ISNUMBER(F94),ISNUMBER(F95)),F94-F95,NA())</f>
        <v>0</v>
      </c>
      <c r="G97" s="68">
        <f>IF(AND(ISNUMBER(G94),ISNUMBER(G95)),G94-G95,NA())</f>
        <v>0</v>
      </c>
      <c r="H97" s="68">
        <f>IF(AND(ISNUMBER(H94),ISNUMBER(H95)),H94-H95,NA())</f>
        <v>0</v>
      </c>
      <c r="I97" s="68">
        <f>IF(AND(ISNUMBER(I94),ISNUMBER(I95)),I94-I95,NA())</f>
        <v>0</v>
      </c>
      <c r="J97" s="68">
        <f>IF(AND(ISNUMBER(J94),ISNUMBER(J95)),J94-J95,NA())</f>
        <v>0</v>
      </c>
      <c r="K97" s="68">
        <f>IF(AND(ISNUMBER(K94),ISNUMBER(K95)),K94-K95,NA())</f>
        <v>0</v>
      </c>
      <c r="L97" s="68">
        <f>IF(AND(ISNUMBER(L94),ISNUMBER(L95)),L94-L95,NA())</f>
        <v>0</v>
      </c>
      <c r="M97" s="68">
        <f>IF(AND(ISNUMBER(M94),ISNUMBER(M95)),M94-M95,NA())</f>
        <v>0</v>
      </c>
      <c r="N97" s="68">
        <f>IF(AND(ISNUMBER(N94),ISNUMBER(N95)),N94-N95,NA())</f>
        <v>0</v>
      </c>
      <c r="O97" s="68">
        <f>IF(AND(ISNUMBER(O94),ISNUMBER(O95)),O94-O95,NA())</f>
        <v>0</v>
      </c>
      <c r="P97" s="68">
        <f>IF(AND(ISNUMBER(P94),ISNUMBER(P95)),P94-P95,NA())</f>
        <v>0</v>
      </c>
      <c r="Q97" s="68">
        <f>IF(AND(ISNUMBER(Q94),ISNUMBER(Q95)),Q94-Q95,NA())</f>
        <v>0</v>
      </c>
      <c r="R97" s="68">
        <f>IF(AND(ISNUMBER(R94),ISNUMBER(R95)),R94-R95,NA())</f>
        <v>0</v>
      </c>
      <c r="S97" s="68">
        <f>IF(AND(ISNUMBER(S94),ISNUMBER(S95)),S94-S95,NA())</f>
        <v>0</v>
      </c>
      <c r="T97" s="68">
        <f>IF(AND(ISNUMBER(T94),ISNUMBER(T95)),T94-T95,NA())</f>
        <v>0</v>
      </c>
      <c r="U97" s="68">
        <f>IF(AND(ISNUMBER(U94),ISNUMBER(U95)),U94-U95,NA())</f>
        <v>0</v>
      </c>
      <c r="V97" s="68">
        <f>IF(AND(ISNUMBER(V94),ISNUMBER(V95)),V94-V95,NA())</f>
        <v>0</v>
      </c>
      <c r="W97" s="68">
        <f>IF(AND(ISNUMBER(W94),ISNUMBER(W95)),W94-W95,NA())</f>
        <v>0</v>
      </c>
      <c r="X97" s="68">
        <f>IF(AND(ISNUMBER(X94),ISNUMBER(X95)),X94-X95,NA())</f>
        <v>0</v>
      </c>
      <c r="Y97" s="68">
        <f>IF(AND(ISNUMBER(Y94),ISNUMBER(Y95)),Y94-Y95,NA())</f>
        <v>0</v>
      </c>
      <c r="Z97" s="68">
        <f>IF(AND(ISNUMBER(Z94),ISNUMBER(Z95)),Z94-Z95,NA())</f>
        <v>0</v>
      </c>
      <c r="AA97" s="68">
        <f>IF(AND(ISNUMBER(AA94),ISNUMBER(AA95)),AA94-AA95,NA())</f>
        <v>0</v>
      </c>
      <c r="AB97" s="68">
        <f>IF(AND(ISNUMBER(AB94),ISNUMBER(AB95)),AB94-AB95,NA())</f>
        <v>0</v>
      </c>
      <c r="AC97" s="68">
        <f>IF(AND(ISNUMBER(AC94),ISNUMBER(AC95)),AC94-AC95,NA())</f>
        <v>0</v>
      </c>
      <c r="AD97" s="68">
        <f>IF(AND(ISNUMBER(AD94),ISNUMBER(AD95)),AD94-AD95,NA())</f>
        <v>0</v>
      </c>
    </row>
    <row r="98" spans="1:72">
      <c r="A98" s="11" t="s">
        <v>727</v>
      </c>
      <c r="B98" s="11" t="s">
        <v>728</v>
      </c>
      <c r="C98" s="67" t="s">
        <v>610</v>
      </c>
      <c r="AQ98" s="68">
        <f>IF(AQ$82="A",IF(ISNUMBER(INDEX($D$85:$AD$85,AQ$81)),INDEX($D$85:$AD$85,AQ$81)/MAX(1,_xlfn.AGGREGATE(4,6,INDEX($D$96:$AD$96,28-$D$80):$AD$96),N(Konfiguration!$F$11)),NA()),IF(AQ$82="B",NA(),IF(AQ$82="C",NA(),NA())))</f>
        <v>0</v>
      </c>
      <c r="AR98" s="68">
        <f>IF(AR$82="A",IF(ISNUMBER(INDEX($D$85:$AD$85,AR$81)),INDEX($D$85:$AD$85,AR$81)/MAX(1,_xlfn.AGGREGATE(4,6,INDEX($D$96:$AD$96,28-$D$80):$AD$96),N(Konfiguration!$F$11)),NA()),IF(AR$82="B",NA(),IF(AR$82="C",NA(),NA())))</f>
        <v>0</v>
      </c>
      <c r="AS98" s="68">
        <f>IF(AS$82="A",IF(ISNUMBER(INDEX($D$85:$AD$85,AS$81)),INDEX($D$85:$AD$85,AS$81)/MAX(1,_xlfn.AGGREGATE(4,6,INDEX($D$96:$AD$96,28-$D$80):$AD$96),N(Konfiguration!$F$11)),NA()),IF(AS$82="B",NA(),IF(AS$82="C",NA(),NA())))</f>
        <v>0</v>
      </c>
      <c r="AT98" s="68">
        <f>IF(AT$82="A",IF(ISNUMBER(INDEX($D$85:$AD$85,AT$81)),INDEX($D$85:$AD$85,AT$81)/MAX(1,_xlfn.AGGREGATE(4,6,INDEX($D$96:$AD$96,28-$D$80):$AD$96),N(Konfiguration!$F$11)),NA()),IF(AT$82="B",NA(),IF(AT$82="C",NA(),NA())))</f>
        <v>0</v>
      </c>
      <c r="AU98" s="68">
        <f>IF(AU$82="A",IF(ISNUMBER(INDEX($D$85:$AD$85,AU$81)),INDEX($D$85:$AD$85,AU$81)/MAX(1,_xlfn.AGGREGATE(4,6,INDEX($D$96:$AD$96,28-$D$80):$AD$96),N(Konfiguration!$F$11)),NA()),IF(AU$82="B",NA(),IF(AU$82="C",NA(),NA())))</f>
        <v>0</v>
      </c>
      <c r="AV98" s="68">
        <f>IF(AV$82="A",IF(ISNUMBER(INDEX($D$85:$AD$85,AV$81)),INDEX($D$85:$AD$85,AV$81)/MAX(1,_xlfn.AGGREGATE(4,6,INDEX($D$96:$AD$96,28-$D$80):$AD$96),N(Konfiguration!$F$11)),NA()),IF(AV$82="B",NA(),IF(AV$82="C",NA(),NA())))</f>
        <v>0</v>
      </c>
      <c r="AW98" s="68">
        <f>IF(AW$82="A",IF(ISNUMBER(INDEX($D$85:$AD$85,AW$81)),INDEX($D$85:$AD$85,AW$81)/MAX(1,_xlfn.AGGREGATE(4,6,INDEX($D$96:$AD$96,28-$D$80):$AD$96),N(Konfiguration!$F$11)),NA()),IF(AW$82="B",NA(),IF(AW$82="C",NA(),NA())))</f>
        <v>0</v>
      </c>
      <c r="AX98" s="68">
        <f>IF(AX$82="A",IF(ISNUMBER(INDEX($D$85:$AD$85,AX$81)),INDEX($D$85:$AD$85,AX$81)/MAX(1,_xlfn.AGGREGATE(4,6,INDEX($D$96:$AD$96,28-$D$80):$AD$96),N(Konfiguration!$F$11)),NA()),IF(AX$82="B",NA(),IF(AX$82="C",NA(),NA())))</f>
        <v>0</v>
      </c>
      <c r="AY98" s="68">
        <f>IF(AY$82="A",IF(ISNUMBER(INDEX($D$85:$AD$85,AY$81)),INDEX($D$85:$AD$85,AY$81)/MAX(1,_xlfn.AGGREGATE(4,6,INDEX($D$96:$AD$96,28-$D$80):$AD$96),N(Konfiguration!$F$11)),NA()),IF(AY$82="B",NA(),IF(AY$82="C",NA(),NA())))</f>
        <v>0</v>
      </c>
      <c r="AZ98" s="68">
        <f>IF(AZ$82="A",IF(ISNUMBER(INDEX($D$85:$AD$85,AZ$81)),INDEX($D$85:$AD$85,AZ$81)/MAX(1,_xlfn.AGGREGATE(4,6,INDEX($D$96:$AD$96,28-$D$80):$AD$96),N(Konfiguration!$F$11)),NA()),IF(AZ$82="B",NA(),IF(AZ$82="C",NA(),NA())))</f>
        <v>0</v>
      </c>
      <c r="BA98" s="68">
        <f>IF(BA$82="A",IF(ISNUMBER(INDEX($D$85:$AD$85,BA$81)),INDEX($D$85:$AD$85,BA$81)/MAX(1,_xlfn.AGGREGATE(4,6,INDEX($D$96:$AD$96,28-$D$80):$AD$96),N(Konfiguration!$F$11)),NA()),IF(BA$82="B",NA(),IF(BA$82="C",NA(),NA())))</f>
        <v>0</v>
      </c>
      <c r="BB98" s="68">
        <f>IF(BB$82="A",IF(ISNUMBER(INDEX($D$85:$AD$85,BB$81)),INDEX($D$85:$AD$85,BB$81)/MAX(1,_xlfn.AGGREGATE(4,6,INDEX($D$96:$AD$96,28-$D$80):$AD$96),N(Konfiguration!$F$11)),NA()),IF(BB$82="B",NA(),IF(BB$82="C",NA(),NA())))</f>
        <v>0</v>
      </c>
      <c r="BC98" s="68">
        <f>IF(BC$82="A",IF(ISNUMBER(INDEX($D$85:$AD$85,BC$81)),INDEX($D$85:$AD$85,BC$81)/MAX(1,_xlfn.AGGREGATE(4,6,INDEX($D$96:$AD$96,28-$D$80):$AD$96),N(Konfiguration!$F$11)),NA()),IF(BC$82="B",NA(),IF(BC$82="C",NA(),NA())))</f>
        <v>0</v>
      </c>
      <c r="BD98" s="68">
        <f>IF(BD$82="A",IF(ISNUMBER(INDEX($D$85:$AD$85,BD$81)),INDEX($D$85:$AD$85,BD$81)/MAX(1,_xlfn.AGGREGATE(4,6,INDEX($D$96:$AD$96,28-$D$80):$AD$96),N(Konfiguration!$F$11)),NA()),IF(BD$82="B",NA(),IF(BD$82="C",NA(),NA())))</f>
        <v>0</v>
      </c>
      <c r="BE98" s="68">
        <f>IF(BE$82="A",IF(ISNUMBER(INDEX($D$85:$AD$85,BE$81)),INDEX($D$85:$AD$85,BE$81)/MAX(1,_xlfn.AGGREGATE(4,6,INDEX($D$96:$AD$96,28-$D$80):$AD$96),N(Konfiguration!$F$11)),NA()),IF(BE$82="B",NA(),IF(BE$82="C",NA(),NA())))</f>
        <v>0</v>
      </c>
      <c r="BF98" s="68">
        <f>IF(BF$82="A",IF(ISNUMBER(INDEX($D$85:$AD$85,BF$81)),INDEX($D$85:$AD$85,BF$81)/MAX(1,_xlfn.AGGREGATE(4,6,INDEX($D$96:$AD$96,28-$D$80):$AD$96),N(Konfiguration!$F$11)),NA()),IF(BF$82="B",NA(),IF(BF$82="C",NA(),NA())))</f>
        <v>0</v>
      </c>
      <c r="BG98" s="68">
        <f>IF(BG$82="A",IF(ISNUMBER(INDEX($D$85:$AD$85,BG$81)),INDEX($D$85:$AD$85,BG$81)/MAX(1,_xlfn.AGGREGATE(4,6,INDEX($D$96:$AD$96,28-$D$80):$AD$96),N(Konfiguration!$F$11)),NA()),IF(BG$82="B",NA(),IF(BG$82="C",NA(),NA())))</f>
        <v>0</v>
      </c>
      <c r="BH98" s="68">
        <f>IF(BH$82="A",IF(ISNUMBER(INDEX($D$85:$AD$85,BH$81)),INDEX($D$85:$AD$85,BH$81)/MAX(1,_xlfn.AGGREGATE(4,6,INDEX($D$96:$AD$96,28-$D$80):$AD$96),N(Konfiguration!$F$11)),NA()),IF(BH$82="B",NA(),IF(BH$82="C",NA(),NA())))</f>
        <v>0</v>
      </c>
      <c r="BI98" s="68">
        <f>IF(BI$82="A",IF(ISNUMBER(INDEX($D$85:$AD$85,BI$81)),INDEX($D$85:$AD$85,BI$81)/MAX(1,_xlfn.AGGREGATE(4,6,INDEX($D$96:$AD$96,28-$D$80):$AD$96),N(Konfiguration!$F$11)),NA()),IF(BI$82="B",NA(),IF(BI$82="C",NA(),NA())))</f>
        <v>0</v>
      </c>
      <c r="BJ98" s="68">
        <f>IF(BJ$82="A",IF(ISNUMBER(INDEX($D$85:$AD$85,BJ$81)),INDEX($D$85:$AD$85,BJ$81)/MAX(1,_xlfn.AGGREGATE(4,6,INDEX($D$96:$AD$96,28-$D$80):$AD$96),N(Konfiguration!$F$11)),NA()),IF(BJ$82="B",NA(),IF(BJ$82="C",NA(),NA())))</f>
        <v>0</v>
      </c>
      <c r="BK98" s="68">
        <f>IF(BK$82="A",IF(ISNUMBER(INDEX($D$85:$AD$85,BK$81)),INDEX($D$85:$AD$85,BK$81)/MAX(1,_xlfn.AGGREGATE(4,6,INDEX($D$96:$AD$96,28-$D$80):$AD$96),N(Konfiguration!$F$11)),NA()),IF(BK$82="B",NA(),IF(BK$82="C",NA(),NA())))</f>
        <v>0</v>
      </c>
      <c r="BL98" s="68">
        <f>IF(BL$82="A",IF(ISNUMBER(INDEX($D$85:$AD$85,BL$81)),INDEX($D$85:$AD$85,BL$81)/MAX(1,_xlfn.AGGREGATE(4,6,INDEX($D$96:$AD$96,28-$D$80):$AD$96),N(Konfiguration!$F$11)),NA()),IF(BL$82="B",NA(),IF(BL$82="C",NA(),NA())))</f>
        <v>0</v>
      </c>
      <c r="BM98" s="68">
        <f>IF(BM$82="A",IF(ISNUMBER(INDEX($D$85:$AD$85,BM$81)),INDEX($D$85:$AD$85,BM$81)/MAX(1,_xlfn.AGGREGATE(4,6,INDEX($D$96:$AD$96,28-$D$80):$AD$96),N(Konfiguration!$F$11)),NA()),IF(BM$82="B",NA(),IF(BM$82="C",NA(),NA())))</f>
        <v>0</v>
      </c>
      <c r="BN98" s="68">
        <f>IF(BN$82="A",IF(ISNUMBER(INDEX($D$85:$AD$85,BN$81)),INDEX($D$85:$AD$85,BN$81)/MAX(1,_xlfn.AGGREGATE(4,6,INDEX($D$96:$AD$96,28-$D$80):$AD$96),N(Konfiguration!$F$11)),NA()),IF(BN$82="B",NA(),IF(BN$82="C",NA(),NA())))</f>
        <v>0</v>
      </c>
      <c r="BO98" s="68">
        <f>IF(BO$82="A",IF(ISNUMBER(INDEX($D$85:$AD$85,BO$81)),INDEX($D$85:$AD$85,BO$81)/MAX(1,_xlfn.AGGREGATE(4,6,INDEX($D$96:$AD$96,28-$D$80):$AD$96),N(Konfiguration!$F$11)),NA()),IF(BO$82="B",NA(),IF(BO$82="C",NA(),NA())))</f>
        <v>0</v>
      </c>
      <c r="BP98" s="68">
        <f>IF(BP$82="A",IF(ISNUMBER(INDEX($D$85:$AD$85,BP$81)),INDEX($D$85:$AD$85,BP$81)/MAX(1,_xlfn.AGGREGATE(4,6,INDEX($D$96:$AD$96,28-$D$80):$AD$96),N(Konfiguration!$F$11)),NA()),IF(BP$82="B",NA(),IF(BP$82="C",NA(),NA())))</f>
        <v>0</v>
      </c>
      <c r="BQ98" s="68">
        <f>IF(BQ$82="A",IF(ISNUMBER(INDEX($D$85:$AD$85,BQ$81)),INDEX($D$85:$AD$85,BQ$81)/MAX(1,_xlfn.AGGREGATE(4,6,INDEX($D$96:$AD$96,28-$D$80):$AD$96),N(Konfiguration!$F$11)),NA()),IF(BQ$82="B",NA(),IF(BQ$82="C",NA(),NA())))</f>
        <v>0</v>
      </c>
      <c r="BR98" s="68">
        <f>IF(BR$82="A",IF(ISNUMBER(INDEX($D$85:$AD$85,BR$81)),INDEX($D$85:$AD$85,BR$81)/MAX(1,_xlfn.AGGREGATE(4,6,INDEX($D$96:$AD$96,28-$D$80):$AD$96),N(Konfiguration!$F$11)),NA()),IF(BR$82="B",NA(),IF(BR$82="C",NA(),NA())))</f>
        <v>0</v>
      </c>
      <c r="BS98" s="68">
        <f>IF(BS$82="A",IF(ISNUMBER(INDEX($D$85:$AD$85,BS$81)),INDEX($D$85:$AD$85,BS$81)/MAX(1,_xlfn.AGGREGATE(4,6,INDEX($D$96:$AD$96,28-$D$80):$AD$96),N(Konfiguration!$F$11)),NA()),IF(BS$82="B",NA(),IF(BS$82="C",NA(),NA())))</f>
        <v>0</v>
      </c>
      <c r="BT98" s="68">
        <f>IF(BT$82="A",IF(ISNUMBER(INDEX($D$85:$AD$85,BT$81)),INDEX($D$85:$AD$85,BT$81)/MAX(1,_xlfn.AGGREGATE(4,6,INDEX($D$96:$AD$96,28-$D$80):$AD$96),N(Konfiguration!$F$11)),NA()),IF(BT$82="B",NA(),IF(BT$82="C",NA(),NA())))</f>
        <v>0</v>
      </c>
    </row>
    <row r="99" spans="1:72">
      <c r="A99" s="11" t="s">
        <v>729</v>
      </c>
      <c r="B99" s="11" t="s">
        <v>730</v>
      </c>
      <c r="C99" s="67" t="s">
        <v>610</v>
      </c>
      <c r="AQ99" s="68">
        <f>IF(AQ$82="A",NA(),IF(AQ$82="B",IF(ISNUMBER(INDEX($D$85:$AD$85,AQ$81)),MAX(INDEX($D$96:$AD$96,A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Q$82="C",NA(),NA())))</f>
        <v>0</v>
      </c>
      <c r="AR99" s="68">
        <f>IF(AR$82="A",NA(),IF(AR$82="B",IF(ISNUMBER(INDEX($D$85:$AD$85,AR$81)),MAX(INDEX($D$96:$AD$96,A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R$82="C",NA(),NA())))</f>
        <v>0</v>
      </c>
      <c r="AS99" s="68">
        <f>IF(AS$82="A",NA(),IF(AS$82="B",IF(ISNUMBER(INDEX($D$85:$AD$85,AS$81)),MAX(INDEX($D$96:$AD$96,A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S$82="C",NA(),NA())))</f>
        <v>0</v>
      </c>
      <c r="AT99" s="68">
        <f>IF(AT$82="A",NA(),IF(AT$82="B",IF(ISNUMBER(INDEX($D$85:$AD$85,AT$81)),MAX(INDEX($D$96:$AD$96,A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T$82="C",NA(),NA())))</f>
        <v>0</v>
      </c>
      <c r="AU99" s="68">
        <f>IF(AU$82="A",NA(),IF(AU$82="B",IF(ISNUMBER(INDEX($D$85:$AD$85,AU$81)),MAX(INDEX($D$96:$AD$96,AU$81)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U$82="C",NA(),NA())))</f>
        <v>0</v>
      </c>
      <c r="AV99" s="68">
        <f>IF(AV$82="A",NA(),IF(AV$82="B",IF(ISNUMBER(INDEX($D$85:$AD$85,AV$81)),MAX(INDEX($D$96:$AD$96,AV$81)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V$82="C",NA(),NA())))</f>
        <v>0</v>
      </c>
      <c r="AW99" s="68">
        <f>IF(AW$82="A",NA(),IF(AW$82="B",IF(ISNUMBER(INDEX($D$85:$AD$85,AW$81)),MAX(INDEX($D$96:$AD$96,AW$81)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W$82="C",NA(),NA())))</f>
        <v>0</v>
      </c>
      <c r="AX99" s="68">
        <f>IF(AX$82="A",NA(),IF(AX$82="B",IF(ISNUMBER(INDEX($D$85:$AD$85,AX$81)),MAX(INDEX($D$96:$AD$96,AX$81)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X$82="C",NA(),NA())))</f>
        <v>0</v>
      </c>
      <c r="AY99" s="68">
        <f>IF(AY$82="A",NA(),IF(AY$82="B",IF(ISNUMBER(INDEX($D$85:$AD$85,AY$81)),MAX(INDEX($D$96:$AD$96,AY$81)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Y$82="C",NA(),NA())))</f>
        <v>0</v>
      </c>
      <c r="AZ99" s="68">
        <f>IF(AZ$82="A",NA(),IF(AZ$82="B",IF(ISNUMBER(INDEX($D$85:$AD$85,AZ$81)),MAX(INDEX($D$96:$AD$96,AZ$81)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Z$82="C",NA(),NA())))</f>
        <v>0</v>
      </c>
      <c r="BA99" s="68">
        <f>IF(BA$82="A",NA(),IF(BA$82="B",IF(ISNUMBER(INDEX($D$85:$AD$85,BA$81)),MAX(INDEX($D$96:$AD$96,BA$81)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A$82="C",NA(),NA())))</f>
        <v>0</v>
      </c>
      <c r="BB99" s="68">
        <f>IF(BB$82="A",NA(),IF(BB$82="B",IF(ISNUMBER(INDEX($D$85:$AD$85,BB$81)),MAX(INDEX($D$96:$AD$96,BB$81)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B$82="C",NA(),NA())))</f>
        <v>0</v>
      </c>
      <c r="BC99" s="68">
        <f>IF(BC$82="A",NA(),IF(BC$82="B",IF(ISNUMBER(INDEX($D$85:$AD$85,BC$81)),MAX(INDEX($D$96:$AD$96,BC$81)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C$82="C",NA(),NA())))</f>
        <v>0</v>
      </c>
      <c r="BD99" s="68">
        <f>IF(BD$82="A",NA(),IF(BD$82="B",IF(ISNUMBER(INDEX($D$85:$AD$85,BD$81)),MAX(INDEX($D$96:$AD$96,BD$81)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D$82="C",NA(),NA())))</f>
        <v>0</v>
      </c>
      <c r="BE99" s="68">
        <f>IF(BE$82="A",NA(),IF(BE$82="B",IF(ISNUMBER(INDEX($D$85:$AD$85,BE$81)),MAX(INDEX($D$96:$AD$96,BE$81)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E$82="C",NA(),NA())))</f>
        <v>0</v>
      </c>
      <c r="BF99" s="68">
        <f>IF(BF$82="A",NA(),IF(BF$82="B",IF(ISNUMBER(INDEX($D$85:$AD$85,BF$81)),MAX(INDEX($D$96:$AD$96,BF$81)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F$82="C",NA(),NA())))</f>
        <v>0</v>
      </c>
      <c r="BG99" s="68">
        <f>IF(BG$82="A",NA(),IF(BG$82="B",IF(ISNUMBER(INDEX($D$85:$AD$85,BG$81)),MAX(INDEX($D$96:$AD$96,BG$81)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G$82="C",NA(),NA())))</f>
        <v>0</v>
      </c>
      <c r="BH99" s="68">
        <f>IF(BH$82="A",NA(),IF(BH$82="B",IF(ISNUMBER(INDEX($D$85:$AD$85,BH$81)),MAX(INDEX($D$96:$AD$96,BH$81)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H$82="C",NA(),NA())))</f>
        <v>0</v>
      </c>
      <c r="BI99" s="68">
        <f>IF(BI$82="A",NA(),IF(BI$82="B",IF(ISNUMBER(INDEX($D$85:$AD$85,BI$81)),MAX(INDEX($D$96:$AD$96,BI$81)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I$82="C",NA(),NA())))</f>
        <v>0</v>
      </c>
      <c r="BJ99" s="68">
        <f>IF(BJ$82="A",NA(),IF(BJ$82="B",IF(ISNUMBER(INDEX($D$85:$AD$85,BJ$81)),MAX(INDEX($D$96:$AD$96,BJ$81)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J$82="C",NA(),NA())))</f>
        <v>0</v>
      </c>
      <c r="BK99" s="68">
        <f>IF(BK$82="A",NA(),IF(BK$82="B",IF(ISNUMBER(INDEX($D$85:$AD$85,BK$81)),MAX(INDEX($D$96:$AD$96,BK$81)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K$82="C",NA(),NA())))</f>
        <v>0</v>
      </c>
      <c r="BL99" s="68">
        <f>IF(BL$82="A",NA(),IF(BL$82="B",IF(ISNUMBER(INDEX($D$85:$AD$85,BL$81)),MAX(INDEX($D$96:$AD$96,BL$81)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L$82="C",NA(),NA())))</f>
        <v>0</v>
      </c>
      <c r="BM99" s="68">
        <f>IF(BM$82="A",NA(),IF(BM$82="B",IF(ISNUMBER(INDEX($D$85:$AD$85,BM$81)),MAX(INDEX($D$96:$AD$96,BM$81)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M$82="C",NA(),NA())))</f>
        <v>0</v>
      </c>
      <c r="BN99" s="68">
        <f>IF(BN$82="A",NA(),IF(BN$82="B",IF(ISNUMBER(INDEX($D$85:$AD$85,BN$81)),MAX(INDEX($D$96:$AD$96,BN$81)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N$82="C",NA(),NA())))</f>
        <v>0</v>
      </c>
      <c r="BO99" s="68">
        <f>IF(BO$82="A",NA(),IF(BO$82="B",IF(ISNUMBER(INDEX($D$85:$AD$85,BO$81)),MAX(INDEX($D$96:$AD$96,BO$81)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O$82="C",NA(),NA())))</f>
        <v>0</v>
      </c>
      <c r="BP99" s="68">
        <f>IF(BP$82="A",NA(),IF(BP$82="B",IF(ISNUMBER(INDEX($D$85:$AD$85,BP$81)),MAX(INDEX($D$96:$AD$96,BP$81)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P$82="C",NA(),NA())))</f>
        <v>0</v>
      </c>
      <c r="BQ99" s="68">
        <f>IF(BQ$82="A",NA(),IF(BQ$82="B",IF(ISNUMBER(INDEX($D$85:$AD$85,BQ$81)),MAX(INDEX($D$96:$AD$96,B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Q$82="C",NA(),NA())))</f>
        <v>0</v>
      </c>
      <c r="BR99" s="68">
        <f>IF(BR$82="A",NA(),IF(BR$82="B",IF(ISNUMBER(INDEX($D$85:$AD$85,BR$81)),MAX(INDEX($D$96:$AD$96,B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R$82="C",NA(),NA())))</f>
        <v>0</v>
      </c>
      <c r="BS99" s="68">
        <f>IF(BS$82="A",NA(),IF(BS$82="B",IF(ISNUMBER(INDEX($D$85:$AD$85,BS$81)),MAX(INDEX($D$96:$AD$96,B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S$82="C",NA(),NA())))</f>
        <v>0</v>
      </c>
      <c r="BT99" s="68">
        <f>IF(BT$82="A",NA(),IF(BT$82="B",IF(ISNUMBER(INDEX($D$85:$AD$85,BT$81)),MAX(INDEX($D$96:$AD$96,B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T$82="C",NA(),NA())))</f>
        <v>0</v>
      </c>
    </row>
    <row r="100" spans="1:72">
      <c r="A100" s="11" t="s">
        <v>731</v>
      </c>
      <c r="B100" s="11" t="s">
        <v>732</v>
      </c>
      <c r="C100" s="67" t="s">
        <v>610</v>
      </c>
      <c r="AQ100" s="11">
        <f>IF(AQ$82="A","",IF(AQ$82="B",IF(ISNUMBER(INDEX($D$85:$AD$85,AQ$81)),FIXED(INDEX($D$85:$AD$85,AQ$81)/1000,1),""),IF(AQ$82="C","","")))</f>
        <v>0</v>
      </c>
      <c r="AR100" s="11">
        <f>IF(AR$82="A","",IF(AR$82="B",IF(ISNUMBER(INDEX($D$85:$AD$85,AR$81)),FIXED(INDEX($D$85:$AD$85,AR$81)/1000,1),""),IF(AR$82="C","","")))</f>
        <v>0</v>
      </c>
      <c r="AS100" s="11">
        <f>IF(AS$82="A","",IF(AS$82="B",IF(ISNUMBER(INDEX($D$85:$AD$85,AS$81)),FIXED(INDEX($D$85:$AD$85,AS$81)/1000,1),""),IF(AS$82="C","","")))</f>
        <v>0</v>
      </c>
      <c r="AT100" s="11">
        <f>IF(AT$82="A","",IF(AT$82="B",IF(ISNUMBER(INDEX($D$85:$AD$85,AT$81)),FIXED(INDEX($D$85:$AD$85,AT$81)/1000,1),""),IF(AT$82="C","","")))</f>
        <v>0</v>
      </c>
      <c r="AU100" s="11">
        <f>IF(AU$82="A","",IF(AU$82="B",IF(ISNUMBER(INDEX($D$85:$AD$85,AU$81)),FIXED(INDEX($D$85:$AD$85,AU$81)/1000,1),""),IF(AU$82="C","","")))</f>
        <v>0</v>
      </c>
      <c r="AV100" s="11">
        <f>IF(AV$82="A","",IF(AV$82="B",IF(ISNUMBER(INDEX($D$85:$AD$85,AV$81)),FIXED(INDEX($D$85:$AD$85,AV$81)/1000,1),""),IF(AV$82="C","","")))</f>
        <v>0</v>
      </c>
      <c r="AW100" s="11">
        <f>IF(AW$82="A","",IF(AW$82="B",IF(ISNUMBER(INDEX($D$85:$AD$85,AW$81)),FIXED(INDEX($D$85:$AD$85,AW$81)/1000,1),""),IF(AW$82="C","","")))</f>
        <v>0</v>
      </c>
      <c r="AX100" s="11">
        <f>IF(AX$82="A","",IF(AX$82="B",IF(ISNUMBER(INDEX($D$85:$AD$85,AX$81)),FIXED(INDEX($D$85:$AD$85,AX$81)/1000,1),""),IF(AX$82="C","","")))</f>
        <v>0</v>
      </c>
      <c r="AY100" s="11">
        <f>IF(AY$82="A","",IF(AY$82="B",IF(ISNUMBER(INDEX($D$85:$AD$85,AY$81)),FIXED(INDEX($D$85:$AD$85,AY$81)/1000,1),""),IF(AY$82="C","","")))</f>
        <v>0</v>
      </c>
      <c r="AZ100" s="11">
        <f>IF(AZ$82="A","",IF(AZ$82="B",IF(ISNUMBER(INDEX($D$85:$AD$85,AZ$81)),FIXED(INDEX($D$85:$AD$85,AZ$81)/1000,1),""),IF(AZ$82="C","","")))</f>
        <v>0</v>
      </c>
      <c r="BA100" s="11">
        <f>IF(BA$82="A","",IF(BA$82="B",IF(ISNUMBER(INDEX($D$85:$AD$85,BA$81)),FIXED(INDEX($D$85:$AD$85,BA$81)/1000,1),""),IF(BA$82="C","","")))</f>
        <v>0</v>
      </c>
      <c r="BB100" s="11">
        <f>IF(BB$82="A","",IF(BB$82="B",IF(ISNUMBER(INDEX($D$85:$AD$85,BB$81)),FIXED(INDEX($D$85:$AD$85,BB$81)/1000,1),""),IF(BB$82="C","","")))</f>
        <v>0</v>
      </c>
      <c r="BC100" s="11">
        <f>IF(BC$82="A","",IF(BC$82="B",IF(ISNUMBER(INDEX($D$85:$AD$85,BC$81)),FIXED(INDEX($D$85:$AD$85,BC$81)/1000,1),""),IF(BC$82="C","","")))</f>
        <v>0</v>
      </c>
      <c r="BD100" s="11">
        <f>IF(BD$82="A","",IF(BD$82="B",IF(ISNUMBER(INDEX($D$85:$AD$85,BD$81)),FIXED(INDEX($D$85:$AD$85,BD$81)/1000,1),""),IF(BD$82="C","","")))</f>
        <v>0</v>
      </c>
      <c r="BE100" s="11">
        <f>IF(BE$82="A","",IF(BE$82="B",IF(ISNUMBER(INDEX($D$85:$AD$85,BE$81)),FIXED(INDEX($D$85:$AD$85,BE$81)/1000,1),""),IF(BE$82="C","","")))</f>
        <v>0</v>
      </c>
      <c r="BF100" s="11">
        <f>IF(BF$82="A","",IF(BF$82="B",IF(ISNUMBER(INDEX($D$85:$AD$85,BF$81)),FIXED(INDEX($D$85:$AD$85,BF$81)/1000,1),""),IF(BF$82="C","","")))</f>
        <v>0</v>
      </c>
      <c r="BG100" s="11">
        <f>IF(BG$82="A","",IF(BG$82="B",IF(ISNUMBER(INDEX($D$85:$AD$85,BG$81)),FIXED(INDEX($D$85:$AD$85,BG$81)/1000,1),""),IF(BG$82="C","","")))</f>
        <v>0</v>
      </c>
      <c r="BH100" s="11">
        <f>IF(BH$82="A","",IF(BH$82="B",IF(ISNUMBER(INDEX($D$85:$AD$85,BH$81)),FIXED(INDEX($D$85:$AD$85,BH$81)/1000,1),""),IF(BH$82="C","","")))</f>
        <v>0</v>
      </c>
      <c r="BI100" s="11">
        <f>IF(BI$82="A","",IF(BI$82="B",IF(ISNUMBER(INDEX($D$85:$AD$85,BI$81)),FIXED(INDEX($D$85:$AD$85,BI$81)/1000,1),""),IF(BI$82="C","","")))</f>
        <v>0</v>
      </c>
      <c r="BJ100" s="11">
        <f>IF(BJ$82="A","",IF(BJ$82="B",IF(ISNUMBER(INDEX($D$85:$AD$85,BJ$81)),FIXED(INDEX($D$85:$AD$85,BJ$81)/1000,1),""),IF(BJ$82="C","","")))</f>
        <v>0</v>
      </c>
      <c r="BK100" s="11">
        <f>IF(BK$82="A","",IF(BK$82="B",IF(ISNUMBER(INDEX($D$85:$AD$85,BK$81)),FIXED(INDEX($D$85:$AD$85,BK$81)/1000,1),""),IF(BK$82="C","","")))</f>
        <v>0</v>
      </c>
      <c r="BL100" s="11">
        <f>IF(BL$82="A","",IF(BL$82="B",IF(ISNUMBER(INDEX($D$85:$AD$85,BL$81)),FIXED(INDEX($D$85:$AD$85,BL$81)/1000,1),""),IF(BL$82="C","","")))</f>
        <v>0</v>
      </c>
      <c r="BM100" s="11">
        <f>IF(BM$82="A","",IF(BM$82="B",IF(ISNUMBER(INDEX($D$85:$AD$85,BM$81)),FIXED(INDEX($D$85:$AD$85,BM$81)/1000,1),""),IF(BM$82="C","","")))</f>
        <v>0</v>
      </c>
      <c r="BN100" s="11">
        <f>IF(BN$82="A","",IF(BN$82="B",IF(ISNUMBER(INDEX($D$85:$AD$85,BN$81)),FIXED(INDEX($D$85:$AD$85,BN$81)/1000,1),""),IF(BN$82="C","","")))</f>
        <v>0</v>
      </c>
      <c r="BO100" s="11">
        <f>IF(BO$82="A","",IF(BO$82="B",IF(ISNUMBER(INDEX($D$85:$AD$85,BO$81)),FIXED(INDEX($D$85:$AD$85,BO$81)/1000,1),""),IF(BO$82="C","","")))</f>
        <v>0</v>
      </c>
      <c r="BP100" s="11">
        <f>IF(BP$82="A","",IF(BP$82="B",IF(ISNUMBER(INDEX($D$85:$AD$85,BP$81)),FIXED(INDEX($D$85:$AD$85,BP$81)/1000,1),""),IF(BP$82="C","","")))</f>
        <v>0</v>
      </c>
      <c r="BQ100" s="11">
        <f>IF(BQ$82="A","",IF(BQ$82="B",IF(ISNUMBER(INDEX($D$85:$AD$85,BQ$81)),FIXED(INDEX($D$85:$AD$85,BQ$81)/1000,1),""),IF(BQ$82="C","","")))</f>
        <v>0</v>
      </c>
      <c r="BR100" s="11">
        <f>IF(BR$82="A","",IF(BR$82="B",IF(ISNUMBER(INDEX($D$85:$AD$85,BR$81)),FIXED(INDEX($D$85:$AD$85,BR$81)/1000,1),""),IF(BR$82="C","","")))</f>
        <v>0</v>
      </c>
      <c r="BS100" s="11">
        <f>IF(BS$82="A","",IF(BS$82="B",IF(ISNUMBER(INDEX($D$85:$AD$85,BS$81)),FIXED(INDEX($D$85:$AD$85,BS$81)/1000,1),""),IF(BS$82="C","","")))</f>
        <v>0</v>
      </c>
      <c r="BT100" s="11">
        <f>IF(BT$82="A","",IF(BT$82="B",IF(ISNUMBER(INDEX($D$85:$AD$85,BT$81)),FIXED(INDEX($D$85:$AD$85,BT$81)/1000,1),""),IF(BT$82="C","","")))</f>
        <v>0</v>
      </c>
    </row>
    <row r="101" spans="1:72">
      <c r="A101" s="11" t="s">
        <v>733</v>
      </c>
      <c r="B101" s="11" t="s">
        <v>734</v>
      </c>
      <c r="C101" s="67" t="s">
        <v>610</v>
      </c>
      <c r="AQ101" s="68">
        <f>IF(AQ$82="A",IF(ISNUMBER(INDEX($D$86:$AD$86,AQ$81)),INDEX($D$86:$AD$86,AQ$81)/MAX(1,_xlfn.AGGREGATE(4,6,INDEX($D$96:$AD$96,28-$D$80):$AD$96),N(Konfiguration!$F$11)),NA()),IF(AQ$82="B",NA(),IF(AQ$82="C",NA(),NA())))</f>
        <v>0</v>
      </c>
      <c r="AR101" s="68">
        <f>IF(AR$82="A",IF(ISNUMBER(INDEX($D$86:$AD$86,AR$81)),INDEX($D$86:$AD$86,AR$81)/MAX(1,_xlfn.AGGREGATE(4,6,INDEX($D$96:$AD$96,28-$D$80):$AD$96),N(Konfiguration!$F$11)),NA()),IF(AR$82="B",NA(),IF(AR$82="C",NA(),NA())))</f>
        <v>0</v>
      </c>
      <c r="AS101" s="68">
        <f>IF(AS$82="A",IF(ISNUMBER(INDEX($D$86:$AD$86,AS$81)),INDEX($D$86:$AD$86,AS$81)/MAX(1,_xlfn.AGGREGATE(4,6,INDEX($D$96:$AD$96,28-$D$80):$AD$96),N(Konfiguration!$F$11)),NA()),IF(AS$82="B",NA(),IF(AS$82="C",NA(),NA())))</f>
        <v>0</v>
      </c>
      <c r="AT101" s="68">
        <f>IF(AT$82="A",IF(ISNUMBER(INDEX($D$86:$AD$86,AT$81)),INDEX($D$86:$AD$86,AT$81)/MAX(1,_xlfn.AGGREGATE(4,6,INDEX($D$96:$AD$96,28-$D$80):$AD$96),N(Konfiguration!$F$11)),NA()),IF(AT$82="B",NA(),IF(AT$82="C",NA(),NA())))</f>
        <v>0</v>
      </c>
      <c r="AU101" s="68">
        <f>IF(AU$82="A",IF(ISNUMBER(INDEX($D$86:$AD$86,AU$81)),INDEX($D$86:$AD$86,AU$81)/MAX(1,_xlfn.AGGREGATE(4,6,INDEX($D$96:$AD$96,28-$D$80):$AD$96),N(Konfiguration!$F$11)),NA()),IF(AU$82="B",NA(),IF(AU$82="C",NA(),NA())))</f>
        <v>0</v>
      </c>
      <c r="AV101" s="68">
        <f>IF(AV$82="A",IF(ISNUMBER(INDEX($D$86:$AD$86,AV$81)),INDEX($D$86:$AD$86,AV$81)/MAX(1,_xlfn.AGGREGATE(4,6,INDEX($D$96:$AD$96,28-$D$80):$AD$96),N(Konfiguration!$F$11)),NA()),IF(AV$82="B",NA(),IF(AV$82="C",NA(),NA())))</f>
        <v>0</v>
      </c>
      <c r="AW101" s="68">
        <f>IF(AW$82="A",IF(ISNUMBER(INDEX($D$86:$AD$86,AW$81)),INDEX($D$86:$AD$86,AW$81)/MAX(1,_xlfn.AGGREGATE(4,6,INDEX($D$96:$AD$96,28-$D$80):$AD$96),N(Konfiguration!$F$11)),NA()),IF(AW$82="B",NA(),IF(AW$82="C",NA(),NA())))</f>
        <v>0</v>
      </c>
      <c r="AX101" s="68">
        <f>IF(AX$82="A",IF(ISNUMBER(INDEX($D$86:$AD$86,AX$81)),INDEX($D$86:$AD$86,AX$81)/MAX(1,_xlfn.AGGREGATE(4,6,INDEX($D$96:$AD$96,28-$D$80):$AD$96),N(Konfiguration!$F$11)),NA()),IF(AX$82="B",NA(),IF(AX$82="C",NA(),NA())))</f>
        <v>0</v>
      </c>
      <c r="AY101" s="68">
        <f>IF(AY$82="A",IF(ISNUMBER(INDEX($D$86:$AD$86,AY$81)),INDEX($D$86:$AD$86,AY$81)/MAX(1,_xlfn.AGGREGATE(4,6,INDEX($D$96:$AD$96,28-$D$80):$AD$96),N(Konfiguration!$F$11)),NA()),IF(AY$82="B",NA(),IF(AY$82="C",NA(),NA())))</f>
        <v>0</v>
      </c>
      <c r="AZ101" s="68">
        <f>IF(AZ$82="A",IF(ISNUMBER(INDEX($D$86:$AD$86,AZ$81)),INDEX($D$86:$AD$86,AZ$81)/MAX(1,_xlfn.AGGREGATE(4,6,INDEX($D$96:$AD$96,28-$D$80):$AD$96),N(Konfiguration!$F$11)),NA()),IF(AZ$82="B",NA(),IF(AZ$82="C",NA(),NA())))</f>
        <v>0</v>
      </c>
      <c r="BA101" s="68">
        <f>IF(BA$82="A",IF(ISNUMBER(INDEX($D$86:$AD$86,BA$81)),INDEX($D$86:$AD$86,BA$81)/MAX(1,_xlfn.AGGREGATE(4,6,INDEX($D$96:$AD$96,28-$D$80):$AD$96),N(Konfiguration!$F$11)),NA()),IF(BA$82="B",NA(),IF(BA$82="C",NA(),NA())))</f>
        <v>0</v>
      </c>
      <c r="BB101" s="68">
        <f>IF(BB$82="A",IF(ISNUMBER(INDEX($D$86:$AD$86,BB$81)),INDEX($D$86:$AD$86,BB$81)/MAX(1,_xlfn.AGGREGATE(4,6,INDEX($D$96:$AD$96,28-$D$80):$AD$96),N(Konfiguration!$F$11)),NA()),IF(BB$82="B",NA(),IF(BB$82="C",NA(),NA())))</f>
        <v>0</v>
      </c>
      <c r="BC101" s="68">
        <f>IF(BC$82="A",IF(ISNUMBER(INDEX($D$86:$AD$86,BC$81)),INDEX($D$86:$AD$86,BC$81)/MAX(1,_xlfn.AGGREGATE(4,6,INDEX($D$96:$AD$96,28-$D$80):$AD$96),N(Konfiguration!$F$11)),NA()),IF(BC$82="B",NA(),IF(BC$82="C",NA(),NA())))</f>
        <v>0</v>
      </c>
      <c r="BD101" s="68">
        <f>IF(BD$82="A",IF(ISNUMBER(INDEX($D$86:$AD$86,BD$81)),INDEX($D$86:$AD$86,BD$81)/MAX(1,_xlfn.AGGREGATE(4,6,INDEX($D$96:$AD$96,28-$D$80):$AD$96),N(Konfiguration!$F$11)),NA()),IF(BD$82="B",NA(),IF(BD$82="C",NA(),NA())))</f>
        <v>0</v>
      </c>
      <c r="BE101" s="68">
        <f>IF(BE$82="A",IF(ISNUMBER(INDEX($D$86:$AD$86,BE$81)),INDEX($D$86:$AD$86,BE$81)/MAX(1,_xlfn.AGGREGATE(4,6,INDEX($D$96:$AD$96,28-$D$80):$AD$96),N(Konfiguration!$F$11)),NA()),IF(BE$82="B",NA(),IF(BE$82="C",NA(),NA())))</f>
        <v>0</v>
      </c>
      <c r="BF101" s="68">
        <f>IF(BF$82="A",IF(ISNUMBER(INDEX($D$86:$AD$86,BF$81)),INDEX($D$86:$AD$86,BF$81)/MAX(1,_xlfn.AGGREGATE(4,6,INDEX($D$96:$AD$96,28-$D$80):$AD$96),N(Konfiguration!$F$11)),NA()),IF(BF$82="B",NA(),IF(BF$82="C",NA(),NA())))</f>
        <v>0</v>
      </c>
      <c r="BG101" s="68">
        <f>IF(BG$82="A",IF(ISNUMBER(INDEX($D$86:$AD$86,BG$81)),INDEX($D$86:$AD$86,BG$81)/MAX(1,_xlfn.AGGREGATE(4,6,INDEX($D$96:$AD$96,28-$D$80):$AD$96),N(Konfiguration!$F$11)),NA()),IF(BG$82="B",NA(),IF(BG$82="C",NA(),NA())))</f>
        <v>0</v>
      </c>
      <c r="BH101" s="68">
        <f>IF(BH$82="A",IF(ISNUMBER(INDEX($D$86:$AD$86,BH$81)),INDEX($D$86:$AD$86,BH$81)/MAX(1,_xlfn.AGGREGATE(4,6,INDEX($D$96:$AD$96,28-$D$80):$AD$96),N(Konfiguration!$F$11)),NA()),IF(BH$82="B",NA(),IF(BH$82="C",NA(),NA())))</f>
        <v>0</v>
      </c>
      <c r="BI101" s="68">
        <f>IF(BI$82="A",IF(ISNUMBER(INDEX($D$86:$AD$86,BI$81)),INDEX($D$86:$AD$86,BI$81)/MAX(1,_xlfn.AGGREGATE(4,6,INDEX($D$96:$AD$96,28-$D$80):$AD$96),N(Konfiguration!$F$11)),NA()),IF(BI$82="B",NA(),IF(BI$82="C",NA(),NA())))</f>
        <v>0</v>
      </c>
      <c r="BJ101" s="68">
        <f>IF(BJ$82="A",IF(ISNUMBER(INDEX($D$86:$AD$86,BJ$81)),INDEX($D$86:$AD$86,BJ$81)/MAX(1,_xlfn.AGGREGATE(4,6,INDEX($D$96:$AD$96,28-$D$80):$AD$96),N(Konfiguration!$F$11)),NA()),IF(BJ$82="B",NA(),IF(BJ$82="C",NA(),NA())))</f>
        <v>0</v>
      </c>
      <c r="BK101" s="68">
        <f>IF(BK$82="A",IF(ISNUMBER(INDEX($D$86:$AD$86,BK$81)),INDEX($D$86:$AD$86,BK$81)/MAX(1,_xlfn.AGGREGATE(4,6,INDEX($D$96:$AD$96,28-$D$80):$AD$96),N(Konfiguration!$F$11)),NA()),IF(BK$82="B",NA(),IF(BK$82="C",NA(),NA())))</f>
        <v>0</v>
      </c>
      <c r="BL101" s="68">
        <f>IF(BL$82="A",IF(ISNUMBER(INDEX($D$86:$AD$86,BL$81)),INDEX($D$86:$AD$86,BL$81)/MAX(1,_xlfn.AGGREGATE(4,6,INDEX($D$96:$AD$96,28-$D$80):$AD$96),N(Konfiguration!$F$11)),NA()),IF(BL$82="B",NA(),IF(BL$82="C",NA(),NA())))</f>
        <v>0</v>
      </c>
      <c r="BM101" s="68">
        <f>IF(BM$82="A",IF(ISNUMBER(INDEX($D$86:$AD$86,BM$81)),INDEX($D$86:$AD$86,BM$81)/MAX(1,_xlfn.AGGREGATE(4,6,INDEX($D$96:$AD$96,28-$D$80):$AD$96),N(Konfiguration!$F$11)),NA()),IF(BM$82="B",NA(),IF(BM$82="C",NA(),NA())))</f>
        <v>0</v>
      </c>
      <c r="BN101" s="68">
        <f>IF(BN$82="A",IF(ISNUMBER(INDEX($D$86:$AD$86,BN$81)),INDEX($D$86:$AD$86,BN$81)/MAX(1,_xlfn.AGGREGATE(4,6,INDEX($D$96:$AD$96,28-$D$80):$AD$96),N(Konfiguration!$F$11)),NA()),IF(BN$82="B",NA(),IF(BN$82="C",NA(),NA())))</f>
        <v>0</v>
      </c>
      <c r="BO101" s="68">
        <f>IF(BO$82="A",IF(ISNUMBER(INDEX($D$86:$AD$86,BO$81)),INDEX($D$86:$AD$86,BO$81)/MAX(1,_xlfn.AGGREGATE(4,6,INDEX($D$96:$AD$96,28-$D$80):$AD$96),N(Konfiguration!$F$11)),NA()),IF(BO$82="B",NA(),IF(BO$82="C",NA(),NA())))</f>
        <v>0</v>
      </c>
      <c r="BP101" s="68">
        <f>IF(BP$82="A",IF(ISNUMBER(INDEX($D$86:$AD$86,BP$81)),INDEX($D$86:$AD$86,BP$81)/MAX(1,_xlfn.AGGREGATE(4,6,INDEX($D$96:$AD$96,28-$D$80):$AD$96),N(Konfiguration!$F$11)),NA()),IF(BP$82="B",NA(),IF(BP$82="C",NA(),NA())))</f>
        <v>0</v>
      </c>
      <c r="BQ101" s="68">
        <f>IF(BQ$82="A",IF(ISNUMBER(INDEX($D$86:$AD$86,BQ$81)),INDEX($D$86:$AD$86,BQ$81)/MAX(1,_xlfn.AGGREGATE(4,6,INDEX($D$96:$AD$96,28-$D$80):$AD$96),N(Konfiguration!$F$11)),NA()),IF(BQ$82="B",NA(),IF(BQ$82="C",NA(),NA())))</f>
        <v>0</v>
      </c>
      <c r="BR101" s="68">
        <f>IF(BR$82="A",IF(ISNUMBER(INDEX($D$86:$AD$86,BR$81)),INDEX($D$86:$AD$86,BR$81)/MAX(1,_xlfn.AGGREGATE(4,6,INDEX($D$96:$AD$96,28-$D$80):$AD$96),N(Konfiguration!$F$11)),NA()),IF(BR$82="B",NA(),IF(BR$82="C",NA(),NA())))</f>
        <v>0</v>
      </c>
      <c r="BS101" s="68">
        <f>IF(BS$82="A",IF(ISNUMBER(INDEX($D$86:$AD$86,BS$81)),INDEX($D$86:$AD$86,BS$81)/MAX(1,_xlfn.AGGREGATE(4,6,INDEX($D$96:$AD$96,28-$D$80):$AD$96),N(Konfiguration!$F$11)),NA()),IF(BS$82="B",NA(),IF(BS$82="C",NA(),NA())))</f>
        <v>0</v>
      </c>
      <c r="BT101" s="68">
        <f>IF(BT$82="A",IF(ISNUMBER(INDEX($D$86:$AD$86,BT$81)),INDEX($D$86:$AD$86,BT$81)/MAX(1,_xlfn.AGGREGATE(4,6,INDEX($D$96:$AD$96,28-$D$80):$AD$96),N(Konfiguration!$F$11)),NA()),IF(BT$82="B",NA(),IF(BT$82="C",NA(),NA())))</f>
        <v>0</v>
      </c>
    </row>
    <row r="102" spans="1:72">
      <c r="A102" s="11" t="s">
        <v>735</v>
      </c>
      <c r="B102" s="11" t="s">
        <v>736</v>
      </c>
      <c r="C102" s="67" t="s">
        <v>610</v>
      </c>
      <c r="AQ102" s="68">
        <f>IF(AQ$82="A",NA(),IF(AQ$82="B",IF(ISNUMBER(INDEX($D$86:$AD$86,AQ$81)),MAX(INDEX($D$96:$AD$96,A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Q$82="C",NA(),NA())))</f>
        <v>0</v>
      </c>
      <c r="AR102" s="68">
        <f>IF(AR$82="A",NA(),IF(AR$82="B",IF(ISNUMBER(INDEX($D$86:$AD$86,AR$81)),MAX(INDEX($D$96:$AD$96,A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R$82="C",NA(),NA())))</f>
        <v>0</v>
      </c>
      <c r="AS102" s="68">
        <f>IF(AS$82="A",NA(),IF(AS$82="B",IF(ISNUMBER(INDEX($D$86:$AD$86,AS$81)),MAX(INDEX($D$96:$AD$96,A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S$82="C",NA(),NA())))</f>
        <v>0</v>
      </c>
      <c r="AT102" s="68">
        <f>IF(AT$82="A",NA(),IF(AT$82="B",IF(ISNUMBER(INDEX($D$86:$AD$86,AT$81)),MAX(INDEX($D$96:$AD$96,A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T$82="C",NA(),NA())))</f>
        <v>0</v>
      </c>
      <c r="AU102" s="68">
        <f>IF(AU$82="A",NA(),IF(AU$82="B",IF(ISNUMBER(INDEX($D$86:$AD$86,AU$81)),MAX(INDEX($D$96:$AD$96,AU$81)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U$82="C",NA(),NA())))</f>
        <v>0</v>
      </c>
      <c r="AV102" s="68">
        <f>IF(AV$82="A",NA(),IF(AV$82="B",IF(ISNUMBER(INDEX($D$86:$AD$86,AV$81)),MAX(INDEX($D$96:$AD$96,AV$81)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V$82="C",NA(),NA())))</f>
        <v>0</v>
      </c>
      <c r="AW102" s="68">
        <f>IF(AW$82="A",NA(),IF(AW$82="B",IF(ISNUMBER(INDEX($D$86:$AD$86,AW$81)),MAX(INDEX($D$96:$AD$96,AW$81)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W$82="C",NA(),NA())))</f>
        <v>0</v>
      </c>
      <c r="AX102" s="68">
        <f>IF(AX$82="A",NA(),IF(AX$82="B",IF(ISNUMBER(INDEX($D$86:$AD$86,AX$81)),MAX(INDEX($D$96:$AD$96,AX$81)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X$82="C",NA(),NA())))</f>
        <v>0</v>
      </c>
      <c r="AY102" s="68">
        <f>IF(AY$82="A",NA(),IF(AY$82="B",IF(ISNUMBER(INDEX($D$86:$AD$86,AY$81)),MAX(INDEX($D$96:$AD$96,AY$81)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Y$82="C",NA(),NA())))</f>
        <v>0</v>
      </c>
      <c r="AZ102" s="68">
        <f>IF(AZ$82="A",NA(),IF(AZ$82="B",IF(ISNUMBER(INDEX($D$86:$AD$86,AZ$81)),MAX(INDEX($D$96:$AD$96,AZ$81)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Z$82="C",NA(),NA())))</f>
        <v>0</v>
      </c>
      <c r="BA102" s="68">
        <f>IF(BA$82="A",NA(),IF(BA$82="B",IF(ISNUMBER(INDEX($D$86:$AD$86,BA$81)),MAX(INDEX($D$96:$AD$96,BA$81)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A$82="C",NA(),NA())))</f>
        <v>0</v>
      </c>
      <c r="BB102" s="68">
        <f>IF(BB$82="A",NA(),IF(BB$82="B",IF(ISNUMBER(INDEX($D$86:$AD$86,BB$81)),MAX(INDEX($D$96:$AD$96,BB$81)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B$82="C",NA(),NA())))</f>
        <v>0</v>
      </c>
      <c r="BC102" s="68">
        <f>IF(BC$82="A",NA(),IF(BC$82="B",IF(ISNUMBER(INDEX($D$86:$AD$86,BC$81)),MAX(INDEX($D$96:$AD$96,BC$81)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C$82="C",NA(),NA())))</f>
        <v>0</v>
      </c>
      <c r="BD102" s="68">
        <f>IF(BD$82="A",NA(),IF(BD$82="B",IF(ISNUMBER(INDEX($D$86:$AD$86,BD$81)),MAX(INDEX($D$96:$AD$96,BD$81)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D$82="C",NA(),NA())))</f>
        <v>0</v>
      </c>
      <c r="BE102" s="68">
        <f>IF(BE$82="A",NA(),IF(BE$82="B",IF(ISNUMBER(INDEX($D$86:$AD$86,BE$81)),MAX(INDEX($D$96:$AD$96,BE$81)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E$82="C",NA(),NA())))</f>
        <v>0</v>
      </c>
      <c r="BF102" s="68">
        <f>IF(BF$82="A",NA(),IF(BF$82="B",IF(ISNUMBER(INDEX($D$86:$AD$86,BF$81)),MAX(INDEX($D$96:$AD$96,BF$81)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F$82="C",NA(),NA())))</f>
        <v>0</v>
      </c>
      <c r="BG102" s="68">
        <f>IF(BG$82="A",NA(),IF(BG$82="B",IF(ISNUMBER(INDEX($D$86:$AD$86,BG$81)),MAX(INDEX($D$96:$AD$96,BG$81)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G$82="C",NA(),NA())))</f>
        <v>0</v>
      </c>
      <c r="BH102" s="68">
        <f>IF(BH$82="A",NA(),IF(BH$82="B",IF(ISNUMBER(INDEX($D$86:$AD$86,BH$81)),MAX(INDEX($D$96:$AD$96,BH$81)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H$82="C",NA(),NA())))</f>
        <v>0</v>
      </c>
      <c r="BI102" s="68">
        <f>IF(BI$82="A",NA(),IF(BI$82="B",IF(ISNUMBER(INDEX($D$86:$AD$86,BI$81)),MAX(INDEX($D$96:$AD$96,BI$81)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I$82="C",NA(),NA())))</f>
        <v>0</v>
      </c>
      <c r="BJ102" s="68">
        <f>IF(BJ$82="A",NA(),IF(BJ$82="B",IF(ISNUMBER(INDEX($D$86:$AD$86,BJ$81)),MAX(INDEX($D$96:$AD$96,BJ$81)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J$82="C",NA(),NA())))</f>
        <v>0</v>
      </c>
      <c r="BK102" s="68">
        <f>IF(BK$82="A",NA(),IF(BK$82="B",IF(ISNUMBER(INDEX($D$86:$AD$86,BK$81)),MAX(INDEX($D$96:$AD$96,BK$81)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K$82="C",NA(),NA())))</f>
        <v>0</v>
      </c>
      <c r="BL102" s="68">
        <f>IF(BL$82="A",NA(),IF(BL$82="B",IF(ISNUMBER(INDEX($D$86:$AD$86,BL$81)),MAX(INDEX($D$96:$AD$96,BL$81)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L$82="C",NA(),NA())))</f>
        <v>0</v>
      </c>
      <c r="BM102" s="68">
        <f>IF(BM$82="A",NA(),IF(BM$82="B",IF(ISNUMBER(INDEX($D$86:$AD$86,BM$81)),MAX(INDEX($D$96:$AD$96,BM$81)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M$82="C",NA(),NA())))</f>
        <v>0</v>
      </c>
      <c r="BN102" s="68">
        <f>IF(BN$82="A",NA(),IF(BN$82="B",IF(ISNUMBER(INDEX($D$86:$AD$86,BN$81)),MAX(INDEX($D$96:$AD$96,BN$81)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N$82="C",NA(),NA())))</f>
        <v>0</v>
      </c>
      <c r="BO102" s="68">
        <f>IF(BO$82="A",NA(),IF(BO$82="B",IF(ISNUMBER(INDEX($D$86:$AD$86,BO$81)),MAX(INDEX($D$96:$AD$96,BO$81)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O$82="C",NA(),NA())))</f>
        <v>0</v>
      </c>
      <c r="BP102" s="68">
        <f>IF(BP$82="A",NA(),IF(BP$82="B",IF(ISNUMBER(INDEX($D$86:$AD$86,BP$81)),MAX(INDEX($D$96:$AD$96,BP$81)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P$82="C",NA(),NA())))</f>
        <v>0</v>
      </c>
      <c r="BQ102" s="68">
        <f>IF(BQ$82="A",NA(),IF(BQ$82="B",IF(ISNUMBER(INDEX($D$86:$AD$86,BQ$81)),MAX(INDEX($D$96:$AD$96,B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Q$82="C",NA(),NA())))</f>
        <v>0</v>
      </c>
      <c r="BR102" s="68">
        <f>IF(BR$82="A",NA(),IF(BR$82="B",IF(ISNUMBER(INDEX($D$86:$AD$86,BR$81)),MAX(INDEX($D$96:$AD$96,B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R$82="C",NA(),NA())))</f>
        <v>0</v>
      </c>
      <c r="BS102" s="68">
        <f>IF(BS$82="A",NA(),IF(BS$82="B",IF(ISNUMBER(INDEX($D$86:$AD$86,BS$81)),MAX(INDEX($D$96:$AD$96,B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S$82="C",NA(),NA())))</f>
        <v>0</v>
      </c>
      <c r="BT102" s="68">
        <f>IF(BT$82="A",NA(),IF(BT$82="B",IF(ISNUMBER(INDEX($D$86:$AD$86,BT$81)),MAX(INDEX($D$96:$AD$96,B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T$82="C",NA(),NA())))</f>
        <v>0</v>
      </c>
    </row>
    <row r="103" spans="1:72">
      <c r="A103" s="11" t="s">
        <v>737</v>
      </c>
      <c r="B103" s="11" t="s">
        <v>738</v>
      </c>
      <c r="C103" s="67" t="s">
        <v>610</v>
      </c>
      <c r="AQ103" s="11">
        <f>IF(AQ$82="A","",IF(AQ$82="B",IF(ISNUMBER(INDEX($D$86:$AD$86,AQ$81)),FIXED(INDEX($D$86:$AD$86,AQ$81)/1000,1),""),IF(AQ$82="C","","")))</f>
        <v>0</v>
      </c>
      <c r="AR103" s="11">
        <f>IF(AR$82="A","",IF(AR$82="B",IF(ISNUMBER(INDEX($D$86:$AD$86,AR$81)),FIXED(INDEX($D$86:$AD$86,AR$81)/1000,1),""),IF(AR$82="C","","")))</f>
        <v>0</v>
      </c>
      <c r="AS103" s="11">
        <f>IF(AS$82="A","",IF(AS$82="B",IF(ISNUMBER(INDEX($D$86:$AD$86,AS$81)),FIXED(INDEX($D$86:$AD$86,AS$81)/1000,1),""),IF(AS$82="C","","")))</f>
        <v>0</v>
      </c>
      <c r="AT103" s="11">
        <f>IF(AT$82="A","",IF(AT$82="B",IF(ISNUMBER(INDEX($D$86:$AD$86,AT$81)),FIXED(INDEX($D$86:$AD$86,AT$81)/1000,1),""),IF(AT$82="C","","")))</f>
        <v>0</v>
      </c>
      <c r="AU103" s="11">
        <f>IF(AU$82="A","",IF(AU$82="B",IF(ISNUMBER(INDEX($D$86:$AD$86,AU$81)),FIXED(INDEX($D$86:$AD$86,AU$81)/1000,1),""),IF(AU$82="C","","")))</f>
        <v>0</v>
      </c>
      <c r="AV103" s="11">
        <f>IF(AV$82="A","",IF(AV$82="B",IF(ISNUMBER(INDEX($D$86:$AD$86,AV$81)),FIXED(INDEX($D$86:$AD$86,AV$81)/1000,1),""),IF(AV$82="C","","")))</f>
        <v>0</v>
      </c>
      <c r="AW103" s="11">
        <f>IF(AW$82="A","",IF(AW$82="B",IF(ISNUMBER(INDEX($D$86:$AD$86,AW$81)),FIXED(INDEX($D$86:$AD$86,AW$81)/1000,1),""),IF(AW$82="C","","")))</f>
        <v>0</v>
      </c>
      <c r="AX103" s="11">
        <f>IF(AX$82="A","",IF(AX$82="B",IF(ISNUMBER(INDEX($D$86:$AD$86,AX$81)),FIXED(INDEX($D$86:$AD$86,AX$81)/1000,1),""),IF(AX$82="C","","")))</f>
        <v>0</v>
      </c>
      <c r="AY103" s="11">
        <f>IF(AY$82="A","",IF(AY$82="B",IF(ISNUMBER(INDEX($D$86:$AD$86,AY$81)),FIXED(INDEX($D$86:$AD$86,AY$81)/1000,1),""),IF(AY$82="C","","")))</f>
        <v>0</v>
      </c>
      <c r="AZ103" s="11">
        <f>IF(AZ$82="A","",IF(AZ$82="B",IF(ISNUMBER(INDEX($D$86:$AD$86,AZ$81)),FIXED(INDEX($D$86:$AD$86,AZ$81)/1000,1),""),IF(AZ$82="C","","")))</f>
        <v>0</v>
      </c>
      <c r="BA103" s="11">
        <f>IF(BA$82="A","",IF(BA$82="B",IF(ISNUMBER(INDEX($D$86:$AD$86,BA$81)),FIXED(INDEX($D$86:$AD$86,BA$81)/1000,1),""),IF(BA$82="C","","")))</f>
        <v>0</v>
      </c>
      <c r="BB103" s="11">
        <f>IF(BB$82="A","",IF(BB$82="B",IF(ISNUMBER(INDEX($D$86:$AD$86,BB$81)),FIXED(INDEX($D$86:$AD$86,BB$81)/1000,1),""),IF(BB$82="C","","")))</f>
        <v>0</v>
      </c>
      <c r="BC103" s="11">
        <f>IF(BC$82="A","",IF(BC$82="B",IF(ISNUMBER(INDEX($D$86:$AD$86,BC$81)),FIXED(INDEX($D$86:$AD$86,BC$81)/1000,1),""),IF(BC$82="C","","")))</f>
        <v>0</v>
      </c>
      <c r="BD103" s="11">
        <f>IF(BD$82="A","",IF(BD$82="B",IF(ISNUMBER(INDEX($D$86:$AD$86,BD$81)),FIXED(INDEX($D$86:$AD$86,BD$81)/1000,1),""),IF(BD$82="C","","")))</f>
        <v>0</v>
      </c>
      <c r="BE103" s="11">
        <f>IF(BE$82="A","",IF(BE$82="B",IF(ISNUMBER(INDEX($D$86:$AD$86,BE$81)),FIXED(INDEX($D$86:$AD$86,BE$81)/1000,1),""),IF(BE$82="C","","")))</f>
        <v>0</v>
      </c>
      <c r="BF103" s="11">
        <f>IF(BF$82="A","",IF(BF$82="B",IF(ISNUMBER(INDEX($D$86:$AD$86,BF$81)),FIXED(INDEX($D$86:$AD$86,BF$81)/1000,1),""),IF(BF$82="C","","")))</f>
        <v>0</v>
      </c>
      <c r="BG103" s="11">
        <f>IF(BG$82="A","",IF(BG$82="B",IF(ISNUMBER(INDEX($D$86:$AD$86,BG$81)),FIXED(INDEX($D$86:$AD$86,BG$81)/1000,1),""),IF(BG$82="C","","")))</f>
        <v>0</v>
      </c>
      <c r="BH103" s="11">
        <f>IF(BH$82="A","",IF(BH$82="B",IF(ISNUMBER(INDEX($D$86:$AD$86,BH$81)),FIXED(INDEX($D$86:$AD$86,BH$81)/1000,1),""),IF(BH$82="C","","")))</f>
        <v>0</v>
      </c>
      <c r="BI103" s="11">
        <f>IF(BI$82="A","",IF(BI$82="B",IF(ISNUMBER(INDEX($D$86:$AD$86,BI$81)),FIXED(INDEX($D$86:$AD$86,BI$81)/1000,1),""),IF(BI$82="C","","")))</f>
        <v>0</v>
      </c>
      <c r="BJ103" s="11">
        <f>IF(BJ$82="A","",IF(BJ$82="B",IF(ISNUMBER(INDEX($D$86:$AD$86,BJ$81)),FIXED(INDEX($D$86:$AD$86,BJ$81)/1000,1),""),IF(BJ$82="C","","")))</f>
        <v>0</v>
      </c>
      <c r="BK103" s="11">
        <f>IF(BK$82="A","",IF(BK$82="B",IF(ISNUMBER(INDEX($D$86:$AD$86,BK$81)),FIXED(INDEX($D$86:$AD$86,BK$81)/1000,1),""),IF(BK$82="C","","")))</f>
        <v>0</v>
      </c>
      <c r="BL103" s="11">
        <f>IF(BL$82="A","",IF(BL$82="B",IF(ISNUMBER(INDEX($D$86:$AD$86,BL$81)),FIXED(INDEX($D$86:$AD$86,BL$81)/1000,1),""),IF(BL$82="C","","")))</f>
        <v>0</v>
      </c>
      <c r="BM103" s="11">
        <f>IF(BM$82="A","",IF(BM$82="B",IF(ISNUMBER(INDEX($D$86:$AD$86,BM$81)),FIXED(INDEX($D$86:$AD$86,BM$81)/1000,1),""),IF(BM$82="C","","")))</f>
        <v>0</v>
      </c>
      <c r="BN103" s="11">
        <f>IF(BN$82="A","",IF(BN$82="B",IF(ISNUMBER(INDEX($D$86:$AD$86,BN$81)),FIXED(INDEX($D$86:$AD$86,BN$81)/1000,1),""),IF(BN$82="C","","")))</f>
        <v>0</v>
      </c>
      <c r="BO103" s="11">
        <f>IF(BO$82="A","",IF(BO$82="B",IF(ISNUMBER(INDEX($D$86:$AD$86,BO$81)),FIXED(INDEX($D$86:$AD$86,BO$81)/1000,1),""),IF(BO$82="C","","")))</f>
        <v>0</v>
      </c>
      <c r="BP103" s="11">
        <f>IF(BP$82="A","",IF(BP$82="B",IF(ISNUMBER(INDEX($D$86:$AD$86,BP$81)),FIXED(INDEX($D$86:$AD$86,BP$81)/1000,1),""),IF(BP$82="C","","")))</f>
        <v>0</v>
      </c>
      <c r="BQ103" s="11">
        <f>IF(BQ$82="A","",IF(BQ$82="B",IF(ISNUMBER(INDEX($D$86:$AD$86,BQ$81)),FIXED(INDEX($D$86:$AD$86,BQ$81)/1000,1),""),IF(BQ$82="C","","")))</f>
        <v>0</v>
      </c>
      <c r="BR103" s="11">
        <f>IF(BR$82="A","",IF(BR$82="B",IF(ISNUMBER(INDEX($D$86:$AD$86,BR$81)),FIXED(INDEX($D$86:$AD$86,BR$81)/1000,1),""),IF(BR$82="C","","")))</f>
        <v>0</v>
      </c>
      <c r="BS103" s="11">
        <f>IF(BS$82="A","",IF(BS$82="B",IF(ISNUMBER(INDEX($D$86:$AD$86,BS$81)),FIXED(INDEX($D$86:$AD$86,BS$81)/1000,1),""),IF(BS$82="C","","")))</f>
        <v>0</v>
      </c>
      <c r="BT103" s="11">
        <f>IF(BT$82="A","",IF(BT$82="B",IF(ISNUMBER(INDEX($D$86:$AD$86,BT$81)),FIXED(INDEX($D$86:$AD$86,BT$81)/1000,1),""),IF(BT$82="C","","")))</f>
        <v>0</v>
      </c>
    </row>
    <row r="104" spans="1:72">
      <c r="A104" s="11" t="s">
        <v>739</v>
      </c>
      <c r="B104" s="11" t="s">
        <v>740</v>
      </c>
      <c r="C104" s="67" t="s">
        <v>610</v>
      </c>
      <c r="AQ104" s="68">
        <f>IF(AQ$82="A",IF(ISNUMBER(INDEX($D$87:$AD$87,AQ$81)),INDEX($D$87:$AD$87,AQ$81)/MAX(1,_xlfn.AGGREGATE(4,6,INDEX($D$96:$AD$96,28-$D$80):$AD$96),N(Konfiguration!$F$11)),NA()),IF(AQ$82="B",NA(),IF(AQ$82="C",NA(),NA())))</f>
        <v>0</v>
      </c>
      <c r="AR104" s="68">
        <f>IF(AR$82="A",IF(ISNUMBER(INDEX($D$87:$AD$87,AR$81)),INDEX($D$87:$AD$87,AR$81)/MAX(1,_xlfn.AGGREGATE(4,6,INDEX($D$96:$AD$96,28-$D$80):$AD$96),N(Konfiguration!$F$11)),NA()),IF(AR$82="B",NA(),IF(AR$82="C",NA(),NA())))</f>
        <v>0</v>
      </c>
      <c r="AS104" s="68">
        <f>IF(AS$82="A",IF(ISNUMBER(INDEX($D$87:$AD$87,AS$81)),INDEX($D$87:$AD$87,AS$81)/MAX(1,_xlfn.AGGREGATE(4,6,INDEX($D$96:$AD$96,28-$D$80):$AD$96),N(Konfiguration!$F$11)),NA()),IF(AS$82="B",NA(),IF(AS$82="C",NA(),NA())))</f>
        <v>0</v>
      </c>
      <c r="AT104" s="68">
        <f>IF(AT$82="A",IF(ISNUMBER(INDEX($D$87:$AD$87,AT$81)),INDEX($D$87:$AD$87,AT$81)/MAX(1,_xlfn.AGGREGATE(4,6,INDEX($D$96:$AD$96,28-$D$80):$AD$96),N(Konfiguration!$F$11)),NA()),IF(AT$82="B",NA(),IF(AT$82="C",NA(),NA())))</f>
        <v>0</v>
      </c>
      <c r="AU104" s="68">
        <f>IF(AU$82="A",IF(ISNUMBER(INDEX($D$87:$AD$87,AU$81)),INDEX($D$87:$AD$87,AU$81)/MAX(1,_xlfn.AGGREGATE(4,6,INDEX($D$96:$AD$96,28-$D$80):$AD$96),N(Konfiguration!$F$11)),NA()),IF(AU$82="B",NA(),IF(AU$82="C",NA(),NA())))</f>
        <v>0</v>
      </c>
      <c r="AV104" s="68">
        <f>IF(AV$82="A",IF(ISNUMBER(INDEX($D$87:$AD$87,AV$81)),INDEX($D$87:$AD$87,AV$81)/MAX(1,_xlfn.AGGREGATE(4,6,INDEX($D$96:$AD$96,28-$D$80):$AD$96),N(Konfiguration!$F$11)),NA()),IF(AV$82="B",NA(),IF(AV$82="C",NA(),NA())))</f>
        <v>0</v>
      </c>
      <c r="AW104" s="68">
        <f>IF(AW$82="A",IF(ISNUMBER(INDEX($D$87:$AD$87,AW$81)),INDEX($D$87:$AD$87,AW$81)/MAX(1,_xlfn.AGGREGATE(4,6,INDEX($D$96:$AD$96,28-$D$80):$AD$96),N(Konfiguration!$F$11)),NA()),IF(AW$82="B",NA(),IF(AW$82="C",NA(),NA())))</f>
        <v>0</v>
      </c>
      <c r="AX104" s="68">
        <f>IF(AX$82="A",IF(ISNUMBER(INDEX($D$87:$AD$87,AX$81)),INDEX($D$87:$AD$87,AX$81)/MAX(1,_xlfn.AGGREGATE(4,6,INDEX($D$96:$AD$96,28-$D$80):$AD$96),N(Konfiguration!$F$11)),NA()),IF(AX$82="B",NA(),IF(AX$82="C",NA(),NA())))</f>
        <v>0</v>
      </c>
      <c r="AY104" s="68">
        <f>IF(AY$82="A",IF(ISNUMBER(INDEX($D$87:$AD$87,AY$81)),INDEX($D$87:$AD$87,AY$81)/MAX(1,_xlfn.AGGREGATE(4,6,INDEX($D$96:$AD$96,28-$D$80):$AD$96),N(Konfiguration!$F$11)),NA()),IF(AY$82="B",NA(),IF(AY$82="C",NA(),NA())))</f>
        <v>0</v>
      </c>
      <c r="AZ104" s="68">
        <f>IF(AZ$82="A",IF(ISNUMBER(INDEX($D$87:$AD$87,AZ$81)),INDEX($D$87:$AD$87,AZ$81)/MAX(1,_xlfn.AGGREGATE(4,6,INDEX($D$96:$AD$96,28-$D$80):$AD$96),N(Konfiguration!$F$11)),NA()),IF(AZ$82="B",NA(),IF(AZ$82="C",NA(),NA())))</f>
        <v>0</v>
      </c>
      <c r="BA104" s="68">
        <f>IF(BA$82="A",IF(ISNUMBER(INDEX($D$87:$AD$87,BA$81)),INDEX($D$87:$AD$87,BA$81)/MAX(1,_xlfn.AGGREGATE(4,6,INDEX($D$96:$AD$96,28-$D$80):$AD$96),N(Konfiguration!$F$11)),NA()),IF(BA$82="B",NA(),IF(BA$82="C",NA(),NA())))</f>
        <v>0</v>
      </c>
      <c r="BB104" s="68">
        <f>IF(BB$82="A",IF(ISNUMBER(INDEX($D$87:$AD$87,BB$81)),INDEX($D$87:$AD$87,BB$81)/MAX(1,_xlfn.AGGREGATE(4,6,INDEX($D$96:$AD$96,28-$D$80):$AD$96),N(Konfiguration!$F$11)),NA()),IF(BB$82="B",NA(),IF(BB$82="C",NA(),NA())))</f>
        <v>0</v>
      </c>
      <c r="BC104" s="68">
        <f>IF(BC$82="A",IF(ISNUMBER(INDEX($D$87:$AD$87,BC$81)),INDEX($D$87:$AD$87,BC$81)/MAX(1,_xlfn.AGGREGATE(4,6,INDEX($D$96:$AD$96,28-$D$80):$AD$96),N(Konfiguration!$F$11)),NA()),IF(BC$82="B",NA(),IF(BC$82="C",NA(),NA())))</f>
        <v>0</v>
      </c>
      <c r="BD104" s="68">
        <f>IF(BD$82="A",IF(ISNUMBER(INDEX($D$87:$AD$87,BD$81)),INDEX($D$87:$AD$87,BD$81)/MAX(1,_xlfn.AGGREGATE(4,6,INDEX($D$96:$AD$96,28-$D$80):$AD$96),N(Konfiguration!$F$11)),NA()),IF(BD$82="B",NA(),IF(BD$82="C",NA(),NA())))</f>
        <v>0</v>
      </c>
      <c r="BE104" s="68">
        <f>IF(BE$82="A",IF(ISNUMBER(INDEX($D$87:$AD$87,BE$81)),INDEX($D$87:$AD$87,BE$81)/MAX(1,_xlfn.AGGREGATE(4,6,INDEX($D$96:$AD$96,28-$D$80):$AD$96),N(Konfiguration!$F$11)),NA()),IF(BE$82="B",NA(),IF(BE$82="C",NA(),NA())))</f>
        <v>0</v>
      </c>
      <c r="BF104" s="68">
        <f>IF(BF$82="A",IF(ISNUMBER(INDEX($D$87:$AD$87,BF$81)),INDEX($D$87:$AD$87,BF$81)/MAX(1,_xlfn.AGGREGATE(4,6,INDEX($D$96:$AD$96,28-$D$80):$AD$96),N(Konfiguration!$F$11)),NA()),IF(BF$82="B",NA(),IF(BF$82="C",NA(),NA())))</f>
        <v>0</v>
      </c>
      <c r="BG104" s="68">
        <f>IF(BG$82="A",IF(ISNUMBER(INDEX($D$87:$AD$87,BG$81)),INDEX($D$87:$AD$87,BG$81)/MAX(1,_xlfn.AGGREGATE(4,6,INDEX($D$96:$AD$96,28-$D$80):$AD$96),N(Konfiguration!$F$11)),NA()),IF(BG$82="B",NA(),IF(BG$82="C",NA(),NA())))</f>
        <v>0</v>
      </c>
      <c r="BH104" s="68">
        <f>IF(BH$82="A",IF(ISNUMBER(INDEX($D$87:$AD$87,BH$81)),INDEX($D$87:$AD$87,BH$81)/MAX(1,_xlfn.AGGREGATE(4,6,INDEX($D$96:$AD$96,28-$D$80):$AD$96),N(Konfiguration!$F$11)),NA()),IF(BH$82="B",NA(),IF(BH$82="C",NA(),NA())))</f>
        <v>0</v>
      </c>
      <c r="BI104" s="68">
        <f>IF(BI$82="A",IF(ISNUMBER(INDEX($D$87:$AD$87,BI$81)),INDEX($D$87:$AD$87,BI$81)/MAX(1,_xlfn.AGGREGATE(4,6,INDEX($D$96:$AD$96,28-$D$80):$AD$96),N(Konfiguration!$F$11)),NA()),IF(BI$82="B",NA(),IF(BI$82="C",NA(),NA())))</f>
        <v>0</v>
      </c>
      <c r="BJ104" s="68">
        <f>IF(BJ$82="A",IF(ISNUMBER(INDEX($D$87:$AD$87,BJ$81)),INDEX($D$87:$AD$87,BJ$81)/MAX(1,_xlfn.AGGREGATE(4,6,INDEX($D$96:$AD$96,28-$D$80):$AD$96),N(Konfiguration!$F$11)),NA()),IF(BJ$82="B",NA(),IF(BJ$82="C",NA(),NA())))</f>
        <v>0</v>
      </c>
      <c r="BK104" s="68">
        <f>IF(BK$82="A",IF(ISNUMBER(INDEX($D$87:$AD$87,BK$81)),INDEX($D$87:$AD$87,BK$81)/MAX(1,_xlfn.AGGREGATE(4,6,INDEX($D$96:$AD$96,28-$D$80):$AD$96),N(Konfiguration!$F$11)),NA()),IF(BK$82="B",NA(),IF(BK$82="C",NA(),NA())))</f>
        <v>0</v>
      </c>
      <c r="BL104" s="68">
        <f>IF(BL$82="A",IF(ISNUMBER(INDEX($D$87:$AD$87,BL$81)),INDEX($D$87:$AD$87,BL$81)/MAX(1,_xlfn.AGGREGATE(4,6,INDEX($D$96:$AD$96,28-$D$80):$AD$96),N(Konfiguration!$F$11)),NA()),IF(BL$82="B",NA(),IF(BL$82="C",NA(),NA())))</f>
        <v>0</v>
      </c>
      <c r="BM104" s="68">
        <f>IF(BM$82="A",IF(ISNUMBER(INDEX($D$87:$AD$87,BM$81)),INDEX($D$87:$AD$87,BM$81)/MAX(1,_xlfn.AGGREGATE(4,6,INDEX($D$96:$AD$96,28-$D$80):$AD$96),N(Konfiguration!$F$11)),NA()),IF(BM$82="B",NA(),IF(BM$82="C",NA(),NA())))</f>
        <v>0</v>
      </c>
      <c r="BN104" s="68">
        <f>IF(BN$82="A",IF(ISNUMBER(INDEX($D$87:$AD$87,BN$81)),INDEX($D$87:$AD$87,BN$81)/MAX(1,_xlfn.AGGREGATE(4,6,INDEX($D$96:$AD$96,28-$D$80):$AD$96),N(Konfiguration!$F$11)),NA()),IF(BN$82="B",NA(),IF(BN$82="C",NA(),NA())))</f>
        <v>0</v>
      </c>
      <c r="BO104" s="68">
        <f>IF(BO$82="A",IF(ISNUMBER(INDEX($D$87:$AD$87,BO$81)),INDEX($D$87:$AD$87,BO$81)/MAX(1,_xlfn.AGGREGATE(4,6,INDEX($D$96:$AD$96,28-$D$80):$AD$96),N(Konfiguration!$F$11)),NA()),IF(BO$82="B",NA(),IF(BO$82="C",NA(),NA())))</f>
        <v>0</v>
      </c>
      <c r="BP104" s="68">
        <f>IF(BP$82="A",IF(ISNUMBER(INDEX($D$87:$AD$87,BP$81)),INDEX($D$87:$AD$87,BP$81)/MAX(1,_xlfn.AGGREGATE(4,6,INDEX($D$96:$AD$96,28-$D$80):$AD$96),N(Konfiguration!$F$11)),NA()),IF(BP$82="B",NA(),IF(BP$82="C",NA(),NA())))</f>
        <v>0</v>
      </c>
      <c r="BQ104" s="68">
        <f>IF(BQ$82="A",IF(ISNUMBER(INDEX($D$87:$AD$87,BQ$81)),INDEX($D$87:$AD$87,BQ$81)/MAX(1,_xlfn.AGGREGATE(4,6,INDEX($D$96:$AD$96,28-$D$80):$AD$96),N(Konfiguration!$F$11)),NA()),IF(BQ$82="B",NA(),IF(BQ$82="C",NA(),NA())))</f>
        <v>0</v>
      </c>
      <c r="BR104" s="68">
        <f>IF(BR$82="A",IF(ISNUMBER(INDEX($D$87:$AD$87,BR$81)),INDEX($D$87:$AD$87,BR$81)/MAX(1,_xlfn.AGGREGATE(4,6,INDEX($D$96:$AD$96,28-$D$80):$AD$96),N(Konfiguration!$F$11)),NA()),IF(BR$82="B",NA(),IF(BR$82="C",NA(),NA())))</f>
        <v>0</v>
      </c>
      <c r="BS104" s="68">
        <f>IF(BS$82="A",IF(ISNUMBER(INDEX($D$87:$AD$87,BS$81)),INDEX($D$87:$AD$87,BS$81)/MAX(1,_xlfn.AGGREGATE(4,6,INDEX($D$96:$AD$96,28-$D$80):$AD$96),N(Konfiguration!$F$11)),NA()),IF(BS$82="B",NA(),IF(BS$82="C",NA(),NA())))</f>
        <v>0</v>
      </c>
      <c r="BT104" s="68">
        <f>IF(BT$82="A",IF(ISNUMBER(INDEX($D$87:$AD$87,BT$81)),INDEX($D$87:$AD$87,BT$81)/MAX(1,_xlfn.AGGREGATE(4,6,INDEX($D$96:$AD$96,28-$D$80):$AD$96),N(Konfiguration!$F$11)),NA()),IF(BT$82="B",NA(),IF(BT$82="C",NA(),NA())))</f>
        <v>0</v>
      </c>
    </row>
    <row r="105" spans="1:72">
      <c r="A105" s="11" t="s">
        <v>741</v>
      </c>
      <c r="B105" s="11" t="s">
        <v>742</v>
      </c>
      <c r="C105" s="67" t="s">
        <v>610</v>
      </c>
      <c r="AQ105" s="68">
        <f>IF(AQ$82="A",NA(),IF(AQ$82="B",IF(ISNUMBER(INDEX($D$87:$AD$87,AQ$81)),MAX(INDEX($D$96:$AD$96,A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Q$82="C",NA(),NA())))</f>
        <v>0</v>
      </c>
      <c r="AR105" s="68">
        <f>IF(AR$82="A",NA(),IF(AR$82="B",IF(ISNUMBER(INDEX($D$87:$AD$87,AR$81)),MAX(INDEX($D$96:$AD$96,A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R$82="C",NA(),NA())))</f>
        <v>0</v>
      </c>
      <c r="AS105" s="68">
        <f>IF(AS$82="A",NA(),IF(AS$82="B",IF(ISNUMBER(INDEX($D$87:$AD$87,AS$81)),MAX(INDEX($D$96:$AD$96,A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S$82="C",NA(),NA())))</f>
        <v>0</v>
      </c>
      <c r="AT105" s="68">
        <f>IF(AT$82="A",NA(),IF(AT$82="B",IF(ISNUMBER(INDEX($D$87:$AD$87,AT$81)),MAX(INDEX($D$96:$AD$96,A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T$82="C",NA(),NA())))</f>
        <v>0</v>
      </c>
      <c r="AU105" s="68">
        <f>IF(AU$82="A",NA(),IF(AU$82="B",IF(ISNUMBER(INDEX($D$87:$AD$87,AU$81)),MAX(INDEX($D$96:$AD$96,AU$81)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U$82="C",NA(),NA())))</f>
        <v>0</v>
      </c>
      <c r="AV105" s="68">
        <f>IF(AV$82="A",NA(),IF(AV$82="B",IF(ISNUMBER(INDEX($D$87:$AD$87,AV$81)),MAX(INDEX($D$96:$AD$96,AV$81)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V$82="C",NA(),NA())))</f>
        <v>0</v>
      </c>
      <c r="AW105" s="68">
        <f>IF(AW$82="A",NA(),IF(AW$82="B",IF(ISNUMBER(INDEX($D$87:$AD$87,AW$81)),MAX(INDEX($D$96:$AD$96,AW$81)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W$82="C",NA(),NA())))</f>
        <v>0</v>
      </c>
      <c r="AX105" s="68">
        <f>IF(AX$82="A",NA(),IF(AX$82="B",IF(ISNUMBER(INDEX($D$87:$AD$87,AX$81)),MAX(INDEX($D$96:$AD$96,AX$81)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X$82="C",NA(),NA())))</f>
        <v>0</v>
      </c>
      <c r="AY105" s="68">
        <f>IF(AY$82="A",NA(),IF(AY$82="B",IF(ISNUMBER(INDEX($D$87:$AD$87,AY$81)),MAX(INDEX($D$96:$AD$96,AY$81)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Y$82="C",NA(),NA())))</f>
        <v>0</v>
      </c>
      <c r="AZ105" s="68">
        <f>IF(AZ$82="A",NA(),IF(AZ$82="B",IF(ISNUMBER(INDEX($D$87:$AD$87,AZ$81)),MAX(INDEX($D$96:$AD$96,AZ$81)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Z$82="C",NA(),NA())))</f>
        <v>0</v>
      </c>
      <c r="BA105" s="68">
        <f>IF(BA$82="A",NA(),IF(BA$82="B",IF(ISNUMBER(INDEX($D$87:$AD$87,BA$81)),MAX(INDEX($D$96:$AD$96,BA$81)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A$82="C",NA(),NA())))</f>
        <v>0</v>
      </c>
      <c r="BB105" s="68">
        <f>IF(BB$82="A",NA(),IF(BB$82="B",IF(ISNUMBER(INDEX($D$87:$AD$87,BB$81)),MAX(INDEX($D$96:$AD$96,BB$81)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B$82="C",NA(),NA())))</f>
        <v>0</v>
      </c>
      <c r="BC105" s="68">
        <f>IF(BC$82="A",NA(),IF(BC$82="B",IF(ISNUMBER(INDEX($D$87:$AD$87,BC$81)),MAX(INDEX($D$96:$AD$96,BC$81)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C$82="C",NA(),NA())))</f>
        <v>0</v>
      </c>
      <c r="BD105" s="68">
        <f>IF(BD$82="A",NA(),IF(BD$82="B",IF(ISNUMBER(INDEX($D$87:$AD$87,BD$81)),MAX(INDEX($D$96:$AD$96,BD$81)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D$82="C",NA(),NA())))</f>
        <v>0</v>
      </c>
      <c r="BE105" s="68">
        <f>IF(BE$82="A",NA(),IF(BE$82="B",IF(ISNUMBER(INDEX($D$87:$AD$87,BE$81)),MAX(INDEX($D$96:$AD$96,BE$81)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E$82="C",NA(),NA())))</f>
        <v>0</v>
      </c>
      <c r="BF105" s="68">
        <f>IF(BF$82="A",NA(),IF(BF$82="B",IF(ISNUMBER(INDEX($D$87:$AD$87,BF$81)),MAX(INDEX($D$96:$AD$96,BF$81)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F$82="C",NA(),NA())))</f>
        <v>0</v>
      </c>
      <c r="BG105" s="68">
        <f>IF(BG$82="A",NA(),IF(BG$82="B",IF(ISNUMBER(INDEX($D$87:$AD$87,BG$81)),MAX(INDEX($D$96:$AD$96,BG$81)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G$82="C",NA(),NA())))</f>
        <v>0</v>
      </c>
      <c r="BH105" s="68">
        <f>IF(BH$82="A",NA(),IF(BH$82="B",IF(ISNUMBER(INDEX($D$87:$AD$87,BH$81)),MAX(INDEX($D$96:$AD$96,BH$81)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H$82="C",NA(),NA())))</f>
        <v>0</v>
      </c>
      <c r="BI105" s="68">
        <f>IF(BI$82="A",NA(),IF(BI$82="B",IF(ISNUMBER(INDEX($D$87:$AD$87,BI$81)),MAX(INDEX($D$96:$AD$96,BI$81)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I$82="C",NA(),NA())))</f>
        <v>0</v>
      </c>
      <c r="BJ105" s="68">
        <f>IF(BJ$82="A",NA(),IF(BJ$82="B",IF(ISNUMBER(INDEX($D$87:$AD$87,BJ$81)),MAX(INDEX($D$96:$AD$96,BJ$81)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J$82="C",NA(),NA())))</f>
        <v>0</v>
      </c>
      <c r="BK105" s="68">
        <f>IF(BK$82="A",NA(),IF(BK$82="B",IF(ISNUMBER(INDEX($D$87:$AD$87,BK$81)),MAX(INDEX($D$96:$AD$96,BK$81)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K$82="C",NA(),NA())))</f>
        <v>0</v>
      </c>
      <c r="BL105" s="68">
        <f>IF(BL$82="A",NA(),IF(BL$82="B",IF(ISNUMBER(INDEX($D$87:$AD$87,BL$81)),MAX(INDEX($D$96:$AD$96,BL$81)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L$82="C",NA(),NA())))</f>
        <v>0</v>
      </c>
      <c r="BM105" s="68">
        <f>IF(BM$82="A",NA(),IF(BM$82="B",IF(ISNUMBER(INDEX($D$87:$AD$87,BM$81)),MAX(INDEX($D$96:$AD$96,BM$81)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M$82="C",NA(),NA())))</f>
        <v>0</v>
      </c>
      <c r="BN105" s="68">
        <f>IF(BN$82="A",NA(),IF(BN$82="B",IF(ISNUMBER(INDEX($D$87:$AD$87,BN$81)),MAX(INDEX($D$96:$AD$96,BN$81)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N$82="C",NA(),NA())))</f>
        <v>0</v>
      </c>
      <c r="BO105" s="68">
        <f>IF(BO$82="A",NA(),IF(BO$82="B",IF(ISNUMBER(INDEX($D$87:$AD$87,BO$81)),MAX(INDEX($D$96:$AD$96,BO$81)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O$82="C",NA(),NA())))</f>
        <v>0</v>
      </c>
      <c r="BP105" s="68">
        <f>IF(BP$82="A",NA(),IF(BP$82="B",IF(ISNUMBER(INDEX($D$87:$AD$87,BP$81)),MAX(INDEX($D$96:$AD$96,BP$81)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P$82="C",NA(),NA())))</f>
        <v>0</v>
      </c>
      <c r="BQ105" s="68">
        <f>IF(BQ$82="A",NA(),IF(BQ$82="B",IF(ISNUMBER(INDEX($D$87:$AD$87,BQ$81)),MAX(INDEX($D$96:$AD$96,B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Q$82="C",NA(),NA())))</f>
        <v>0</v>
      </c>
      <c r="BR105" s="68">
        <f>IF(BR$82="A",NA(),IF(BR$82="B",IF(ISNUMBER(INDEX($D$87:$AD$87,BR$81)),MAX(INDEX($D$96:$AD$96,B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R$82="C",NA(),NA())))</f>
        <v>0</v>
      </c>
      <c r="BS105" s="68">
        <f>IF(BS$82="A",NA(),IF(BS$82="B",IF(ISNUMBER(INDEX($D$87:$AD$87,BS$81)),MAX(INDEX($D$96:$AD$96,B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S$82="C",NA(),NA())))</f>
        <v>0</v>
      </c>
      <c r="BT105" s="68">
        <f>IF(BT$82="A",NA(),IF(BT$82="B",IF(ISNUMBER(INDEX($D$87:$AD$87,BT$81)),MAX(INDEX($D$96:$AD$96,B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T$82="C",NA(),NA())))</f>
        <v>0</v>
      </c>
    </row>
    <row r="106" spans="1:72">
      <c r="A106" s="11" t="s">
        <v>743</v>
      </c>
      <c r="B106" s="11" t="s">
        <v>744</v>
      </c>
      <c r="C106" s="67" t="s">
        <v>610</v>
      </c>
      <c r="AQ106" s="11">
        <f>IF(AQ$82="A","",IF(AQ$82="B",IF(ISNUMBER(INDEX($D$87:$AD$87,AQ$81)),FIXED(INDEX($D$87:$AD$87,AQ$81)/1000,1),""),IF(AQ$82="C","","")))</f>
        <v>0</v>
      </c>
      <c r="AR106" s="11">
        <f>IF(AR$82="A","",IF(AR$82="B",IF(ISNUMBER(INDEX($D$87:$AD$87,AR$81)),FIXED(INDEX($D$87:$AD$87,AR$81)/1000,1),""),IF(AR$82="C","","")))</f>
        <v>0</v>
      </c>
      <c r="AS106" s="11">
        <f>IF(AS$82="A","",IF(AS$82="B",IF(ISNUMBER(INDEX($D$87:$AD$87,AS$81)),FIXED(INDEX($D$87:$AD$87,AS$81)/1000,1),""),IF(AS$82="C","","")))</f>
        <v>0</v>
      </c>
      <c r="AT106" s="11">
        <f>IF(AT$82="A","",IF(AT$82="B",IF(ISNUMBER(INDEX($D$87:$AD$87,AT$81)),FIXED(INDEX($D$87:$AD$87,AT$81)/1000,1),""),IF(AT$82="C","","")))</f>
        <v>0</v>
      </c>
      <c r="AU106" s="11">
        <f>IF(AU$82="A","",IF(AU$82="B",IF(ISNUMBER(INDEX($D$87:$AD$87,AU$81)),FIXED(INDEX($D$87:$AD$87,AU$81)/1000,1),""),IF(AU$82="C","","")))</f>
        <v>0</v>
      </c>
      <c r="AV106" s="11">
        <f>IF(AV$82="A","",IF(AV$82="B",IF(ISNUMBER(INDEX($D$87:$AD$87,AV$81)),FIXED(INDEX($D$87:$AD$87,AV$81)/1000,1),""),IF(AV$82="C","","")))</f>
        <v>0</v>
      </c>
      <c r="AW106" s="11">
        <f>IF(AW$82="A","",IF(AW$82="B",IF(ISNUMBER(INDEX($D$87:$AD$87,AW$81)),FIXED(INDEX($D$87:$AD$87,AW$81)/1000,1),""),IF(AW$82="C","","")))</f>
        <v>0</v>
      </c>
      <c r="AX106" s="11">
        <f>IF(AX$82="A","",IF(AX$82="B",IF(ISNUMBER(INDEX($D$87:$AD$87,AX$81)),FIXED(INDEX($D$87:$AD$87,AX$81)/1000,1),""),IF(AX$82="C","","")))</f>
        <v>0</v>
      </c>
      <c r="AY106" s="11">
        <f>IF(AY$82="A","",IF(AY$82="B",IF(ISNUMBER(INDEX($D$87:$AD$87,AY$81)),FIXED(INDEX($D$87:$AD$87,AY$81)/1000,1),""),IF(AY$82="C","","")))</f>
        <v>0</v>
      </c>
      <c r="AZ106" s="11">
        <f>IF(AZ$82="A","",IF(AZ$82="B",IF(ISNUMBER(INDEX($D$87:$AD$87,AZ$81)),FIXED(INDEX($D$87:$AD$87,AZ$81)/1000,1),""),IF(AZ$82="C","","")))</f>
        <v>0</v>
      </c>
      <c r="BA106" s="11">
        <f>IF(BA$82="A","",IF(BA$82="B",IF(ISNUMBER(INDEX($D$87:$AD$87,BA$81)),FIXED(INDEX($D$87:$AD$87,BA$81)/1000,1),""),IF(BA$82="C","","")))</f>
        <v>0</v>
      </c>
      <c r="BB106" s="11">
        <f>IF(BB$82="A","",IF(BB$82="B",IF(ISNUMBER(INDEX($D$87:$AD$87,BB$81)),FIXED(INDEX($D$87:$AD$87,BB$81)/1000,1),""),IF(BB$82="C","","")))</f>
        <v>0</v>
      </c>
      <c r="BC106" s="11">
        <f>IF(BC$82="A","",IF(BC$82="B",IF(ISNUMBER(INDEX($D$87:$AD$87,BC$81)),FIXED(INDEX($D$87:$AD$87,BC$81)/1000,1),""),IF(BC$82="C","","")))</f>
        <v>0</v>
      </c>
      <c r="BD106" s="11">
        <f>IF(BD$82="A","",IF(BD$82="B",IF(ISNUMBER(INDEX($D$87:$AD$87,BD$81)),FIXED(INDEX($D$87:$AD$87,BD$81)/1000,1),""),IF(BD$82="C","","")))</f>
        <v>0</v>
      </c>
      <c r="BE106" s="11">
        <f>IF(BE$82="A","",IF(BE$82="B",IF(ISNUMBER(INDEX($D$87:$AD$87,BE$81)),FIXED(INDEX($D$87:$AD$87,BE$81)/1000,1),""),IF(BE$82="C","","")))</f>
        <v>0</v>
      </c>
      <c r="BF106" s="11">
        <f>IF(BF$82="A","",IF(BF$82="B",IF(ISNUMBER(INDEX($D$87:$AD$87,BF$81)),FIXED(INDEX($D$87:$AD$87,BF$81)/1000,1),""),IF(BF$82="C","","")))</f>
        <v>0</v>
      </c>
      <c r="BG106" s="11">
        <f>IF(BG$82="A","",IF(BG$82="B",IF(ISNUMBER(INDEX($D$87:$AD$87,BG$81)),FIXED(INDEX($D$87:$AD$87,BG$81)/1000,1),""),IF(BG$82="C","","")))</f>
        <v>0</v>
      </c>
      <c r="BH106" s="11">
        <f>IF(BH$82="A","",IF(BH$82="B",IF(ISNUMBER(INDEX($D$87:$AD$87,BH$81)),FIXED(INDEX($D$87:$AD$87,BH$81)/1000,1),""),IF(BH$82="C","","")))</f>
        <v>0</v>
      </c>
      <c r="BI106" s="11">
        <f>IF(BI$82="A","",IF(BI$82="B",IF(ISNUMBER(INDEX($D$87:$AD$87,BI$81)),FIXED(INDEX($D$87:$AD$87,BI$81)/1000,1),""),IF(BI$82="C","","")))</f>
        <v>0</v>
      </c>
      <c r="BJ106" s="11">
        <f>IF(BJ$82="A","",IF(BJ$82="B",IF(ISNUMBER(INDEX($D$87:$AD$87,BJ$81)),FIXED(INDEX($D$87:$AD$87,BJ$81)/1000,1),""),IF(BJ$82="C","","")))</f>
        <v>0</v>
      </c>
      <c r="BK106" s="11">
        <f>IF(BK$82="A","",IF(BK$82="B",IF(ISNUMBER(INDEX($D$87:$AD$87,BK$81)),FIXED(INDEX($D$87:$AD$87,BK$81)/1000,1),""),IF(BK$82="C","","")))</f>
        <v>0</v>
      </c>
      <c r="BL106" s="11">
        <f>IF(BL$82="A","",IF(BL$82="B",IF(ISNUMBER(INDEX($D$87:$AD$87,BL$81)),FIXED(INDEX($D$87:$AD$87,BL$81)/1000,1),""),IF(BL$82="C","","")))</f>
        <v>0</v>
      </c>
      <c r="BM106" s="11">
        <f>IF(BM$82="A","",IF(BM$82="B",IF(ISNUMBER(INDEX($D$87:$AD$87,BM$81)),FIXED(INDEX($D$87:$AD$87,BM$81)/1000,1),""),IF(BM$82="C","","")))</f>
        <v>0</v>
      </c>
      <c r="BN106" s="11">
        <f>IF(BN$82="A","",IF(BN$82="B",IF(ISNUMBER(INDEX($D$87:$AD$87,BN$81)),FIXED(INDEX($D$87:$AD$87,BN$81)/1000,1),""),IF(BN$82="C","","")))</f>
        <v>0</v>
      </c>
      <c r="BO106" s="11">
        <f>IF(BO$82="A","",IF(BO$82="B",IF(ISNUMBER(INDEX($D$87:$AD$87,BO$81)),FIXED(INDEX($D$87:$AD$87,BO$81)/1000,1),""),IF(BO$82="C","","")))</f>
        <v>0</v>
      </c>
      <c r="BP106" s="11">
        <f>IF(BP$82="A","",IF(BP$82="B",IF(ISNUMBER(INDEX($D$87:$AD$87,BP$81)),FIXED(INDEX($D$87:$AD$87,BP$81)/1000,1),""),IF(BP$82="C","","")))</f>
        <v>0</v>
      </c>
      <c r="BQ106" s="11">
        <f>IF(BQ$82="A","",IF(BQ$82="B",IF(ISNUMBER(INDEX($D$87:$AD$87,BQ$81)),FIXED(INDEX($D$87:$AD$87,BQ$81)/1000,1),""),IF(BQ$82="C","","")))</f>
        <v>0</v>
      </c>
      <c r="BR106" s="11">
        <f>IF(BR$82="A","",IF(BR$82="B",IF(ISNUMBER(INDEX($D$87:$AD$87,BR$81)),FIXED(INDEX($D$87:$AD$87,BR$81)/1000,1),""),IF(BR$82="C","","")))</f>
        <v>0</v>
      </c>
      <c r="BS106" s="11">
        <f>IF(BS$82="A","",IF(BS$82="B",IF(ISNUMBER(INDEX($D$87:$AD$87,BS$81)),FIXED(INDEX($D$87:$AD$87,BS$81)/1000,1),""),IF(BS$82="C","","")))</f>
        <v>0</v>
      </c>
      <c r="BT106" s="11">
        <f>IF(BT$82="A","",IF(BT$82="B",IF(ISNUMBER(INDEX($D$87:$AD$87,BT$81)),FIXED(INDEX($D$87:$AD$87,BT$81)/1000,1),""),IF(BT$82="C","","")))</f>
        <v>0</v>
      </c>
    </row>
    <row r="107" spans="1:72">
      <c r="A107" s="11" t="s">
        <v>745</v>
      </c>
      <c r="B107" s="11" t="s">
        <v>746</v>
      </c>
      <c r="C107" s="67" t="s">
        <v>610</v>
      </c>
      <c r="AQ107" s="68">
        <f>IF(AQ$82="A",IF(ISNUMBER(INDEX($D$96:$AD$96,AQ$81)),INDEX($D$96:$AD$96,AQ$81)/MAX(1,_xlfn.AGGREGATE(4,6,INDEX($D$96:$AD$96,28-$D$80):$AD$96),N(Konfiguration!$F$11)),NA()),IF(AQ$82="B",NA(),IF(AQ$82="C",NA(),NA())))</f>
        <v>0</v>
      </c>
      <c r="AR107" s="68">
        <f>IF(AR$82="A",IF(ISNUMBER(INDEX($D$96:$AD$96,AR$81)),INDEX($D$96:$AD$96,AR$81)/MAX(1,_xlfn.AGGREGATE(4,6,INDEX($D$96:$AD$96,28-$D$80):$AD$96),N(Konfiguration!$F$11)),NA()),IF(AR$82="B",NA(),IF(AR$82="C",NA(),NA())))</f>
        <v>0</v>
      </c>
      <c r="AS107" s="68">
        <f>IF(AS$82="A",IF(ISNUMBER(INDEX($D$96:$AD$96,AS$81)),INDEX($D$96:$AD$96,AS$81)/MAX(1,_xlfn.AGGREGATE(4,6,INDEX($D$96:$AD$96,28-$D$80):$AD$96),N(Konfiguration!$F$11)),NA()),IF(AS$82="B",NA(),IF(AS$82="C",NA(),NA())))</f>
        <v>0</v>
      </c>
      <c r="AT107" s="68">
        <f>IF(AT$82="A",IF(ISNUMBER(INDEX($D$96:$AD$96,AT$81)),INDEX($D$96:$AD$96,AT$81)/MAX(1,_xlfn.AGGREGATE(4,6,INDEX($D$96:$AD$96,28-$D$80):$AD$96),N(Konfiguration!$F$11)),NA()),IF(AT$82="B",NA(),IF(AT$82="C",NA(),NA())))</f>
        <v>0</v>
      </c>
      <c r="AU107" s="68">
        <f>IF(AU$82="A",IF(ISNUMBER(INDEX($D$96:$AD$96,AU$81)),INDEX($D$96:$AD$96,AU$81)/MAX(1,_xlfn.AGGREGATE(4,6,INDEX($D$96:$AD$96,28-$D$80):$AD$96),N(Konfiguration!$F$11)),NA()),IF(AU$82="B",NA(),IF(AU$82="C",NA(),NA())))</f>
        <v>0</v>
      </c>
      <c r="AV107" s="68">
        <f>IF(AV$82="A",IF(ISNUMBER(INDEX($D$96:$AD$96,AV$81)),INDEX($D$96:$AD$96,AV$81)/MAX(1,_xlfn.AGGREGATE(4,6,INDEX($D$96:$AD$96,28-$D$80):$AD$96),N(Konfiguration!$F$11)),NA()),IF(AV$82="B",NA(),IF(AV$82="C",NA(),NA())))</f>
        <v>0</v>
      </c>
      <c r="AW107" s="68">
        <f>IF(AW$82="A",IF(ISNUMBER(INDEX($D$96:$AD$96,AW$81)),INDEX($D$96:$AD$96,AW$81)/MAX(1,_xlfn.AGGREGATE(4,6,INDEX($D$96:$AD$96,28-$D$80):$AD$96),N(Konfiguration!$F$11)),NA()),IF(AW$82="B",NA(),IF(AW$82="C",NA(),NA())))</f>
        <v>0</v>
      </c>
      <c r="AX107" s="68">
        <f>IF(AX$82="A",IF(ISNUMBER(INDEX($D$96:$AD$96,AX$81)),INDEX($D$96:$AD$96,AX$81)/MAX(1,_xlfn.AGGREGATE(4,6,INDEX($D$96:$AD$96,28-$D$80):$AD$96),N(Konfiguration!$F$11)),NA()),IF(AX$82="B",NA(),IF(AX$82="C",NA(),NA())))</f>
        <v>0</v>
      </c>
      <c r="AY107" s="68">
        <f>IF(AY$82="A",IF(ISNUMBER(INDEX($D$96:$AD$96,AY$81)),INDEX($D$96:$AD$96,AY$81)/MAX(1,_xlfn.AGGREGATE(4,6,INDEX($D$96:$AD$96,28-$D$80):$AD$96),N(Konfiguration!$F$11)),NA()),IF(AY$82="B",NA(),IF(AY$82="C",NA(),NA())))</f>
        <v>0</v>
      </c>
      <c r="AZ107" s="68">
        <f>IF(AZ$82="A",IF(ISNUMBER(INDEX($D$96:$AD$96,AZ$81)),INDEX($D$96:$AD$96,AZ$81)/MAX(1,_xlfn.AGGREGATE(4,6,INDEX($D$96:$AD$96,28-$D$80):$AD$96),N(Konfiguration!$F$11)),NA()),IF(AZ$82="B",NA(),IF(AZ$82="C",NA(),NA())))</f>
        <v>0</v>
      </c>
      <c r="BA107" s="68">
        <f>IF(BA$82="A",IF(ISNUMBER(INDEX($D$96:$AD$96,BA$81)),INDEX($D$96:$AD$96,BA$81)/MAX(1,_xlfn.AGGREGATE(4,6,INDEX($D$96:$AD$96,28-$D$80):$AD$96),N(Konfiguration!$F$11)),NA()),IF(BA$82="B",NA(),IF(BA$82="C",NA(),NA())))</f>
        <v>0</v>
      </c>
      <c r="BB107" s="68">
        <f>IF(BB$82="A",IF(ISNUMBER(INDEX($D$96:$AD$96,BB$81)),INDEX($D$96:$AD$96,BB$81)/MAX(1,_xlfn.AGGREGATE(4,6,INDEX($D$96:$AD$96,28-$D$80):$AD$96),N(Konfiguration!$F$11)),NA()),IF(BB$82="B",NA(),IF(BB$82="C",NA(),NA())))</f>
        <v>0</v>
      </c>
      <c r="BC107" s="68">
        <f>IF(BC$82="A",IF(ISNUMBER(INDEX($D$96:$AD$96,BC$81)),INDEX($D$96:$AD$96,BC$81)/MAX(1,_xlfn.AGGREGATE(4,6,INDEX($D$96:$AD$96,28-$D$80):$AD$96),N(Konfiguration!$F$11)),NA()),IF(BC$82="B",NA(),IF(BC$82="C",NA(),NA())))</f>
        <v>0</v>
      </c>
      <c r="BD107" s="68">
        <f>IF(BD$82="A",IF(ISNUMBER(INDEX($D$96:$AD$96,BD$81)),INDEX($D$96:$AD$96,BD$81)/MAX(1,_xlfn.AGGREGATE(4,6,INDEX($D$96:$AD$96,28-$D$80):$AD$96),N(Konfiguration!$F$11)),NA()),IF(BD$82="B",NA(),IF(BD$82="C",NA(),NA())))</f>
        <v>0</v>
      </c>
      <c r="BE107" s="68">
        <f>IF(BE$82="A",IF(ISNUMBER(INDEX($D$96:$AD$96,BE$81)),INDEX($D$96:$AD$96,BE$81)/MAX(1,_xlfn.AGGREGATE(4,6,INDEX($D$96:$AD$96,28-$D$80):$AD$96),N(Konfiguration!$F$11)),NA()),IF(BE$82="B",NA(),IF(BE$82="C",NA(),NA())))</f>
        <v>0</v>
      </c>
      <c r="BF107" s="68">
        <f>IF(BF$82="A",IF(ISNUMBER(INDEX($D$96:$AD$96,BF$81)),INDEX($D$96:$AD$96,BF$81)/MAX(1,_xlfn.AGGREGATE(4,6,INDEX($D$96:$AD$96,28-$D$80):$AD$96),N(Konfiguration!$F$11)),NA()),IF(BF$82="B",NA(),IF(BF$82="C",NA(),NA())))</f>
        <v>0</v>
      </c>
      <c r="BG107" s="68">
        <f>IF(BG$82="A",IF(ISNUMBER(INDEX($D$96:$AD$96,BG$81)),INDEX($D$96:$AD$96,BG$81)/MAX(1,_xlfn.AGGREGATE(4,6,INDEX($D$96:$AD$96,28-$D$80):$AD$96),N(Konfiguration!$F$11)),NA()),IF(BG$82="B",NA(),IF(BG$82="C",NA(),NA())))</f>
        <v>0</v>
      </c>
      <c r="BH107" s="68">
        <f>IF(BH$82="A",IF(ISNUMBER(INDEX($D$96:$AD$96,BH$81)),INDEX($D$96:$AD$96,BH$81)/MAX(1,_xlfn.AGGREGATE(4,6,INDEX($D$96:$AD$96,28-$D$80):$AD$96),N(Konfiguration!$F$11)),NA()),IF(BH$82="B",NA(),IF(BH$82="C",NA(),NA())))</f>
        <v>0</v>
      </c>
      <c r="BI107" s="68">
        <f>IF(BI$82="A",IF(ISNUMBER(INDEX($D$96:$AD$96,BI$81)),INDEX($D$96:$AD$96,BI$81)/MAX(1,_xlfn.AGGREGATE(4,6,INDEX($D$96:$AD$96,28-$D$80):$AD$96),N(Konfiguration!$F$11)),NA()),IF(BI$82="B",NA(),IF(BI$82="C",NA(),NA())))</f>
        <v>0</v>
      </c>
      <c r="BJ107" s="68">
        <f>IF(BJ$82="A",IF(ISNUMBER(INDEX($D$96:$AD$96,BJ$81)),INDEX($D$96:$AD$96,BJ$81)/MAX(1,_xlfn.AGGREGATE(4,6,INDEX($D$96:$AD$96,28-$D$80):$AD$96),N(Konfiguration!$F$11)),NA()),IF(BJ$82="B",NA(),IF(BJ$82="C",NA(),NA())))</f>
        <v>0</v>
      </c>
      <c r="BK107" s="68">
        <f>IF(BK$82="A",IF(ISNUMBER(INDEX($D$96:$AD$96,BK$81)),INDEX($D$96:$AD$96,BK$81)/MAX(1,_xlfn.AGGREGATE(4,6,INDEX($D$96:$AD$96,28-$D$80):$AD$96),N(Konfiguration!$F$11)),NA()),IF(BK$82="B",NA(),IF(BK$82="C",NA(),NA())))</f>
        <v>0</v>
      </c>
      <c r="BL107" s="68">
        <f>IF(BL$82="A",IF(ISNUMBER(INDEX($D$96:$AD$96,BL$81)),INDEX($D$96:$AD$96,BL$81)/MAX(1,_xlfn.AGGREGATE(4,6,INDEX($D$96:$AD$96,28-$D$80):$AD$96),N(Konfiguration!$F$11)),NA()),IF(BL$82="B",NA(),IF(BL$82="C",NA(),NA())))</f>
        <v>0</v>
      </c>
      <c r="BM107" s="68">
        <f>IF(BM$82="A",IF(ISNUMBER(INDEX($D$96:$AD$96,BM$81)),INDEX($D$96:$AD$96,BM$81)/MAX(1,_xlfn.AGGREGATE(4,6,INDEX($D$96:$AD$96,28-$D$80):$AD$96),N(Konfiguration!$F$11)),NA()),IF(BM$82="B",NA(),IF(BM$82="C",NA(),NA())))</f>
        <v>0</v>
      </c>
      <c r="BN107" s="68">
        <f>IF(BN$82="A",IF(ISNUMBER(INDEX($D$96:$AD$96,BN$81)),INDEX($D$96:$AD$96,BN$81)/MAX(1,_xlfn.AGGREGATE(4,6,INDEX($D$96:$AD$96,28-$D$80):$AD$96),N(Konfiguration!$F$11)),NA()),IF(BN$82="B",NA(),IF(BN$82="C",NA(),NA())))</f>
        <v>0</v>
      </c>
      <c r="BO107" s="68">
        <f>IF(BO$82="A",IF(ISNUMBER(INDEX($D$96:$AD$96,BO$81)),INDEX($D$96:$AD$96,BO$81)/MAX(1,_xlfn.AGGREGATE(4,6,INDEX($D$96:$AD$96,28-$D$80):$AD$96),N(Konfiguration!$F$11)),NA()),IF(BO$82="B",NA(),IF(BO$82="C",NA(),NA())))</f>
        <v>0</v>
      </c>
      <c r="BP107" s="68">
        <f>IF(BP$82="A",IF(ISNUMBER(INDEX($D$96:$AD$96,BP$81)),INDEX($D$96:$AD$96,BP$81)/MAX(1,_xlfn.AGGREGATE(4,6,INDEX($D$96:$AD$96,28-$D$80):$AD$96),N(Konfiguration!$F$11)),NA()),IF(BP$82="B",NA(),IF(BP$82="C",NA(),NA())))</f>
        <v>0</v>
      </c>
      <c r="BQ107" s="68">
        <f>IF(BQ$82="A",IF(ISNUMBER(INDEX($D$96:$AD$96,BQ$81)),INDEX($D$96:$AD$96,BQ$81)/MAX(1,_xlfn.AGGREGATE(4,6,INDEX($D$96:$AD$96,28-$D$80):$AD$96),N(Konfiguration!$F$11)),NA()),IF(BQ$82="B",NA(),IF(BQ$82="C",NA(),NA())))</f>
        <v>0</v>
      </c>
      <c r="BR107" s="68">
        <f>IF(BR$82="A",IF(ISNUMBER(INDEX($D$96:$AD$96,BR$81)),INDEX($D$96:$AD$96,BR$81)/MAX(1,_xlfn.AGGREGATE(4,6,INDEX($D$96:$AD$96,28-$D$80):$AD$96),N(Konfiguration!$F$11)),NA()),IF(BR$82="B",NA(),IF(BR$82="C",NA(),NA())))</f>
        <v>0</v>
      </c>
      <c r="BS107" s="68">
        <f>IF(BS$82="A",IF(ISNUMBER(INDEX($D$96:$AD$96,BS$81)),INDEX($D$96:$AD$96,BS$81)/MAX(1,_xlfn.AGGREGATE(4,6,INDEX($D$96:$AD$96,28-$D$80):$AD$96),N(Konfiguration!$F$11)),NA()),IF(BS$82="B",NA(),IF(BS$82="C",NA(),NA())))</f>
        <v>0</v>
      </c>
      <c r="BT107" s="68">
        <f>IF(BT$82="A",IF(ISNUMBER(INDEX($D$96:$AD$96,BT$81)),INDEX($D$96:$AD$96,BT$81)/MAX(1,_xlfn.AGGREGATE(4,6,INDEX($D$96:$AD$96,28-$D$80):$AD$96),N(Konfiguration!$F$11)),NA()),IF(BT$82="B",NA(),IF(BT$82="C",NA(),NA())))</f>
        <v>0</v>
      </c>
    </row>
    <row r="108" spans="1:72">
      <c r="A108" s="11" t="s">
        <v>747</v>
      </c>
      <c r="B108" s="11" t="s">
        <v>748</v>
      </c>
      <c r="C108" s="67" t="s">
        <v>610</v>
      </c>
      <c r="AQ108" s="11">
        <f>IF(AQ$82="A",IF(ISNUMBER(INDEX($D$96:$AD$96,AQ$81)),FIXED(INDEX($D$96:$AD$96,AQ$81)/1000,1),""),IF(AQ$82="B","",IF(AQ$82="C","","")))</f>
        <v>0</v>
      </c>
      <c r="AR108" s="11">
        <f>IF(AR$82="A",IF(ISNUMBER(INDEX($D$96:$AD$96,AR$81)),FIXED(INDEX($D$96:$AD$96,AR$81)/1000,1),""),IF(AR$82="B","",IF(AR$82="C","","")))</f>
        <v>0</v>
      </c>
      <c r="AS108" s="11">
        <f>IF(AS$82="A",IF(ISNUMBER(INDEX($D$96:$AD$96,AS$81)),FIXED(INDEX($D$96:$AD$96,AS$81)/1000,1),""),IF(AS$82="B","",IF(AS$82="C","","")))</f>
        <v>0</v>
      </c>
      <c r="AT108" s="11">
        <f>IF(AT$82="A",IF(ISNUMBER(INDEX($D$96:$AD$96,AT$81)),FIXED(INDEX($D$96:$AD$96,AT$81)/1000,1),""),IF(AT$82="B","",IF(AT$82="C","","")))</f>
        <v>0</v>
      </c>
      <c r="AU108" s="11">
        <f>IF(AU$82="A",IF(ISNUMBER(INDEX($D$96:$AD$96,AU$81)),FIXED(INDEX($D$96:$AD$96,AU$81)/1000,1),""),IF(AU$82="B","",IF(AU$82="C","","")))</f>
        <v>0</v>
      </c>
      <c r="AV108" s="11">
        <f>IF(AV$82="A",IF(ISNUMBER(INDEX($D$96:$AD$96,AV$81)),FIXED(INDEX($D$96:$AD$96,AV$81)/1000,1),""),IF(AV$82="B","",IF(AV$82="C","","")))</f>
        <v>0</v>
      </c>
      <c r="AW108" s="11">
        <f>IF(AW$82="A",IF(ISNUMBER(INDEX($D$96:$AD$96,AW$81)),FIXED(INDEX($D$96:$AD$96,AW$81)/1000,1),""),IF(AW$82="B","",IF(AW$82="C","","")))</f>
        <v>0</v>
      </c>
      <c r="AX108" s="11">
        <f>IF(AX$82="A",IF(ISNUMBER(INDEX($D$96:$AD$96,AX$81)),FIXED(INDEX($D$96:$AD$96,AX$81)/1000,1),""),IF(AX$82="B","",IF(AX$82="C","","")))</f>
        <v>0</v>
      </c>
      <c r="AY108" s="11">
        <f>IF(AY$82="A",IF(ISNUMBER(INDEX($D$96:$AD$96,AY$81)),FIXED(INDEX($D$96:$AD$96,AY$81)/1000,1),""),IF(AY$82="B","",IF(AY$82="C","","")))</f>
        <v>0</v>
      </c>
      <c r="AZ108" s="11">
        <f>IF(AZ$82="A",IF(ISNUMBER(INDEX($D$96:$AD$96,AZ$81)),FIXED(INDEX($D$96:$AD$96,AZ$81)/1000,1),""),IF(AZ$82="B","",IF(AZ$82="C","","")))</f>
        <v>0</v>
      </c>
      <c r="BA108" s="11">
        <f>IF(BA$82="A",IF(ISNUMBER(INDEX($D$96:$AD$96,BA$81)),FIXED(INDEX($D$96:$AD$96,BA$81)/1000,1),""),IF(BA$82="B","",IF(BA$82="C","","")))</f>
        <v>0</v>
      </c>
      <c r="BB108" s="11">
        <f>IF(BB$82="A",IF(ISNUMBER(INDEX($D$96:$AD$96,BB$81)),FIXED(INDEX($D$96:$AD$96,BB$81)/1000,1),""),IF(BB$82="B","",IF(BB$82="C","","")))</f>
        <v>0</v>
      </c>
      <c r="BC108" s="11">
        <f>IF(BC$82="A",IF(ISNUMBER(INDEX($D$96:$AD$96,BC$81)),FIXED(INDEX($D$96:$AD$96,BC$81)/1000,1),""),IF(BC$82="B","",IF(BC$82="C","","")))</f>
        <v>0</v>
      </c>
      <c r="BD108" s="11">
        <f>IF(BD$82="A",IF(ISNUMBER(INDEX($D$96:$AD$96,BD$81)),FIXED(INDEX($D$96:$AD$96,BD$81)/1000,1),""),IF(BD$82="B","",IF(BD$82="C","","")))</f>
        <v>0</v>
      </c>
      <c r="BE108" s="11">
        <f>IF(BE$82="A",IF(ISNUMBER(INDEX($D$96:$AD$96,BE$81)),FIXED(INDEX($D$96:$AD$96,BE$81)/1000,1),""),IF(BE$82="B","",IF(BE$82="C","","")))</f>
        <v>0</v>
      </c>
      <c r="BF108" s="11">
        <f>IF(BF$82="A",IF(ISNUMBER(INDEX($D$96:$AD$96,BF$81)),FIXED(INDEX($D$96:$AD$96,BF$81)/1000,1),""),IF(BF$82="B","",IF(BF$82="C","","")))</f>
        <v>0</v>
      </c>
      <c r="BG108" s="11">
        <f>IF(BG$82="A",IF(ISNUMBER(INDEX($D$96:$AD$96,BG$81)),FIXED(INDEX($D$96:$AD$96,BG$81)/1000,1),""),IF(BG$82="B","",IF(BG$82="C","","")))</f>
        <v>0</v>
      </c>
      <c r="BH108" s="11">
        <f>IF(BH$82="A",IF(ISNUMBER(INDEX($D$96:$AD$96,BH$81)),FIXED(INDEX($D$96:$AD$96,BH$81)/1000,1),""),IF(BH$82="B","",IF(BH$82="C","","")))</f>
        <v>0</v>
      </c>
      <c r="BI108" s="11">
        <f>IF(BI$82="A",IF(ISNUMBER(INDEX($D$96:$AD$96,BI$81)),FIXED(INDEX($D$96:$AD$96,BI$81)/1000,1),""),IF(BI$82="B","",IF(BI$82="C","","")))</f>
        <v>0</v>
      </c>
      <c r="BJ108" s="11">
        <f>IF(BJ$82="A",IF(ISNUMBER(INDEX($D$96:$AD$96,BJ$81)),FIXED(INDEX($D$96:$AD$96,BJ$81)/1000,1),""),IF(BJ$82="B","",IF(BJ$82="C","","")))</f>
        <v>0</v>
      </c>
      <c r="BK108" s="11">
        <f>IF(BK$82="A",IF(ISNUMBER(INDEX($D$96:$AD$96,BK$81)),FIXED(INDEX($D$96:$AD$96,BK$81)/1000,1),""),IF(BK$82="B","",IF(BK$82="C","","")))</f>
        <v>0</v>
      </c>
      <c r="BL108" s="11">
        <f>IF(BL$82="A",IF(ISNUMBER(INDEX($D$96:$AD$96,BL$81)),FIXED(INDEX($D$96:$AD$96,BL$81)/1000,1),""),IF(BL$82="B","",IF(BL$82="C","","")))</f>
        <v>0</v>
      </c>
      <c r="BM108" s="11">
        <f>IF(BM$82="A",IF(ISNUMBER(INDEX($D$96:$AD$96,BM$81)),FIXED(INDEX($D$96:$AD$96,BM$81)/1000,1),""),IF(BM$82="B","",IF(BM$82="C","","")))</f>
        <v>0</v>
      </c>
      <c r="BN108" s="11">
        <f>IF(BN$82="A",IF(ISNUMBER(INDEX($D$96:$AD$96,BN$81)),FIXED(INDEX($D$96:$AD$96,BN$81)/1000,1),""),IF(BN$82="B","",IF(BN$82="C","","")))</f>
        <v>0</v>
      </c>
      <c r="BO108" s="11">
        <f>IF(BO$82="A",IF(ISNUMBER(INDEX($D$96:$AD$96,BO$81)),FIXED(INDEX($D$96:$AD$96,BO$81)/1000,1),""),IF(BO$82="B","",IF(BO$82="C","","")))</f>
        <v>0</v>
      </c>
      <c r="BP108" s="11">
        <f>IF(BP$82="A",IF(ISNUMBER(INDEX($D$96:$AD$96,BP$81)),FIXED(INDEX($D$96:$AD$96,BP$81)/1000,1),""),IF(BP$82="B","",IF(BP$82="C","","")))</f>
        <v>0</v>
      </c>
      <c r="BQ108" s="11">
        <f>IF(BQ$82="A",IF(ISNUMBER(INDEX($D$96:$AD$96,BQ$81)),FIXED(INDEX($D$96:$AD$96,BQ$81)/1000,1),""),IF(BQ$82="B","",IF(BQ$82="C","","")))</f>
        <v>0</v>
      </c>
      <c r="BR108" s="11">
        <f>IF(BR$82="A",IF(ISNUMBER(INDEX($D$96:$AD$96,BR$81)),FIXED(INDEX($D$96:$AD$96,BR$81)/1000,1),""),IF(BR$82="B","",IF(BR$82="C","","")))</f>
        <v>0</v>
      </c>
      <c r="BS108" s="11">
        <f>IF(BS$82="A",IF(ISNUMBER(INDEX($D$96:$AD$96,BS$81)),FIXED(INDEX($D$96:$AD$96,BS$81)/1000,1),""),IF(BS$82="B","",IF(BS$82="C","","")))</f>
        <v>0</v>
      </c>
      <c r="BT108" s="11">
        <f>IF(BT$82="A",IF(ISNUMBER(INDEX($D$96:$AD$96,BT$81)),FIXED(INDEX($D$96:$AD$96,BT$81)/1000,1),""),IF(BT$82="B","",IF(BT$82="C","","")))</f>
        <v>0</v>
      </c>
    </row>
    <row r="109" spans="1:72">
      <c r="A109" s="11" t="s">
        <v>749</v>
      </c>
      <c r="B109" s="11" t="s">
        <v>750</v>
      </c>
      <c r="C109" s="67" t="s">
        <v>610</v>
      </c>
      <c r="AQ109" s="68">
        <f>IF(AQ$82="A",IF(N(Konfiguration!$F$11)&gt;0,N(Konfiguration!$F$11)/MAX(1,_xlfn.AGGREGATE(4,6,INDEX($D$96:$AD$96,28-$D$80):$AD$96),N(Konfiguration!$F$11)),NA()),IF(AQ$82="B",IF(N(Konfiguration!$F$11)&gt;0,N(Konfiguration!$F$11)/MAX(1,_xlfn.AGGREGATE(4,6,INDEX($D$96:$AD$96,28-$D$80):$AD$96),N(Konfiguration!$F$11)),NA()),IF(AQ$82="C",IF(N(Konfiguration!$F$11)&gt;0,N(Konfiguration!$F$11)/MAX(1,_xlfn.AGGREGATE(4,6,INDEX($D$96:$AD$96,28-$D$80):$AD$96),N(Konfiguration!$F$11)),NA()),NA())))</f>
        <v>0</v>
      </c>
      <c r="AR109" s="68">
        <f>IF(AR$82="A",IF(N(Konfiguration!$F$11)&gt;0,N(Konfiguration!$F$11)/MAX(1,_xlfn.AGGREGATE(4,6,INDEX($D$96:$AD$96,28-$D$80):$AD$96),N(Konfiguration!$F$11)),NA()),IF(AR$82="B",IF(N(Konfiguration!$F$11)&gt;0,N(Konfiguration!$F$11)/MAX(1,_xlfn.AGGREGATE(4,6,INDEX($D$96:$AD$96,28-$D$80):$AD$96),N(Konfiguration!$F$11)),NA()),IF(AR$82="C",IF(N(Konfiguration!$F$11)&gt;0,N(Konfiguration!$F$11)/MAX(1,_xlfn.AGGREGATE(4,6,INDEX($D$96:$AD$96,28-$D$80):$AD$96),N(Konfiguration!$F$11)),NA()),NA())))</f>
        <v>0</v>
      </c>
      <c r="AS109" s="68">
        <f>IF(AS$82="A",IF(N(Konfiguration!$F$11)&gt;0,N(Konfiguration!$F$11)/MAX(1,_xlfn.AGGREGATE(4,6,INDEX($D$96:$AD$96,28-$D$80):$AD$96),N(Konfiguration!$F$11)),NA()),IF(AS$82="B",IF(N(Konfiguration!$F$11)&gt;0,N(Konfiguration!$F$11)/MAX(1,_xlfn.AGGREGATE(4,6,INDEX($D$96:$AD$96,28-$D$80):$AD$96),N(Konfiguration!$F$11)),NA()),IF(AS$82="C",IF(N(Konfiguration!$F$11)&gt;0,N(Konfiguration!$F$11)/MAX(1,_xlfn.AGGREGATE(4,6,INDEX($D$96:$AD$96,28-$D$80):$AD$96),N(Konfiguration!$F$11)),NA()),NA())))</f>
        <v>0</v>
      </c>
      <c r="AT109" s="68">
        <f>IF(AT$82="A",IF(N(Konfiguration!$F$11)&gt;0,N(Konfiguration!$F$11)/MAX(1,_xlfn.AGGREGATE(4,6,INDEX($D$96:$AD$96,28-$D$80):$AD$96),N(Konfiguration!$F$11)),NA()),IF(AT$82="B",IF(N(Konfiguration!$F$11)&gt;0,N(Konfiguration!$F$11)/MAX(1,_xlfn.AGGREGATE(4,6,INDEX($D$96:$AD$96,28-$D$80):$AD$96),N(Konfiguration!$F$11)),NA()),IF(AT$82="C",IF(N(Konfiguration!$F$11)&gt;0,N(Konfiguration!$F$11)/MAX(1,_xlfn.AGGREGATE(4,6,INDEX($D$96:$AD$96,28-$D$80):$AD$96),N(Konfiguration!$F$11)),NA()),NA())))</f>
        <v>0</v>
      </c>
      <c r="AU109" s="68">
        <f>IF(AU$82="A",IF(N(Konfiguration!$F$11)&gt;0,N(Konfiguration!$F$11)/MAX(1,_xlfn.AGGREGATE(4,6,INDEX($D$96:$AD$96,28-$D$80):$AD$96),N(Konfiguration!$F$11)),NA()),IF(AU$82="B",IF(N(Konfiguration!$F$11)&gt;0,N(Konfiguration!$F$11)/MAX(1,_xlfn.AGGREGATE(4,6,INDEX($D$96:$AD$96,28-$D$80):$AD$96),N(Konfiguration!$F$11)),NA()),IF(AU$82="C",IF(N(Konfiguration!$F$11)&gt;0,N(Konfiguration!$F$11)/MAX(1,_xlfn.AGGREGATE(4,6,INDEX($D$96:$AD$96,28-$D$80):$AD$96),N(Konfiguration!$F$11)),NA()),NA())))</f>
        <v>0</v>
      </c>
      <c r="AV109" s="68">
        <f>IF(AV$82="A",IF(N(Konfiguration!$F$11)&gt;0,N(Konfiguration!$F$11)/MAX(1,_xlfn.AGGREGATE(4,6,INDEX($D$96:$AD$96,28-$D$80):$AD$96),N(Konfiguration!$F$11)),NA()),IF(AV$82="B",IF(N(Konfiguration!$F$11)&gt;0,N(Konfiguration!$F$11)/MAX(1,_xlfn.AGGREGATE(4,6,INDEX($D$96:$AD$96,28-$D$80):$AD$96),N(Konfiguration!$F$11)),NA()),IF(AV$82="C",IF(N(Konfiguration!$F$11)&gt;0,N(Konfiguration!$F$11)/MAX(1,_xlfn.AGGREGATE(4,6,INDEX($D$96:$AD$96,28-$D$80):$AD$96),N(Konfiguration!$F$11)),NA()),NA())))</f>
        <v>0</v>
      </c>
      <c r="AW109" s="68">
        <f>IF(AW$82="A",IF(N(Konfiguration!$F$11)&gt;0,N(Konfiguration!$F$11)/MAX(1,_xlfn.AGGREGATE(4,6,INDEX($D$96:$AD$96,28-$D$80):$AD$96),N(Konfiguration!$F$11)),NA()),IF(AW$82="B",IF(N(Konfiguration!$F$11)&gt;0,N(Konfiguration!$F$11)/MAX(1,_xlfn.AGGREGATE(4,6,INDEX($D$96:$AD$96,28-$D$80):$AD$96),N(Konfiguration!$F$11)),NA()),IF(AW$82="C",IF(N(Konfiguration!$F$11)&gt;0,N(Konfiguration!$F$11)/MAX(1,_xlfn.AGGREGATE(4,6,INDEX($D$96:$AD$96,28-$D$80):$AD$96),N(Konfiguration!$F$11)),NA()),NA())))</f>
        <v>0</v>
      </c>
      <c r="AX109" s="68">
        <f>IF(AX$82="A",IF(N(Konfiguration!$F$11)&gt;0,N(Konfiguration!$F$11)/MAX(1,_xlfn.AGGREGATE(4,6,INDEX($D$96:$AD$96,28-$D$80):$AD$96),N(Konfiguration!$F$11)),NA()),IF(AX$82="B",IF(N(Konfiguration!$F$11)&gt;0,N(Konfiguration!$F$11)/MAX(1,_xlfn.AGGREGATE(4,6,INDEX($D$96:$AD$96,28-$D$80):$AD$96),N(Konfiguration!$F$11)),NA()),IF(AX$82="C",IF(N(Konfiguration!$F$11)&gt;0,N(Konfiguration!$F$11)/MAX(1,_xlfn.AGGREGATE(4,6,INDEX($D$96:$AD$96,28-$D$80):$AD$96),N(Konfiguration!$F$11)),NA()),NA())))</f>
        <v>0</v>
      </c>
      <c r="AY109" s="68">
        <f>IF(AY$82="A",IF(N(Konfiguration!$F$11)&gt;0,N(Konfiguration!$F$11)/MAX(1,_xlfn.AGGREGATE(4,6,INDEX($D$96:$AD$96,28-$D$80):$AD$96),N(Konfiguration!$F$11)),NA()),IF(AY$82="B",IF(N(Konfiguration!$F$11)&gt;0,N(Konfiguration!$F$11)/MAX(1,_xlfn.AGGREGATE(4,6,INDEX($D$96:$AD$96,28-$D$80):$AD$96),N(Konfiguration!$F$11)),NA()),IF(AY$82="C",IF(N(Konfiguration!$F$11)&gt;0,N(Konfiguration!$F$11)/MAX(1,_xlfn.AGGREGATE(4,6,INDEX($D$96:$AD$96,28-$D$80):$AD$96),N(Konfiguration!$F$11)),NA()),NA())))</f>
        <v>0</v>
      </c>
      <c r="AZ109" s="68">
        <f>IF(AZ$82="A",IF(N(Konfiguration!$F$11)&gt;0,N(Konfiguration!$F$11)/MAX(1,_xlfn.AGGREGATE(4,6,INDEX($D$96:$AD$96,28-$D$80):$AD$96),N(Konfiguration!$F$11)),NA()),IF(AZ$82="B",IF(N(Konfiguration!$F$11)&gt;0,N(Konfiguration!$F$11)/MAX(1,_xlfn.AGGREGATE(4,6,INDEX($D$96:$AD$96,28-$D$80):$AD$96),N(Konfiguration!$F$11)),NA()),IF(AZ$82="C",IF(N(Konfiguration!$F$11)&gt;0,N(Konfiguration!$F$11)/MAX(1,_xlfn.AGGREGATE(4,6,INDEX($D$96:$AD$96,28-$D$80):$AD$96),N(Konfiguration!$F$11)),NA()),NA())))</f>
        <v>0</v>
      </c>
      <c r="BA109" s="68">
        <f>IF(BA$82="A",IF(N(Konfiguration!$F$11)&gt;0,N(Konfiguration!$F$11)/MAX(1,_xlfn.AGGREGATE(4,6,INDEX($D$96:$AD$96,28-$D$80):$AD$96),N(Konfiguration!$F$11)),NA()),IF(BA$82="B",IF(N(Konfiguration!$F$11)&gt;0,N(Konfiguration!$F$11)/MAX(1,_xlfn.AGGREGATE(4,6,INDEX($D$96:$AD$96,28-$D$80):$AD$96),N(Konfiguration!$F$11)),NA()),IF(BA$82="C",IF(N(Konfiguration!$F$11)&gt;0,N(Konfiguration!$F$11)/MAX(1,_xlfn.AGGREGATE(4,6,INDEX($D$96:$AD$96,28-$D$80):$AD$96),N(Konfiguration!$F$11)),NA()),NA())))</f>
        <v>0</v>
      </c>
      <c r="BB109" s="68">
        <f>IF(BB$82="A",IF(N(Konfiguration!$F$11)&gt;0,N(Konfiguration!$F$11)/MAX(1,_xlfn.AGGREGATE(4,6,INDEX($D$96:$AD$96,28-$D$80):$AD$96),N(Konfiguration!$F$11)),NA()),IF(BB$82="B",IF(N(Konfiguration!$F$11)&gt;0,N(Konfiguration!$F$11)/MAX(1,_xlfn.AGGREGATE(4,6,INDEX($D$96:$AD$96,28-$D$80):$AD$96),N(Konfiguration!$F$11)),NA()),IF(BB$82="C",IF(N(Konfiguration!$F$11)&gt;0,N(Konfiguration!$F$11)/MAX(1,_xlfn.AGGREGATE(4,6,INDEX($D$96:$AD$96,28-$D$80):$AD$96),N(Konfiguration!$F$11)),NA()),NA())))</f>
        <v>0</v>
      </c>
      <c r="BC109" s="68">
        <f>IF(BC$82="A",IF(N(Konfiguration!$F$11)&gt;0,N(Konfiguration!$F$11)/MAX(1,_xlfn.AGGREGATE(4,6,INDEX($D$96:$AD$96,28-$D$80):$AD$96),N(Konfiguration!$F$11)),NA()),IF(BC$82="B",IF(N(Konfiguration!$F$11)&gt;0,N(Konfiguration!$F$11)/MAX(1,_xlfn.AGGREGATE(4,6,INDEX($D$96:$AD$96,28-$D$80):$AD$96),N(Konfiguration!$F$11)),NA()),IF(BC$82="C",IF(N(Konfiguration!$F$11)&gt;0,N(Konfiguration!$F$11)/MAX(1,_xlfn.AGGREGATE(4,6,INDEX($D$96:$AD$96,28-$D$80):$AD$96),N(Konfiguration!$F$11)),NA()),NA())))</f>
        <v>0</v>
      </c>
      <c r="BD109" s="68">
        <f>IF(BD$82="A",IF(N(Konfiguration!$F$11)&gt;0,N(Konfiguration!$F$11)/MAX(1,_xlfn.AGGREGATE(4,6,INDEX($D$96:$AD$96,28-$D$80):$AD$96),N(Konfiguration!$F$11)),NA()),IF(BD$82="B",IF(N(Konfiguration!$F$11)&gt;0,N(Konfiguration!$F$11)/MAX(1,_xlfn.AGGREGATE(4,6,INDEX($D$96:$AD$96,28-$D$80):$AD$96),N(Konfiguration!$F$11)),NA()),IF(BD$82="C",IF(N(Konfiguration!$F$11)&gt;0,N(Konfiguration!$F$11)/MAX(1,_xlfn.AGGREGATE(4,6,INDEX($D$96:$AD$96,28-$D$80):$AD$96),N(Konfiguration!$F$11)),NA()),NA())))</f>
        <v>0</v>
      </c>
      <c r="BE109" s="68">
        <f>IF(BE$82="A",IF(N(Konfiguration!$F$11)&gt;0,N(Konfiguration!$F$11)/MAX(1,_xlfn.AGGREGATE(4,6,INDEX($D$96:$AD$96,28-$D$80):$AD$96),N(Konfiguration!$F$11)),NA()),IF(BE$82="B",IF(N(Konfiguration!$F$11)&gt;0,N(Konfiguration!$F$11)/MAX(1,_xlfn.AGGREGATE(4,6,INDEX($D$96:$AD$96,28-$D$80):$AD$96),N(Konfiguration!$F$11)),NA()),IF(BE$82="C",IF(N(Konfiguration!$F$11)&gt;0,N(Konfiguration!$F$11)/MAX(1,_xlfn.AGGREGATE(4,6,INDEX($D$96:$AD$96,28-$D$80):$AD$96),N(Konfiguration!$F$11)),NA()),NA())))</f>
        <v>0</v>
      </c>
      <c r="BF109" s="68">
        <f>IF(BF$82="A",IF(N(Konfiguration!$F$11)&gt;0,N(Konfiguration!$F$11)/MAX(1,_xlfn.AGGREGATE(4,6,INDEX($D$96:$AD$96,28-$D$80):$AD$96),N(Konfiguration!$F$11)),NA()),IF(BF$82="B",IF(N(Konfiguration!$F$11)&gt;0,N(Konfiguration!$F$11)/MAX(1,_xlfn.AGGREGATE(4,6,INDEX($D$96:$AD$96,28-$D$80):$AD$96),N(Konfiguration!$F$11)),NA()),IF(BF$82="C",IF(N(Konfiguration!$F$11)&gt;0,N(Konfiguration!$F$11)/MAX(1,_xlfn.AGGREGATE(4,6,INDEX($D$96:$AD$96,28-$D$80):$AD$96),N(Konfiguration!$F$11)),NA()),NA())))</f>
        <v>0</v>
      </c>
      <c r="BG109" s="68">
        <f>IF(BG$82="A",IF(N(Konfiguration!$F$11)&gt;0,N(Konfiguration!$F$11)/MAX(1,_xlfn.AGGREGATE(4,6,INDEX($D$96:$AD$96,28-$D$80):$AD$96),N(Konfiguration!$F$11)),NA()),IF(BG$82="B",IF(N(Konfiguration!$F$11)&gt;0,N(Konfiguration!$F$11)/MAX(1,_xlfn.AGGREGATE(4,6,INDEX($D$96:$AD$96,28-$D$80):$AD$96),N(Konfiguration!$F$11)),NA()),IF(BG$82="C",IF(N(Konfiguration!$F$11)&gt;0,N(Konfiguration!$F$11)/MAX(1,_xlfn.AGGREGATE(4,6,INDEX($D$96:$AD$96,28-$D$80):$AD$96),N(Konfiguration!$F$11)),NA()),NA())))</f>
        <v>0</v>
      </c>
      <c r="BH109" s="68">
        <f>IF(BH$82="A",IF(N(Konfiguration!$F$11)&gt;0,N(Konfiguration!$F$11)/MAX(1,_xlfn.AGGREGATE(4,6,INDEX($D$96:$AD$96,28-$D$80):$AD$96),N(Konfiguration!$F$11)),NA()),IF(BH$82="B",IF(N(Konfiguration!$F$11)&gt;0,N(Konfiguration!$F$11)/MAX(1,_xlfn.AGGREGATE(4,6,INDEX($D$96:$AD$96,28-$D$80):$AD$96),N(Konfiguration!$F$11)),NA()),IF(BH$82="C",IF(N(Konfiguration!$F$11)&gt;0,N(Konfiguration!$F$11)/MAX(1,_xlfn.AGGREGATE(4,6,INDEX($D$96:$AD$96,28-$D$80):$AD$96),N(Konfiguration!$F$11)),NA()),NA())))</f>
        <v>0</v>
      </c>
      <c r="BI109" s="68">
        <f>IF(BI$82="A",IF(N(Konfiguration!$F$11)&gt;0,N(Konfiguration!$F$11)/MAX(1,_xlfn.AGGREGATE(4,6,INDEX($D$96:$AD$96,28-$D$80):$AD$96),N(Konfiguration!$F$11)),NA()),IF(BI$82="B",IF(N(Konfiguration!$F$11)&gt;0,N(Konfiguration!$F$11)/MAX(1,_xlfn.AGGREGATE(4,6,INDEX($D$96:$AD$96,28-$D$80):$AD$96),N(Konfiguration!$F$11)),NA()),IF(BI$82="C",IF(N(Konfiguration!$F$11)&gt;0,N(Konfiguration!$F$11)/MAX(1,_xlfn.AGGREGATE(4,6,INDEX($D$96:$AD$96,28-$D$80):$AD$96),N(Konfiguration!$F$11)),NA()),NA())))</f>
        <v>0</v>
      </c>
      <c r="BJ109" s="68">
        <f>IF(BJ$82="A",IF(N(Konfiguration!$F$11)&gt;0,N(Konfiguration!$F$11)/MAX(1,_xlfn.AGGREGATE(4,6,INDEX($D$96:$AD$96,28-$D$80):$AD$96),N(Konfiguration!$F$11)),NA()),IF(BJ$82="B",IF(N(Konfiguration!$F$11)&gt;0,N(Konfiguration!$F$11)/MAX(1,_xlfn.AGGREGATE(4,6,INDEX($D$96:$AD$96,28-$D$80):$AD$96),N(Konfiguration!$F$11)),NA()),IF(BJ$82="C",IF(N(Konfiguration!$F$11)&gt;0,N(Konfiguration!$F$11)/MAX(1,_xlfn.AGGREGATE(4,6,INDEX($D$96:$AD$96,28-$D$80):$AD$96),N(Konfiguration!$F$11)),NA()),NA())))</f>
        <v>0</v>
      </c>
      <c r="BK109" s="68">
        <f>IF(BK$82="A",IF(N(Konfiguration!$F$11)&gt;0,N(Konfiguration!$F$11)/MAX(1,_xlfn.AGGREGATE(4,6,INDEX($D$96:$AD$96,28-$D$80):$AD$96),N(Konfiguration!$F$11)),NA()),IF(BK$82="B",IF(N(Konfiguration!$F$11)&gt;0,N(Konfiguration!$F$11)/MAX(1,_xlfn.AGGREGATE(4,6,INDEX($D$96:$AD$96,28-$D$80):$AD$96),N(Konfiguration!$F$11)),NA()),IF(BK$82="C",IF(N(Konfiguration!$F$11)&gt;0,N(Konfiguration!$F$11)/MAX(1,_xlfn.AGGREGATE(4,6,INDEX($D$96:$AD$96,28-$D$80):$AD$96),N(Konfiguration!$F$11)),NA()),NA())))</f>
        <v>0</v>
      </c>
      <c r="BL109" s="68">
        <f>IF(BL$82="A",IF(N(Konfiguration!$F$11)&gt;0,N(Konfiguration!$F$11)/MAX(1,_xlfn.AGGREGATE(4,6,INDEX($D$96:$AD$96,28-$D$80):$AD$96),N(Konfiguration!$F$11)),NA()),IF(BL$82="B",IF(N(Konfiguration!$F$11)&gt;0,N(Konfiguration!$F$11)/MAX(1,_xlfn.AGGREGATE(4,6,INDEX($D$96:$AD$96,28-$D$80):$AD$96),N(Konfiguration!$F$11)),NA()),IF(BL$82="C",IF(N(Konfiguration!$F$11)&gt;0,N(Konfiguration!$F$11)/MAX(1,_xlfn.AGGREGATE(4,6,INDEX($D$96:$AD$96,28-$D$80):$AD$96),N(Konfiguration!$F$11)),NA()),NA())))</f>
        <v>0</v>
      </c>
      <c r="BM109" s="68">
        <f>IF(BM$82="A",IF(N(Konfiguration!$F$11)&gt;0,N(Konfiguration!$F$11)/MAX(1,_xlfn.AGGREGATE(4,6,INDEX($D$96:$AD$96,28-$D$80):$AD$96),N(Konfiguration!$F$11)),NA()),IF(BM$82="B",IF(N(Konfiguration!$F$11)&gt;0,N(Konfiguration!$F$11)/MAX(1,_xlfn.AGGREGATE(4,6,INDEX($D$96:$AD$96,28-$D$80):$AD$96),N(Konfiguration!$F$11)),NA()),IF(BM$82="C",IF(N(Konfiguration!$F$11)&gt;0,N(Konfiguration!$F$11)/MAX(1,_xlfn.AGGREGATE(4,6,INDEX($D$96:$AD$96,28-$D$80):$AD$96),N(Konfiguration!$F$11)),NA()),NA())))</f>
        <v>0</v>
      </c>
      <c r="BN109" s="68">
        <f>IF(BN$82="A",IF(N(Konfiguration!$F$11)&gt;0,N(Konfiguration!$F$11)/MAX(1,_xlfn.AGGREGATE(4,6,INDEX($D$96:$AD$96,28-$D$80):$AD$96),N(Konfiguration!$F$11)),NA()),IF(BN$82="B",IF(N(Konfiguration!$F$11)&gt;0,N(Konfiguration!$F$11)/MAX(1,_xlfn.AGGREGATE(4,6,INDEX($D$96:$AD$96,28-$D$80):$AD$96),N(Konfiguration!$F$11)),NA()),IF(BN$82="C",IF(N(Konfiguration!$F$11)&gt;0,N(Konfiguration!$F$11)/MAX(1,_xlfn.AGGREGATE(4,6,INDEX($D$96:$AD$96,28-$D$80):$AD$96),N(Konfiguration!$F$11)),NA()),NA())))</f>
        <v>0</v>
      </c>
      <c r="BO109" s="68">
        <f>IF(BO$82="A",IF(N(Konfiguration!$F$11)&gt;0,N(Konfiguration!$F$11)/MAX(1,_xlfn.AGGREGATE(4,6,INDEX($D$96:$AD$96,28-$D$80):$AD$96),N(Konfiguration!$F$11)),NA()),IF(BO$82="B",IF(N(Konfiguration!$F$11)&gt;0,N(Konfiguration!$F$11)/MAX(1,_xlfn.AGGREGATE(4,6,INDEX($D$96:$AD$96,28-$D$80):$AD$96),N(Konfiguration!$F$11)),NA()),IF(BO$82="C",IF(N(Konfiguration!$F$11)&gt;0,N(Konfiguration!$F$11)/MAX(1,_xlfn.AGGREGATE(4,6,INDEX($D$96:$AD$96,28-$D$80):$AD$96),N(Konfiguration!$F$11)),NA()),NA())))</f>
        <v>0</v>
      </c>
      <c r="BP109" s="68">
        <f>IF(BP$82="A",IF(N(Konfiguration!$F$11)&gt;0,N(Konfiguration!$F$11)/MAX(1,_xlfn.AGGREGATE(4,6,INDEX($D$96:$AD$96,28-$D$80):$AD$96),N(Konfiguration!$F$11)),NA()),IF(BP$82="B",IF(N(Konfiguration!$F$11)&gt;0,N(Konfiguration!$F$11)/MAX(1,_xlfn.AGGREGATE(4,6,INDEX($D$96:$AD$96,28-$D$80):$AD$96),N(Konfiguration!$F$11)),NA()),IF(BP$82="C",IF(N(Konfiguration!$F$11)&gt;0,N(Konfiguration!$F$11)/MAX(1,_xlfn.AGGREGATE(4,6,INDEX($D$96:$AD$96,28-$D$80):$AD$96),N(Konfiguration!$F$11)),NA()),NA())))</f>
        <v>0</v>
      </c>
      <c r="BQ109" s="68">
        <f>IF(BQ$82="A",IF(N(Konfiguration!$F$11)&gt;0,N(Konfiguration!$F$11)/MAX(1,_xlfn.AGGREGATE(4,6,INDEX($D$96:$AD$96,28-$D$80):$AD$96),N(Konfiguration!$F$11)),NA()),IF(BQ$82="B",IF(N(Konfiguration!$F$11)&gt;0,N(Konfiguration!$F$11)/MAX(1,_xlfn.AGGREGATE(4,6,INDEX($D$96:$AD$96,28-$D$80):$AD$96),N(Konfiguration!$F$11)),NA()),IF(BQ$82="C",IF(N(Konfiguration!$F$11)&gt;0,N(Konfiguration!$F$11)/MAX(1,_xlfn.AGGREGATE(4,6,INDEX($D$96:$AD$96,28-$D$80):$AD$96),N(Konfiguration!$F$11)),NA()),NA())))</f>
        <v>0</v>
      </c>
      <c r="BR109" s="68">
        <f>IF(BR$82="A",IF(N(Konfiguration!$F$11)&gt;0,N(Konfiguration!$F$11)/MAX(1,_xlfn.AGGREGATE(4,6,INDEX($D$96:$AD$96,28-$D$80):$AD$96),N(Konfiguration!$F$11)),NA()),IF(BR$82="B",IF(N(Konfiguration!$F$11)&gt;0,N(Konfiguration!$F$11)/MAX(1,_xlfn.AGGREGATE(4,6,INDEX($D$96:$AD$96,28-$D$80):$AD$96),N(Konfiguration!$F$11)),NA()),IF(BR$82="C",IF(N(Konfiguration!$F$11)&gt;0,N(Konfiguration!$F$11)/MAX(1,_xlfn.AGGREGATE(4,6,INDEX($D$96:$AD$96,28-$D$80):$AD$96),N(Konfiguration!$F$11)),NA()),NA())))</f>
        <v>0</v>
      </c>
      <c r="BS109" s="68">
        <f>IF(BS$82="A",IF(N(Konfiguration!$F$11)&gt;0,N(Konfiguration!$F$11)/MAX(1,_xlfn.AGGREGATE(4,6,INDEX($D$96:$AD$96,28-$D$80):$AD$96),N(Konfiguration!$F$11)),NA()),IF(BS$82="B",IF(N(Konfiguration!$F$11)&gt;0,N(Konfiguration!$F$11)/MAX(1,_xlfn.AGGREGATE(4,6,INDEX($D$96:$AD$96,28-$D$80):$AD$96),N(Konfiguration!$F$11)),NA()),IF(BS$82="C",IF(N(Konfiguration!$F$11)&gt;0,N(Konfiguration!$F$11)/MAX(1,_xlfn.AGGREGATE(4,6,INDEX($D$96:$AD$96,28-$D$80):$AD$96),N(Konfiguration!$F$11)),NA()),NA())))</f>
        <v>0</v>
      </c>
      <c r="BT109" s="68">
        <f>IF(BT$82="A",IF(N(Konfiguration!$F$11)&gt;0,N(Konfiguration!$F$11)/MAX(1,_xlfn.AGGREGATE(4,6,INDEX($D$96:$AD$96,28-$D$80):$AD$96),N(Konfiguration!$F$11)),NA()),IF(BT$82="B",IF(N(Konfiguration!$F$11)&gt;0,N(Konfiguration!$F$11)/MAX(1,_xlfn.AGGREGATE(4,6,INDEX($D$96:$AD$96,28-$D$80):$AD$96),N(Konfiguration!$F$11)),NA()),IF(BT$82="C",IF(N(Konfiguration!$F$11)&gt;0,N(Konfiguration!$F$11)/MAX(1,_xlfn.AGGREGATE(4,6,INDEX($D$96:$AD$96,28-$D$80):$AD$96),N(Konfiguration!$F$11)),NA()),NA())))</f>
        <v>0</v>
      </c>
    </row>
    <row r="110" spans="1:72">
      <c r="A110" s="11" t="s">
        <v>751</v>
      </c>
      <c r="B110" s="11" t="s">
        <v>752</v>
      </c>
      <c r="C110" s="67" t="s">
        <v>610</v>
      </c>
      <c r="AQ110" s="68">
        <f>IF(AQ$82="A",IF(AND(ISNUMBER(INDEX($D$96:$AD$96,AQ$81)),ISNUMBER(INDEX($D$96:$AD$96,AQ$81-1))),IF(ROUND((INDEX($D$96:$AD$96,AQ$81)-INDEX($D$96:$AD$96,AQ$81-1))/1000,1)&gt;0,-0.38462,NA()),NA()),IF(AQ$82="B",NA(),IF(AQ$82="C",NA(),NA())))</f>
        <v>0</v>
      </c>
      <c r="AR110" s="68">
        <f>IF(AR$82="A",IF(AND(ISNUMBER(INDEX($D$96:$AD$96,AR$81)),ISNUMBER(INDEX($D$96:$AD$96,AR$81-1))),IF(ROUND((INDEX($D$96:$AD$96,AR$81)-INDEX($D$96:$AD$96,AR$81-1))/1000,1)&gt;0,-0.38462,NA()),NA()),IF(AR$82="B",NA(),IF(AR$82="C",NA(),NA())))</f>
        <v>0</v>
      </c>
      <c r="AS110" s="68">
        <f>IF(AS$82="A",IF(AND(ISNUMBER(INDEX($D$96:$AD$96,AS$81)),ISNUMBER(INDEX($D$96:$AD$96,AS$81-1))),IF(ROUND((INDEX($D$96:$AD$96,AS$81)-INDEX($D$96:$AD$96,AS$81-1))/1000,1)&gt;0,-0.38462,NA()),NA()),IF(AS$82="B",NA(),IF(AS$82="C",NA(),NA())))</f>
        <v>0</v>
      </c>
      <c r="AT110" s="68">
        <f>IF(AT$82="A",IF(AND(ISNUMBER(INDEX($D$96:$AD$96,AT$81)),ISNUMBER(INDEX($D$96:$AD$96,AT$81-1))),IF(ROUND((INDEX($D$96:$AD$96,AT$81)-INDEX($D$96:$AD$96,AT$81-1))/1000,1)&gt;0,-0.38462,NA()),NA()),IF(AT$82="B",NA(),IF(AT$82="C",NA(),NA())))</f>
        <v>0</v>
      </c>
      <c r="AU110" s="68">
        <f>IF(AU$82="A",IF(AND(ISNUMBER(INDEX($D$96:$AD$96,AU$81)),ISNUMBER(INDEX($D$96:$AD$96,AU$81-1))),IF(ROUND((INDEX($D$96:$AD$96,AU$81)-INDEX($D$96:$AD$96,AU$81-1))/1000,1)&gt;0,-0.38462,NA()),NA()),IF(AU$82="B",NA(),IF(AU$82="C",NA(),NA())))</f>
        <v>0</v>
      </c>
      <c r="AV110" s="68">
        <f>IF(AV$82="A",IF(AND(ISNUMBER(INDEX($D$96:$AD$96,AV$81)),ISNUMBER(INDEX($D$96:$AD$96,AV$81-1))),IF(ROUND((INDEX($D$96:$AD$96,AV$81)-INDEX($D$96:$AD$96,AV$81-1))/1000,1)&gt;0,-0.38462,NA()),NA()),IF(AV$82="B",NA(),IF(AV$82="C",NA(),NA())))</f>
        <v>0</v>
      </c>
      <c r="AW110" s="68">
        <f>IF(AW$82="A",IF(AND(ISNUMBER(INDEX($D$96:$AD$96,AW$81)),ISNUMBER(INDEX($D$96:$AD$96,AW$81-1))),IF(ROUND((INDEX($D$96:$AD$96,AW$81)-INDEX($D$96:$AD$96,AW$81-1))/1000,1)&gt;0,-0.38462,NA()),NA()),IF(AW$82="B",NA(),IF(AW$82="C",NA(),NA())))</f>
        <v>0</v>
      </c>
      <c r="AX110" s="68">
        <f>IF(AX$82="A",IF(AND(ISNUMBER(INDEX($D$96:$AD$96,AX$81)),ISNUMBER(INDEX($D$96:$AD$96,AX$81-1))),IF(ROUND((INDEX($D$96:$AD$96,AX$81)-INDEX($D$96:$AD$96,AX$81-1))/1000,1)&gt;0,-0.38462,NA()),NA()),IF(AX$82="B",NA(),IF(AX$82="C",NA(),NA())))</f>
        <v>0</v>
      </c>
      <c r="AY110" s="68">
        <f>IF(AY$82="A",IF(AND(ISNUMBER(INDEX($D$96:$AD$96,AY$81)),ISNUMBER(INDEX($D$96:$AD$96,AY$81-1))),IF(ROUND((INDEX($D$96:$AD$96,AY$81)-INDEX($D$96:$AD$96,AY$81-1))/1000,1)&gt;0,-0.38462,NA()),NA()),IF(AY$82="B",NA(),IF(AY$82="C",NA(),NA())))</f>
        <v>0</v>
      </c>
      <c r="AZ110" s="68">
        <f>IF(AZ$82="A",IF(AND(ISNUMBER(INDEX($D$96:$AD$96,AZ$81)),ISNUMBER(INDEX($D$96:$AD$96,AZ$81-1))),IF(ROUND((INDEX($D$96:$AD$96,AZ$81)-INDEX($D$96:$AD$96,AZ$81-1))/1000,1)&gt;0,-0.38462,NA()),NA()),IF(AZ$82="B",NA(),IF(AZ$82="C",NA(),NA())))</f>
        <v>0</v>
      </c>
      <c r="BA110" s="68">
        <f>IF(BA$82="A",IF(AND(ISNUMBER(INDEX($D$96:$AD$96,BA$81)),ISNUMBER(INDEX($D$96:$AD$96,BA$81-1))),IF(ROUND((INDEX($D$96:$AD$96,BA$81)-INDEX($D$96:$AD$96,BA$81-1))/1000,1)&gt;0,-0.38462,NA()),NA()),IF(BA$82="B",NA(),IF(BA$82="C",NA(),NA())))</f>
        <v>0</v>
      </c>
      <c r="BB110" s="68">
        <f>IF(BB$82="A",IF(AND(ISNUMBER(INDEX($D$96:$AD$96,BB$81)),ISNUMBER(INDEX($D$96:$AD$96,BB$81-1))),IF(ROUND((INDEX($D$96:$AD$96,BB$81)-INDEX($D$96:$AD$96,BB$81-1))/1000,1)&gt;0,-0.38462,NA()),NA()),IF(BB$82="B",NA(),IF(BB$82="C",NA(),NA())))</f>
        <v>0</v>
      </c>
      <c r="BC110" s="68">
        <f>IF(BC$82="A",IF(AND(ISNUMBER(INDEX($D$96:$AD$96,BC$81)),ISNUMBER(INDEX($D$96:$AD$96,BC$81-1))),IF(ROUND((INDEX($D$96:$AD$96,BC$81)-INDEX($D$96:$AD$96,BC$81-1))/1000,1)&gt;0,-0.38462,NA()),NA()),IF(BC$82="B",NA(),IF(BC$82="C",NA(),NA())))</f>
        <v>0</v>
      </c>
      <c r="BD110" s="68">
        <f>IF(BD$82="A",IF(AND(ISNUMBER(INDEX($D$96:$AD$96,BD$81)),ISNUMBER(INDEX($D$96:$AD$96,BD$81-1))),IF(ROUND((INDEX($D$96:$AD$96,BD$81)-INDEX($D$96:$AD$96,BD$81-1))/1000,1)&gt;0,-0.38462,NA()),NA()),IF(BD$82="B",NA(),IF(BD$82="C",NA(),NA())))</f>
        <v>0</v>
      </c>
      <c r="BE110" s="68">
        <f>IF(BE$82="A",IF(AND(ISNUMBER(INDEX($D$96:$AD$96,BE$81)),ISNUMBER(INDEX($D$96:$AD$96,BE$81-1))),IF(ROUND((INDEX($D$96:$AD$96,BE$81)-INDEX($D$96:$AD$96,BE$81-1))/1000,1)&gt;0,-0.38462,NA()),NA()),IF(BE$82="B",NA(),IF(BE$82="C",NA(),NA())))</f>
        <v>0</v>
      </c>
      <c r="BF110" s="68">
        <f>IF(BF$82="A",IF(AND(ISNUMBER(INDEX($D$96:$AD$96,BF$81)),ISNUMBER(INDEX($D$96:$AD$96,BF$81-1))),IF(ROUND((INDEX($D$96:$AD$96,BF$81)-INDEX($D$96:$AD$96,BF$81-1))/1000,1)&gt;0,-0.38462,NA()),NA()),IF(BF$82="B",NA(),IF(BF$82="C",NA(),NA())))</f>
        <v>0</v>
      </c>
      <c r="BG110" s="68">
        <f>IF(BG$82="A",IF(AND(ISNUMBER(INDEX($D$96:$AD$96,BG$81)),ISNUMBER(INDEX($D$96:$AD$96,BG$81-1))),IF(ROUND((INDEX($D$96:$AD$96,BG$81)-INDEX($D$96:$AD$96,BG$81-1))/1000,1)&gt;0,-0.38462,NA()),NA()),IF(BG$82="B",NA(),IF(BG$82="C",NA(),NA())))</f>
        <v>0</v>
      </c>
      <c r="BH110" s="68">
        <f>IF(BH$82="A",IF(AND(ISNUMBER(INDEX($D$96:$AD$96,BH$81)),ISNUMBER(INDEX($D$96:$AD$96,BH$81-1))),IF(ROUND((INDEX($D$96:$AD$96,BH$81)-INDEX($D$96:$AD$96,BH$81-1))/1000,1)&gt;0,-0.38462,NA()),NA()),IF(BH$82="B",NA(),IF(BH$82="C",NA(),NA())))</f>
        <v>0</v>
      </c>
      <c r="BI110" s="68">
        <f>IF(BI$82="A",IF(AND(ISNUMBER(INDEX($D$96:$AD$96,BI$81)),ISNUMBER(INDEX($D$96:$AD$96,BI$81-1))),IF(ROUND((INDEX($D$96:$AD$96,BI$81)-INDEX($D$96:$AD$96,BI$81-1))/1000,1)&gt;0,-0.38462,NA()),NA()),IF(BI$82="B",NA(),IF(BI$82="C",NA(),NA())))</f>
        <v>0</v>
      </c>
      <c r="BJ110" s="68">
        <f>IF(BJ$82="A",IF(AND(ISNUMBER(INDEX($D$96:$AD$96,BJ$81)),ISNUMBER(INDEX($D$96:$AD$96,BJ$81-1))),IF(ROUND((INDEX($D$96:$AD$96,BJ$81)-INDEX($D$96:$AD$96,BJ$81-1))/1000,1)&gt;0,-0.38462,NA()),NA()),IF(BJ$82="B",NA(),IF(BJ$82="C",NA(),NA())))</f>
        <v>0</v>
      </c>
      <c r="BK110" s="68">
        <f>IF(BK$82="A",IF(AND(ISNUMBER(INDEX($D$96:$AD$96,BK$81)),ISNUMBER(INDEX($D$96:$AD$96,BK$81-1))),IF(ROUND((INDEX($D$96:$AD$96,BK$81)-INDEX($D$96:$AD$96,BK$81-1))/1000,1)&gt;0,-0.38462,NA()),NA()),IF(BK$82="B",NA(),IF(BK$82="C",NA(),NA())))</f>
        <v>0</v>
      </c>
      <c r="BL110" s="68">
        <f>IF(BL$82="A",IF(AND(ISNUMBER(INDEX($D$96:$AD$96,BL$81)),ISNUMBER(INDEX($D$96:$AD$96,BL$81-1))),IF(ROUND((INDEX($D$96:$AD$96,BL$81)-INDEX($D$96:$AD$96,BL$81-1))/1000,1)&gt;0,-0.38462,NA()),NA()),IF(BL$82="B",NA(),IF(BL$82="C",NA(),NA())))</f>
        <v>0</v>
      </c>
      <c r="BM110" s="68">
        <f>IF(BM$82="A",IF(AND(ISNUMBER(INDEX($D$96:$AD$96,BM$81)),ISNUMBER(INDEX($D$96:$AD$96,BM$81-1))),IF(ROUND((INDEX($D$96:$AD$96,BM$81)-INDEX($D$96:$AD$96,BM$81-1))/1000,1)&gt;0,-0.38462,NA()),NA()),IF(BM$82="B",NA(),IF(BM$82="C",NA(),NA())))</f>
        <v>0</v>
      </c>
      <c r="BN110" s="68">
        <f>IF(BN$82="A",IF(AND(ISNUMBER(INDEX($D$96:$AD$96,BN$81)),ISNUMBER(INDEX($D$96:$AD$96,BN$81-1))),IF(ROUND((INDEX($D$96:$AD$96,BN$81)-INDEX($D$96:$AD$96,BN$81-1))/1000,1)&gt;0,-0.38462,NA()),NA()),IF(BN$82="B",NA(),IF(BN$82="C",NA(),NA())))</f>
        <v>0</v>
      </c>
      <c r="BO110" s="68">
        <f>IF(BO$82="A",IF(AND(ISNUMBER(INDEX($D$96:$AD$96,BO$81)),ISNUMBER(INDEX($D$96:$AD$96,BO$81-1))),IF(ROUND((INDEX($D$96:$AD$96,BO$81)-INDEX($D$96:$AD$96,BO$81-1))/1000,1)&gt;0,-0.38462,NA()),NA()),IF(BO$82="B",NA(),IF(BO$82="C",NA(),NA())))</f>
        <v>0</v>
      </c>
      <c r="BP110" s="68">
        <f>IF(BP$82="A",IF(AND(ISNUMBER(INDEX($D$96:$AD$96,BP$81)),ISNUMBER(INDEX($D$96:$AD$96,BP$81-1))),IF(ROUND((INDEX($D$96:$AD$96,BP$81)-INDEX($D$96:$AD$96,BP$81-1))/1000,1)&gt;0,-0.38462,NA()),NA()),IF(BP$82="B",NA(),IF(BP$82="C",NA(),NA())))</f>
        <v>0</v>
      </c>
      <c r="BQ110" s="68">
        <f>IF(BQ$82="A",IF(AND(ISNUMBER(INDEX($D$96:$AD$96,BQ$81)),ISNUMBER(INDEX($D$96:$AD$96,BQ$81-1))),IF(ROUND((INDEX($D$96:$AD$96,BQ$81)-INDEX($D$96:$AD$96,BQ$81-1))/1000,1)&gt;0,-0.38462,NA()),NA()),IF(BQ$82="B",NA(),IF(BQ$82="C",NA(),NA())))</f>
        <v>0</v>
      </c>
      <c r="BR110" s="68">
        <f>IF(BR$82="A",IF(AND(ISNUMBER(INDEX($D$96:$AD$96,BR$81)),ISNUMBER(INDEX($D$96:$AD$96,BR$81-1))),IF(ROUND((INDEX($D$96:$AD$96,BR$81)-INDEX($D$96:$AD$96,BR$81-1))/1000,1)&gt;0,-0.38462,NA()),NA()),IF(BR$82="B",NA(),IF(BR$82="C",NA(),NA())))</f>
        <v>0</v>
      </c>
      <c r="BS110" s="68">
        <f>IF(BS$82="A",IF(AND(ISNUMBER(INDEX($D$96:$AD$96,BS$81)),ISNUMBER(INDEX($D$96:$AD$96,BS$81-1))),IF(ROUND((INDEX($D$96:$AD$96,BS$81)-INDEX($D$96:$AD$96,BS$81-1))/1000,1)&gt;0,-0.38462,NA()),NA()),IF(BS$82="B",NA(),IF(BS$82="C",NA(),NA())))</f>
        <v>0</v>
      </c>
      <c r="BT110" s="68">
        <f>IF(BT$82="A",IF(AND(ISNUMBER(INDEX($D$96:$AD$96,BT$81)),ISNUMBER(INDEX($D$96:$AD$96,BT$81-1))),IF(ROUND((INDEX($D$96:$AD$96,BT$81)-INDEX($D$96:$AD$96,BT$81-1))/1000,1)&gt;0,-0.38462,NA()),NA()),IF(BT$82="B",NA(),IF(BT$82="C",NA(),NA())))</f>
        <v>0</v>
      </c>
    </row>
    <row r="111" spans="1:72">
      <c r="A111" s="11" t="s">
        <v>753</v>
      </c>
      <c r="B111" s="11" t="s">
        <v>754</v>
      </c>
      <c r="C111" s="67" t="s">
        <v>610</v>
      </c>
      <c r="AQ111" s="68">
        <f>IF(AQ$82="A",IF(AND(ISNUMBER(INDEX($D$96:$AD$96,AQ$81)),ISNUMBER(INDEX($D$96:$AD$96,AQ$81-1))),IF(ROUND((INDEX($D$96:$AD$96,AQ$81)-INDEX($D$96:$AD$96,AQ$81-1))/1000,1)&lt;0,-0.38462,NA()),NA()),IF(AQ$82="B",NA(),IF(AQ$82="C",NA(),NA())))</f>
        <v>0</v>
      </c>
      <c r="AR111" s="68">
        <f>IF(AR$82="A",IF(AND(ISNUMBER(INDEX($D$96:$AD$96,AR$81)),ISNUMBER(INDEX($D$96:$AD$96,AR$81-1))),IF(ROUND((INDEX($D$96:$AD$96,AR$81)-INDEX($D$96:$AD$96,AR$81-1))/1000,1)&lt;0,-0.38462,NA()),NA()),IF(AR$82="B",NA(),IF(AR$82="C",NA(),NA())))</f>
        <v>0</v>
      </c>
      <c r="AS111" s="68">
        <f>IF(AS$82="A",IF(AND(ISNUMBER(INDEX($D$96:$AD$96,AS$81)),ISNUMBER(INDEX($D$96:$AD$96,AS$81-1))),IF(ROUND((INDEX($D$96:$AD$96,AS$81)-INDEX($D$96:$AD$96,AS$81-1))/1000,1)&lt;0,-0.38462,NA()),NA()),IF(AS$82="B",NA(),IF(AS$82="C",NA(),NA())))</f>
        <v>0</v>
      </c>
      <c r="AT111" s="68">
        <f>IF(AT$82="A",IF(AND(ISNUMBER(INDEX($D$96:$AD$96,AT$81)),ISNUMBER(INDEX($D$96:$AD$96,AT$81-1))),IF(ROUND((INDEX($D$96:$AD$96,AT$81)-INDEX($D$96:$AD$96,AT$81-1))/1000,1)&lt;0,-0.38462,NA()),NA()),IF(AT$82="B",NA(),IF(AT$82="C",NA(),NA())))</f>
        <v>0</v>
      </c>
      <c r="AU111" s="68">
        <f>IF(AU$82="A",IF(AND(ISNUMBER(INDEX($D$96:$AD$96,AU$81)),ISNUMBER(INDEX($D$96:$AD$96,AU$81-1))),IF(ROUND((INDEX($D$96:$AD$96,AU$81)-INDEX($D$96:$AD$96,AU$81-1))/1000,1)&lt;0,-0.38462,NA()),NA()),IF(AU$82="B",NA(),IF(AU$82="C",NA(),NA())))</f>
        <v>0</v>
      </c>
      <c r="AV111" s="68">
        <f>IF(AV$82="A",IF(AND(ISNUMBER(INDEX($D$96:$AD$96,AV$81)),ISNUMBER(INDEX($D$96:$AD$96,AV$81-1))),IF(ROUND((INDEX($D$96:$AD$96,AV$81)-INDEX($D$96:$AD$96,AV$81-1))/1000,1)&lt;0,-0.38462,NA()),NA()),IF(AV$82="B",NA(),IF(AV$82="C",NA(),NA())))</f>
        <v>0</v>
      </c>
      <c r="AW111" s="68">
        <f>IF(AW$82="A",IF(AND(ISNUMBER(INDEX($D$96:$AD$96,AW$81)),ISNUMBER(INDEX($D$96:$AD$96,AW$81-1))),IF(ROUND((INDEX($D$96:$AD$96,AW$81)-INDEX($D$96:$AD$96,AW$81-1))/1000,1)&lt;0,-0.38462,NA()),NA()),IF(AW$82="B",NA(),IF(AW$82="C",NA(),NA())))</f>
        <v>0</v>
      </c>
      <c r="AX111" s="68">
        <f>IF(AX$82="A",IF(AND(ISNUMBER(INDEX($D$96:$AD$96,AX$81)),ISNUMBER(INDEX($D$96:$AD$96,AX$81-1))),IF(ROUND((INDEX($D$96:$AD$96,AX$81)-INDEX($D$96:$AD$96,AX$81-1))/1000,1)&lt;0,-0.38462,NA()),NA()),IF(AX$82="B",NA(),IF(AX$82="C",NA(),NA())))</f>
        <v>0</v>
      </c>
      <c r="AY111" s="68">
        <f>IF(AY$82="A",IF(AND(ISNUMBER(INDEX($D$96:$AD$96,AY$81)),ISNUMBER(INDEX($D$96:$AD$96,AY$81-1))),IF(ROUND((INDEX($D$96:$AD$96,AY$81)-INDEX($D$96:$AD$96,AY$81-1))/1000,1)&lt;0,-0.38462,NA()),NA()),IF(AY$82="B",NA(),IF(AY$82="C",NA(),NA())))</f>
        <v>0</v>
      </c>
      <c r="AZ111" s="68">
        <f>IF(AZ$82="A",IF(AND(ISNUMBER(INDEX($D$96:$AD$96,AZ$81)),ISNUMBER(INDEX($D$96:$AD$96,AZ$81-1))),IF(ROUND((INDEX($D$96:$AD$96,AZ$81)-INDEX($D$96:$AD$96,AZ$81-1))/1000,1)&lt;0,-0.38462,NA()),NA()),IF(AZ$82="B",NA(),IF(AZ$82="C",NA(),NA())))</f>
        <v>0</v>
      </c>
      <c r="BA111" s="68">
        <f>IF(BA$82="A",IF(AND(ISNUMBER(INDEX($D$96:$AD$96,BA$81)),ISNUMBER(INDEX($D$96:$AD$96,BA$81-1))),IF(ROUND((INDEX($D$96:$AD$96,BA$81)-INDEX($D$96:$AD$96,BA$81-1))/1000,1)&lt;0,-0.38462,NA()),NA()),IF(BA$82="B",NA(),IF(BA$82="C",NA(),NA())))</f>
        <v>0</v>
      </c>
      <c r="BB111" s="68">
        <f>IF(BB$82="A",IF(AND(ISNUMBER(INDEX($D$96:$AD$96,BB$81)),ISNUMBER(INDEX($D$96:$AD$96,BB$81-1))),IF(ROUND((INDEX($D$96:$AD$96,BB$81)-INDEX($D$96:$AD$96,BB$81-1))/1000,1)&lt;0,-0.38462,NA()),NA()),IF(BB$82="B",NA(),IF(BB$82="C",NA(),NA())))</f>
        <v>0</v>
      </c>
      <c r="BC111" s="68">
        <f>IF(BC$82="A",IF(AND(ISNUMBER(INDEX($D$96:$AD$96,BC$81)),ISNUMBER(INDEX($D$96:$AD$96,BC$81-1))),IF(ROUND((INDEX($D$96:$AD$96,BC$81)-INDEX($D$96:$AD$96,BC$81-1))/1000,1)&lt;0,-0.38462,NA()),NA()),IF(BC$82="B",NA(),IF(BC$82="C",NA(),NA())))</f>
        <v>0</v>
      </c>
      <c r="BD111" s="68">
        <f>IF(BD$82="A",IF(AND(ISNUMBER(INDEX($D$96:$AD$96,BD$81)),ISNUMBER(INDEX($D$96:$AD$96,BD$81-1))),IF(ROUND((INDEX($D$96:$AD$96,BD$81)-INDEX($D$96:$AD$96,BD$81-1))/1000,1)&lt;0,-0.38462,NA()),NA()),IF(BD$82="B",NA(),IF(BD$82="C",NA(),NA())))</f>
        <v>0</v>
      </c>
      <c r="BE111" s="68">
        <f>IF(BE$82="A",IF(AND(ISNUMBER(INDEX($D$96:$AD$96,BE$81)),ISNUMBER(INDEX($D$96:$AD$96,BE$81-1))),IF(ROUND((INDEX($D$96:$AD$96,BE$81)-INDEX($D$96:$AD$96,BE$81-1))/1000,1)&lt;0,-0.38462,NA()),NA()),IF(BE$82="B",NA(),IF(BE$82="C",NA(),NA())))</f>
        <v>0</v>
      </c>
      <c r="BF111" s="68">
        <f>IF(BF$82="A",IF(AND(ISNUMBER(INDEX($D$96:$AD$96,BF$81)),ISNUMBER(INDEX($D$96:$AD$96,BF$81-1))),IF(ROUND((INDEX($D$96:$AD$96,BF$81)-INDEX($D$96:$AD$96,BF$81-1))/1000,1)&lt;0,-0.38462,NA()),NA()),IF(BF$82="B",NA(),IF(BF$82="C",NA(),NA())))</f>
        <v>0</v>
      </c>
      <c r="BG111" s="68">
        <f>IF(BG$82="A",IF(AND(ISNUMBER(INDEX($D$96:$AD$96,BG$81)),ISNUMBER(INDEX($D$96:$AD$96,BG$81-1))),IF(ROUND((INDEX($D$96:$AD$96,BG$81)-INDEX($D$96:$AD$96,BG$81-1))/1000,1)&lt;0,-0.38462,NA()),NA()),IF(BG$82="B",NA(),IF(BG$82="C",NA(),NA())))</f>
        <v>0</v>
      </c>
      <c r="BH111" s="68">
        <f>IF(BH$82="A",IF(AND(ISNUMBER(INDEX($D$96:$AD$96,BH$81)),ISNUMBER(INDEX($D$96:$AD$96,BH$81-1))),IF(ROUND((INDEX($D$96:$AD$96,BH$81)-INDEX($D$96:$AD$96,BH$81-1))/1000,1)&lt;0,-0.38462,NA()),NA()),IF(BH$82="B",NA(),IF(BH$82="C",NA(),NA())))</f>
        <v>0</v>
      </c>
      <c r="BI111" s="68">
        <f>IF(BI$82="A",IF(AND(ISNUMBER(INDEX($D$96:$AD$96,BI$81)),ISNUMBER(INDEX($D$96:$AD$96,BI$81-1))),IF(ROUND((INDEX($D$96:$AD$96,BI$81)-INDEX($D$96:$AD$96,BI$81-1))/1000,1)&lt;0,-0.38462,NA()),NA()),IF(BI$82="B",NA(),IF(BI$82="C",NA(),NA())))</f>
        <v>0</v>
      </c>
      <c r="BJ111" s="68">
        <f>IF(BJ$82="A",IF(AND(ISNUMBER(INDEX($D$96:$AD$96,BJ$81)),ISNUMBER(INDEX($D$96:$AD$96,BJ$81-1))),IF(ROUND((INDEX($D$96:$AD$96,BJ$81)-INDEX($D$96:$AD$96,BJ$81-1))/1000,1)&lt;0,-0.38462,NA()),NA()),IF(BJ$82="B",NA(),IF(BJ$82="C",NA(),NA())))</f>
        <v>0</v>
      </c>
      <c r="BK111" s="68">
        <f>IF(BK$82="A",IF(AND(ISNUMBER(INDEX($D$96:$AD$96,BK$81)),ISNUMBER(INDEX($D$96:$AD$96,BK$81-1))),IF(ROUND((INDEX($D$96:$AD$96,BK$81)-INDEX($D$96:$AD$96,BK$81-1))/1000,1)&lt;0,-0.38462,NA()),NA()),IF(BK$82="B",NA(),IF(BK$82="C",NA(),NA())))</f>
        <v>0</v>
      </c>
      <c r="BL111" s="68">
        <f>IF(BL$82="A",IF(AND(ISNUMBER(INDEX($D$96:$AD$96,BL$81)),ISNUMBER(INDEX($D$96:$AD$96,BL$81-1))),IF(ROUND((INDEX($D$96:$AD$96,BL$81)-INDEX($D$96:$AD$96,BL$81-1))/1000,1)&lt;0,-0.38462,NA()),NA()),IF(BL$82="B",NA(),IF(BL$82="C",NA(),NA())))</f>
        <v>0</v>
      </c>
      <c r="BM111" s="68">
        <f>IF(BM$82="A",IF(AND(ISNUMBER(INDEX($D$96:$AD$96,BM$81)),ISNUMBER(INDEX($D$96:$AD$96,BM$81-1))),IF(ROUND((INDEX($D$96:$AD$96,BM$81)-INDEX($D$96:$AD$96,BM$81-1))/1000,1)&lt;0,-0.38462,NA()),NA()),IF(BM$82="B",NA(),IF(BM$82="C",NA(),NA())))</f>
        <v>0</v>
      </c>
      <c r="BN111" s="68">
        <f>IF(BN$82="A",IF(AND(ISNUMBER(INDEX($D$96:$AD$96,BN$81)),ISNUMBER(INDEX($D$96:$AD$96,BN$81-1))),IF(ROUND((INDEX($D$96:$AD$96,BN$81)-INDEX($D$96:$AD$96,BN$81-1))/1000,1)&lt;0,-0.38462,NA()),NA()),IF(BN$82="B",NA(),IF(BN$82="C",NA(),NA())))</f>
        <v>0</v>
      </c>
      <c r="BO111" s="68">
        <f>IF(BO$82="A",IF(AND(ISNUMBER(INDEX($D$96:$AD$96,BO$81)),ISNUMBER(INDEX($D$96:$AD$96,BO$81-1))),IF(ROUND((INDEX($D$96:$AD$96,BO$81)-INDEX($D$96:$AD$96,BO$81-1))/1000,1)&lt;0,-0.38462,NA()),NA()),IF(BO$82="B",NA(),IF(BO$82="C",NA(),NA())))</f>
        <v>0</v>
      </c>
      <c r="BP111" s="68">
        <f>IF(BP$82="A",IF(AND(ISNUMBER(INDEX($D$96:$AD$96,BP$81)),ISNUMBER(INDEX($D$96:$AD$96,BP$81-1))),IF(ROUND((INDEX($D$96:$AD$96,BP$81)-INDEX($D$96:$AD$96,BP$81-1))/1000,1)&lt;0,-0.38462,NA()),NA()),IF(BP$82="B",NA(),IF(BP$82="C",NA(),NA())))</f>
        <v>0</v>
      </c>
      <c r="BQ111" s="68">
        <f>IF(BQ$82="A",IF(AND(ISNUMBER(INDEX($D$96:$AD$96,BQ$81)),ISNUMBER(INDEX($D$96:$AD$96,BQ$81-1))),IF(ROUND((INDEX($D$96:$AD$96,BQ$81)-INDEX($D$96:$AD$96,BQ$81-1))/1000,1)&lt;0,-0.38462,NA()),NA()),IF(BQ$82="B",NA(),IF(BQ$82="C",NA(),NA())))</f>
        <v>0</v>
      </c>
      <c r="BR111" s="68">
        <f>IF(BR$82="A",IF(AND(ISNUMBER(INDEX($D$96:$AD$96,BR$81)),ISNUMBER(INDEX($D$96:$AD$96,BR$81-1))),IF(ROUND((INDEX($D$96:$AD$96,BR$81)-INDEX($D$96:$AD$96,BR$81-1))/1000,1)&lt;0,-0.38462,NA()),NA()),IF(BR$82="B",NA(),IF(BR$82="C",NA(),NA())))</f>
        <v>0</v>
      </c>
      <c r="BS111" s="68">
        <f>IF(BS$82="A",IF(AND(ISNUMBER(INDEX($D$96:$AD$96,BS$81)),ISNUMBER(INDEX($D$96:$AD$96,BS$81-1))),IF(ROUND((INDEX($D$96:$AD$96,BS$81)-INDEX($D$96:$AD$96,BS$81-1))/1000,1)&lt;0,-0.38462,NA()),NA()),IF(BS$82="B",NA(),IF(BS$82="C",NA(),NA())))</f>
        <v>0</v>
      </c>
      <c r="BT111" s="68">
        <f>IF(BT$82="A",IF(AND(ISNUMBER(INDEX($D$96:$AD$96,BT$81)),ISNUMBER(INDEX($D$96:$AD$96,BT$81-1))),IF(ROUND((INDEX($D$96:$AD$96,BT$81)-INDEX($D$96:$AD$96,BT$81-1))/1000,1)&lt;0,-0.38462,NA()),NA()),IF(BT$82="B",NA(),IF(BT$82="C",NA(),NA())))</f>
        <v>0</v>
      </c>
    </row>
    <row r="112" spans="1:72">
      <c r="A112" s="11" t="s">
        <v>755</v>
      </c>
      <c r="B112" s="11" t="s">
        <v>756</v>
      </c>
      <c r="C112" s="67" t="s">
        <v>610</v>
      </c>
      <c r="AQ112" s="68">
        <f>IF(AQ$82="A",IF(AND(ISNUMBER(INDEX($D$96:$AD$96,AQ$81)),ISNUMBER(INDEX($D$96:$AD$96,AQ$81-1))),IF(ROUND((INDEX($D$96:$AD$96,AQ$81)-INDEX($D$96:$AD$96,AQ$81-1))/1000,1)=0,-0.38462,NA()),NA()),IF(AQ$82="B",NA(),IF(AQ$82="C",NA(),NA())))</f>
        <v>0</v>
      </c>
      <c r="AR112" s="68">
        <f>IF(AR$82="A",IF(AND(ISNUMBER(INDEX($D$96:$AD$96,AR$81)),ISNUMBER(INDEX($D$96:$AD$96,AR$81-1))),IF(ROUND((INDEX($D$96:$AD$96,AR$81)-INDEX($D$96:$AD$96,AR$81-1))/1000,1)=0,-0.38462,NA()),NA()),IF(AR$82="B",NA(),IF(AR$82="C",NA(),NA())))</f>
        <v>0</v>
      </c>
      <c r="AS112" s="68">
        <f>IF(AS$82="A",IF(AND(ISNUMBER(INDEX($D$96:$AD$96,AS$81)),ISNUMBER(INDEX($D$96:$AD$96,AS$81-1))),IF(ROUND((INDEX($D$96:$AD$96,AS$81)-INDEX($D$96:$AD$96,AS$81-1))/1000,1)=0,-0.38462,NA()),NA()),IF(AS$82="B",NA(),IF(AS$82="C",NA(),NA())))</f>
        <v>0</v>
      </c>
      <c r="AT112" s="68">
        <f>IF(AT$82="A",IF(AND(ISNUMBER(INDEX($D$96:$AD$96,AT$81)),ISNUMBER(INDEX($D$96:$AD$96,AT$81-1))),IF(ROUND((INDEX($D$96:$AD$96,AT$81)-INDEX($D$96:$AD$96,AT$81-1))/1000,1)=0,-0.38462,NA()),NA()),IF(AT$82="B",NA(),IF(AT$82="C",NA(),NA())))</f>
        <v>0</v>
      </c>
      <c r="AU112" s="68">
        <f>IF(AU$82="A",IF(AND(ISNUMBER(INDEX($D$96:$AD$96,AU$81)),ISNUMBER(INDEX($D$96:$AD$96,AU$81-1))),IF(ROUND((INDEX($D$96:$AD$96,AU$81)-INDEX($D$96:$AD$96,AU$81-1))/1000,1)=0,-0.38462,NA()),NA()),IF(AU$82="B",NA(),IF(AU$82="C",NA(),NA())))</f>
        <v>0</v>
      </c>
      <c r="AV112" s="68">
        <f>IF(AV$82="A",IF(AND(ISNUMBER(INDEX($D$96:$AD$96,AV$81)),ISNUMBER(INDEX($D$96:$AD$96,AV$81-1))),IF(ROUND((INDEX($D$96:$AD$96,AV$81)-INDEX($D$96:$AD$96,AV$81-1))/1000,1)=0,-0.38462,NA()),NA()),IF(AV$82="B",NA(),IF(AV$82="C",NA(),NA())))</f>
        <v>0</v>
      </c>
      <c r="AW112" s="68">
        <f>IF(AW$82="A",IF(AND(ISNUMBER(INDEX($D$96:$AD$96,AW$81)),ISNUMBER(INDEX($D$96:$AD$96,AW$81-1))),IF(ROUND((INDEX($D$96:$AD$96,AW$81)-INDEX($D$96:$AD$96,AW$81-1))/1000,1)=0,-0.38462,NA()),NA()),IF(AW$82="B",NA(),IF(AW$82="C",NA(),NA())))</f>
        <v>0</v>
      </c>
      <c r="AX112" s="68">
        <f>IF(AX$82="A",IF(AND(ISNUMBER(INDEX($D$96:$AD$96,AX$81)),ISNUMBER(INDEX($D$96:$AD$96,AX$81-1))),IF(ROUND((INDEX($D$96:$AD$96,AX$81)-INDEX($D$96:$AD$96,AX$81-1))/1000,1)=0,-0.38462,NA()),NA()),IF(AX$82="B",NA(),IF(AX$82="C",NA(),NA())))</f>
        <v>0</v>
      </c>
      <c r="AY112" s="68">
        <f>IF(AY$82="A",IF(AND(ISNUMBER(INDEX($D$96:$AD$96,AY$81)),ISNUMBER(INDEX($D$96:$AD$96,AY$81-1))),IF(ROUND((INDEX($D$96:$AD$96,AY$81)-INDEX($D$96:$AD$96,AY$81-1))/1000,1)=0,-0.38462,NA()),NA()),IF(AY$82="B",NA(),IF(AY$82="C",NA(),NA())))</f>
        <v>0</v>
      </c>
      <c r="AZ112" s="68">
        <f>IF(AZ$82="A",IF(AND(ISNUMBER(INDEX($D$96:$AD$96,AZ$81)),ISNUMBER(INDEX($D$96:$AD$96,AZ$81-1))),IF(ROUND((INDEX($D$96:$AD$96,AZ$81)-INDEX($D$96:$AD$96,AZ$81-1))/1000,1)=0,-0.38462,NA()),NA()),IF(AZ$82="B",NA(),IF(AZ$82="C",NA(),NA())))</f>
        <v>0</v>
      </c>
      <c r="BA112" s="68">
        <f>IF(BA$82="A",IF(AND(ISNUMBER(INDEX($D$96:$AD$96,BA$81)),ISNUMBER(INDEX($D$96:$AD$96,BA$81-1))),IF(ROUND((INDEX($D$96:$AD$96,BA$81)-INDEX($D$96:$AD$96,BA$81-1))/1000,1)=0,-0.38462,NA()),NA()),IF(BA$82="B",NA(),IF(BA$82="C",NA(),NA())))</f>
        <v>0</v>
      </c>
      <c r="BB112" s="68">
        <f>IF(BB$82="A",IF(AND(ISNUMBER(INDEX($D$96:$AD$96,BB$81)),ISNUMBER(INDEX($D$96:$AD$96,BB$81-1))),IF(ROUND((INDEX($D$96:$AD$96,BB$81)-INDEX($D$96:$AD$96,BB$81-1))/1000,1)=0,-0.38462,NA()),NA()),IF(BB$82="B",NA(),IF(BB$82="C",NA(),NA())))</f>
        <v>0</v>
      </c>
      <c r="BC112" s="68">
        <f>IF(BC$82="A",IF(AND(ISNUMBER(INDEX($D$96:$AD$96,BC$81)),ISNUMBER(INDEX($D$96:$AD$96,BC$81-1))),IF(ROUND((INDEX($D$96:$AD$96,BC$81)-INDEX($D$96:$AD$96,BC$81-1))/1000,1)=0,-0.38462,NA()),NA()),IF(BC$82="B",NA(),IF(BC$82="C",NA(),NA())))</f>
        <v>0</v>
      </c>
      <c r="BD112" s="68">
        <f>IF(BD$82="A",IF(AND(ISNUMBER(INDEX($D$96:$AD$96,BD$81)),ISNUMBER(INDEX($D$96:$AD$96,BD$81-1))),IF(ROUND((INDEX($D$96:$AD$96,BD$81)-INDEX($D$96:$AD$96,BD$81-1))/1000,1)=0,-0.38462,NA()),NA()),IF(BD$82="B",NA(),IF(BD$82="C",NA(),NA())))</f>
        <v>0</v>
      </c>
      <c r="BE112" s="68">
        <f>IF(BE$82="A",IF(AND(ISNUMBER(INDEX($D$96:$AD$96,BE$81)),ISNUMBER(INDEX($D$96:$AD$96,BE$81-1))),IF(ROUND((INDEX($D$96:$AD$96,BE$81)-INDEX($D$96:$AD$96,BE$81-1))/1000,1)=0,-0.38462,NA()),NA()),IF(BE$82="B",NA(),IF(BE$82="C",NA(),NA())))</f>
        <v>0</v>
      </c>
      <c r="BF112" s="68">
        <f>IF(BF$82="A",IF(AND(ISNUMBER(INDEX($D$96:$AD$96,BF$81)),ISNUMBER(INDEX($D$96:$AD$96,BF$81-1))),IF(ROUND((INDEX($D$96:$AD$96,BF$81)-INDEX($D$96:$AD$96,BF$81-1))/1000,1)=0,-0.38462,NA()),NA()),IF(BF$82="B",NA(),IF(BF$82="C",NA(),NA())))</f>
        <v>0</v>
      </c>
      <c r="BG112" s="68">
        <f>IF(BG$82="A",IF(AND(ISNUMBER(INDEX($D$96:$AD$96,BG$81)),ISNUMBER(INDEX($D$96:$AD$96,BG$81-1))),IF(ROUND((INDEX($D$96:$AD$96,BG$81)-INDEX($D$96:$AD$96,BG$81-1))/1000,1)=0,-0.38462,NA()),NA()),IF(BG$82="B",NA(),IF(BG$82="C",NA(),NA())))</f>
        <v>0</v>
      </c>
      <c r="BH112" s="68">
        <f>IF(BH$82="A",IF(AND(ISNUMBER(INDEX($D$96:$AD$96,BH$81)),ISNUMBER(INDEX($D$96:$AD$96,BH$81-1))),IF(ROUND((INDEX($D$96:$AD$96,BH$81)-INDEX($D$96:$AD$96,BH$81-1))/1000,1)=0,-0.38462,NA()),NA()),IF(BH$82="B",NA(),IF(BH$82="C",NA(),NA())))</f>
        <v>0</v>
      </c>
      <c r="BI112" s="68">
        <f>IF(BI$82="A",IF(AND(ISNUMBER(INDEX($D$96:$AD$96,BI$81)),ISNUMBER(INDEX($D$96:$AD$96,BI$81-1))),IF(ROUND((INDEX($D$96:$AD$96,BI$81)-INDEX($D$96:$AD$96,BI$81-1))/1000,1)=0,-0.38462,NA()),NA()),IF(BI$82="B",NA(),IF(BI$82="C",NA(),NA())))</f>
        <v>0</v>
      </c>
      <c r="BJ112" s="68">
        <f>IF(BJ$82="A",IF(AND(ISNUMBER(INDEX($D$96:$AD$96,BJ$81)),ISNUMBER(INDEX($D$96:$AD$96,BJ$81-1))),IF(ROUND((INDEX($D$96:$AD$96,BJ$81)-INDEX($D$96:$AD$96,BJ$81-1))/1000,1)=0,-0.38462,NA()),NA()),IF(BJ$82="B",NA(),IF(BJ$82="C",NA(),NA())))</f>
        <v>0</v>
      </c>
      <c r="BK112" s="68">
        <f>IF(BK$82="A",IF(AND(ISNUMBER(INDEX($D$96:$AD$96,BK$81)),ISNUMBER(INDEX($D$96:$AD$96,BK$81-1))),IF(ROUND((INDEX($D$96:$AD$96,BK$81)-INDEX($D$96:$AD$96,BK$81-1))/1000,1)=0,-0.38462,NA()),NA()),IF(BK$82="B",NA(),IF(BK$82="C",NA(),NA())))</f>
        <v>0</v>
      </c>
      <c r="BL112" s="68">
        <f>IF(BL$82="A",IF(AND(ISNUMBER(INDEX($D$96:$AD$96,BL$81)),ISNUMBER(INDEX($D$96:$AD$96,BL$81-1))),IF(ROUND((INDEX($D$96:$AD$96,BL$81)-INDEX($D$96:$AD$96,BL$81-1))/1000,1)=0,-0.38462,NA()),NA()),IF(BL$82="B",NA(),IF(BL$82="C",NA(),NA())))</f>
        <v>0</v>
      </c>
      <c r="BM112" s="68">
        <f>IF(BM$82="A",IF(AND(ISNUMBER(INDEX($D$96:$AD$96,BM$81)),ISNUMBER(INDEX($D$96:$AD$96,BM$81-1))),IF(ROUND((INDEX($D$96:$AD$96,BM$81)-INDEX($D$96:$AD$96,BM$81-1))/1000,1)=0,-0.38462,NA()),NA()),IF(BM$82="B",NA(),IF(BM$82="C",NA(),NA())))</f>
        <v>0</v>
      </c>
      <c r="BN112" s="68">
        <f>IF(BN$82="A",IF(AND(ISNUMBER(INDEX($D$96:$AD$96,BN$81)),ISNUMBER(INDEX($D$96:$AD$96,BN$81-1))),IF(ROUND((INDEX($D$96:$AD$96,BN$81)-INDEX($D$96:$AD$96,BN$81-1))/1000,1)=0,-0.38462,NA()),NA()),IF(BN$82="B",NA(),IF(BN$82="C",NA(),NA())))</f>
        <v>0</v>
      </c>
      <c r="BO112" s="68">
        <f>IF(BO$82="A",IF(AND(ISNUMBER(INDEX($D$96:$AD$96,BO$81)),ISNUMBER(INDEX($D$96:$AD$96,BO$81-1))),IF(ROUND((INDEX($D$96:$AD$96,BO$81)-INDEX($D$96:$AD$96,BO$81-1))/1000,1)=0,-0.38462,NA()),NA()),IF(BO$82="B",NA(),IF(BO$82="C",NA(),NA())))</f>
        <v>0</v>
      </c>
      <c r="BP112" s="68">
        <f>IF(BP$82="A",IF(AND(ISNUMBER(INDEX($D$96:$AD$96,BP$81)),ISNUMBER(INDEX($D$96:$AD$96,BP$81-1))),IF(ROUND((INDEX($D$96:$AD$96,BP$81)-INDEX($D$96:$AD$96,BP$81-1))/1000,1)=0,-0.38462,NA()),NA()),IF(BP$82="B",NA(),IF(BP$82="C",NA(),NA())))</f>
        <v>0</v>
      </c>
      <c r="BQ112" s="68">
        <f>IF(BQ$82="A",IF(AND(ISNUMBER(INDEX($D$96:$AD$96,BQ$81)),ISNUMBER(INDEX($D$96:$AD$96,BQ$81-1))),IF(ROUND((INDEX($D$96:$AD$96,BQ$81)-INDEX($D$96:$AD$96,BQ$81-1))/1000,1)=0,-0.38462,NA()),NA()),IF(BQ$82="B",NA(),IF(BQ$82="C",NA(),NA())))</f>
        <v>0</v>
      </c>
      <c r="BR112" s="68">
        <f>IF(BR$82="A",IF(AND(ISNUMBER(INDEX($D$96:$AD$96,BR$81)),ISNUMBER(INDEX($D$96:$AD$96,BR$81-1))),IF(ROUND((INDEX($D$96:$AD$96,BR$81)-INDEX($D$96:$AD$96,BR$81-1))/1000,1)=0,-0.38462,NA()),NA()),IF(BR$82="B",NA(),IF(BR$82="C",NA(),NA())))</f>
        <v>0</v>
      </c>
      <c r="BS112" s="68">
        <f>IF(BS$82="A",IF(AND(ISNUMBER(INDEX($D$96:$AD$96,BS$81)),ISNUMBER(INDEX($D$96:$AD$96,BS$81-1))),IF(ROUND((INDEX($D$96:$AD$96,BS$81)-INDEX($D$96:$AD$96,BS$81-1))/1000,1)=0,-0.38462,NA()),NA()),IF(BS$82="B",NA(),IF(BS$82="C",NA(),NA())))</f>
        <v>0</v>
      </c>
      <c r="BT112" s="68">
        <f>IF(BT$82="A",IF(AND(ISNUMBER(INDEX($D$96:$AD$96,BT$81)),ISNUMBER(INDEX($D$96:$AD$96,BT$81-1))),IF(ROUND((INDEX($D$96:$AD$96,BT$81)-INDEX($D$96:$AD$96,BT$81-1))/1000,1)=0,-0.38462,NA()),NA()),IF(BT$82="B",NA(),IF(BT$82="C",NA(),NA())))</f>
        <v>0</v>
      </c>
    </row>
    <row r="113" spans="1:72">
      <c r="A113" s="11" t="s">
        <v>757</v>
      </c>
      <c r="B113" s="11" t="s">
        <v>758</v>
      </c>
      <c r="C113" s="67" t="s">
        <v>610</v>
      </c>
      <c r="AQ113" s="11">
        <f>IF(AQ$82="A",IF(AND(ISNUMBER(INDEX($D$96:$AD$96,AQ$81)),ISNUMBER(INDEX($D$96:$AD$96,AQ$81-1))),IF(ROUND((INDEX($D$96:$AD$96,AQ$81)-INDEX($D$96:$AD$96,AQ$81-1))/1000,1)&gt;0,"+"&amp;FIXED(ROUND((INDEX($D$96:$AD$96,AQ$81)-INDEX($D$96:$AD$96,AQ$81-1))/1000,1),1),IF(ROUND((INDEX($D$96:$AD$96,AQ$81)-INDEX($D$96:$AD$96,AQ$81-1))/1000,1)&lt;0,"−"&amp;FIXED(-ROUND((INDEX($D$96:$AD$96,AQ$81)-INDEX($D$96:$AD$96,AQ$81-1))/1000,1),1),"±0")),""),IF(AQ$82="B","",IF(AQ$82="C","","")))</f>
        <v>0</v>
      </c>
      <c r="AR113" s="11">
        <f>IF(AR$82="A",IF(AND(ISNUMBER(INDEX($D$96:$AD$96,AR$81)),ISNUMBER(INDEX($D$96:$AD$96,AR$81-1))),IF(ROUND((INDEX($D$96:$AD$96,AR$81)-INDEX($D$96:$AD$96,AR$81-1))/1000,1)&gt;0,"+"&amp;FIXED(ROUND((INDEX($D$96:$AD$96,AR$81)-INDEX($D$96:$AD$96,AR$81-1))/1000,1),1),IF(ROUND((INDEX($D$96:$AD$96,AR$81)-INDEX($D$96:$AD$96,AR$81-1))/1000,1)&lt;0,"−"&amp;FIXED(-ROUND((INDEX($D$96:$AD$96,AR$81)-INDEX($D$96:$AD$96,AR$81-1))/1000,1),1),"±0")),""),IF(AR$82="B","",IF(AR$82="C","","")))</f>
        <v>0</v>
      </c>
      <c r="AS113" s="11">
        <f>IF(AS$82="A",IF(AND(ISNUMBER(INDEX($D$96:$AD$96,AS$81)),ISNUMBER(INDEX($D$96:$AD$96,AS$81-1))),IF(ROUND((INDEX($D$96:$AD$96,AS$81)-INDEX($D$96:$AD$96,AS$81-1))/1000,1)&gt;0,"+"&amp;FIXED(ROUND((INDEX($D$96:$AD$96,AS$81)-INDEX($D$96:$AD$96,AS$81-1))/1000,1),1),IF(ROUND((INDEX($D$96:$AD$96,AS$81)-INDEX($D$96:$AD$96,AS$81-1))/1000,1)&lt;0,"−"&amp;FIXED(-ROUND((INDEX($D$96:$AD$96,AS$81)-INDEX($D$96:$AD$96,AS$81-1))/1000,1),1),"±0")),""),IF(AS$82="B","",IF(AS$82="C","","")))</f>
        <v>0</v>
      </c>
      <c r="AT113" s="11">
        <f>IF(AT$82="A",IF(AND(ISNUMBER(INDEX($D$96:$AD$96,AT$81)),ISNUMBER(INDEX($D$96:$AD$96,AT$81-1))),IF(ROUND((INDEX($D$96:$AD$96,AT$81)-INDEX($D$96:$AD$96,AT$81-1))/1000,1)&gt;0,"+"&amp;FIXED(ROUND((INDEX($D$96:$AD$96,AT$81)-INDEX($D$96:$AD$96,AT$81-1))/1000,1),1),IF(ROUND((INDEX($D$96:$AD$96,AT$81)-INDEX($D$96:$AD$96,AT$81-1))/1000,1)&lt;0,"−"&amp;FIXED(-ROUND((INDEX($D$96:$AD$96,AT$81)-INDEX($D$96:$AD$96,AT$81-1))/1000,1),1),"±0")),""),IF(AT$82="B","",IF(AT$82="C","","")))</f>
        <v>0</v>
      </c>
      <c r="AU113" s="11">
        <f>IF(AU$82="A",IF(AND(ISNUMBER(INDEX($D$96:$AD$96,AU$81)),ISNUMBER(INDEX($D$96:$AD$96,AU$81-1))),IF(ROUND((INDEX($D$96:$AD$96,AU$81)-INDEX($D$96:$AD$96,AU$81-1))/1000,1)&gt;0,"+"&amp;FIXED(ROUND((INDEX($D$96:$AD$96,AU$81)-INDEX($D$96:$AD$96,AU$81-1))/1000,1),1),IF(ROUND((INDEX($D$96:$AD$96,AU$81)-INDEX($D$96:$AD$96,AU$81-1))/1000,1)&lt;0,"−"&amp;FIXED(-ROUND((INDEX($D$96:$AD$96,AU$81)-INDEX($D$96:$AD$96,AU$81-1))/1000,1),1),"±0")),""),IF(AU$82="B","",IF(AU$82="C","","")))</f>
        <v>0</v>
      </c>
      <c r="AV113" s="11">
        <f>IF(AV$82="A",IF(AND(ISNUMBER(INDEX($D$96:$AD$96,AV$81)),ISNUMBER(INDEX($D$96:$AD$96,AV$81-1))),IF(ROUND((INDEX($D$96:$AD$96,AV$81)-INDEX($D$96:$AD$96,AV$81-1))/1000,1)&gt;0,"+"&amp;FIXED(ROUND((INDEX($D$96:$AD$96,AV$81)-INDEX($D$96:$AD$96,AV$81-1))/1000,1),1),IF(ROUND((INDEX($D$96:$AD$96,AV$81)-INDEX($D$96:$AD$96,AV$81-1))/1000,1)&lt;0,"−"&amp;FIXED(-ROUND((INDEX($D$96:$AD$96,AV$81)-INDEX($D$96:$AD$96,AV$81-1))/1000,1),1),"±0")),""),IF(AV$82="B","",IF(AV$82="C","","")))</f>
        <v>0</v>
      </c>
      <c r="AW113" s="11">
        <f>IF(AW$82="A",IF(AND(ISNUMBER(INDEX($D$96:$AD$96,AW$81)),ISNUMBER(INDEX($D$96:$AD$96,AW$81-1))),IF(ROUND((INDEX($D$96:$AD$96,AW$81)-INDEX($D$96:$AD$96,AW$81-1))/1000,1)&gt;0,"+"&amp;FIXED(ROUND((INDEX($D$96:$AD$96,AW$81)-INDEX($D$96:$AD$96,AW$81-1))/1000,1),1),IF(ROUND((INDEX($D$96:$AD$96,AW$81)-INDEX($D$96:$AD$96,AW$81-1))/1000,1)&lt;0,"−"&amp;FIXED(-ROUND((INDEX($D$96:$AD$96,AW$81)-INDEX($D$96:$AD$96,AW$81-1))/1000,1),1),"±0")),""),IF(AW$82="B","",IF(AW$82="C","","")))</f>
        <v>0</v>
      </c>
      <c r="AX113" s="11">
        <f>IF(AX$82="A",IF(AND(ISNUMBER(INDEX($D$96:$AD$96,AX$81)),ISNUMBER(INDEX($D$96:$AD$96,AX$81-1))),IF(ROUND((INDEX($D$96:$AD$96,AX$81)-INDEX($D$96:$AD$96,AX$81-1))/1000,1)&gt;0,"+"&amp;FIXED(ROUND((INDEX($D$96:$AD$96,AX$81)-INDEX($D$96:$AD$96,AX$81-1))/1000,1),1),IF(ROUND((INDEX($D$96:$AD$96,AX$81)-INDEX($D$96:$AD$96,AX$81-1))/1000,1)&lt;0,"−"&amp;FIXED(-ROUND((INDEX($D$96:$AD$96,AX$81)-INDEX($D$96:$AD$96,AX$81-1))/1000,1),1),"±0")),""),IF(AX$82="B","",IF(AX$82="C","","")))</f>
        <v>0</v>
      </c>
      <c r="AY113" s="11">
        <f>IF(AY$82="A",IF(AND(ISNUMBER(INDEX($D$96:$AD$96,AY$81)),ISNUMBER(INDEX($D$96:$AD$96,AY$81-1))),IF(ROUND((INDEX($D$96:$AD$96,AY$81)-INDEX($D$96:$AD$96,AY$81-1))/1000,1)&gt;0,"+"&amp;FIXED(ROUND((INDEX($D$96:$AD$96,AY$81)-INDEX($D$96:$AD$96,AY$81-1))/1000,1),1),IF(ROUND((INDEX($D$96:$AD$96,AY$81)-INDEX($D$96:$AD$96,AY$81-1))/1000,1)&lt;0,"−"&amp;FIXED(-ROUND((INDEX($D$96:$AD$96,AY$81)-INDEX($D$96:$AD$96,AY$81-1))/1000,1),1),"±0")),""),IF(AY$82="B","",IF(AY$82="C","","")))</f>
        <v>0</v>
      </c>
      <c r="AZ113" s="11">
        <f>IF(AZ$82="A",IF(AND(ISNUMBER(INDEX($D$96:$AD$96,AZ$81)),ISNUMBER(INDEX($D$96:$AD$96,AZ$81-1))),IF(ROUND((INDEX($D$96:$AD$96,AZ$81)-INDEX($D$96:$AD$96,AZ$81-1))/1000,1)&gt;0,"+"&amp;FIXED(ROUND((INDEX($D$96:$AD$96,AZ$81)-INDEX($D$96:$AD$96,AZ$81-1))/1000,1),1),IF(ROUND((INDEX($D$96:$AD$96,AZ$81)-INDEX($D$96:$AD$96,AZ$81-1))/1000,1)&lt;0,"−"&amp;FIXED(-ROUND((INDEX($D$96:$AD$96,AZ$81)-INDEX($D$96:$AD$96,AZ$81-1))/1000,1),1),"±0")),""),IF(AZ$82="B","",IF(AZ$82="C","","")))</f>
        <v>0</v>
      </c>
      <c r="BA113" s="11">
        <f>IF(BA$82="A",IF(AND(ISNUMBER(INDEX($D$96:$AD$96,BA$81)),ISNUMBER(INDEX($D$96:$AD$96,BA$81-1))),IF(ROUND((INDEX($D$96:$AD$96,BA$81)-INDEX($D$96:$AD$96,BA$81-1))/1000,1)&gt;0,"+"&amp;FIXED(ROUND((INDEX($D$96:$AD$96,BA$81)-INDEX($D$96:$AD$96,BA$81-1))/1000,1),1),IF(ROUND((INDEX($D$96:$AD$96,BA$81)-INDEX($D$96:$AD$96,BA$81-1))/1000,1)&lt;0,"−"&amp;FIXED(-ROUND((INDEX($D$96:$AD$96,BA$81)-INDEX($D$96:$AD$96,BA$81-1))/1000,1),1),"±0")),""),IF(BA$82="B","",IF(BA$82="C","","")))</f>
        <v>0</v>
      </c>
      <c r="BB113" s="11">
        <f>IF(BB$82="A",IF(AND(ISNUMBER(INDEX($D$96:$AD$96,BB$81)),ISNUMBER(INDEX($D$96:$AD$96,BB$81-1))),IF(ROUND((INDEX($D$96:$AD$96,BB$81)-INDEX($D$96:$AD$96,BB$81-1))/1000,1)&gt;0,"+"&amp;FIXED(ROUND((INDEX($D$96:$AD$96,BB$81)-INDEX($D$96:$AD$96,BB$81-1))/1000,1),1),IF(ROUND((INDEX($D$96:$AD$96,BB$81)-INDEX($D$96:$AD$96,BB$81-1))/1000,1)&lt;0,"−"&amp;FIXED(-ROUND((INDEX($D$96:$AD$96,BB$81)-INDEX($D$96:$AD$96,BB$81-1))/1000,1),1),"±0")),""),IF(BB$82="B","",IF(BB$82="C","","")))</f>
        <v>0</v>
      </c>
      <c r="BC113" s="11">
        <f>IF(BC$82="A",IF(AND(ISNUMBER(INDEX($D$96:$AD$96,BC$81)),ISNUMBER(INDEX($D$96:$AD$96,BC$81-1))),IF(ROUND((INDEX($D$96:$AD$96,BC$81)-INDEX($D$96:$AD$96,BC$81-1))/1000,1)&gt;0,"+"&amp;FIXED(ROUND((INDEX($D$96:$AD$96,BC$81)-INDEX($D$96:$AD$96,BC$81-1))/1000,1),1),IF(ROUND((INDEX($D$96:$AD$96,BC$81)-INDEX($D$96:$AD$96,BC$81-1))/1000,1)&lt;0,"−"&amp;FIXED(-ROUND((INDEX($D$96:$AD$96,BC$81)-INDEX($D$96:$AD$96,BC$81-1))/1000,1),1),"±0")),""),IF(BC$82="B","",IF(BC$82="C","","")))</f>
        <v>0</v>
      </c>
      <c r="BD113" s="11">
        <f>IF(BD$82="A",IF(AND(ISNUMBER(INDEX($D$96:$AD$96,BD$81)),ISNUMBER(INDEX($D$96:$AD$96,BD$81-1))),IF(ROUND((INDEX($D$96:$AD$96,BD$81)-INDEX($D$96:$AD$96,BD$81-1))/1000,1)&gt;0,"+"&amp;FIXED(ROUND((INDEX($D$96:$AD$96,BD$81)-INDEX($D$96:$AD$96,BD$81-1))/1000,1),1),IF(ROUND((INDEX($D$96:$AD$96,BD$81)-INDEX($D$96:$AD$96,BD$81-1))/1000,1)&lt;0,"−"&amp;FIXED(-ROUND((INDEX($D$96:$AD$96,BD$81)-INDEX($D$96:$AD$96,BD$81-1))/1000,1),1),"±0")),""),IF(BD$82="B","",IF(BD$82="C","","")))</f>
        <v>0</v>
      </c>
      <c r="BE113" s="11">
        <f>IF(BE$82="A",IF(AND(ISNUMBER(INDEX($D$96:$AD$96,BE$81)),ISNUMBER(INDEX($D$96:$AD$96,BE$81-1))),IF(ROUND((INDEX($D$96:$AD$96,BE$81)-INDEX($D$96:$AD$96,BE$81-1))/1000,1)&gt;0,"+"&amp;FIXED(ROUND((INDEX($D$96:$AD$96,BE$81)-INDEX($D$96:$AD$96,BE$81-1))/1000,1),1),IF(ROUND((INDEX($D$96:$AD$96,BE$81)-INDEX($D$96:$AD$96,BE$81-1))/1000,1)&lt;0,"−"&amp;FIXED(-ROUND((INDEX($D$96:$AD$96,BE$81)-INDEX($D$96:$AD$96,BE$81-1))/1000,1),1),"±0")),""),IF(BE$82="B","",IF(BE$82="C","","")))</f>
        <v>0</v>
      </c>
      <c r="BF113" s="11">
        <f>IF(BF$82="A",IF(AND(ISNUMBER(INDEX($D$96:$AD$96,BF$81)),ISNUMBER(INDEX($D$96:$AD$96,BF$81-1))),IF(ROUND((INDEX($D$96:$AD$96,BF$81)-INDEX($D$96:$AD$96,BF$81-1))/1000,1)&gt;0,"+"&amp;FIXED(ROUND((INDEX($D$96:$AD$96,BF$81)-INDEX($D$96:$AD$96,BF$81-1))/1000,1),1),IF(ROUND((INDEX($D$96:$AD$96,BF$81)-INDEX($D$96:$AD$96,BF$81-1))/1000,1)&lt;0,"−"&amp;FIXED(-ROUND((INDEX($D$96:$AD$96,BF$81)-INDEX($D$96:$AD$96,BF$81-1))/1000,1),1),"±0")),""),IF(BF$82="B","",IF(BF$82="C","","")))</f>
        <v>0</v>
      </c>
      <c r="BG113" s="11">
        <f>IF(BG$82="A",IF(AND(ISNUMBER(INDEX($D$96:$AD$96,BG$81)),ISNUMBER(INDEX($D$96:$AD$96,BG$81-1))),IF(ROUND((INDEX($D$96:$AD$96,BG$81)-INDEX($D$96:$AD$96,BG$81-1))/1000,1)&gt;0,"+"&amp;FIXED(ROUND((INDEX($D$96:$AD$96,BG$81)-INDEX($D$96:$AD$96,BG$81-1))/1000,1),1),IF(ROUND((INDEX($D$96:$AD$96,BG$81)-INDEX($D$96:$AD$96,BG$81-1))/1000,1)&lt;0,"−"&amp;FIXED(-ROUND((INDEX($D$96:$AD$96,BG$81)-INDEX($D$96:$AD$96,BG$81-1))/1000,1),1),"±0")),""),IF(BG$82="B","",IF(BG$82="C","","")))</f>
        <v>0</v>
      </c>
      <c r="BH113" s="11">
        <f>IF(BH$82="A",IF(AND(ISNUMBER(INDEX($D$96:$AD$96,BH$81)),ISNUMBER(INDEX($D$96:$AD$96,BH$81-1))),IF(ROUND((INDEX($D$96:$AD$96,BH$81)-INDEX($D$96:$AD$96,BH$81-1))/1000,1)&gt;0,"+"&amp;FIXED(ROUND((INDEX($D$96:$AD$96,BH$81)-INDEX($D$96:$AD$96,BH$81-1))/1000,1),1),IF(ROUND((INDEX($D$96:$AD$96,BH$81)-INDEX($D$96:$AD$96,BH$81-1))/1000,1)&lt;0,"−"&amp;FIXED(-ROUND((INDEX($D$96:$AD$96,BH$81)-INDEX($D$96:$AD$96,BH$81-1))/1000,1),1),"±0")),""),IF(BH$82="B","",IF(BH$82="C","","")))</f>
        <v>0</v>
      </c>
      <c r="BI113" s="11">
        <f>IF(BI$82="A",IF(AND(ISNUMBER(INDEX($D$96:$AD$96,BI$81)),ISNUMBER(INDEX($D$96:$AD$96,BI$81-1))),IF(ROUND((INDEX($D$96:$AD$96,BI$81)-INDEX($D$96:$AD$96,BI$81-1))/1000,1)&gt;0,"+"&amp;FIXED(ROUND((INDEX($D$96:$AD$96,BI$81)-INDEX($D$96:$AD$96,BI$81-1))/1000,1),1),IF(ROUND((INDEX($D$96:$AD$96,BI$81)-INDEX($D$96:$AD$96,BI$81-1))/1000,1)&lt;0,"−"&amp;FIXED(-ROUND((INDEX($D$96:$AD$96,BI$81)-INDEX($D$96:$AD$96,BI$81-1))/1000,1),1),"±0")),""),IF(BI$82="B","",IF(BI$82="C","","")))</f>
        <v>0</v>
      </c>
      <c r="BJ113" s="11">
        <f>IF(BJ$82="A",IF(AND(ISNUMBER(INDEX($D$96:$AD$96,BJ$81)),ISNUMBER(INDEX($D$96:$AD$96,BJ$81-1))),IF(ROUND((INDEX($D$96:$AD$96,BJ$81)-INDEX($D$96:$AD$96,BJ$81-1))/1000,1)&gt;0,"+"&amp;FIXED(ROUND((INDEX($D$96:$AD$96,BJ$81)-INDEX($D$96:$AD$96,BJ$81-1))/1000,1),1),IF(ROUND((INDEX($D$96:$AD$96,BJ$81)-INDEX($D$96:$AD$96,BJ$81-1))/1000,1)&lt;0,"−"&amp;FIXED(-ROUND((INDEX($D$96:$AD$96,BJ$81)-INDEX($D$96:$AD$96,BJ$81-1))/1000,1),1),"±0")),""),IF(BJ$82="B","",IF(BJ$82="C","","")))</f>
        <v>0</v>
      </c>
      <c r="BK113" s="11">
        <f>IF(BK$82="A",IF(AND(ISNUMBER(INDEX($D$96:$AD$96,BK$81)),ISNUMBER(INDEX($D$96:$AD$96,BK$81-1))),IF(ROUND((INDEX($D$96:$AD$96,BK$81)-INDEX($D$96:$AD$96,BK$81-1))/1000,1)&gt;0,"+"&amp;FIXED(ROUND((INDEX($D$96:$AD$96,BK$81)-INDEX($D$96:$AD$96,BK$81-1))/1000,1),1),IF(ROUND((INDEX($D$96:$AD$96,BK$81)-INDEX($D$96:$AD$96,BK$81-1))/1000,1)&lt;0,"−"&amp;FIXED(-ROUND((INDEX($D$96:$AD$96,BK$81)-INDEX($D$96:$AD$96,BK$81-1))/1000,1),1),"±0")),""),IF(BK$82="B","",IF(BK$82="C","","")))</f>
        <v>0</v>
      </c>
      <c r="BL113" s="11">
        <f>IF(BL$82="A",IF(AND(ISNUMBER(INDEX($D$96:$AD$96,BL$81)),ISNUMBER(INDEX($D$96:$AD$96,BL$81-1))),IF(ROUND((INDEX($D$96:$AD$96,BL$81)-INDEX($D$96:$AD$96,BL$81-1))/1000,1)&gt;0,"+"&amp;FIXED(ROUND((INDEX($D$96:$AD$96,BL$81)-INDEX($D$96:$AD$96,BL$81-1))/1000,1),1),IF(ROUND((INDEX($D$96:$AD$96,BL$81)-INDEX($D$96:$AD$96,BL$81-1))/1000,1)&lt;0,"−"&amp;FIXED(-ROUND((INDEX($D$96:$AD$96,BL$81)-INDEX($D$96:$AD$96,BL$81-1))/1000,1),1),"±0")),""),IF(BL$82="B","",IF(BL$82="C","","")))</f>
        <v>0</v>
      </c>
      <c r="BM113" s="11">
        <f>IF(BM$82="A",IF(AND(ISNUMBER(INDEX($D$96:$AD$96,BM$81)),ISNUMBER(INDEX($D$96:$AD$96,BM$81-1))),IF(ROUND((INDEX($D$96:$AD$96,BM$81)-INDEX($D$96:$AD$96,BM$81-1))/1000,1)&gt;0,"+"&amp;FIXED(ROUND((INDEX($D$96:$AD$96,BM$81)-INDEX($D$96:$AD$96,BM$81-1))/1000,1),1),IF(ROUND((INDEX($D$96:$AD$96,BM$81)-INDEX($D$96:$AD$96,BM$81-1))/1000,1)&lt;0,"−"&amp;FIXED(-ROUND((INDEX($D$96:$AD$96,BM$81)-INDEX($D$96:$AD$96,BM$81-1))/1000,1),1),"±0")),""),IF(BM$82="B","",IF(BM$82="C","","")))</f>
        <v>0</v>
      </c>
      <c r="BN113" s="11">
        <f>IF(BN$82="A",IF(AND(ISNUMBER(INDEX($D$96:$AD$96,BN$81)),ISNUMBER(INDEX($D$96:$AD$96,BN$81-1))),IF(ROUND((INDEX($D$96:$AD$96,BN$81)-INDEX($D$96:$AD$96,BN$81-1))/1000,1)&gt;0,"+"&amp;FIXED(ROUND((INDEX($D$96:$AD$96,BN$81)-INDEX($D$96:$AD$96,BN$81-1))/1000,1),1),IF(ROUND((INDEX($D$96:$AD$96,BN$81)-INDEX($D$96:$AD$96,BN$81-1))/1000,1)&lt;0,"−"&amp;FIXED(-ROUND((INDEX($D$96:$AD$96,BN$81)-INDEX($D$96:$AD$96,BN$81-1))/1000,1),1),"±0")),""),IF(BN$82="B","",IF(BN$82="C","","")))</f>
        <v>0</v>
      </c>
      <c r="BO113" s="11">
        <f>IF(BO$82="A",IF(AND(ISNUMBER(INDEX($D$96:$AD$96,BO$81)),ISNUMBER(INDEX($D$96:$AD$96,BO$81-1))),IF(ROUND((INDEX($D$96:$AD$96,BO$81)-INDEX($D$96:$AD$96,BO$81-1))/1000,1)&gt;0,"+"&amp;FIXED(ROUND((INDEX($D$96:$AD$96,BO$81)-INDEX($D$96:$AD$96,BO$81-1))/1000,1),1),IF(ROUND((INDEX($D$96:$AD$96,BO$81)-INDEX($D$96:$AD$96,BO$81-1))/1000,1)&lt;0,"−"&amp;FIXED(-ROUND((INDEX($D$96:$AD$96,BO$81)-INDEX($D$96:$AD$96,BO$81-1))/1000,1),1),"±0")),""),IF(BO$82="B","",IF(BO$82="C","","")))</f>
        <v>0</v>
      </c>
      <c r="BP113" s="11">
        <f>IF(BP$82="A",IF(AND(ISNUMBER(INDEX($D$96:$AD$96,BP$81)),ISNUMBER(INDEX($D$96:$AD$96,BP$81-1))),IF(ROUND((INDEX($D$96:$AD$96,BP$81)-INDEX($D$96:$AD$96,BP$81-1))/1000,1)&gt;0,"+"&amp;FIXED(ROUND((INDEX($D$96:$AD$96,BP$81)-INDEX($D$96:$AD$96,BP$81-1))/1000,1),1),IF(ROUND((INDEX($D$96:$AD$96,BP$81)-INDEX($D$96:$AD$96,BP$81-1))/1000,1)&lt;0,"−"&amp;FIXED(-ROUND((INDEX($D$96:$AD$96,BP$81)-INDEX($D$96:$AD$96,BP$81-1))/1000,1),1),"±0")),""),IF(BP$82="B","",IF(BP$82="C","","")))</f>
        <v>0</v>
      </c>
      <c r="BQ113" s="11">
        <f>IF(BQ$82="A",IF(AND(ISNUMBER(INDEX($D$96:$AD$96,BQ$81)),ISNUMBER(INDEX($D$96:$AD$96,BQ$81-1))),IF(ROUND((INDEX($D$96:$AD$96,BQ$81)-INDEX($D$96:$AD$96,BQ$81-1))/1000,1)&gt;0,"+"&amp;FIXED(ROUND((INDEX($D$96:$AD$96,BQ$81)-INDEX($D$96:$AD$96,BQ$81-1))/1000,1),1),IF(ROUND((INDEX($D$96:$AD$96,BQ$81)-INDEX($D$96:$AD$96,BQ$81-1))/1000,1)&lt;0,"−"&amp;FIXED(-ROUND((INDEX($D$96:$AD$96,BQ$81)-INDEX($D$96:$AD$96,BQ$81-1))/1000,1),1),"±0")),""),IF(BQ$82="B","",IF(BQ$82="C","","")))</f>
        <v>0</v>
      </c>
      <c r="BR113" s="11">
        <f>IF(BR$82="A",IF(AND(ISNUMBER(INDEX($D$96:$AD$96,BR$81)),ISNUMBER(INDEX($D$96:$AD$96,BR$81-1))),IF(ROUND((INDEX($D$96:$AD$96,BR$81)-INDEX($D$96:$AD$96,BR$81-1))/1000,1)&gt;0,"+"&amp;FIXED(ROUND((INDEX($D$96:$AD$96,BR$81)-INDEX($D$96:$AD$96,BR$81-1))/1000,1),1),IF(ROUND((INDEX($D$96:$AD$96,BR$81)-INDEX($D$96:$AD$96,BR$81-1))/1000,1)&lt;0,"−"&amp;FIXED(-ROUND((INDEX($D$96:$AD$96,BR$81)-INDEX($D$96:$AD$96,BR$81-1))/1000,1),1),"±0")),""),IF(BR$82="B","",IF(BR$82="C","","")))</f>
        <v>0</v>
      </c>
      <c r="BS113" s="11">
        <f>IF(BS$82="A",IF(AND(ISNUMBER(INDEX($D$96:$AD$96,BS$81)),ISNUMBER(INDEX($D$96:$AD$96,BS$81-1))),IF(ROUND((INDEX($D$96:$AD$96,BS$81)-INDEX($D$96:$AD$96,BS$81-1))/1000,1)&gt;0,"+"&amp;FIXED(ROUND((INDEX($D$96:$AD$96,BS$81)-INDEX($D$96:$AD$96,BS$81-1))/1000,1),1),IF(ROUND((INDEX($D$96:$AD$96,BS$81)-INDEX($D$96:$AD$96,BS$81-1))/1000,1)&lt;0,"−"&amp;FIXED(-ROUND((INDEX($D$96:$AD$96,BS$81)-INDEX($D$96:$AD$96,BS$81-1))/1000,1),1),"±0")),""),IF(BS$82="B","",IF(BS$82="C","","")))</f>
        <v>0</v>
      </c>
      <c r="BT113" s="11">
        <f>IF(BT$82="A",IF(AND(ISNUMBER(INDEX($D$96:$AD$96,BT$81)),ISNUMBER(INDEX($D$96:$AD$96,BT$81-1))),IF(ROUND((INDEX($D$96:$AD$96,BT$81)-INDEX($D$96:$AD$96,BT$81-1))/1000,1)&gt;0,"+"&amp;FIXED(ROUND((INDEX($D$96:$AD$96,BT$81)-INDEX($D$96:$AD$96,BT$81-1))/1000,1),1),IF(ROUND((INDEX($D$96:$AD$96,BT$81)-INDEX($D$96:$AD$96,BT$81-1))/1000,1)&lt;0,"−"&amp;FIXED(-ROUND((INDEX($D$96:$AD$96,BT$81)-INDEX($D$96:$AD$96,BT$81-1))/1000,1),1),"±0")),""),IF(BT$82="B","",IF(BT$82="C","","")))</f>
        <v>0</v>
      </c>
    </row>
    <row r="114" spans="1:72">
      <c r="A114" s="11" t="s">
        <v>759</v>
      </c>
      <c r="B114" s="11" t="s">
        <v>760</v>
      </c>
      <c r="C114" s="67" t="s">
        <v>610</v>
      </c>
      <c r="AQ114" s="68">
        <f>IF(AQ$82="A",IF(ISNUMBER(INDEX($D$94:$AD$94,AQ$81)),INDEX($D$94:$AD$94,AQ$81)/MAX(1,_xlfn.AGGREGATE(4,6,INDEX($D$94:$AD$94,28-$D$80):$AD$94),_xlfn.AGGREGATE(4,6,INDEX($D$95:$AD$95,28-$D$80):$AD$95)),NA()),IF(AQ$82="B",NA(),IF(AQ$82="C",NA(),NA())))</f>
        <v>0</v>
      </c>
      <c r="AR114" s="68">
        <f>IF(AR$82="A",IF(ISNUMBER(INDEX($D$94:$AD$94,AR$81)),INDEX($D$94:$AD$94,AR$81)/MAX(1,_xlfn.AGGREGATE(4,6,INDEX($D$94:$AD$94,28-$D$80):$AD$94),_xlfn.AGGREGATE(4,6,INDEX($D$95:$AD$95,28-$D$80):$AD$95)),NA()),IF(AR$82="B",NA(),IF(AR$82="C",NA(),NA())))</f>
        <v>0</v>
      </c>
      <c r="AS114" s="68">
        <f>IF(AS$82="A",IF(ISNUMBER(INDEX($D$94:$AD$94,AS$81)),INDEX($D$94:$AD$94,AS$81)/MAX(1,_xlfn.AGGREGATE(4,6,INDEX($D$94:$AD$94,28-$D$80):$AD$94),_xlfn.AGGREGATE(4,6,INDEX($D$95:$AD$95,28-$D$80):$AD$95)),NA()),IF(AS$82="B",NA(),IF(AS$82="C",NA(),NA())))</f>
        <v>0</v>
      </c>
      <c r="AT114" s="68">
        <f>IF(AT$82="A",IF(ISNUMBER(INDEX($D$94:$AD$94,AT$81)),INDEX($D$94:$AD$94,AT$81)/MAX(1,_xlfn.AGGREGATE(4,6,INDEX($D$94:$AD$94,28-$D$80):$AD$94),_xlfn.AGGREGATE(4,6,INDEX($D$95:$AD$95,28-$D$80):$AD$95)),NA()),IF(AT$82="B",NA(),IF(AT$82="C",NA(),NA())))</f>
        <v>0</v>
      </c>
      <c r="AU114" s="68">
        <f>IF(AU$82="A",IF(ISNUMBER(INDEX($D$94:$AD$94,AU$81)),INDEX($D$94:$AD$94,AU$81)/MAX(1,_xlfn.AGGREGATE(4,6,INDEX($D$94:$AD$94,28-$D$80):$AD$94),_xlfn.AGGREGATE(4,6,INDEX($D$95:$AD$95,28-$D$80):$AD$95)),NA()),IF(AU$82="B",NA(),IF(AU$82="C",NA(),NA())))</f>
        <v>0</v>
      </c>
      <c r="AV114" s="68">
        <f>IF(AV$82="A",IF(ISNUMBER(INDEX($D$94:$AD$94,AV$81)),INDEX($D$94:$AD$94,AV$81)/MAX(1,_xlfn.AGGREGATE(4,6,INDEX($D$94:$AD$94,28-$D$80):$AD$94),_xlfn.AGGREGATE(4,6,INDEX($D$95:$AD$95,28-$D$80):$AD$95)),NA()),IF(AV$82="B",NA(),IF(AV$82="C",NA(),NA())))</f>
        <v>0</v>
      </c>
      <c r="AW114" s="68">
        <f>IF(AW$82="A",IF(ISNUMBER(INDEX($D$94:$AD$94,AW$81)),INDEX($D$94:$AD$94,AW$81)/MAX(1,_xlfn.AGGREGATE(4,6,INDEX($D$94:$AD$94,28-$D$80):$AD$94),_xlfn.AGGREGATE(4,6,INDEX($D$95:$AD$95,28-$D$80):$AD$95)),NA()),IF(AW$82="B",NA(),IF(AW$82="C",NA(),NA())))</f>
        <v>0</v>
      </c>
      <c r="AX114" s="68">
        <f>IF(AX$82="A",IF(ISNUMBER(INDEX($D$94:$AD$94,AX$81)),INDEX($D$94:$AD$94,AX$81)/MAX(1,_xlfn.AGGREGATE(4,6,INDEX($D$94:$AD$94,28-$D$80):$AD$94),_xlfn.AGGREGATE(4,6,INDEX($D$95:$AD$95,28-$D$80):$AD$95)),NA()),IF(AX$82="B",NA(),IF(AX$82="C",NA(),NA())))</f>
        <v>0</v>
      </c>
      <c r="AY114" s="68">
        <f>IF(AY$82="A",IF(ISNUMBER(INDEX($D$94:$AD$94,AY$81)),INDEX($D$94:$AD$94,AY$81)/MAX(1,_xlfn.AGGREGATE(4,6,INDEX($D$94:$AD$94,28-$D$80):$AD$94),_xlfn.AGGREGATE(4,6,INDEX($D$95:$AD$95,28-$D$80):$AD$95)),NA()),IF(AY$82="B",NA(),IF(AY$82="C",NA(),NA())))</f>
        <v>0</v>
      </c>
      <c r="AZ114" s="68">
        <f>IF(AZ$82="A",IF(ISNUMBER(INDEX($D$94:$AD$94,AZ$81)),INDEX($D$94:$AD$94,AZ$81)/MAX(1,_xlfn.AGGREGATE(4,6,INDEX($D$94:$AD$94,28-$D$80):$AD$94),_xlfn.AGGREGATE(4,6,INDEX($D$95:$AD$95,28-$D$80):$AD$95)),NA()),IF(AZ$82="B",NA(),IF(AZ$82="C",NA(),NA())))</f>
        <v>0</v>
      </c>
      <c r="BA114" s="68">
        <f>IF(BA$82="A",IF(ISNUMBER(INDEX($D$94:$AD$94,BA$81)),INDEX($D$94:$AD$94,BA$81)/MAX(1,_xlfn.AGGREGATE(4,6,INDEX($D$94:$AD$94,28-$D$80):$AD$94),_xlfn.AGGREGATE(4,6,INDEX($D$95:$AD$95,28-$D$80):$AD$95)),NA()),IF(BA$82="B",NA(),IF(BA$82="C",NA(),NA())))</f>
        <v>0</v>
      </c>
      <c r="BB114" s="68">
        <f>IF(BB$82="A",IF(ISNUMBER(INDEX($D$94:$AD$94,BB$81)),INDEX($D$94:$AD$94,BB$81)/MAX(1,_xlfn.AGGREGATE(4,6,INDEX($D$94:$AD$94,28-$D$80):$AD$94),_xlfn.AGGREGATE(4,6,INDEX($D$95:$AD$95,28-$D$80):$AD$95)),NA()),IF(BB$82="B",NA(),IF(BB$82="C",NA(),NA())))</f>
        <v>0</v>
      </c>
      <c r="BC114" s="68">
        <f>IF(BC$82="A",IF(ISNUMBER(INDEX($D$94:$AD$94,BC$81)),INDEX($D$94:$AD$94,BC$81)/MAX(1,_xlfn.AGGREGATE(4,6,INDEX($D$94:$AD$94,28-$D$80):$AD$94),_xlfn.AGGREGATE(4,6,INDEX($D$95:$AD$95,28-$D$80):$AD$95)),NA()),IF(BC$82="B",NA(),IF(BC$82="C",NA(),NA())))</f>
        <v>0</v>
      </c>
      <c r="BD114" s="68">
        <f>IF(BD$82="A",IF(ISNUMBER(INDEX($D$94:$AD$94,BD$81)),INDEX($D$94:$AD$94,BD$81)/MAX(1,_xlfn.AGGREGATE(4,6,INDEX($D$94:$AD$94,28-$D$80):$AD$94),_xlfn.AGGREGATE(4,6,INDEX($D$95:$AD$95,28-$D$80):$AD$95)),NA()),IF(BD$82="B",NA(),IF(BD$82="C",NA(),NA())))</f>
        <v>0</v>
      </c>
      <c r="BE114" s="68">
        <f>IF(BE$82="A",IF(ISNUMBER(INDEX($D$94:$AD$94,BE$81)),INDEX($D$94:$AD$94,BE$81)/MAX(1,_xlfn.AGGREGATE(4,6,INDEX($D$94:$AD$94,28-$D$80):$AD$94),_xlfn.AGGREGATE(4,6,INDEX($D$95:$AD$95,28-$D$80):$AD$95)),NA()),IF(BE$82="B",NA(),IF(BE$82="C",NA(),NA())))</f>
        <v>0</v>
      </c>
      <c r="BF114" s="68">
        <f>IF(BF$82="A",IF(ISNUMBER(INDEX($D$94:$AD$94,BF$81)),INDEX($D$94:$AD$94,BF$81)/MAX(1,_xlfn.AGGREGATE(4,6,INDEX($D$94:$AD$94,28-$D$80):$AD$94),_xlfn.AGGREGATE(4,6,INDEX($D$95:$AD$95,28-$D$80):$AD$95)),NA()),IF(BF$82="B",NA(),IF(BF$82="C",NA(),NA())))</f>
        <v>0</v>
      </c>
      <c r="BG114" s="68">
        <f>IF(BG$82="A",IF(ISNUMBER(INDEX($D$94:$AD$94,BG$81)),INDEX($D$94:$AD$94,BG$81)/MAX(1,_xlfn.AGGREGATE(4,6,INDEX($D$94:$AD$94,28-$D$80):$AD$94),_xlfn.AGGREGATE(4,6,INDEX($D$95:$AD$95,28-$D$80):$AD$95)),NA()),IF(BG$82="B",NA(),IF(BG$82="C",NA(),NA())))</f>
        <v>0</v>
      </c>
      <c r="BH114" s="68">
        <f>IF(BH$82="A",IF(ISNUMBER(INDEX($D$94:$AD$94,BH$81)),INDEX($D$94:$AD$94,BH$81)/MAX(1,_xlfn.AGGREGATE(4,6,INDEX($D$94:$AD$94,28-$D$80):$AD$94),_xlfn.AGGREGATE(4,6,INDEX($D$95:$AD$95,28-$D$80):$AD$95)),NA()),IF(BH$82="B",NA(),IF(BH$82="C",NA(),NA())))</f>
        <v>0</v>
      </c>
      <c r="BI114" s="68">
        <f>IF(BI$82="A",IF(ISNUMBER(INDEX($D$94:$AD$94,BI$81)),INDEX($D$94:$AD$94,BI$81)/MAX(1,_xlfn.AGGREGATE(4,6,INDEX($D$94:$AD$94,28-$D$80):$AD$94),_xlfn.AGGREGATE(4,6,INDEX($D$95:$AD$95,28-$D$80):$AD$95)),NA()),IF(BI$82="B",NA(),IF(BI$82="C",NA(),NA())))</f>
        <v>0</v>
      </c>
      <c r="BJ114" s="68">
        <f>IF(BJ$82="A",IF(ISNUMBER(INDEX($D$94:$AD$94,BJ$81)),INDEX($D$94:$AD$94,BJ$81)/MAX(1,_xlfn.AGGREGATE(4,6,INDEX($D$94:$AD$94,28-$D$80):$AD$94),_xlfn.AGGREGATE(4,6,INDEX($D$95:$AD$95,28-$D$80):$AD$95)),NA()),IF(BJ$82="B",NA(),IF(BJ$82="C",NA(),NA())))</f>
        <v>0</v>
      </c>
      <c r="BK114" s="68">
        <f>IF(BK$82="A",IF(ISNUMBER(INDEX($D$94:$AD$94,BK$81)),INDEX($D$94:$AD$94,BK$81)/MAX(1,_xlfn.AGGREGATE(4,6,INDEX($D$94:$AD$94,28-$D$80):$AD$94),_xlfn.AGGREGATE(4,6,INDEX($D$95:$AD$95,28-$D$80):$AD$95)),NA()),IF(BK$82="B",NA(),IF(BK$82="C",NA(),NA())))</f>
        <v>0</v>
      </c>
      <c r="BL114" s="68">
        <f>IF(BL$82="A",IF(ISNUMBER(INDEX($D$94:$AD$94,BL$81)),INDEX($D$94:$AD$94,BL$81)/MAX(1,_xlfn.AGGREGATE(4,6,INDEX($D$94:$AD$94,28-$D$80):$AD$94),_xlfn.AGGREGATE(4,6,INDEX($D$95:$AD$95,28-$D$80):$AD$95)),NA()),IF(BL$82="B",NA(),IF(BL$82="C",NA(),NA())))</f>
        <v>0</v>
      </c>
      <c r="BM114" s="68">
        <f>IF(BM$82="A",IF(ISNUMBER(INDEX($D$94:$AD$94,BM$81)),INDEX($D$94:$AD$94,BM$81)/MAX(1,_xlfn.AGGREGATE(4,6,INDEX($D$94:$AD$94,28-$D$80):$AD$94),_xlfn.AGGREGATE(4,6,INDEX($D$95:$AD$95,28-$D$80):$AD$95)),NA()),IF(BM$82="B",NA(),IF(BM$82="C",NA(),NA())))</f>
        <v>0</v>
      </c>
      <c r="BN114" s="68">
        <f>IF(BN$82="A",IF(ISNUMBER(INDEX($D$94:$AD$94,BN$81)),INDEX($D$94:$AD$94,BN$81)/MAX(1,_xlfn.AGGREGATE(4,6,INDEX($D$94:$AD$94,28-$D$80):$AD$94),_xlfn.AGGREGATE(4,6,INDEX($D$95:$AD$95,28-$D$80):$AD$95)),NA()),IF(BN$82="B",NA(),IF(BN$82="C",NA(),NA())))</f>
        <v>0</v>
      </c>
      <c r="BO114" s="68">
        <f>IF(BO$82="A",IF(ISNUMBER(INDEX($D$94:$AD$94,BO$81)),INDEX($D$94:$AD$94,BO$81)/MAX(1,_xlfn.AGGREGATE(4,6,INDEX($D$94:$AD$94,28-$D$80):$AD$94),_xlfn.AGGREGATE(4,6,INDEX($D$95:$AD$95,28-$D$80):$AD$95)),NA()),IF(BO$82="B",NA(),IF(BO$82="C",NA(),NA())))</f>
        <v>0</v>
      </c>
      <c r="BP114" s="68">
        <f>IF(BP$82="A",IF(ISNUMBER(INDEX($D$94:$AD$94,BP$81)),INDEX($D$94:$AD$94,BP$81)/MAX(1,_xlfn.AGGREGATE(4,6,INDEX($D$94:$AD$94,28-$D$80):$AD$94),_xlfn.AGGREGATE(4,6,INDEX($D$95:$AD$95,28-$D$80):$AD$95)),NA()),IF(BP$82="B",NA(),IF(BP$82="C",NA(),NA())))</f>
        <v>0</v>
      </c>
      <c r="BQ114" s="68">
        <f>IF(BQ$82="A",IF(ISNUMBER(INDEX($D$94:$AD$94,BQ$81)),INDEX($D$94:$AD$94,BQ$81)/MAX(1,_xlfn.AGGREGATE(4,6,INDEX($D$94:$AD$94,28-$D$80):$AD$94),_xlfn.AGGREGATE(4,6,INDEX($D$95:$AD$95,28-$D$80):$AD$95)),NA()),IF(BQ$82="B",NA(),IF(BQ$82="C",NA(),NA())))</f>
        <v>0</v>
      </c>
      <c r="BR114" s="68">
        <f>IF(BR$82="A",IF(ISNUMBER(INDEX($D$94:$AD$94,BR$81)),INDEX($D$94:$AD$94,BR$81)/MAX(1,_xlfn.AGGREGATE(4,6,INDEX($D$94:$AD$94,28-$D$80):$AD$94),_xlfn.AGGREGATE(4,6,INDEX($D$95:$AD$95,28-$D$80):$AD$95)),NA()),IF(BR$82="B",NA(),IF(BR$82="C",NA(),NA())))</f>
        <v>0</v>
      </c>
      <c r="BS114" s="68">
        <f>IF(BS$82="A",IF(ISNUMBER(INDEX($D$94:$AD$94,BS$81)),INDEX($D$94:$AD$94,BS$81)/MAX(1,_xlfn.AGGREGATE(4,6,INDEX($D$94:$AD$94,28-$D$80):$AD$94),_xlfn.AGGREGATE(4,6,INDEX($D$95:$AD$95,28-$D$80):$AD$95)),NA()),IF(BS$82="B",NA(),IF(BS$82="C",NA(),NA())))</f>
        <v>0</v>
      </c>
      <c r="BT114" s="68">
        <f>IF(BT$82="A",IF(ISNUMBER(INDEX($D$94:$AD$94,BT$81)),INDEX($D$94:$AD$94,BT$81)/MAX(1,_xlfn.AGGREGATE(4,6,INDEX($D$94:$AD$94,28-$D$80):$AD$94),_xlfn.AGGREGATE(4,6,INDEX($D$95:$AD$95,28-$D$80):$AD$95)),NA()),IF(BT$82="B",NA(),IF(BT$82="C",NA(),NA())))</f>
        <v>0</v>
      </c>
    </row>
    <row r="115" spans="1:72">
      <c r="A115" s="11" t="s">
        <v>761</v>
      </c>
      <c r="B115" s="11" t="s">
        <v>762</v>
      </c>
      <c r="C115" s="67" t="s">
        <v>610</v>
      </c>
      <c r="AQ115" s="68">
        <f>IF(AQ$82="A",IF(ISNUMBER(INDEX($D$95:$AD$95,AQ$81)),INDEX($D$95:$AD$95,AQ$81)/MAX(1,_xlfn.AGGREGATE(4,6,INDEX($D$94:$AD$94,28-$D$80):$AD$94),_xlfn.AGGREGATE(4,6,INDEX($D$95:$AD$95,28-$D$80):$AD$95)),NA()),IF(AQ$82="B",NA(),IF(AQ$82="C",NA(),NA())))</f>
        <v>0</v>
      </c>
      <c r="AR115" s="68">
        <f>IF(AR$82="A",IF(ISNUMBER(INDEX($D$95:$AD$95,AR$81)),INDEX($D$95:$AD$95,AR$81)/MAX(1,_xlfn.AGGREGATE(4,6,INDEX($D$94:$AD$94,28-$D$80):$AD$94),_xlfn.AGGREGATE(4,6,INDEX($D$95:$AD$95,28-$D$80):$AD$95)),NA()),IF(AR$82="B",NA(),IF(AR$82="C",NA(),NA())))</f>
        <v>0</v>
      </c>
      <c r="AS115" s="68">
        <f>IF(AS$82="A",IF(ISNUMBER(INDEX($D$95:$AD$95,AS$81)),INDEX($D$95:$AD$95,AS$81)/MAX(1,_xlfn.AGGREGATE(4,6,INDEX($D$94:$AD$94,28-$D$80):$AD$94),_xlfn.AGGREGATE(4,6,INDEX($D$95:$AD$95,28-$D$80):$AD$95)),NA()),IF(AS$82="B",NA(),IF(AS$82="C",NA(),NA())))</f>
        <v>0</v>
      </c>
      <c r="AT115" s="68">
        <f>IF(AT$82="A",IF(ISNUMBER(INDEX($D$95:$AD$95,AT$81)),INDEX($D$95:$AD$95,AT$81)/MAX(1,_xlfn.AGGREGATE(4,6,INDEX($D$94:$AD$94,28-$D$80):$AD$94),_xlfn.AGGREGATE(4,6,INDEX($D$95:$AD$95,28-$D$80):$AD$95)),NA()),IF(AT$82="B",NA(),IF(AT$82="C",NA(),NA())))</f>
        <v>0</v>
      </c>
      <c r="AU115" s="68">
        <f>IF(AU$82="A",IF(ISNUMBER(INDEX($D$95:$AD$95,AU$81)),INDEX($D$95:$AD$95,AU$81)/MAX(1,_xlfn.AGGREGATE(4,6,INDEX($D$94:$AD$94,28-$D$80):$AD$94),_xlfn.AGGREGATE(4,6,INDEX($D$95:$AD$95,28-$D$80):$AD$95)),NA()),IF(AU$82="B",NA(),IF(AU$82="C",NA(),NA())))</f>
        <v>0</v>
      </c>
      <c r="AV115" s="68">
        <f>IF(AV$82="A",IF(ISNUMBER(INDEX($D$95:$AD$95,AV$81)),INDEX($D$95:$AD$95,AV$81)/MAX(1,_xlfn.AGGREGATE(4,6,INDEX($D$94:$AD$94,28-$D$80):$AD$94),_xlfn.AGGREGATE(4,6,INDEX($D$95:$AD$95,28-$D$80):$AD$95)),NA()),IF(AV$82="B",NA(),IF(AV$82="C",NA(),NA())))</f>
        <v>0</v>
      </c>
      <c r="AW115" s="68">
        <f>IF(AW$82="A",IF(ISNUMBER(INDEX($D$95:$AD$95,AW$81)),INDEX($D$95:$AD$95,AW$81)/MAX(1,_xlfn.AGGREGATE(4,6,INDEX($D$94:$AD$94,28-$D$80):$AD$94),_xlfn.AGGREGATE(4,6,INDEX($D$95:$AD$95,28-$D$80):$AD$95)),NA()),IF(AW$82="B",NA(),IF(AW$82="C",NA(),NA())))</f>
        <v>0</v>
      </c>
      <c r="AX115" s="68">
        <f>IF(AX$82="A",IF(ISNUMBER(INDEX($D$95:$AD$95,AX$81)),INDEX($D$95:$AD$95,AX$81)/MAX(1,_xlfn.AGGREGATE(4,6,INDEX($D$94:$AD$94,28-$D$80):$AD$94),_xlfn.AGGREGATE(4,6,INDEX($D$95:$AD$95,28-$D$80):$AD$95)),NA()),IF(AX$82="B",NA(),IF(AX$82="C",NA(),NA())))</f>
        <v>0</v>
      </c>
      <c r="AY115" s="68">
        <f>IF(AY$82="A",IF(ISNUMBER(INDEX($D$95:$AD$95,AY$81)),INDEX($D$95:$AD$95,AY$81)/MAX(1,_xlfn.AGGREGATE(4,6,INDEX($D$94:$AD$94,28-$D$80):$AD$94),_xlfn.AGGREGATE(4,6,INDEX($D$95:$AD$95,28-$D$80):$AD$95)),NA()),IF(AY$82="B",NA(),IF(AY$82="C",NA(),NA())))</f>
        <v>0</v>
      </c>
      <c r="AZ115" s="68">
        <f>IF(AZ$82="A",IF(ISNUMBER(INDEX($D$95:$AD$95,AZ$81)),INDEX($D$95:$AD$95,AZ$81)/MAX(1,_xlfn.AGGREGATE(4,6,INDEX($D$94:$AD$94,28-$D$80):$AD$94),_xlfn.AGGREGATE(4,6,INDEX($D$95:$AD$95,28-$D$80):$AD$95)),NA()),IF(AZ$82="B",NA(),IF(AZ$82="C",NA(),NA())))</f>
        <v>0</v>
      </c>
      <c r="BA115" s="68">
        <f>IF(BA$82="A",IF(ISNUMBER(INDEX($D$95:$AD$95,BA$81)),INDEX($D$95:$AD$95,BA$81)/MAX(1,_xlfn.AGGREGATE(4,6,INDEX($D$94:$AD$94,28-$D$80):$AD$94),_xlfn.AGGREGATE(4,6,INDEX($D$95:$AD$95,28-$D$80):$AD$95)),NA()),IF(BA$82="B",NA(),IF(BA$82="C",NA(),NA())))</f>
        <v>0</v>
      </c>
      <c r="BB115" s="68">
        <f>IF(BB$82="A",IF(ISNUMBER(INDEX($D$95:$AD$95,BB$81)),INDEX($D$95:$AD$95,BB$81)/MAX(1,_xlfn.AGGREGATE(4,6,INDEX($D$94:$AD$94,28-$D$80):$AD$94),_xlfn.AGGREGATE(4,6,INDEX($D$95:$AD$95,28-$D$80):$AD$95)),NA()),IF(BB$82="B",NA(),IF(BB$82="C",NA(),NA())))</f>
        <v>0</v>
      </c>
      <c r="BC115" s="68">
        <f>IF(BC$82="A",IF(ISNUMBER(INDEX($D$95:$AD$95,BC$81)),INDEX($D$95:$AD$95,BC$81)/MAX(1,_xlfn.AGGREGATE(4,6,INDEX($D$94:$AD$94,28-$D$80):$AD$94),_xlfn.AGGREGATE(4,6,INDEX($D$95:$AD$95,28-$D$80):$AD$95)),NA()),IF(BC$82="B",NA(),IF(BC$82="C",NA(),NA())))</f>
        <v>0</v>
      </c>
      <c r="BD115" s="68">
        <f>IF(BD$82="A",IF(ISNUMBER(INDEX($D$95:$AD$95,BD$81)),INDEX($D$95:$AD$95,BD$81)/MAX(1,_xlfn.AGGREGATE(4,6,INDEX($D$94:$AD$94,28-$D$80):$AD$94),_xlfn.AGGREGATE(4,6,INDEX($D$95:$AD$95,28-$D$80):$AD$95)),NA()),IF(BD$82="B",NA(),IF(BD$82="C",NA(),NA())))</f>
        <v>0</v>
      </c>
      <c r="BE115" s="68">
        <f>IF(BE$82="A",IF(ISNUMBER(INDEX($D$95:$AD$95,BE$81)),INDEX($D$95:$AD$95,BE$81)/MAX(1,_xlfn.AGGREGATE(4,6,INDEX($D$94:$AD$94,28-$D$80):$AD$94),_xlfn.AGGREGATE(4,6,INDEX($D$95:$AD$95,28-$D$80):$AD$95)),NA()),IF(BE$82="B",NA(),IF(BE$82="C",NA(),NA())))</f>
        <v>0</v>
      </c>
      <c r="BF115" s="68">
        <f>IF(BF$82="A",IF(ISNUMBER(INDEX($D$95:$AD$95,BF$81)),INDEX($D$95:$AD$95,BF$81)/MAX(1,_xlfn.AGGREGATE(4,6,INDEX($D$94:$AD$94,28-$D$80):$AD$94),_xlfn.AGGREGATE(4,6,INDEX($D$95:$AD$95,28-$D$80):$AD$95)),NA()),IF(BF$82="B",NA(),IF(BF$82="C",NA(),NA())))</f>
        <v>0</v>
      </c>
      <c r="BG115" s="68">
        <f>IF(BG$82="A",IF(ISNUMBER(INDEX($D$95:$AD$95,BG$81)),INDEX($D$95:$AD$95,BG$81)/MAX(1,_xlfn.AGGREGATE(4,6,INDEX($D$94:$AD$94,28-$D$80):$AD$94),_xlfn.AGGREGATE(4,6,INDEX($D$95:$AD$95,28-$D$80):$AD$95)),NA()),IF(BG$82="B",NA(),IF(BG$82="C",NA(),NA())))</f>
        <v>0</v>
      </c>
      <c r="BH115" s="68">
        <f>IF(BH$82="A",IF(ISNUMBER(INDEX($D$95:$AD$95,BH$81)),INDEX($D$95:$AD$95,BH$81)/MAX(1,_xlfn.AGGREGATE(4,6,INDEX($D$94:$AD$94,28-$D$80):$AD$94),_xlfn.AGGREGATE(4,6,INDEX($D$95:$AD$95,28-$D$80):$AD$95)),NA()),IF(BH$82="B",NA(),IF(BH$82="C",NA(),NA())))</f>
        <v>0</v>
      </c>
      <c r="BI115" s="68">
        <f>IF(BI$82="A",IF(ISNUMBER(INDEX($D$95:$AD$95,BI$81)),INDEX($D$95:$AD$95,BI$81)/MAX(1,_xlfn.AGGREGATE(4,6,INDEX($D$94:$AD$94,28-$D$80):$AD$94),_xlfn.AGGREGATE(4,6,INDEX($D$95:$AD$95,28-$D$80):$AD$95)),NA()),IF(BI$82="B",NA(),IF(BI$82="C",NA(),NA())))</f>
        <v>0</v>
      </c>
      <c r="BJ115" s="68">
        <f>IF(BJ$82="A",IF(ISNUMBER(INDEX($D$95:$AD$95,BJ$81)),INDEX($D$95:$AD$95,BJ$81)/MAX(1,_xlfn.AGGREGATE(4,6,INDEX($D$94:$AD$94,28-$D$80):$AD$94),_xlfn.AGGREGATE(4,6,INDEX($D$95:$AD$95,28-$D$80):$AD$95)),NA()),IF(BJ$82="B",NA(),IF(BJ$82="C",NA(),NA())))</f>
        <v>0</v>
      </c>
      <c r="BK115" s="68">
        <f>IF(BK$82="A",IF(ISNUMBER(INDEX($D$95:$AD$95,BK$81)),INDEX($D$95:$AD$95,BK$81)/MAX(1,_xlfn.AGGREGATE(4,6,INDEX($D$94:$AD$94,28-$D$80):$AD$94),_xlfn.AGGREGATE(4,6,INDEX($D$95:$AD$95,28-$D$80):$AD$95)),NA()),IF(BK$82="B",NA(),IF(BK$82="C",NA(),NA())))</f>
        <v>0</v>
      </c>
      <c r="BL115" s="68">
        <f>IF(BL$82="A",IF(ISNUMBER(INDEX($D$95:$AD$95,BL$81)),INDEX($D$95:$AD$95,BL$81)/MAX(1,_xlfn.AGGREGATE(4,6,INDEX($D$94:$AD$94,28-$D$80):$AD$94),_xlfn.AGGREGATE(4,6,INDEX($D$95:$AD$95,28-$D$80):$AD$95)),NA()),IF(BL$82="B",NA(),IF(BL$82="C",NA(),NA())))</f>
        <v>0</v>
      </c>
      <c r="BM115" s="68">
        <f>IF(BM$82="A",IF(ISNUMBER(INDEX($D$95:$AD$95,BM$81)),INDEX($D$95:$AD$95,BM$81)/MAX(1,_xlfn.AGGREGATE(4,6,INDEX($D$94:$AD$94,28-$D$80):$AD$94),_xlfn.AGGREGATE(4,6,INDEX($D$95:$AD$95,28-$D$80):$AD$95)),NA()),IF(BM$82="B",NA(),IF(BM$82="C",NA(),NA())))</f>
        <v>0</v>
      </c>
      <c r="BN115" s="68">
        <f>IF(BN$82="A",IF(ISNUMBER(INDEX($D$95:$AD$95,BN$81)),INDEX($D$95:$AD$95,BN$81)/MAX(1,_xlfn.AGGREGATE(4,6,INDEX($D$94:$AD$94,28-$D$80):$AD$94),_xlfn.AGGREGATE(4,6,INDEX($D$95:$AD$95,28-$D$80):$AD$95)),NA()),IF(BN$82="B",NA(),IF(BN$82="C",NA(),NA())))</f>
        <v>0</v>
      </c>
      <c r="BO115" s="68">
        <f>IF(BO$82="A",IF(ISNUMBER(INDEX($D$95:$AD$95,BO$81)),INDEX($D$95:$AD$95,BO$81)/MAX(1,_xlfn.AGGREGATE(4,6,INDEX($D$94:$AD$94,28-$D$80):$AD$94),_xlfn.AGGREGATE(4,6,INDEX($D$95:$AD$95,28-$D$80):$AD$95)),NA()),IF(BO$82="B",NA(),IF(BO$82="C",NA(),NA())))</f>
        <v>0</v>
      </c>
      <c r="BP115" s="68">
        <f>IF(BP$82="A",IF(ISNUMBER(INDEX($D$95:$AD$95,BP$81)),INDEX($D$95:$AD$95,BP$81)/MAX(1,_xlfn.AGGREGATE(4,6,INDEX($D$94:$AD$94,28-$D$80):$AD$94),_xlfn.AGGREGATE(4,6,INDEX($D$95:$AD$95,28-$D$80):$AD$95)),NA()),IF(BP$82="B",NA(),IF(BP$82="C",NA(),NA())))</f>
        <v>0</v>
      </c>
      <c r="BQ115" s="68">
        <f>IF(BQ$82="A",IF(ISNUMBER(INDEX($D$95:$AD$95,BQ$81)),INDEX($D$95:$AD$95,BQ$81)/MAX(1,_xlfn.AGGREGATE(4,6,INDEX($D$94:$AD$94,28-$D$80):$AD$94),_xlfn.AGGREGATE(4,6,INDEX($D$95:$AD$95,28-$D$80):$AD$95)),NA()),IF(BQ$82="B",NA(),IF(BQ$82="C",NA(),NA())))</f>
        <v>0</v>
      </c>
      <c r="BR115" s="68">
        <f>IF(BR$82="A",IF(ISNUMBER(INDEX($D$95:$AD$95,BR$81)),INDEX($D$95:$AD$95,BR$81)/MAX(1,_xlfn.AGGREGATE(4,6,INDEX($D$94:$AD$94,28-$D$80):$AD$94),_xlfn.AGGREGATE(4,6,INDEX($D$95:$AD$95,28-$D$80):$AD$95)),NA()),IF(BR$82="B",NA(),IF(BR$82="C",NA(),NA())))</f>
        <v>0</v>
      </c>
      <c r="BS115" s="68">
        <f>IF(BS$82="A",IF(ISNUMBER(INDEX($D$95:$AD$95,BS$81)),INDEX($D$95:$AD$95,BS$81)/MAX(1,_xlfn.AGGREGATE(4,6,INDEX($D$94:$AD$94,28-$D$80):$AD$94),_xlfn.AGGREGATE(4,6,INDEX($D$95:$AD$95,28-$D$80):$AD$95)),NA()),IF(BS$82="B",NA(),IF(BS$82="C",NA(),NA())))</f>
        <v>0</v>
      </c>
      <c r="BT115" s="68">
        <f>IF(BT$82="A",IF(ISNUMBER(INDEX($D$95:$AD$95,BT$81)),INDEX($D$95:$AD$95,BT$81)/MAX(1,_xlfn.AGGREGATE(4,6,INDEX($D$94:$AD$94,28-$D$80):$AD$94),_xlfn.AGGREGATE(4,6,INDEX($D$95:$AD$95,28-$D$80):$AD$95)),NA()),IF(BT$82="B",NA(),IF(BT$82="C",NA(),NA())))</f>
        <v>0</v>
      </c>
    </row>
    <row r="116" spans="1:72">
      <c r="A116" s="11" t="s">
        <v>763</v>
      </c>
      <c r="B116" s="11" t="s">
        <v>764</v>
      </c>
      <c r="C116" s="67" t="s">
        <v>610</v>
      </c>
      <c r="AQ116" s="68">
        <f>IF(AQ$82="A",NA(),IF(AQ$82="B",IF(ISNUMBER(INDEX($D$94:$AD$94,AQ$81)),MAX(MAX(N(INDEX($D$94:$AD$94,AQ$81)),N(INDEX($D$95:$AD$95,AQ$81)))/MAX(1,_xlfn.AGGREGATE(4,6,INDEX($D$94:$AD$94,28-$D$80):$AD$94),_xlfn.AGGREGATE(4,6,INDEX($D$95:$AD$95,28-$D$80):$AD$95))-0.10811,0.32432),NA()),IF(AQ$82="C",NA(),NA())))</f>
        <v>0</v>
      </c>
      <c r="AR116" s="68">
        <f>IF(AR$82="A",NA(),IF(AR$82="B",IF(ISNUMBER(INDEX($D$94:$AD$94,AR$81)),MAX(MAX(N(INDEX($D$94:$AD$94,AR$81)),N(INDEX($D$95:$AD$95,AR$81)))/MAX(1,_xlfn.AGGREGATE(4,6,INDEX($D$94:$AD$94,28-$D$80):$AD$94),_xlfn.AGGREGATE(4,6,INDEX($D$95:$AD$95,28-$D$80):$AD$95))-0.10811,0.32432),NA()),IF(AR$82="C",NA(),NA())))</f>
        <v>0</v>
      </c>
      <c r="AS116" s="68">
        <f>IF(AS$82="A",NA(),IF(AS$82="B",IF(ISNUMBER(INDEX($D$94:$AD$94,AS$81)),MAX(MAX(N(INDEX($D$94:$AD$94,AS$81)),N(INDEX($D$95:$AD$95,AS$81)))/MAX(1,_xlfn.AGGREGATE(4,6,INDEX($D$94:$AD$94,28-$D$80):$AD$94),_xlfn.AGGREGATE(4,6,INDEX($D$95:$AD$95,28-$D$80):$AD$95))-0.10811,0.32432),NA()),IF(AS$82="C",NA(),NA())))</f>
        <v>0</v>
      </c>
      <c r="AT116" s="68">
        <f>IF(AT$82="A",NA(),IF(AT$82="B",IF(ISNUMBER(INDEX($D$94:$AD$94,AT$81)),MAX(MAX(N(INDEX($D$94:$AD$94,AT$81)),N(INDEX($D$95:$AD$95,AT$81)))/MAX(1,_xlfn.AGGREGATE(4,6,INDEX($D$94:$AD$94,28-$D$80):$AD$94),_xlfn.AGGREGATE(4,6,INDEX($D$95:$AD$95,28-$D$80):$AD$95))-0.10811,0.32432),NA()),IF(AT$82="C",NA(),NA())))</f>
        <v>0</v>
      </c>
      <c r="AU116" s="68">
        <f>IF(AU$82="A",NA(),IF(AU$82="B",IF(ISNUMBER(INDEX($D$94:$AD$94,AU$81)),MAX(MAX(N(INDEX($D$94:$AD$94,AU$81)),N(INDEX($D$95:$AD$95,AU$81)))/MAX(1,_xlfn.AGGREGATE(4,6,INDEX($D$94:$AD$94,28-$D$80):$AD$94),_xlfn.AGGREGATE(4,6,INDEX($D$95:$AD$95,28-$D$80):$AD$95))-0.10811,0.32432),NA()),IF(AU$82="C",NA(),NA())))</f>
        <v>0</v>
      </c>
      <c r="AV116" s="68">
        <f>IF(AV$82="A",NA(),IF(AV$82="B",IF(ISNUMBER(INDEX($D$94:$AD$94,AV$81)),MAX(MAX(N(INDEX($D$94:$AD$94,AV$81)),N(INDEX($D$95:$AD$95,AV$81)))/MAX(1,_xlfn.AGGREGATE(4,6,INDEX($D$94:$AD$94,28-$D$80):$AD$94),_xlfn.AGGREGATE(4,6,INDEX($D$95:$AD$95,28-$D$80):$AD$95))-0.10811,0.32432),NA()),IF(AV$82="C",NA(),NA())))</f>
        <v>0</v>
      </c>
      <c r="AW116" s="68">
        <f>IF(AW$82="A",NA(),IF(AW$82="B",IF(ISNUMBER(INDEX($D$94:$AD$94,AW$81)),MAX(MAX(N(INDEX($D$94:$AD$94,AW$81)),N(INDEX($D$95:$AD$95,AW$81)))/MAX(1,_xlfn.AGGREGATE(4,6,INDEX($D$94:$AD$94,28-$D$80):$AD$94),_xlfn.AGGREGATE(4,6,INDEX($D$95:$AD$95,28-$D$80):$AD$95))-0.10811,0.32432),NA()),IF(AW$82="C",NA(),NA())))</f>
        <v>0</v>
      </c>
      <c r="AX116" s="68">
        <f>IF(AX$82="A",NA(),IF(AX$82="B",IF(ISNUMBER(INDEX($D$94:$AD$94,AX$81)),MAX(MAX(N(INDEX($D$94:$AD$94,AX$81)),N(INDEX($D$95:$AD$95,AX$81)))/MAX(1,_xlfn.AGGREGATE(4,6,INDEX($D$94:$AD$94,28-$D$80):$AD$94),_xlfn.AGGREGATE(4,6,INDEX($D$95:$AD$95,28-$D$80):$AD$95))-0.10811,0.32432),NA()),IF(AX$82="C",NA(),NA())))</f>
        <v>0</v>
      </c>
      <c r="AY116" s="68">
        <f>IF(AY$82="A",NA(),IF(AY$82="B",IF(ISNUMBER(INDEX($D$94:$AD$94,AY$81)),MAX(MAX(N(INDEX($D$94:$AD$94,AY$81)),N(INDEX($D$95:$AD$95,AY$81)))/MAX(1,_xlfn.AGGREGATE(4,6,INDEX($D$94:$AD$94,28-$D$80):$AD$94),_xlfn.AGGREGATE(4,6,INDEX($D$95:$AD$95,28-$D$80):$AD$95))-0.10811,0.32432),NA()),IF(AY$82="C",NA(),NA())))</f>
        <v>0</v>
      </c>
      <c r="AZ116" s="68">
        <f>IF(AZ$82="A",NA(),IF(AZ$82="B",IF(ISNUMBER(INDEX($D$94:$AD$94,AZ$81)),MAX(MAX(N(INDEX($D$94:$AD$94,AZ$81)),N(INDEX($D$95:$AD$95,AZ$81)))/MAX(1,_xlfn.AGGREGATE(4,6,INDEX($D$94:$AD$94,28-$D$80):$AD$94),_xlfn.AGGREGATE(4,6,INDEX($D$95:$AD$95,28-$D$80):$AD$95))-0.10811,0.32432),NA()),IF(AZ$82="C",NA(),NA())))</f>
        <v>0</v>
      </c>
      <c r="BA116" s="68">
        <f>IF(BA$82="A",NA(),IF(BA$82="B",IF(ISNUMBER(INDEX($D$94:$AD$94,BA$81)),MAX(MAX(N(INDEX($D$94:$AD$94,BA$81)),N(INDEX($D$95:$AD$95,BA$81)))/MAX(1,_xlfn.AGGREGATE(4,6,INDEX($D$94:$AD$94,28-$D$80):$AD$94),_xlfn.AGGREGATE(4,6,INDEX($D$95:$AD$95,28-$D$80):$AD$95))-0.10811,0.32432),NA()),IF(BA$82="C",NA(),NA())))</f>
        <v>0</v>
      </c>
      <c r="BB116" s="68">
        <f>IF(BB$82="A",NA(),IF(BB$82="B",IF(ISNUMBER(INDEX($D$94:$AD$94,BB$81)),MAX(MAX(N(INDEX($D$94:$AD$94,BB$81)),N(INDEX($D$95:$AD$95,BB$81)))/MAX(1,_xlfn.AGGREGATE(4,6,INDEX($D$94:$AD$94,28-$D$80):$AD$94),_xlfn.AGGREGATE(4,6,INDEX($D$95:$AD$95,28-$D$80):$AD$95))-0.10811,0.32432),NA()),IF(BB$82="C",NA(),NA())))</f>
        <v>0</v>
      </c>
      <c r="BC116" s="68">
        <f>IF(BC$82="A",NA(),IF(BC$82="B",IF(ISNUMBER(INDEX($D$94:$AD$94,BC$81)),MAX(MAX(N(INDEX($D$94:$AD$94,BC$81)),N(INDEX($D$95:$AD$95,BC$81)))/MAX(1,_xlfn.AGGREGATE(4,6,INDEX($D$94:$AD$94,28-$D$80):$AD$94),_xlfn.AGGREGATE(4,6,INDEX($D$95:$AD$95,28-$D$80):$AD$95))-0.10811,0.32432),NA()),IF(BC$82="C",NA(),NA())))</f>
        <v>0</v>
      </c>
      <c r="BD116" s="68">
        <f>IF(BD$82="A",NA(),IF(BD$82="B",IF(ISNUMBER(INDEX($D$94:$AD$94,BD$81)),MAX(MAX(N(INDEX($D$94:$AD$94,BD$81)),N(INDEX($D$95:$AD$95,BD$81)))/MAX(1,_xlfn.AGGREGATE(4,6,INDEX($D$94:$AD$94,28-$D$80):$AD$94),_xlfn.AGGREGATE(4,6,INDEX($D$95:$AD$95,28-$D$80):$AD$95))-0.10811,0.32432),NA()),IF(BD$82="C",NA(),NA())))</f>
        <v>0</v>
      </c>
      <c r="BE116" s="68">
        <f>IF(BE$82="A",NA(),IF(BE$82="B",IF(ISNUMBER(INDEX($D$94:$AD$94,BE$81)),MAX(MAX(N(INDEX($D$94:$AD$94,BE$81)),N(INDEX($D$95:$AD$95,BE$81)))/MAX(1,_xlfn.AGGREGATE(4,6,INDEX($D$94:$AD$94,28-$D$80):$AD$94),_xlfn.AGGREGATE(4,6,INDEX($D$95:$AD$95,28-$D$80):$AD$95))-0.10811,0.32432),NA()),IF(BE$82="C",NA(),NA())))</f>
        <v>0</v>
      </c>
      <c r="BF116" s="68">
        <f>IF(BF$82="A",NA(),IF(BF$82="B",IF(ISNUMBER(INDEX($D$94:$AD$94,BF$81)),MAX(MAX(N(INDEX($D$94:$AD$94,BF$81)),N(INDEX($D$95:$AD$95,BF$81)))/MAX(1,_xlfn.AGGREGATE(4,6,INDEX($D$94:$AD$94,28-$D$80):$AD$94),_xlfn.AGGREGATE(4,6,INDEX($D$95:$AD$95,28-$D$80):$AD$95))-0.10811,0.32432),NA()),IF(BF$82="C",NA(),NA())))</f>
        <v>0</v>
      </c>
      <c r="BG116" s="68">
        <f>IF(BG$82="A",NA(),IF(BG$82="B",IF(ISNUMBER(INDEX($D$94:$AD$94,BG$81)),MAX(MAX(N(INDEX($D$94:$AD$94,BG$81)),N(INDEX($D$95:$AD$95,BG$81)))/MAX(1,_xlfn.AGGREGATE(4,6,INDEX($D$94:$AD$94,28-$D$80):$AD$94),_xlfn.AGGREGATE(4,6,INDEX($D$95:$AD$95,28-$D$80):$AD$95))-0.10811,0.32432),NA()),IF(BG$82="C",NA(),NA())))</f>
        <v>0</v>
      </c>
      <c r="BH116" s="68">
        <f>IF(BH$82="A",NA(),IF(BH$82="B",IF(ISNUMBER(INDEX($D$94:$AD$94,BH$81)),MAX(MAX(N(INDEX($D$94:$AD$94,BH$81)),N(INDEX($D$95:$AD$95,BH$81)))/MAX(1,_xlfn.AGGREGATE(4,6,INDEX($D$94:$AD$94,28-$D$80):$AD$94),_xlfn.AGGREGATE(4,6,INDEX($D$95:$AD$95,28-$D$80):$AD$95))-0.10811,0.32432),NA()),IF(BH$82="C",NA(),NA())))</f>
        <v>0</v>
      </c>
      <c r="BI116" s="68">
        <f>IF(BI$82="A",NA(),IF(BI$82="B",IF(ISNUMBER(INDEX($D$94:$AD$94,BI$81)),MAX(MAX(N(INDEX($D$94:$AD$94,BI$81)),N(INDEX($D$95:$AD$95,BI$81)))/MAX(1,_xlfn.AGGREGATE(4,6,INDEX($D$94:$AD$94,28-$D$80):$AD$94),_xlfn.AGGREGATE(4,6,INDEX($D$95:$AD$95,28-$D$80):$AD$95))-0.10811,0.32432),NA()),IF(BI$82="C",NA(),NA())))</f>
        <v>0</v>
      </c>
      <c r="BJ116" s="68">
        <f>IF(BJ$82="A",NA(),IF(BJ$82="B",IF(ISNUMBER(INDEX($D$94:$AD$94,BJ$81)),MAX(MAX(N(INDEX($D$94:$AD$94,BJ$81)),N(INDEX($D$95:$AD$95,BJ$81)))/MAX(1,_xlfn.AGGREGATE(4,6,INDEX($D$94:$AD$94,28-$D$80):$AD$94),_xlfn.AGGREGATE(4,6,INDEX($D$95:$AD$95,28-$D$80):$AD$95))-0.10811,0.32432),NA()),IF(BJ$82="C",NA(),NA())))</f>
        <v>0</v>
      </c>
      <c r="BK116" s="68">
        <f>IF(BK$82="A",NA(),IF(BK$82="B",IF(ISNUMBER(INDEX($D$94:$AD$94,BK$81)),MAX(MAX(N(INDEX($D$94:$AD$94,BK$81)),N(INDEX($D$95:$AD$95,BK$81)))/MAX(1,_xlfn.AGGREGATE(4,6,INDEX($D$94:$AD$94,28-$D$80):$AD$94),_xlfn.AGGREGATE(4,6,INDEX($D$95:$AD$95,28-$D$80):$AD$95))-0.10811,0.32432),NA()),IF(BK$82="C",NA(),NA())))</f>
        <v>0</v>
      </c>
      <c r="BL116" s="68">
        <f>IF(BL$82="A",NA(),IF(BL$82="B",IF(ISNUMBER(INDEX($D$94:$AD$94,BL$81)),MAX(MAX(N(INDEX($D$94:$AD$94,BL$81)),N(INDEX($D$95:$AD$95,BL$81)))/MAX(1,_xlfn.AGGREGATE(4,6,INDEX($D$94:$AD$94,28-$D$80):$AD$94),_xlfn.AGGREGATE(4,6,INDEX($D$95:$AD$95,28-$D$80):$AD$95))-0.10811,0.32432),NA()),IF(BL$82="C",NA(),NA())))</f>
        <v>0</v>
      </c>
      <c r="BM116" s="68">
        <f>IF(BM$82="A",NA(),IF(BM$82="B",IF(ISNUMBER(INDEX($D$94:$AD$94,BM$81)),MAX(MAX(N(INDEX($D$94:$AD$94,BM$81)),N(INDEX($D$95:$AD$95,BM$81)))/MAX(1,_xlfn.AGGREGATE(4,6,INDEX($D$94:$AD$94,28-$D$80):$AD$94),_xlfn.AGGREGATE(4,6,INDEX($D$95:$AD$95,28-$D$80):$AD$95))-0.10811,0.32432),NA()),IF(BM$82="C",NA(),NA())))</f>
        <v>0</v>
      </c>
      <c r="BN116" s="68">
        <f>IF(BN$82="A",NA(),IF(BN$82="B",IF(ISNUMBER(INDEX($D$94:$AD$94,BN$81)),MAX(MAX(N(INDEX($D$94:$AD$94,BN$81)),N(INDEX($D$95:$AD$95,BN$81)))/MAX(1,_xlfn.AGGREGATE(4,6,INDEX($D$94:$AD$94,28-$D$80):$AD$94),_xlfn.AGGREGATE(4,6,INDEX($D$95:$AD$95,28-$D$80):$AD$95))-0.10811,0.32432),NA()),IF(BN$82="C",NA(),NA())))</f>
        <v>0</v>
      </c>
      <c r="BO116" s="68">
        <f>IF(BO$82="A",NA(),IF(BO$82="B",IF(ISNUMBER(INDEX($D$94:$AD$94,BO$81)),MAX(MAX(N(INDEX($D$94:$AD$94,BO$81)),N(INDEX($D$95:$AD$95,BO$81)))/MAX(1,_xlfn.AGGREGATE(4,6,INDEX($D$94:$AD$94,28-$D$80):$AD$94),_xlfn.AGGREGATE(4,6,INDEX($D$95:$AD$95,28-$D$80):$AD$95))-0.10811,0.32432),NA()),IF(BO$82="C",NA(),NA())))</f>
        <v>0</v>
      </c>
      <c r="BP116" s="68">
        <f>IF(BP$82="A",NA(),IF(BP$82="B",IF(ISNUMBER(INDEX($D$94:$AD$94,BP$81)),MAX(MAX(N(INDEX($D$94:$AD$94,BP$81)),N(INDEX($D$95:$AD$95,BP$81)))/MAX(1,_xlfn.AGGREGATE(4,6,INDEX($D$94:$AD$94,28-$D$80):$AD$94),_xlfn.AGGREGATE(4,6,INDEX($D$95:$AD$95,28-$D$80):$AD$95))-0.10811,0.32432),NA()),IF(BP$82="C",NA(),NA())))</f>
        <v>0</v>
      </c>
      <c r="BQ116" s="68">
        <f>IF(BQ$82="A",NA(),IF(BQ$82="B",IF(ISNUMBER(INDEX($D$94:$AD$94,BQ$81)),MAX(MAX(N(INDEX($D$94:$AD$94,BQ$81)),N(INDEX($D$95:$AD$95,BQ$81)))/MAX(1,_xlfn.AGGREGATE(4,6,INDEX($D$94:$AD$94,28-$D$80):$AD$94),_xlfn.AGGREGATE(4,6,INDEX($D$95:$AD$95,28-$D$80):$AD$95))-0.10811,0.32432),NA()),IF(BQ$82="C",NA(),NA())))</f>
        <v>0</v>
      </c>
      <c r="BR116" s="68">
        <f>IF(BR$82="A",NA(),IF(BR$82="B",IF(ISNUMBER(INDEX($D$94:$AD$94,BR$81)),MAX(MAX(N(INDEX($D$94:$AD$94,BR$81)),N(INDEX($D$95:$AD$95,BR$81)))/MAX(1,_xlfn.AGGREGATE(4,6,INDEX($D$94:$AD$94,28-$D$80):$AD$94),_xlfn.AGGREGATE(4,6,INDEX($D$95:$AD$95,28-$D$80):$AD$95))-0.10811,0.32432),NA()),IF(BR$82="C",NA(),NA())))</f>
        <v>0</v>
      </c>
      <c r="BS116" s="68">
        <f>IF(BS$82="A",NA(),IF(BS$82="B",IF(ISNUMBER(INDEX($D$94:$AD$94,BS$81)),MAX(MAX(N(INDEX($D$94:$AD$94,BS$81)),N(INDEX($D$95:$AD$95,BS$81)))/MAX(1,_xlfn.AGGREGATE(4,6,INDEX($D$94:$AD$94,28-$D$80):$AD$94),_xlfn.AGGREGATE(4,6,INDEX($D$95:$AD$95,28-$D$80):$AD$95))-0.10811,0.32432),NA()),IF(BS$82="C",NA(),NA())))</f>
        <v>0</v>
      </c>
      <c r="BT116" s="68">
        <f>IF(BT$82="A",NA(),IF(BT$82="B",IF(ISNUMBER(INDEX($D$94:$AD$94,BT$81)),MAX(MAX(N(INDEX($D$94:$AD$94,BT$81)),N(INDEX($D$95:$AD$95,BT$81)))/MAX(1,_xlfn.AGGREGATE(4,6,INDEX($D$94:$AD$94,28-$D$80):$AD$94),_xlfn.AGGREGATE(4,6,INDEX($D$95:$AD$95,28-$D$80):$AD$95))-0.10811,0.32432),NA()),IF(BT$82="C",NA(),NA())))</f>
        <v>0</v>
      </c>
    </row>
    <row r="117" spans="1:72">
      <c r="A117" s="11" t="s">
        <v>765</v>
      </c>
      <c r="B117" s="11" t="s">
        <v>766</v>
      </c>
      <c r="C117" s="67" t="s">
        <v>610</v>
      </c>
      <c r="AQ117" s="11">
        <f>IF(AQ$82="A","",IF(AQ$82="B",IF(ISNUMBER(INDEX($D$94:$AD$94,AQ$81)),FIXED(INDEX($D$94:$AD$94,AQ$81)/1000,1),""),IF(AQ$82="C","","")))</f>
        <v>0</v>
      </c>
      <c r="AR117" s="11">
        <f>IF(AR$82="A","",IF(AR$82="B",IF(ISNUMBER(INDEX($D$94:$AD$94,AR$81)),FIXED(INDEX($D$94:$AD$94,AR$81)/1000,1),""),IF(AR$82="C","","")))</f>
        <v>0</v>
      </c>
      <c r="AS117" s="11">
        <f>IF(AS$82="A","",IF(AS$82="B",IF(ISNUMBER(INDEX($D$94:$AD$94,AS$81)),FIXED(INDEX($D$94:$AD$94,AS$81)/1000,1),""),IF(AS$82="C","","")))</f>
        <v>0</v>
      </c>
      <c r="AT117" s="11">
        <f>IF(AT$82="A","",IF(AT$82="B",IF(ISNUMBER(INDEX($D$94:$AD$94,AT$81)),FIXED(INDEX($D$94:$AD$94,AT$81)/1000,1),""),IF(AT$82="C","","")))</f>
        <v>0</v>
      </c>
      <c r="AU117" s="11">
        <f>IF(AU$82="A","",IF(AU$82="B",IF(ISNUMBER(INDEX($D$94:$AD$94,AU$81)),FIXED(INDEX($D$94:$AD$94,AU$81)/1000,1),""),IF(AU$82="C","","")))</f>
        <v>0</v>
      </c>
      <c r="AV117" s="11">
        <f>IF(AV$82="A","",IF(AV$82="B",IF(ISNUMBER(INDEX($D$94:$AD$94,AV$81)),FIXED(INDEX($D$94:$AD$94,AV$81)/1000,1),""),IF(AV$82="C","","")))</f>
        <v>0</v>
      </c>
      <c r="AW117" s="11">
        <f>IF(AW$82="A","",IF(AW$82="B",IF(ISNUMBER(INDEX($D$94:$AD$94,AW$81)),FIXED(INDEX($D$94:$AD$94,AW$81)/1000,1),""),IF(AW$82="C","","")))</f>
        <v>0</v>
      </c>
      <c r="AX117" s="11">
        <f>IF(AX$82="A","",IF(AX$82="B",IF(ISNUMBER(INDEX($D$94:$AD$94,AX$81)),FIXED(INDEX($D$94:$AD$94,AX$81)/1000,1),""),IF(AX$82="C","","")))</f>
        <v>0</v>
      </c>
      <c r="AY117" s="11">
        <f>IF(AY$82="A","",IF(AY$82="B",IF(ISNUMBER(INDEX($D$94:$AD$94,AY$81)),FIXED(INDEX($D$94:$AD$94,AY$81)/1000,1),""),IF(AY$82="C","","")))</f>
        <v>0</v>
      </c>
      <c r="AZ117" s="11">
        <f>IF(AZ$82="A","",IF(AZ$82="B",IF(ISNUMBER(INDEX($D$94:$AD$94,AZ$81)),FIXED(INDEX($D$94:$AD$94,AZ$81)/1000,1),""),IF(AZ$82="C","","")))</f>
        <v>0</v>
      </c>
      <c r="BA117" s="11">
        <f>IF(BA$82="A","",IF(BA$82="B",IF(ISNUMBER(INDEX($D$94:$AD$94,BA$81)),FIXED(INDEX($D$94:$AD$94,BA$81)/1000,1),""),IF(BA$82="C","","")))</f>
        <v>0</v>
      </c>
      <c r="BB117" s="11">
        <f>IF(BB$82="A","",IF(BB$82="B",IF(ISNUMBER(INDEX($D$94:$AD$94,BB$81)),FIXED(INDEX($D$94:$AD$94,BB$81)/1000,1),""),IF(BB$82="C","","")))</f>
        <v>0</v>
      </c>
      <c r="BC117" s="11">
        <f>IF(BC$82="A","",IF(BC$82="B",IF(ISNUMBER(INDEX($D$94:$AD$94,BC$81)),FIXED(INDEX($D$94:$AD$94,BC$81)/1000,1),""),IF(BC$82="C","","")))</f>
        <v>0</v>
      </c>
      <c r="BD117" s="11">
        <f>IF(BD$82="A","",IF(BD$82="B",IF(ISNUMBER(INDEX($D$94:$AD$94,BD$81)),FIXED(INDEX($D$94:$AD$94,BD$81)/1000,1),""),IF(BD$82="C","","")))</f>
        <v>0</v>
      </c>
      <c r="BE117" s="11">
        <f>IF(BE$82="A","",IF(BE$82="B",IF(ISNUMBER(INDEX($D$94:$AD$94,BE$81)),FIXED(INDEX($D$94:$AD$94,BE$81)/1000,1),""),IF(BE$82="C","","")))</f>
        <v>0</v>
      </c>
      <c r="BF117" s="11">
        <f>IF(BF$82="A","",IF(BF$82="B",IF(ISNUMBER(INDEX($D$94:$AD$94,BF$81)),FIXED(INDEX($D$94:$AD$94,BF$81)/1000,1),""),IF(BF$82="C","","")))</f>
        <v>0</v>
      </c>
      <c r="BG117" s="11">
        <f>IF(BG$82="A","",IF(BG$82="B",IF(ISNUMBER(INDEX($D$94:$AD$94,BG$81)),FIXED(INDEX($D$94:$AD$94,BG$81)/1000,1),""),IF(BG$82="C","","")))</f>
        <v>0</v>
      </c>
      <c r="BH117" s="11">
        <f>IF(BH$82="A","",IF(BH$82="B",IF(ISNUMBER(INDEX($D$94:$AD$94,BH$81)),FIXED(INDEX($D$94:$AD$94,BH$81)/1000,1),""),IF(BH$82="C","","")))</f>
        <v>0</v>
      </c>
      <c r="BI117" s="11">
        <f>IF(BI$82="A","",IF(BI$82="B",IF(ISNUMBER(INDEX($D$94:$AD$94,BI$81)),FIXED(INDEX($D$94:$AD$94,BI$81)/1000,1),""),IF(BI$82="C","","")))</f>
        <v>0</v>
      </c>
      <c r="BJ117" s="11">
        <f>IF(BJ$82="A","",IF(BJ$82="B",IF(ISNUMBER(INDEX($D$94:$AD$94,BJ$81)),FIXED(INDEX($D$94:$AD$94,BJ$81)/1000,1),""),IF(BJ$82="C","","")))</f>
        <v>0</v>
      </c>
      <c r="BK117" s="11">
        <f>IF(BK$82="A","",IF(BK$82="B",IF(ISNUMBER(INDEX($D$94:$AD$94,BK$81)),FIXED(INDEX($D$94:$AD$94,BK$81)/1000,1),""),IF(BK$82="C","","")))</f>
        <v>0</v>
      </c>
      <c r="BL117" s="11">
        <f>IF(BL$82="A","",IF(BL$82="B",IF(ISNUMBER(INDEX($D$94:$AD$94,BL$81)),FIXED(INDEX($D$94:$AD$94,BL$81)/1000,1),""),IF(BL$82="C","","")))</f>
        <v>0</v>
      </c>
      <c r="BM117" s="11">
        <f>IF(BM$82="A","",IF(BM$82="B",IF(ISNUMBER(INDEX($D$94:$AD$94,BM$81)),FIXED(INDEX($D$94:$AD$94,BM$81)/1000,1),""),IF(BM$82="C","","")))</f>
        <v>0</v>
      </c>
      <c r="BN117" s="11">
        <f>IF(BN$82="A","",IF(BN$82="B",IF(ISNUMBER(INDEX($D$94:$AD$94,BN$81)),FIXED(INDEX($D$94:$AD$94,BN$81)/1000,1),""),IF(BN$82="C","","")))</f>
        <v>0</v>
      </c>
      <c r="BO117" s="11">
        <f>IF(BO$82="A","",IF(BO$82="B",IF(ISNUMBER(INDEX($D$94:$AD$94,BO$81)),FIXED(INDEX($D$94:$AD$94,BO$81)/1000,1),""),IF(BO$82="C","","")))</f>
        <v>0</v>
      </c>
      <c r="BP117" s="11">
        <f>IF(BP$82="A","",IF(BP$82="B",IF(ISNUMBER(INDEX($D$94:$AD$94,BP$81)),FIXED(INDEX($D$94:$AD$94,BP$81)/1000,1),""),IF(BP$82="C","","")))</f>
        <v>0</v>
      </c>
      <c r="BQ117" s="11">
        <f>IF(BQ$82="A","",IF(BQ$82="B",IF(ISNUMBER(INDEX($D$94:$AD$94,BQ$81)),FIXED(INDEX($D$94:$AD$94,BQ$81)/1000,1),""),IF(BQ$82="C","","")))</f>
        <v>0</v>
      </c>
      <c r="BR117" s="11">
        <f>IF(BR$82="A","",IF(BR$82="B",IF(ISNUMBER(INDEX($D$94:$AD$94,BR$81)),FIXED(INDEX($D$94:$AD$94,BR$81)/1000,1),""),IF(BR$82="C","","")))</f>
        <v>0</v>
      </c>
      <c r="BS117" s="11">
        <f>IF(BS$82="A","",IF(BS$82="B",IF(ISNUMBER(INDEX($D$94:$AD$94,BS$81)),FIXED(INDEX($D$94:$AD$94,BS$81)/1000,1),""),IF(BS$82="C","","")))</f>
        <v>0</v>
      </c>
      <c r="BT117" s="11">
        <f>IF(BT$82="A","",IF(BT$82="B",IF(ISNUMBER(INDEX($D$94:$AD$94,BT$81)),FIXED(INDEX($D$94:$AD$94,BT$81)/1000,1),""),IF(BT$82="C","","")))</f>
        <v>0</v>
      </c>
    </row>
    <row r="118" spans="1:72">
      <c r="A118" s="11" t="s">
        <v>767</v>
      </c>
      <c r="B118" s="11" t="s">
        <v>768</v>
      </c>
      <c r="C118" s="67" t="s">
        <v>610</v>
      </c>
      <c r="AQ118" s="68">
        <f>IF(AQ$82="A",NA(),IF(AQ$82="B",IF(ISNUMBER(INDEX($D$95:$AD$95,AQ$81)),MAX(MAX(N(INDEX($D$94:$AD$94,AQ$81)),N(INDEX($D$95:$AD$95,AQ$81)))/MAX(1,_xlfn.AGGREGATE(4,6,INDEX($D$94:$AD$94,28-$D$80):$AD$94),_xlfn.AGGREGATE(4,6,INDEX($D$95:$AD$95,28-$D$80):$AD$95))-0.32432,0.10811),NA()),IF(AQ$82="C",NA(),NA())))</f>
        <v>0</v>
      </c>
      <c r="AR118" s="68">
        <f>IF(AR$82="A",NA(),IF(AR$82="B",IF(ISNUMBER(INDEX($D$95:$AD$95,AR$81)),MAX(MAX(N(INDEX($D$94:$AD$94,AR$81)),N(INDEX($D$95:$AD$95,AR$81)))/MAX(1,_xlfn.AGGREGATE(4,6,INDEX($D$94:$AD$94,28-$D$80):$AD$94),_xlfn.AGGREGATE(4,6,INDEX($D$95:$AD$95,28-$D$80):$AD$95))-0.32432,0.10811),NA()),IF(AR$82="C",NA(),NA())))</f>
        <v>0</v>
      </c>
      <c r="AS118" s="68">
        <f>IF(AS$82="A",NA(),IF(AS$82="B",IF(ISNUMBER(INDEX($D$95:$AD$95,AS$81)),MAX(MAX(N(INDEX($D$94:$AD$94,AS$81)),N(INDEX($D$95:$AD$95,AS$81)))/MAX(1,_xlfn.AGGREGATE(4,6,INDEX($D$94:$AD$94,28-$D$80):$AD$94),_xlfn.AGGREGATE(4,6,INDEX($D$95:$AD$95,28-$D$80):$AD$95))-0.32432,0.10811),NA()),IF(AS$82="C",NA(),NA())))</f>
        <v>0</v>
      </c>
      <c r="AT118" s="68">
        <f>IF(AT$82="A",NA(),IF(AT$82="B",IF(ISNUMBER(INDEX($D$95:$AD$95,AT$81)),MAX(MAX(N(INDEX($D$94:$AD$94,AT$81)),N(INDEX($D$95:$AD$95,AT$81)))/MAX(1,_xlfn.AGGREGATE(4,6,INDEX($D$94:$AD$94,28-$D$80):$AD$94),_xlfn.AGGREGATE(4,6,INDEX($D$95:$AD$95,28-$D$80):$AD$95))-0.32432,0.10811),NA()),IF(AT$82="C",NA(),NA())))</f>
        <v>0</v>
      </c>
      <c r="AU118" s="68">
        <f>IF(AU$82="A",NA(),IF(AU$82="B",IF(ISNUMBER(INDEX($D$95:$AD$95,AU$81)),MAX(MAX(N(INDEX($D$94:$AD$94,AU$81)),N(INDEX($D$95:$AD$95,AU$81)))/MAX(1,_xlfn.AGGREGATE(4,6,INDEX($D$94:$AD$94,28-$D$80):$AD$94),_xlfn.AGGREGATE(4,6,INDEX($D$95:$AD$95,28-$D$80):$AD$95))-0.32432,0.10811),NA()),IF(AU$82="C",NA(),NA())))</f>
        <v>0</v>
      </c>
      <c r="AV118" s="68">
        <f>IF(AV$82="A",NA(),IF(AV$82="B",IF(ISNUMBER(INDEX($D$95:$AD$95,AV$81)),MAX(MAX(N(INDEX($D$94:$AD$94,AV$81)),N(INDEX($D$95:$AD$95,AV$81)))/MAX(1,_xlfn.AGGREGATE(4,6,INDEX($D$94:$AD$94,28-$D$80):$AD$94),_xlfn.AGGREGATE(4,6,INDEX($D$95:$AD$95,28-$D$80):$AD$95))-0.32432,0.10811),NA()),IF(AV$82="C",NA(),NA())))</f>
        <v>0</v>
      </c>
      <c r="AW118" s="68">
        <f>IF(AW$82="A",NA(),IF(AW$82="B",IF(ISNUMBER(INDEX($D$95:$AD$95,AW$81)),MAX(MAX(N(INDEX($D$94:$AD$94,AW$81)),N(INDEX($D$95:$AD$95,AW$81)))/MAX(1,_xlfn.AGGREGATE(4,6,INDEX($D$94:$AD$94,28-$D$80):$AD$94),_xlfn.AGGREGATE(4,6,INDEX($D$95:$AD$95,28-$D$80):$AD$95))-0.32432,0.10811),NA()),IF(AW$82="C",NA(),NA())))</f>
        <v>0</v>
      </c>
      <c r="AX118" s="68">
        <f>IF(AX$82="A",NA(),IF(AX$82="B",IF(ISNUMBER(INDEX($D$95:$AD$95,AX$81)),MAX(MAX(N(INDEX($D$94:$AD$94,AX$81)),N(INDEX($D$95:$AD$95,AX$81)))/MAX(1,_xlfn.AGGREGATE(4,6,INDEX($D$94:$AD$94,28-$D$80):$AD$94),_xlfn.AGGREGATE(4,6,INDEX($D$95:$AD$95,28-$D$80):$AD$95))-0.32432,0.10811),NA()),IF(AX$82="C",NA(),NA())))</f>
        <v>0</v>
      </c>
      <c r="AY118" s="68">
        <f>IF(AY$82="A",NA(),IF(AY$82="B",IF(ISNUMBER(INDEX($D$95:$AD$95,AY$81)),MAX(MAX(N(INDEX($D$94:$AD$94,AY$81)),N(INDEX($D$95:$AD$95,AY$81)))/MAX(1,_xlfn.AGGREGATE(4,6,INDEX($D$94:$AD$94,28-$D$80):$AD$94),_xlfn.AGGREGATE(4,6,INDEX($D$95:$AD$95,28-$D$80):$AD$95))-0.32432,0.10811),NA()),IF(AY$82="C",NA(),NA())))</f>
        <v>0</v>
      </c>
      <c r="AZ118" s="68">
        <f>IF(AZ$82="A",NA(),IF(AZ$82="B",IF(ISNUMBER(INDEX($D$95:$AD$95,AZ$81)),MAX(MAX(N(INDEX($D$94:$AD$94,AZ$81)),N(INDEX($D$95:$AD$95,AZ$81)))/MAX(1,_xlfn.AGGREGATE(4,6,INDEX($D$94:$AD$94,28-$D$80):$AD$94),_xlfn.AGGREGATE(4,6,INDEX($D$95:$AD$95,28-$D$80):$AD$95))-0.32432,0.10811),NA()),IF(AZ$82="C",NA(),NA())))</f>
        <v>0</v>
      </c>
      <c r="BA118" s="68">
        <f>IF(BA$82="A",NA(),IF(BA$82="B",IF(ISNUMBER(INDEX($D$95:$AD$95,BA$81)),MAX(MAX(N(INDEX($D$94:$AD$94,BA$81)),N(INDEX($D$95:$AD$95,BA$81)))/MAX(1,_xlfn.AGGREGATE(4,6,INDEX($D$94:$AD$94,28-$D$80):$AD$94),_xlfn.AGGREGATE(4,6,INDEX($D$95:$AD$95,28-$D$80):$AD$95))-0.32432,0.10811),NA()),IF(BA$82="C",NA(),NA())))</f>
        <v>0</v>
      </c>
      <c r="BB118" s="68">
        <f>IF(BB$82="A",NA(),IF(BB$82="B",IF(ISNUMBER(INDEX($D$95:$AD$95,BB$81)),MAX(MAX(N(INDEX($D$94:$AD$94,BB$81)),N(INDEX($D$95:$AD$95,BB$81)))/MAX(1,_xlfn.AGGREGATE(4,6,INDEX($D$94:$AD$94,28-$D$80):$AD$94),_xlfn.AGGREGATE(4,6,INDEX($D$95:$AD$95,28-$D$80):$AD$95))-0.32432,0.10811),NA()),IF(BB$82="C",NA(),NA())))</f>
        <v>0</v>
      </c>
      <c r="BC118" s="68">
        <f>IF(BC$82="A",NA(),IF(BC$82="B",IF(ISNUMBER(INDEX($D$95:$AD$95,BC$81)),MAX(MAX(N(INDEX($D$94:$AD$94,BC$81)),N(INDEX($D$95:$AD$95,BC$81)))/MAX(1,_xlfn.AGGREGATE(4,6,INDEX($D$94:$AD$94,28-$D$80):$AD$94),_xlfn.AGGREGATE(4,6,INDEX($D$95:$AD$95,28-$D$80):$AD$95))-0.32432,0.10811),NA()),IF(BC$82="C",NA(),NA())))</f>
        <v>0</v>
      </c>
      <c r="BD118" s="68">
        <f>IF(BD$82="A",NA(),IF(BD$82="B",IF(ISNUMBER(INDEX($D$95:$AD$95,BD$81)),MAX(MAX(N(INDEX($D$94:$AD$94,BD$81)),N(INDEX($D$95:$AD$95,BD$81)))/MAX(1,_xlfn.AGGREGATE(4,6,INDEX($D$94:$AD$94,28-$D$80):$AD$94),_xlfn.AGGREGATE(4,6,INDEX($D$95:$AD$95,28-$D$80):$AD$95))-0.32432,0.10811),NA()),IF(BD$82="C",NA(),NA())))</f>
        <v>0</v>
      </c>
      <c r="BE118" s="68">
        <f>IF(BE$82="A",NA(),IF(BE$82="B",IF(ISNUMBER(INDEX($D$95:$AD$95,BE$81)),MAX(MAX(N(INDEX($D$94:$AD$94,BE$81)),N(INDEX($D$95:$AD$95,BE$81)))/MAX(1,_xlfn.AGGREGATE(4,6,INDEX($D$94:$AD$94,28-$D$80):$AD$94),_xlfn.AGGREGATE(4,6,INDEX($D$95:$AD$95,28-$D$80):$AD$95))-0.32432,0.10811),NA()),IF(BE$82="C",NA(),NA())))</f>
        <v>0</v>
      </c>
      <c r="BF118" s="68">
        <f>IF(BF$82="A",NA(),IF(BF$82="B",IF(ISNUMBER(INDEX($D$95:$AD$95,BF$81)),MAX(MAX(N(INDEX($D$94:$AD$94,BF$81)),N(INDEX($D$95:$AD$95,BF$81)))/MAX(1,_xlfn.AGGREGATE(4,6,INDEX($D$94:$AD$94,28-$D$80):$AD$94),_xlfn.AGGREGATE(4,6,INDEX($D$95:$AD$95,28-$D$80):$AD$95))-0.32432,0.10811),NA()),IF(BF$82="C",NA(),NA())))</f>
        <v>0</v>
      </c>
      <c r="BG118" s="68">
        <f>IF(BG$82="A",NA(),IF(BG$82="B",IF(ISNUMBER(INDEX($D$95:$AD$95,BG$81)),MAX(MAX(N(INDEX($D$94:$AD$94,BG$81)),N(INDEX($D$95:$AD$95,BG$81)))/MAX(1,_xlfn.AGGREGATE(4,6,INDEX($D$94:$AD$94,28-$D$80):$AD$94),_xlfn.AGGREGATE(4,6,INDEX($D$95:$AD$95,28-$D$80):$AD$95))-0.32432,0.10811),NA()),IF(BG$82="C",NA(),NA())))</f>
        <v>0</v>
      </c>
      <c r="BH118" s="68">
        <f>IF(BH$82="A",NA(),IF(BH$82="B",IF(ISNUMBER(INDEX($D$95:$AD$95,BH$81)),MAX(MAX(N(INDEX($D$94:$AD$94,BH$81)),N(INDEX($D$95:$AD$95,BH$81)))/MAX(1,_xlfn.AGGREGATE(4,6,INDEX($D$94:$AD$94,28-$D$80):$AD$94),_xlfn.AGGREGATE(4,6,INDEX($D$95:$AD$95,28-$D$80):$AD$95))-0.32432,0.10811),NA()),IF(BH$82="C",NA(),NA())))</f>
        <v>0</v>
      </c>
      <c r="BI118" s="68">
        <f>IF(BI$82="A",NA(),IF(BI$82="B",IF(ISNUMBER(INDEX($D$95:$AD$95,BI$81)),MAX(MAX(N(INDEX($D$94:$AD$94,BI$81)),N(INDEX($D$95:$AD$95,BI$81)))/MAX(1,_xlfn.AGGREGATE(4,6,INDEX($D$94:$AD$94,28-$D$80):$AD$94),_xlfn.AGGREGATE(4,6,INDEX($D$95:$AD$95,28-$D$80):$AD$95))-0.32432,0.10811),NA()),IF(BI$82="C",NA(),NA())))</f>
        <v>0</v>
      </c>
      <c r="BJ118" s="68">
        <f>IF(BJ$82="A",NA(),IF(BJ$82="B",IF(ISNUMBER(INDEX($D$95:$AD$95,BJ$81)),MAX(MAX(N(INDEX($D$94:$AD$94,BJ$81)),N(INDEX($D$95:$AD$95,BJ$81)))/MAX(1,_xlfn.AGGREGATE(4,6,INDEX($D$94:$AD$94,28-$D$80):$AD$94),_xlfn.AGGREGATE(4,6,INDEX($D$95:$AD$95,28-$D$80):$AD$95))-0.32432,0.10811),NA()),IF(BJ$82="C",NA(),NA())))</f>
        <v>0</v>
      </c>
      <c r="BK118" s="68">
        <f>IF(BK$82="A",NA(),IF(BK$82="B",IF(ISNUMBER(INDEX($D$95:$AD$95,BK$81)),MAX(MAX(N(INDEX($D$94:$AD$94,BK$81)),N(INDEX($D$95:$AD$95,BK$81)))/MAX(1,_xlfn.AGGREGATE(4,6,INDEX($D$94:$AD$94,28-$D$80):$AD$94),_xlfn.AGGREGATE(4,6,INDEX($D$95:$AD$95,28-$D$80):$AD$95))-0.32432,0.10811),NA()),IF(BK$82="C",NA(),NA())))</f>
        <v>0</v>
      </c>
      <c r="BL118" s="68">
        <f>IF(BL$82="A",NA(),IF(BL$82="B",IF(ISNUMBER(INDEX($D$95:$AD$95,BL$81)),MAX(MAX(N(INDEX($D$94:$AD$94,BL$81)),N(INDEX($D$95:$AD$95,BL$81)))/MAX(1,_xlfn.AGGREGATE(4,6,INDEX($D$94:$AD$94,28-$D$80):$AD$94),_xlfn.AGGREGATE(4,6,INDEX($D$95:$AD$95,28-$D$80):$AD$95))-0.32432,0.10811),NA()),IF(BL$82="C",NA(),NA())))</f>
        <v>0</v>
      </c>
      <c r="BM118" s="68">
        <f>IF(BM$82="A",NA(),IF(BM$82="B",IF(ISNUMBER(INDEX($D$95:$AD$95,BM$81)),MAX(MAX(N(INDEX($D$94:$AD$94,BM$81)),N(INDEX($D$95:$AD$95,BM$81)))/MAX(1,_xlfn.AGGREGATE(4,6,INDEX($D$94:$AD$94,28-$D$80):$AD$94),_xlfn.AGGREGATE(4,6,INDEX($D$95:$AD$95,28-$D$80):$AD$95))-0.32432,0.10811),NA()),IF(BM$82="C",NA(),NA())))</f>
        <v>0</v>
      </c>
      <c r="BN118" s="68">
        <f>IF(BN$82="A",NA(),IF(BN$82="B",IF(ISNUMBER(INDEX($D$95:$AD$95,BN$81)),MAX(MAX(N(INDEX($D$94:$AD$94,BN$81)),N(INDEX($D$95:$AD$95,BN$81)))/MAX(1,_xlfn.AGGREGATE(4,6,INDEX($D$94:$AD$94,28-$D$80):$AD$94),_xlfn.AGGREGATE(4,6,INDEX($D$95:$AD$95,28-$D$80):$AD$95))-0.32432,0.10811),NA()),IF(BN$82="C",NA(),NA())))</f>
        <v>0</v>
      </c>
      <c r="BO118" s="68">
        <f>IF(BO$82="A",NA(),IF(BO$82="B",IF(ISNUMBER(INDEX($D$95:$AD$95,BO$81)),MAX(MAX(N(INDEX($D$94:$AD$94,BO$81)),N(INDEX($D$95:$AD$95,BO$81)))/MAX(1,_xlfn.AGGREGATE(4,6,INDEX($D$94:$AD$94,28-$D$80):$AD$94),_xlfn.AGGREGATE(4,6,INDEX($D$95:$AD$95,28-$D$80):$AD$95))-0.32432,0.10811),NA()),IF(BO$82="C",NA(),NA())))</f>
        <v>0</v>
      </c>
      <c r="BP118" s="68">
        <f>IF(BP$82="A",NA(),IF(BP$82="B",IF(ISNUMBER(INDEX($D$95:$AD$95,BP$81)),MAX(MAX(N(INDEX($D$94:$AD$94,BP$81)),N(INDEX($D$95:$AD$95,BP$81)))/MAX(1,_xlfn.AGGREGATE(4,6,INDEX($D$94:$AD$94,28-$D$80):$AD$94),_xlfn.AGGREGATE(4,6,INDEX($D$95:$AD$95,28-$D$80):$AD$95))-0.32432,0.10811),NA()),IF(BP$82="C",NA(),NA())))</f>
        <v>0</v>
      </c>
      <c r="BQ118" s="68">
        <f>IF(BQ$82="A",NA(),IF(BQ$82="B",IF(ISNUMBER(INDEX($D$95:$AD$95,BQ$81)),MAX(MAX(N(INDEX($D$94:$AD$94,BQ$81)),N(INDEX($D$95:$AD$95,BQ$81)))/MAX(1,_xlfn.AGGREGATE(4,6,INDEX($D$94:$AD$94,28-$D$80):$AD$94),_xlfn.AGGREGATE(4,6,INDEX($D$95:$AD$95,28-$D$80):$AD$95))-0.32432,0.10811),NA()),IF(BQ$82="C",NA(),NA())))</f>
        <v>0</v>
      </c>
      <c r="BR118" s="68">
        <f>IF(BR$82="A",NA(),IF(BR$82="B",IF(ISNUMBER(INDEX($D$95:$AD$95,BR$81)),MAX(MAX(N(INDEX($D$94:$AD$94,BR$81)),N(INDEX($D$95:$AD$95,BR$81)))/MAX(1,_xlfn.AGGREGATE(4,6,INDEX($D$94:$AD$94,28-$D$80):$AD$94),_xlfn.AGGREGATE(4,6,INDEX($D$95:$AD$95,28-$D$80):$AD$95))-0.32432,0.10811),NA()),IF(BR$82="C",NA(),NA())))</f>
        <v>0</v>
      </c>
      <c r="BS118" s="68">
        <f>IF(BS$82="A",NA(),IF(BS$82="B",IF(ISNUMBER(INDEX($D$95:$AD$95,BS$81)),MAX(MAX(N(INDEX($D$94:$AD$94,BS$81)),N(INDEX($D$95:$AD$95,BS$81)))/MAX(1,_xlfn.AGGREGATE(4,6,INDEX($D$94:$AD$94,28-$D$80):$AD$94),_xlfn.AGGREGATE(4,6,INDEX($D$95:$AD$95,28-$D$80):$AD$95))-0.32432,0.10811),NA()),IF(BS$82="C",NA(),NA())))</f>
        <v>0</v>
      </c>
      <c r="BT118" s="68">
        <f>IF(BT$82="A",NA(),IF(BT$82="B",IF(ISNUMBER(INDEX($D$95:$AD$95,BT$81)),MAX(MAX(N(INDEX($D$94:$AD$94,BT$81)),N(INDEX($D$95:$AD$95,BT$81)))/MAX(1,_xlfn.AGGREGATE(4,6,INDEX($D$94:$AD$94,28-$D$80):$AD$94),_xlfn.AGGREGATE(4,6,INDEX($D$95:$AD$95,28-$D$80):$AD$95))-0.32432,0.10811),NA()),IF(BT$82="C",NA(),NA())))</f>
        <v>0</v>
      </c>
    </row>
    <row r="119" spans="1:72">
      <c r="A119" s="11" t="s">
        <v>769</v>
      </c>
      <c r="B119" s="11" t="s">
        <v>770</v>
      </c>
      <c r="C119" s="67" t="s">
        <v>610</v>
      </c>
      <c r="AQ119" s="11">
        <f>IF(AQ$82="A","",IF(AQ$82="B",IF(ISNUMBER(INDEX($D$95:$AD$95,AQ$81)),FIXED(INDEX($D$95:$AD$95,AQ$81)/1000,1),""),IF(AQ$82="C","","")))</f>
        <v>0</v>
      </c>
      <c r="AR119" s="11">
        <f>IF(AR$82="A","",IF(AR$82="B",IF(ISNUMBER(INDEX($D$95:$AD$95,AR$81)),FIXED(INDEX($D$95:$AD$95,AR$81)/1000,1),""),IF(AR$82="C","","")))</f>
        <v>0</v>
      </c>
      <c r="AS119" s="11">
        <f>IF(AS$82="A","",IF(AS$82="B",IF(ISNUMBER(INDEX($D$95:$AD$95,AS$81)),FIXED(INDEX($D$95:$AD$95,AS$81)/1000,1),""),IF(AS$82="C","","")))</f>
        <v>0</v>
      </c>
      <c r="AT119" s="11">
        <f>IF(AT$82="A","",IF(AT$82="B",IF(ISNUMBER(INDEX($D$95:$AD$95,AT$81)),FIXED(INDEX($D$95:$AD$95,AT$81)/1000,1),""),IF(AT$82="C","","")))</f>
        <v>0</v>
      </c>
      <c r="AU119" s="11">
        <f>IF(AU$82="A","",IF(AU$82="B",IF(ISNUMBER(INDEX($D$95:$AD$95,AU$81)),FIXED(INDEX($D$95:$AD$95,AU$81)/1000,1),""),IF(AU$82="C","","")))</f>
        <v>0</v>
      </c>
      <c r="AV119" s="11">
        <f>IF(AV$82="A","",IF(AV$82="B",IF(ISNUMBER(INDEX($D$95:$AD$95,AV$81)),FIXED(INDEX($D$95:$AD$95,AV$81)/1000,1),""),IF(AV$82="C","","")))</f>
        <v>0</v>
      </c>
      <c r="AW119" s="11">
        <f>IF(AW$82="A","",IF(AW$82="B",IF(ISNUMBER(INDEX($D$95:$AD$95,AW$81)),FIXED(INDEX($D$95:$AD$95,AW$81)/1000,1),""),IF(AW$82="C","","")))</f>
        <v>0</v>
      </c>
      <c r="AX119" s="11">
        <f>IF(AX$82="A","",IF(AX$82="B",IF(ISNUMBER(INDEX($D$95:$AD$95,AX$81)),FIXED(INDEX($D$95:$AD$95,AX$81)/1000,1),""),IF(AX$82="C","","")))</f>
        <v>0</v>
      </c>
      <c r="AY119" s="11">
        <f>IF(AY$82="A","",IF(AY$82="B",IF(ISNUMBER(INDEX($D$95:$AD$95,AY$81)),FIXED(INDEX($D$95:$AD$95,AY$81)/1000,1),""),IF(AY$82="C","","")))</f>
        <v>0</v>
      </c>
      <c r="AZ119" s="11">
        <f>IF(AZ$82="A","",IF(AZ$82="B",IF(ISNUMBER(INDEX($D$95:$AD$95,AZ$81)),FIXED(INDEX($D$95:$AD$95,AZ$81)/1000,1),""),IF(AZ$82="C","","")))</f>
        <v>0</v>
      </c>
      <c r="BA119" s="11">
        <f>IF(BA$82="A","",IF(BA$82="B",IF(ISNUMBER(INDEX($D$95:$AD$95,BA$81)),FIXED(INDEX($D$95:$AD$95,BA$81)/1000,1),""),IF(BA$82="C","","")))</f>
        <v>0</v>
      </c>
      <c r="BB119" s="11">
        <f>IF(BB$82="A","",IF(BB$82="B",IF(ISNUMBER(INDEX($D$95:$AD$95,BB$81)),FIXED(INDEX($D$95:$AD$95,BB$81)/1000,1),""),IF(BB$82="C","","")))</f>
        <v>0</v>
      </c>
      <c r="BC119" s="11">
        <f>IF(BC$82="A","",IF(BC$82="B",IF(ISNUMBER(INDEX($D$95:$AD$95,BC$81)),FIXED(INDEX($D$95:$AD$95,BC$81)/1000,1),""),IF(BC$82="C","","")))</f>
        <v>0</v>
      </c>
      <c r="BD119" s="11">
        <f>IF(BD$82="A","",IF(BD$82="B",IF(ISNUMBER(INDEX($D$95:$AD$95,BD$81)),FIXED(INDEX($D$95:$AD$95,BD$81)/1000,1),""),IF(BD$82="C","","")))</f>
        <v>0</v>
      </c>
      <c r="BE119" s="11">
        <f>IF(BE$82="A","",IF(BE$82="B",IF(ISNUMBER(INDEX($D$95:$AD$95,BE$81)),FIXED(INDEX($D$95:$AD$95,BE$81)/1000,1),""),IF(BE$82="C","","")))</f>
        <v>0</v>
      </c>
      <c r="BF119" s="11">
        <f>IF(BF$82="A","",IF(BF$82="B",IF(ISNUMBER(INDEX($D$95:$AD$95,BF$81)),FIXED(INDEX($D$95:$AD$95,BF$81)/1000,1),""),IF(BF$82="C","","")))</f>
        <v>0</v>
      </c>
      <c r="BG119" s="11">
        <f>IF(BG$82="A","",IF(BG$82="B",IF(ISNUMBER(INDEX($D$95:$AD$95,BG$81)),FIXED(INDEX($D$95:$AD$95,BG$81)/1000,1),""),IF(BG$82="C","","")))</f>
        <v>0</v>
      </c>
      <c r="BH119" s="11">
        <f>IF(BH$82="A","",IF(BH$82="B",IF(ISNUMBER(INDEX($D$95:$AD$95,BH$81)),FIXED(INDEX($D$95:$AD$95,BH$81)/1000,1),""),IF(BH$82="C","","")))</f>
        <v>0</v>
      </c>
      <c r="BI119" s="11">
        <f>IF(BI$82="A","",IF(BI$82="B",IF(ISNUMBER(INDEX($D$95:$AD$95,BI$81)),FIXED(INDEX($D$95:$AD$95,BI$81)/1000,1),""),IF(BI$82="C","","")))</f>
        <v>0</v>
      </c>
      <c r="BJ119" s="11">
        <f>IF(BJ$82="A","",IF(BJ$82="B",IF(ISNUMBER(INDEX($D$95:$AD$95,BJ$81)),FIXED(INDEX($D$95:$AD$95,BJ$81)/1000,1),""),IF(BJ$82="C","","")))</f>
        <v>0</v>
      </c>
      <c r="BK119" s="11">
        <f>IF(BK$82="A","",IF(BK$82="B",IF(ISNUMBER(INDEX($D$95:$AD$95,BK$81)),FIXED(INDEX($D$95:$AD$95,BK$81)/1000,1),""),IF(BK$82="C","","")))</f>
        <v>0</v>
      </c>
      <c r="BL119" s="11">
        <f>IF(BL$82="A","",IF(BL$82="B",IF(ISNUMBER(INDEX($D$95:$AD$95,BL$81)),FIXED(INDEX($D$95:$AD$95,BL$81)/1000,1),""),IF(BL$82="C","","")))</f>
        <v>0</v>
      </c>
      <c r="BM119" s="11">
        <f>IF(BM$82="A","",IF(BM$82="B",IF(ISNUMBER(INDEX($D$95:$AD$95,BM$81)),FIXED(INDEX($D$95:$AD$95,BM$81)/1000,1),""),IF(BM$82="C","","")))</f>
        <v>0</v>
      </c>
      <c r="BN119" s="11">
        <f>IF(BN$82="A","",IF(BN$82="B",IF(ISNUMBER(INDEX($D$95:$AD$95,BN$81)),FIXED(INDEX($D$95:$AD$95,BN$81)/1000,1),""),IF(BN$82="C","","")))</f>
        <v>0</v>
      </c>
      <c r="BO119" s="11">
        <f>IF(BO$82="A","",IF(BO$82="B",IF(ISNUMBER(INDEX($D$95:$AD$95,BO$81)),FIXED(INDEX($D$95:$AD$95,BO$81)/1000,1),""),IF(BO$82="C","","")))</f>
        <v>0</v>
      </c>
      <c r="BP119" s="11">
        <f>IF(BP$82="A","",IF(BP$82="B",IF(ISNUMBER(INDEX($D$95:$AD$95,BP$81)),FIXED(INDEX($D$95:$AD$95,BP$81)/1000,1),""),IF(BP$82="C","","")))</f>
        <v>0</v>
      </c>
      <c r="BQ119" s="11">
        <f>IF(BQ$82="A","",IF(BQ$82="B",IF(ISNUMBER(INDEX($D$95:$AD$95,BQ$81)),FIXED(INDEX($D$95:$AD$95,BQ$81)/1000,1),""),IF(BQ$82="C","","")))</f>
        <v>0</v>
      </c>
      <c r="BR119" s="11">
        <f>IF(BR$82="A","",IF(BR$82="B",IF(ISNUMBER(INDEX($D$95:$AD$95,BR$81)),FIXED(INDEX($D$95:$AD$95,BR$81)/1000,1),""),IF(BR$82="C","","")))</f>
        <v>0</v>
      </c>
      <c r="BS119" s="11">
        <f>IF(BS$82="A","",IF(BS$82="B",IF(ISNUMBER(INDEX($D$95:$AD$95,BS$81)),FIXED(INDEX($D$95:$AD$95,BS$81)/1000,1),""),IF(BS$82="C","","")))</f>
        <v>0</v>
      </c>
      <c r="BT119" s="11">
        <f>IF(BT$82="A","",IF(BT$82="B",IF(ISNUMBER(INDEX($D$95:$AD$95,BT$81)),FIXED(INDEX($D$95:$AD$95,BT$81)/1000,1),""),IF(BT$82="C","","")))</f>
        <v>0</v>
      </c>
    </row>
    <row r="120" spans="1:72">
      <c r="A120" s="11" t="s">
        <v>771</v>
      </c>
      <c r="B120" s="11" t="s">
        <v>772</v>
      </c>
      <c r="C120" s="67" t="s">
        <v>610</v>
      </c>
      <c r="AQ120" s="68">
        <f>IF(AQ$82="A",IF(ISNUMBER(INDEX($D$97:$AD$97,AQ$81)),IF(ROUND(INDEX($D$97:$AD$97,AQ$81)/1000,1)&gt;0,-0.40541,NA()),NA()),IF(AQ$82="B",NA(),IF(AQ$82="C",NA(),NA())))</f>
        <v>0</v>
      </c>
      <c r="AR120" s="68">
        <f>IF(AR$82="A",IF(ISNUMBER(INDEX($D$97:$AD$97,AR$81)),IF(ROUND(INDEX($D$97:$AD$97,AR$81)/1000,1)&gt;0,-0.40541,NA()),NA()),IF(AR$82="B",NA(),IF(AR$82="C",NA(),NA())))</f>
        <v>0</v>
      </c>
      <c r="AS120" s="68">
        <f>IF(AS$82="A",IF(ISNUMBER(INDEX($D$97:$AD$97,AS$81)),IF(ROUND(INDEX($D$97:$AD$97,AS$81)/1000,1)&gt;0,-0.40541,NA()),NA()),IF(AS$82="B",NA(),IF(AS$82="C",NA(),NA())))</f>
        <v>0</v>
      </c>
      <c r="AT120" s="68">
        <f>IF(AT$82="A",IF(ISNUMBER(INDEX($D$97:$AD$97,AT$81)),IF(ROUND(INDEX($D$97:$AD$97,AT$81)/1000,1)&gt;0,-0.40541,NA()),NA()),IF(AT$82="B",NA(),IF(AT$82="C",NA(),NA())))</f>
        <v>0</v>
      </c>
      <c r="AU120" s="68">
        <f>IF(AU$82="A",IF(ISNUMBER(INDEX($D$97:$AD$97,AU$81)),IF(ROUND(INDEX($D$97:$AD$97,AU$81)/1000,1)&gt;0,-0.40541,NA()),NA()),IF(AU$82="B",NA(),IF(AU$82="C",NA(),NA())))</f>
        <v>0</v>
      </c>
      <c r="AV120" s="68">
        <f>IF(AV$82="A",IF(ISNUMBER(INDEX($D$97:$AD$97,AV$81)),IF(ROUND(INDEX($D$97:$AD$97,AV$81)/1000,1)&gt;0,-0.40541,NA()),NA()),IF(AV$82="B",NA(),IF(AV$82="C",NA(),NA())))</f>
        <v>0</v>
      </c>
      <c r="AW120" s="68">
        <f>IF(AW$82="A",IF(ISNUMBER(INDEX($D$97:$AD$97,AW$81)),IF(ROUND(INDEX($D$97:$AD$97,AW$81)/1000,1)&gt;0,-0.40541,NA()),NA()),IF(AW$82="B",NA(),IF(AW$82="C",NA(),NA())))</f>
        <v>0</v>
      </c>
      <c r="AX120" s="68">
        <f>IF(AX$82="A",IF(ISNUMBER(INDEX($D$97:$AD$97,AX$81)),IF(ROUND(INDEX($D$97:$AD$97,AX$81)/1000,1)&gt;0,-0.40541,NA()),NA()),IF(AX$82="B",NA(),IF(AX$82="C",NA(),NA())))</f>
        <v>0</v>
      </c>
      <c r="AY120" s="68">
        <f>IF(AY$82="A",IF(ISNUMBER(INDEX($D$97:$AD$97,AY$81)),IF(ROUND(INDEX($D$97:$AD$97,AY$81)/1000,1)&gt;0,-0.40541,NA()),NA()),IF(AY$82="B",NA(),IF(AY$82="C",NA(),NA())))</f>
        <v>0</v>
      </c>
      <c r="AZ120" s="68">
        <f>IF(AZ$82="A",IF(ISNUMBER(INDEX($D$97:$AD$97,AZ$81)),IF(ROUND(INDEX($D$97:$AD$97,AZ$81)/1000,1)&gt;0,-0.40541,NA()),NA()),IF(AZ$82="B",NA(),IF(AZ$82="C",NA(),NA())))</f>
        <v>0</v>
      </c>
      <c r="BA120" s="68">
        <f>IF(BA$82="A",IF(ISNUMBER(INDEX($D$97:$AD$97,BA$81)),IF(ROUND(INDEX($D$97:$AD$97,BA$81)/1000,1)&gt;0,-0.40541,NA()),NA()),IF(BA$82="B",NA(),IF(BA$82="C",NA(),NA())))</f>
        <v>0</v>
      </c>
      <c r="BB120" s="68">
        <f>IF(BB$82="A",IF(ISNUMBER(INDEX($D$97:$AD$97,BB$81)),IF(ROUND(INDEX($D$97:$AD$97,BB$81)/1000,1)&gt;0,-0.40541,NA()),NA()),IF(BB$82="B",NA(),IF(BB$82="C",NA(),NA())))</f>
        <v>0</v>
      </c>
      <c r="BC120" s="68">
        <f>IF(BC$82="A",IF(ISNUMBER(INDEX($D$97:$AD$97,BC$81)),IF(ROUND(INDEX($D$97:$AD$97,BC$81)/1000,1)&gt;0,-0.40541,NA()),NA()),IF(BC$82="B",NA(),IF(BC$82="C",NA(),NA())))</f>
        <v>0</v>
      </c>
      <c r="BD120" s="68">
        <f>IF(BD$82="A",IF(ISNUMBER(INDEX($D$97:$AD$97,BD$81)),IF(ROUND(INDEX($D$97:$AD$97,BD$81)/1000,1)&gt;0,-0.40541,NA()),NA()),IF(BD$82="B",NA(),IF(BD$82="C",NA(),NA())))</f>
        <v>0</v>
      </c>
      <c r="BE120" s="68">
        <f>IF(BE$82="A",IF(ISNUMBER(INDEX($D$97:$AD$97,BE$81)),IF(ROUND(INDEX($D$97:$AD$97,BE$81)/1000,1)&gt;0,-0.40541,NA()),NA()),IF(BE$82="B",NA(),IF(BE$82="C",NA(),NA())))</f>
        <v>0</v>
      </c>
      <c r="BF120" s="68">
        <f>IF(BF$82="A",IF(ISNUMBER(INDEX($D$97:$AD$97,BF$81)),IF(ROUND(INDEX($D$97:$AD$97,BF$81)/1000,1)&gt;0,-0.40541,NA()),NA()),IF(BF$82="B",NA(),IF(BF$82="C",NA(),NA())))</f>
        <v>0</v>
      </c>
      <c r="BG120" s="68">
        <f>IF(BG$82="A",IF(ISNUMBER(INDEX($D$97:$AD$97,BG$81)),IF(ROUND(INDEX($D$97:$AD$97,BG$81)/1000,1)&gt;0,-0.40541,NA()),NA()),IF(BG$82="B",NA(),IF(BG$82="C",NA(),NA())))</f>
        <v>0</v>
      </c>
      <c r="BH120" s="68">
        <f>IF(BH$82="A",IF(ISNUMBER(INDEX($D$97:$AD$97,BH$81)),IF(ROUND(INDEX($D$97:$AD$97,BH$81)/1000,1)&gt;0,-0.40541,NA()),NA()),IF(BH$82="B",NA(),IF(BH$82="C",NA(),NA())))</f>
        <v>0</v>
      </c>
      <c r="BI120" s="68">
        <f>IF(BI$82="A",IF(ISNUMBER(INDEX($D$97:$AD$97,BI$81)),IF(ROUND(INDEX($D$97:$AD$97,BI$81)/1000,1)&gt;0,-0.40541,NA()),NA()),IF(BI$82="B",NA(),IF(BI$82="C",NA(),NA())))</f>
        <v>0</v>
      </c>
      <c r="BJ120" s="68">
        <f>IF(BJ$82="A",IF(ISNUMBER(INDEX($D$97:$AD$97,BJ$81)),IF(ROUND(INDEX($D$97:$AD$97,BJ$81)/1000,1)&gt;0,-0.40541,NA()),NA()),IF(BJ$82="B",NA(),IF(BJ$82="C",NA(),NA())))</f>
        <v>0</v>
      </c>
      <c r="BK120" s="68">
        <f>IF(BK$82="A",IF(ISNUMBER(INDEX($D$97:$AD$97,BK$81)),IF(ROUND(INDEX($D$97:$AD$97,BK$81)/1000,1)&gt;0,-0.40541,NA()),NA()),IF(BK$82="B",NA(),IF(BK$82="C",NA(),NA())))</f>
        <v>0</v>
      </c>
      <c r="BL120" s="68">
        <f>IF(BL$82="A",IF(ISNUMBER(INDEX($D$97:$AD$97,BL$81)),IF(ROUND(INDEX($D$97:$AD$97,BL$81)/1000,1)&gt;0,-0.40541,NA()),NA()),IF(BL$82="B",NA(),IF(BL$82="C",NA(),NA())))</f>
        <v>0</v>
      </c>
      <c r="BM120" s="68">
        <f>IF(BM$82="A",IF(ISNUMBER(INDEX($D$97:$AD$97,BM$81)),IF(ROUND(INDEX($D$97:$AD$97,BM$81)/1000,1)&gt;0,-0.40541,NA()),NA()),IF(BM$82="B",NA(),IF(BM$82="C",NA(),NA())))</f>
        <v>0</v>
      </c>
      <c r="BN120" s="68">
        <f>IF(BN$82="A",IF(ISNUMBER(INDEX($D$97:$AD$97,BN$81)),IF(ROUND(INDEX($D$97:$AD$97,BN$81)/1000,1)&gt;0,-0.40541,NA()),NA()),IF(BN$82="B",NA(),IF(BN$82="C",NA(),NA())))</f>
        <v>0</v>
      </c>
      <c r="BO120" s="68">
        <f>IF(BO$82="A",IF(ISNUMBER(INDEX($D$97:$AD$97,BO$81)),IF(ROUND(INDEX($D$97:$AD$97,BO$81)/1000,1)&gt;0,-0.40541,NA()),NA()),IF(BO$82="B",NA(),IF(BO$82="C",NA(),NA())))</f>
        <v>0</v>
      </c>
      <c r="BP120" s="68">
        <f>IF(BP$82="A",IF(ISNUMBER(INDEX($D$97:$AD$97,BP$81)),IF(ROUND(INDEX($D$97:$AD$97,BP$81)/1000,1)&gt;0,-0.40541,NA()),NA()),IF(BP$82="B",NA(),IF(BP$82="C",NA(),NA())))</f>
        <v>0</v>
      </c>
      <c r="BQ120" s="68">
        <f>IF(BQ$82="A",IF(ISNUMBER(INDEX($D$97:$AD$97,BQ$81)),IF(ROUND(INDEX($D$97:$AD$97,BQ$81)/1000,1)&gt;0,-0.40541,NA()),NA()),IF(BQ$82="B",NA(),IF(BQ$82="C",NA(),NA())))</f>
        <v>0</v>
      </c>
      <c r="BR120" s="68">
        <f>IF(BR$82="A",IF(ISNUMBER(INDEX($D$97:$AD$97,BR$81)),IF(ROUND(INDEX($D$97:$AD$97,BR$81)/1000,1)&gt;0,-0.40541,NA()),NA()),IF(BR$82="B",NA(),IF(BR$82="C",NA(),NA())))</f>
        <v>0</v>
      </c>
      <c r="BS120" s="68">
        <f>IF(BS$82="A",IF(ISNUMBER(INDEX($D$97:$AD$97,BS$81)),IF(ROUND(INDEX($D$97:$AD$97,BS$81)/1000,1)&gt;0,-0.40541,NA()),NA()),IF(BS$82="B",NA(),IF(BS$82="C",NA(),NA())))</f>
        <v>0</v>
      </c>
      <c r="BT120" s="68">
        <f>IF(BT$82="A",IF(ISNUMBER(INDEX($D$97:$AD$97,BT$81)),IF(ROUND(INDEX($D$97:$AD$97,BT$81)/1000,1)&gt;0,-0.40541,NA()),NA()),IF(BT$82="B",NA(),IF(BT$82="C",NA(),NA())))</f>
        <v>0</v>
      </c>
    </row>
    <row r="121" spans="1:72">
      <c r="A121" s="11" t="s">
        <v>773</v>
      </c>
      <c r="B121" s="11" t="s">
        <v>774</v>
      </c>
      <c r="C121" s="67" t="s">
        <v>610</v>
      </c>
      <c r="AQ121" s="68">
        <f>IF(AQ$82="A",IF(ISNUMBER(INDEX($D$97:$AD$97,AQ$81)),IF(ROUND(INDEX($D$97:$AD$97,AQ$81)/1000,1)&lt;0,-0.40541,NA()),NA()),IF(AQ$82="B",NA(),IF(AQ$82="C",NA(),NA())))</f>
        <v>0</v>
      </c>
      <c r="AR121" s="68">
        <f>IF(AR$82="A",IF(ISNUMBER(INDEX($D$97:$AD$97,AR$81)),IF(ROUND(INDEX($D$97:$AD$97,AR$81)/1000,1)&lt;0,-0.40541,NA()),NA()),IF(AR$82="B",NA(),IF(AR$82="C",NA(),NA())))</f>
        <v>0</v>
      </c>
      <c r="AS121" s="68">
        <f>IF(AS$82="A",IF(ISNUMBER(INDEX($D$97:$AD$97,AS$81)),IF(ROUND(INDEX($D$97:$AD$97,AS$81)/1000,1)&lt;0,-0.40541,NA()),NA()),IF(AS$82="B",NA(),IF(AS$82="C",NA(),NA())))</f>
        <v>0</v>
      </c>
      <c r="AT121" s="68">
        <f>IF(AT$82="A",IF(ISNUMBER(INDEX($D$97:$AD$97,AT$81)),IF(ROUND(INDEX($D$97:$AD$97,AT$81)/1000,1)&lt;0,-0.40541,NA()),NA()),IF(AT$82="B",NA(),IF(AT$82="C",NA(),NA())))</f>
        <v>0</v>
      </c>
      <c r="AU121" s="68">
        <f>IF(AU$82="A",IF(ISNUMBER(INDEX($D$97:$AD$97,AU$81)),IF(ROUND(INDEX($D$97:$AD$97,AU$81)/1000,1)&lt;0,-0.40541,NA()),NA()),IF(AU$82="B",NA(),IF(AU$82="C",NA(),NA())))</f>
        <v>0</v>
      </c>
      <c r="AV121" s="68">
        <f>IF(AV$82="A",IF(ISNUMBER(INDEX($D$97:$AD$97,AV$81)),IF(ROUND(INDEX($D$97:$AD$97,AV$81)/1000,1)&lt;0,-0.40541,NA()),NA()),IF(AV$82="B",NA(),IF(AV$82="C",NA(),NA())))</f>
        <v>0</v>
      </c>
      <c r="AW121" s="68">
        <f>IF(AW$82="A",IF(ISNUMBER(INDEX($D$97:$AD$97,AW$81)),IF(ROUND(INDEX($D$97:$AD$97,AW$81)/1000,1)&lt;0,-0.40541,NA()),NA()),IF(AW$82="B",NA(),IF(AW$82="C",NA(),NA())))</f>
        <v>0</v>
      </c>
      <c r="AX121" s="68">
        <f>IF(AX$82="A",IF(ISNUMBER(INDEX($D$97:$AD$97,AX$81)),IF(ROUND(INDEX($D$97:$AD$97,AX$81)/1000,1)&lt;0,-0.40541,NA()),NA()),IF(AX$82="B",NA(),IF(AX$82="C",NA(),NA())))</f>
        <v>0</v>
      </c>
      <c r="AY121" s="68">
        <f>IF(AY$82="A",IF(ISNUMBER(INDEX($D$97:$AD$97,AY$81)),IF(ROUND(INDEX($D$97:$AD$97,AY$81)/1000,1)&lt;0,-0.40541,NA()),NA()),IF(AY$82="B",NA(),IF(AY$82="C",NA(),NA())))</f>
        <v>0</v>
      </c>
      <c r="AZ121" s="68">
        <f>IF(AZ$82="A",IF(ISNUMBER(INDEX($D$97:$AD$97,AZ$81)),IF(ROUND(INDEX($D$97:$AD$97,AZ$81)/1000,1)&lt;0,-0.40541,NA()),NA()),IF(AZ$82="B",NA(),IF(AZ$82="C",NA(),NA())))</f>
        <v>0</v>
      </c>
      <c r="BA121" s="68">
        <f>IF(BA$82="A",IF(ISNUMBER(INDEX($D$97:$AD$97,BA$81)),IF(ROUND(INDEX($D$97:$AD$97,BA$81)/1000,1)&lt;0,-0.40541,NA()),NA()),IF(BA$82="B",NA(),IF(BA$82="C",NA(),NA())))</f>
        <v>0</v>
      </c>
      <c r="BB121" s="68">
        <f>IF(BB$82="A",IF(ISNUMBER(INDEX($D$97:$AD$97,BB$81)),IF(ROUND(INDEX($D$97:$AD$97,BB$81)/1000,1)&lt;0,-0.40541,NA()),NA()),IF(BB$82="B",NA(),IF(BB$82="C",NA(),NA())))</f>
        <v>0</v>
      </c>
      <c r="BC121" s="68">
        <f>IF(BC$82="A",IF(ISNUMBER(INDEX($D$97:$AD$97,BC$81)),IF(ROUND(INDEX($D$97:$AD$97,BC$81)/1000,1)&lt;0,-0.40541,NA()),NA()),IF(BC$82="B",NA(),IF(BC$82="C",NA(),NA())))</f>
        <v>0</v>
      </c>
      <c r="BD121" s="68">
        <f>IF(BD$82="A",IF(ISNUMBER(INDEX($D$97:$AD$97,BD$81)),IF(ROUND(INDEX($D$97:$AD$97,BD$81)/1000,1)&lt;0,-0.40541,NA()),NA()),IF(BD$82="B",NA(),IF(BD$82="C",NA(),NA())))</f>
        <v>0</v>
      </c>
      <c r="BE121" s="68">
        <f>IF(BE$82="A",IF(ISNUMBER(INDEX($D$97:$AD$97,BE$81)),IF(ROUND(INDEX($D$97:$AD$97,BE$81)/1000,1)&lt;0,-0.40541,NA()),NA()),IF(BE$82="B",NA(),IF(BE$82="C",NA(),NA())))</f>
        <v>0</v>
      </c>
      <c r="BF121" s="68">
        <f>IF(BF$82="A",IF(ISNUMBER(INDEX($D$97:$AD$97,BF$81)),IF(ROUND(INDEX($D$97:$AD$97,BF$81)/1000,1)&lt;0,-0.40541,NA()),NA()),IF(BF$82="B",NA(),IF(BF$82="C",NA(),NA())))</f>
        <v>0</v>
      </c>
      <c r="BG121" s="68">
        <f>IF(BG$82="A",IF(ISNUMBER(INDEX($D$97:$AD$97,BG$81)),IF(ROUND(INDEX($D$97:$AD$97,BG$81)/1000,1)&lt;0,-0.40541,NA()),NA()),IF(BG$82="B",NA(),IF(BG$82="C",NA(),NA())))</f>
        <v>0</v>
      </c>
      <c r="BH121" s="68">
        <f>IF(BH$82="A",IF(ISNUMBER(INDEX($D$97:$AD$97,BH$81)),IF(ROUND(INDEX($D$97:$AD$97,BH$81)/1000,1)&lt;0,-0.40541,NA()),NA()),IF(BH$82="B",NA(),IF(BH$82="C",NA(),NA())))</f>
        <v>0</v>
      </c>
      <c r="BI121" s="68">
        <f>IF(BI$82="A",IF(ISNUMBER(INDEX($D$97:$AD$97,BI$81)),IF(ROUND(INDEX($D$97:$AD$97,BI$81)/1000,1)&lt;0,-0.40541,NA()),NA()),IF(BI$82="B",NA(),IF(BI$82="C",NA(),NA())))</f>
        <v>0</v>
      </c>
      <c r="BJ121" s="68">
        <f>IF(BJ$82="A",IF(ISNUMBER(INDEX($D$97:$AD$97,BJ$81)),IF(ROUND(INDEX($D$97:$AD$97,BJ$81)/1000,1)&lt;0,-0.40541,NA()),NA()),IF(BJ$82="B",NA(),IF(BJ$82="C",NA(),NA())))</f>
        <v>0</v>
      </c>
      <c r="BK121" s="68">
        <f>IF(BK$82="A",IF(ISNUMBER(INDEX($D$97:$AD$97,BK$81)),IF(ROUND(INDEX($D$97:$AD$97,BK$81)/1000,1)&lt;0,-0.40541,NA()),NA()),IF(BK$82="B",NA(),IF(BK$82="C",NA(),NA())))</f>
        <v>0</v>
      </c>
      <c r="BL121" s="68">
        <f>IF(BL$82="A",IF(ISNUMBER(INDEX($D$97:$AD$97,BL$81)),IF(ROUND(INDEX($D$97:$AD$97,BL$81)/1000,1)&lt;0,-0.40541,NA()),NA()),IF(BL$82="B",NA(),IF(BL$82="C",NA(),NA())))</f>
        <v>0</v>
      </c>
      <c r="BM121" s="68">
        <f>IF(BM$82="A",IF(ISNUMBER(INDEX($D$97:$AD$97,BM$81)),IF(ROUND(INDEX($D$97:$AD$97,BM$81)/1000,1)&lt;0,-0.40541,NA()),NA()),IF(BM$82="B",NA(),IF(BM$82="C",NA(),NA())))</f>
        <v>0</v>
      </c>
      <c r="BN121" s="68">
        <f>IF(BN$82="A",IF(ISNUMBER(INDEX($D$97:$AD$97,BN$81)),IF(ROUND(INDEX($D$97:$AD$97,BN$81)/1000,1)&lt;0,-0.40541,NA()),NA()),IF(BN$82="B",NA(),IF(BN$82="C",NA(),NA())))</f>
        <v>0</v>
      </c>
      <c r="BO121" s="68">
        <f>IF(BO$82="A",IF(ISNUMBER(INDEX($D$97:$AD$97,BO$81)),IF(ROUND(INDEX($D$97:$AD$97,BO$81)/1000,1)&lt;0,-0.40541,NA()),NA()),IF(BO$82="B",NA(),IF(BO$82="C",NA(),NA())))</f>
        <v>0</v>
      </c>
      <c r="BP121" s="68">
        <f>IF(BP$82="A",IF(ISNUMBER(INDEX($D$97:$AD$97,BP$81)),IF(ROUND(INDEX($D$97:$AD$97,BP$81)/1000,1)&lt;0,-0.40541,NA()),NA()),IF(BP$82="B",NA(),IF(BP$82="C",NA(),NA())))</f>
        <v>0</v>
      </c>
      <c r="BQ121" s="68">
        <f>IF(BQ$82="A",IF(ISNUMBER(INDEX($D$97:$AD$97,BQ$81)),IF(ROUND(INDEX($D$97:$AD$97,BQ$81)/1000,1)&lt;0,-0.40541,NA()),NA()),IF(BQ$82="B",NA(),IF(BQ$82="C",NA(),NA())))</f>
        <v>0</v>
      </c>
      <c r="BR121" s="68">
        <f>IF(BR$82="A",IF(ISNUMBER(INDEX($D$97:$AD$97,BR$81)),IF(ROUND(INDEX($D$97:$AD$97,BR$81)/1000,1)&lt;0,-0.40541,NA()),NA()),IF(BR$82="B",NA(),IF(BR$82="C",NA(),NA())))</f>
        <v>0</v>
      </c>
      <c r="BS121" s="68">
        <f>IF(BS$82="A",IF(ISNUMBER(INDEX($D$97:$AD$97,BS$81)),IF(ROUND(INDEX($D$97:$AD$97,BS$81)/1000,1)&lt;0,-0.40541,NA()),NA()),IF(BS$82="B",NA(),IF(BS$82="C",NA(),NA())))</f>
        <v>0</v>
      </c>
      <c r="BT121" s="68">
        <f>IF(BT$82="A",IF(ISNUMBER(INDEX($D$97:$AD$97,BT$81)),IF(ROUND(INDEX($D$97:$AD$97,BT$81)/1000,1)&lt;0,-0.40541,NA()),NA()),IF(BT$82="B",NA(),IF(BT$82="C",NA(),NA())))</f>
        <v>0</v>
      </c>
    </row>
    <row r="122" spans="1:72">
      <c r="A122" s="11" t="s">
        <v>775</v>
      </c>
      <c r="B122" s="11" t="s">
        <v>776</v>
      </c>
      <c r="C122" s="67" t="s">
        <v>610</v>
      </c>
      <c r="AQ122" s="68">
        <f>IF(AQ$82="A",IF(ISNUMBER(INDEX($D$97:$AD$97,AQ$81)),IF(ROUND(INDEX($D$97:$AD$97,AQ$81)/1000,1)=0,-0.40541,NA()),NA()),IF(AQ$82="B",NA(),IF(AQ$82="C",NA(),NA())))</f>
        <v>0</v>
      </c>
      <c r="AR122" s="68">
        <f>IF(AR$82="A",IF(ISNUMBER(INDEX($D$97:$AD$97,AR$81)),IF(ROUND(INDEX($D$97:$AD$97,AR$81)/1000,1)=0,-0.40541,NA()),NA()),IF(AR$82="B",NA(),IF(AR$82="C",NA(),NA())))</f>
        <v>0</v>
      </c>
      <c r="AS122" s="68">
        <f>IF(AS$82="A",IF(ISNUMBER(INDEX($D$97:$AD$97,AS$81)),IF(ROUND(INDEX($D$97:$AD$97,AS$81)/1000,1)=0,-0.40541,NA()),NA()),IF(AS$82="B",NA(),IF(AS$82="C",NA(),NA())))</f>
        <v>0</v>
      </c>
      <c r="AT122" s="68">
        <f>IF(AT$82="A",IF(ISNUMBER(INDEX($D$97:$AD$97,AT$81)),IF(ROUND(INDEX($D$97:$AD$97,AT$81)/1000,1)=0,-0.40541,NA()),NA()),IF(AT$82="B",NA(),IF(AT$82="C",NA(),NA())))</f>
        <v>0</v>
      </c>
      <c r="AU122" s="68">
        <f>IF(AU$82="A",IF(ISNUMBER(INDEX($D$97:$AD$97,AU$81)),IF(ROUND(INDEX($D$97:$AD$97,AU$81)/1000,1)=0,-0.40541,NA()),NA()),IF(AU$82="B",NA(),IF(AU$82="C",NA(),NA())))</f>
        <v>0</v>
      </c>
      <c r="AV122" s="68">
        <f>IF(AV$82="A",IF(ISNUMBER(INDEX($D$97:$AD$97,AV$81)),IF(ROUND(INDEX($D$97:$AD$97,AV$81)/1000,1)=0,-0.40541,NA()),NA()),IF(AV$82="B",NA(),IF(AV$82="C",NA(),NA())))</f>
        <v>0</v>
      </c>
      <c r="AW122" s="68">
        <f>IF(AW$82="A",IF(ISNUMBER(INDEX($D$97:$AD$97,AW$81)),IF(ROUND(INDEX($D$97:$AD$97,AW$81)/1000,1)=0,-0.40541,NA()),NA()),IF(AW$82="B",NA(),IF(AW$82="C",NA(),NA())))</f>
        <v>0</v>
      </c>
      <c r="AX122" s="68">
        <f>IF(AX$82="A",IF(ISNUMBER(INDEX($D$97:$AD$97,AX$81)),IF(ROUND(INDEX($D$97:$AD$97,AX$81)/1000,1)=0,-0.40541,NA()),NA()),IF(AX$82="B",NA(),IF(AX$82="C",NA(),NA())))</f>
        <v>0</v>
      </c>
      <c r="AY122" s="68">
        <f>IF(AY$82="A",IF(ISNUMBER(INDEX($D$97:$AD$97,AY$81)),IF(ROUND(INDEX($D$97:$AD$97,AY$81)/1000,1)=0,-0.40541,NA()),NA()),IF(AY$82="B",NA(),IF(AY$82="C",NA(),NA())))</f>
        <v>0</v>
      </c>
      <c r="AZ122" s="68">
        <f>IF(AZ$82="A",IF(ISNUMBER(INDEX($D$97:$AD$97,AZ$81)),IF(ROUND(INDEX($D$97:$AD$97,AZ$81)/1000,1)=0,-0.40541,NA()),NA()),IF(AZ$82="B",NA(),IF(AZ$82="C",NA(),NA())))</f>
        <v>0</v>
      </c>
      <c r="BA122" s="68">
        <f>IF(BA$82="A",IF(ISNUMBER(INDEX($D$97:$AD$97,BA$81)),IF(ROUND(INDEX($D$97:$AD$97,BA$81)/1000,1)=0,-0.40541,NA()),NA()),IF(BA$82="B",NA(),IF(BA$82="C",NA(),NA())))</f>
        <v>0</v>
      </c>
      <c r="BB122" s="68">
        <f>IF(BB$82="A",IF(ISNUMBER(INDEX($D$97:$AD$97,BB$81)),IF(ROUND(INDEX($D$97:$AD$97,BB$81)/1000,1)=0,-0.40541,NA()),NA()),IF(BB$82="B",NA(),IF(BB$82="C",NA(),NA())))</f>
        <v>0</v>
      </c>
      <c r="BC122" s="68">
        <f>IF(BC$82="A",IF(ISNUMBER(INDEX($D$97:$AD$97,BC$81)),IF(ROUND(INDEX($D$97:$AD$97,BC$81)/1000,1)=0,-0.40541,NA()),NA()),IF(BC$82="B",NA(),IF(BC$82="C",NA(),NA())))</f>
        <v>0</v>
      </c>
      <c r="BD122" s="68">
        <f>IF(BD$82="A",IF(ISNUMBER(INDEX($D$97:$AD$97,BD$81)),IF(ROUND(INDEX($D$97:$AD$97,BD$81)/1000,1)=0,-0.40541,NA()),NA()),IF(BD$82="B",NA(),IF(BD$82="C",NA(),NA())))</f>
        <v>0</v>
      </c>
      <c r="BE122" s="68">
        <f>IF(BE$82="A",IF(ISNUMBER(INDEX($D$97:$AD$97,BE$81)),IF(ROUND(INDEX($D$97:$AD$97,BE$81)/1000,1)=0,-0.40541,NA()),NA()),IF(BE$82="B",NA(),IF(BE$82="C",NA(),NA())))</f>
        <v>0</v>
      </c>
      <c r="BF122" s="68">
        <f>IF(BF$82="A",IF(ISNUMBER(INDEX($D$97:$AD$97,BF$81)),IF(ROUND(INDEX($D$97:$AD$97,BF$81)/1000,1)=0,-0.40541,NA()),NA()),IF(BF$82="B",NA(),IF(BF$82="C",NA(),NA())))</f>
        <v>0</v>
      </c>
      <c r="BG122" s="68">
        <f>IF(BG$82="A",IF(ISNUMBER(INDEX($D$97:$AD$97,BG$81)),IF(ROUND(INDEX($D$97:$AD$97,BG$81)/1000,1)=0,-0.40541,NA()),NA()),IF(BG$82="B",NA(),IF(BG$82="C",NA(),NA())))</f>
        <v>0</v>
      </c>
      <c r="BH122" s="68">
        <f>IF(BH$82="A",IF(ISNUMBER(INDEX($D$97:$AD$97,BH$81)),IF(ROUND(INDEX($D$97:$AD$97,BH$81)/1000,1)=0,-0.40541,NA()),NA()),IF(BH$82="B",NA(),IF(BH$82="C",NA(),NA())))</f>
        <v>0</v>
      </c>
      <c r="BI122" s="68">
        <f>IF(BI$82="A",IF(ISNUMBER(INDEX($D$97:$AD$97,BI$81)),IF(ROUND(INDEX($D$97:$AD$97,BI$81)/1000,1)=0,-0.40541,NA()),NA()),IF(BI$82="B",NA(),IF(BI$82="C",NA(),NA())))</f>
        <v>0</v>
      </c>
      <c r="BJ122" s="68">
        <f>IF(BJ$82="A",IF(ISNUMBER(INDEX($D$97:$AD$97,BJ$81)),IF(ROUND(INDEX($D$97:$AD$97,BJ$81)/1000,1)=0,-0.40541,NA()),NA()),IF(BJ$82="B",NA(),IF(BJ$82="C",NA(),NA())))</f>
        <v>0</v>
      </c>
      <c r="BK122" s="68">
        <f>IF(BK$82="A",IF(ISNUMBER(INDEX($D$97:$AD$97,BK$81)),IF(ROUND(INDEX($D$97:$AD$97,BK$81)/1000,1)=0,-0.40541,NA()),NA()),IF(BK$82="B",NA(),IF(BK$82="C",NA(),NA())))</f>
        <v>0</v>
      </c>
      <c r="BL122" s="68">
        <f>IF(BL$82="A",IF(ISNUMBER(INDEX($D$97:$AD$97,BL$81)),IF(ROUND(INDEX($D$97:$AD$97,BL$81)/1000,1)=0,-0.40541,NA()),NA()),IF(BL$82="B",NA(),IF(BL$82="C",NA(),NA())))</f>
        <v>0</v>
      </c>
      <c r="BM122" s="68">
        <f>IF(BM$82="A",IF(ISNUMBER(INDEX($D$97:$AD$97,BM$81)),IF(ROUND(INDEX($D$97:$AD$97,BM$81)/1000,1)=0,-0.40541,NA()),NA()),IF(BM$82="B",NA(),IF(BM$82="C",NA(),NA())))</f>
        <v>0</v>
      </c>
      <c r="BN122" s="68">
        <f>IF(BN$82="A",IF(ISNUMBER(INDEX($D$97:$AD$97,BN$81)),IF(ROUND(INDEX($D$97:$AD$97,BN$81)/1000,1)=0,-0.40541,NA()),NA()),IF(BN$82="B",NA(),IF(BN$82="C",NA(),NA())))</f>
        <v>0</v>
      </c>
      <c r="BO122" s="68">
        <f>IF(BO$82="A",IF(ISNUMBER(INDEX($D$97:$AD$97,BO$81)),IF(ROUND(INDEX($D$97:$AD$97,BO$81)/1000,1)=0,-0.40541,NA()),NA()),IF(BO$82="B",NA(),IF(BO$82="C",NA(),NA())))</f>
        <v>0</v>
      </c>
      <c r="BP122" s="68">
        <f>IF(BP$82="A",IF(ISNUMBER(INDEX($D$97:$AD$97,BP$81)),IF(ROUND(INDEX($D$97:$AD$97,BP$81)/1000,1)=0,-0.40541,NA()),NA()),IF(BP$82="B",NA(),IF(BP$82="C",NA(),NA())))</f>
        <v>0</v>
      </c>
      <c r="BQ122" s="68">
        <f>IF(BQ$82="A",IF(ISNUMBER(INDEX($D$97:$AD$97,BQ$81)),IF(ROUND(INDEX($D$97:$AD$97,BQ$81)/1000,1)=0,-0.40541,NA()),NA()),IF(BQ$82="B",NA(),IF(BQ$82="C",NA(),NA())))</f>
        <v>0</v>
      </c>
      <c r="BR122" s="68">
        <f>IF(BR$82="A",IF(ISNUMBER(INDEX($D$97:$AD$97,BR$81)),IF(ROUND(INDEX($D$97:$AD$97,BR$81)/1000,1)=0,-0.40541,NA()),NA()),IF(BR$82="B",NA(),IF(BR$82="C",NA(),NA())))</f>
        <v>0</v>
      </c>
      <c r="BS122" s="68">
        <f>IF(BS$82="A",IF(ISNUMBER(INDEX($D$97:$AD$97,BS$81)),IF(ROUND(INDEX($D$97:$AD$97,BS$81)/1000,1)=0,-0.40541,NA()),NA()),IF(BS$82="B",NA(),IF(BS$82="C",NA(),NA())))</f>
        <v>0</v>
      </c>
      <c r="BT122" s="68">
        <f>IF(BT$82="A",IF(ISNUMBER(INDEX($D$97:$AD$97,BT$81)),IF(ROUND(INDEX($D$97:$AD$97,BT$81)/1000,1)=0,-0.40541,NA()),NA()),IF(BT$82="B",NA(),IF(BT$82="C",NA(),NA())))</f>
        <v>0</v>
      </c>
    </row>
    <row r="123" spans="1:72">
      <c r="A123" s="11" t="s">
        <v>777</v>
      </c>
      <c r="B123" s="11" t="s">
        <v>778</v>
      </c>
      <c r="C123" s="67" t="s">
        <v>610</v>
      </c>
      <c r="AQ123" s="11">
        <f>IF(AQ$82="A",IF(ISNUMBER(INDEX($D$97:$AD$97,AQ$81)),IF(ROUND(INDEX($D$97:$AD$97,AQ$81)/1000,1)&gt;0,"+"&amp;FIXED(ROUND(INDEX($D$97:$AD$97,AQ$81)/1000,1),1),IF(ROUND(INDEX($D$97:$AD$97,AQ$81)/1000,1)&lt;0,"−"&amp;FIXED(-ROUND(INDEX($D$97:$AD$97,AQ$81)/1000,1),1),"±0")),""),IF(AQ$82="B","",IF(AQ$82="C","","")))</f>
        <v>0</v>
      </c>
      <c r="AR123" s="11">
        <f>IF(AR$82="A",IF(ISNUMBER(INDEX($D$97:$AD$97,AR$81)),IF(ROUND(INDEX($D$97:$AD$97,AR$81)/1000,1)&gt;0,"+"&amp;FIXED(ROUND(INDEX($D$97:$AD$97,AR$81)/1000,1),1),IF(ROUND(INDEX($D$97:$AD$97,AR$81)/1000,1)&lt;0,"−"&amp;FIXED(-ROUND(INDEX($D$97:$AD$97,AR$81)/1000,1),1),"±0")),""),IF(AR$82="B","",IF(AR$82="C","","")))</f>
        <v>0</v>
      </c>
      <c r="AS123" s="11">
        <f>IF(AS$82="A",IF(ISNUMBER(INDEX($D$97:$AD$97,AS$81)),IF(ROUND(INDEX($D$97:$AD$97,AS$81)/1000,1)&gt;0,"+"&amp;FIXED(ROUND(INDEX($D$97:$AD$97,AS$81)/1000,1),1),IF(ROUND(INDEX($D$97:$AD$97,AS$81)/1000,1)&lt;0,"−"&amp;FIXED(-ROUND(INDEX($D$97:$AD$97,AS$81)/1000,1),1),"±0")),""),IF(AS$82="B","",IF(AS$82="C","","")))</f>
        <v>0</v>
      </c>
      <c r="AT123" s="11">
        <f>IF(AT$82="A",IF(ISNUMBER(INDEX($D$97:$AD$97,AT$81)),IF(ROUND(INDEX($D$97:$AD$97,AT$81)/1000,1)&gt;0,"+"&amp;FIXED(ROUND(INDEX($D$97:$AD$97,AT$81)/1000,1),1),IF(ROUND(INDEX($D$97:$AD$97,AT$81)/1000,1)&lt;0,"−"&amp;FIXED(-ROUND(INDEX($D$97:$AD$97,AT$81)/1000,1),1),"±0")),""),IF(AT$82="B","",IF(AT$82="C","","")))</f>
        <v>0</v>
      </c>
      <c r="AU123" s="11">
        <f>IF(AU$82="A",IF(ISNUMBER(INDEX($D$97:$AD$97,AU$81)),IF(ROUND(INDEX($D$97:$AD$97,AU$81)/1000,1)&gt;0,"+"&amp;FIXED(ROUND(INDEX($D$97:$AD$97,AU$81)/1000,1),1),IF(ROUND(INDEX($D$97:$AD$97,AU$81)/1000,1)&lt;0,"−"&amp;FIXED(-ROUND(INDEX($D$97:$AD$97,AU$81)/1000,1),1),"±0")),""),IF(AU$82="B","",IF(AU$82="C","","")))</f>
        <v>0</v>
      </c>
      <c r="AV123" s="11">
        <f>IF(AV$82="A",IF(ISNUMBER(INDEX($D$97:$AD$97,AV$81)),IF(ROUND(INDEX($D$97:$AD$97,AV$81)/1000,1)&gt;0,"+"&amp;FIXED(ROUND(INDEX($D$97:$AD$97,AV$81)/1000,1),1),IF(ROUND(INDEX($D$97:$AD$97,AV$81)/1000,1)&lt;0,"−"&amp;FIXED(-ROUND(INDEX($D$97:$AD$97,AV$81)/1000,1),1),"±0")),""),IF(AV$82="B","",IF(AV$82="C","","")))</f>
        <v>0</v>
      </c>
      <c r="AW123" s="11">
        <f>IF(AW$82="A",IF(ISNUMBER(INDEX($D$97:$AD$97,AW$81)),IF(ROUND(INDEX($D$97:$AD$97,AW$81)/1000,1)&gt;0,"+"&amp;FIXED(ROUND(INDEX($D$97:$AD$97,AW$81)/1000,1),1),IF(ROUND(INDEX($D$97:$AD$97,AW$81)/1000,1)&lt;0,"−"&amp;FIXED(-ROUND(INDEX($D$97:$AD$97,AW$81)/1000,1),1),"±0")),""),IF(AW$82="B","",IF(AW$82="C","","")))</f>
        <v>0</v>
      </c>
      <c r="AX123" s="11">
        <f>IF(AX$82="A",IF(ISNUMBER(INDEX($D$97:$AD$97,AX$81)),IF(ROUND(INDEX($D$97:$AD$97,AX$81)/1000,1)&gt;0,"+"&amp;FIXED(ROUND(INDEX($D$97:$AD$97,AX$81)/1000,1),1),IF(ROUND(INDEX($D$97:$AD$97,AX$81)/1000,1)&lt;0,"−"&amp;FIXED(-ROUND(INDEX($D$97:$AD$97,AX$81)/1000,1),1),"±0")),""),IF(AX$82="B","",IF(AX$82="C","","")))</f>
        <v>0</v>
      </c>
      <c r="AY123" s="11">
        <f>IF(AY$82="A",IF(ISNUMBER(INDEX($D$97:$AD$97,AY$81)),IF(ROUND(INDEX($D$97:$AD$97,AY$81)/1000,1)&gt;0,"+"&amp;FIXED(ROUND(INDEX($D$97:$AD$97,AY$81)/1000,1),1),IF(ROUND(INDEX($D$97:$AD$97,AY$81)/1000,1)&lt;0,"−"&amp;FIXED(-ROUND(INDEX($D$97:$AD$97,AY$81)/1000,1),1),"±0")),""),IF(AY$82="B","",IF(AY$82="C","","")))</f>
        <v>0</v>
      </c>
      <c r="AZ123" s="11">
        <f>IF(AZ$82="A",IF(ISNUMBER(INDEX($D$97:$AD$97,AZ$81)),IF(ROUND(INDEX($D$97:$AD$97,AZ$81)/1000,1)&gt;0,"+"&amp;FIXED(ROUND(INDEX($D$97:$AD$97,AZ$81)/1000,1),1),IF(ROUND(INDEX($D$97:$AD$97,AZ$81)/1000,1)&lt;0,"−"&amp;FIXED(-ROUND(INDEX($D$97:$AD$97,AZ$81)/1000,1),1),"±0")),""),IF(AZ$82="B","",IF(AZ$82="C","","")))</f>
        <v>0</v>
      </c>
      <c r="BA123" s="11">
        <f>IF(BA$82="A",IF(ISNUMBER(INDEX($D$97:$AD$97,BA$81)),IF(ROUND(INDEX($D$97:$AD$97,BA$81)/1000,1)&gt;0,"+"&amp;FIXED(ROUND(INDEX($D$97:$AD$97,BA$81)/1000,1),1),IF(ROUND(INDEX($D$97:$AD$97,BA$81)/1000,1)&lt;0,"−"&amp;FIXED(-ROUND(INDEX($D$97:$AD$97,BA$81)/1000,1),1),"±0")),""),IF(BA$82="B","",IF(BA$82="C","","")))</f>
        <v>0</v>
      </c>
      <c r="BB123" s="11">
        <f>IF(BB$82="A",IF(ISNUMBER(INDEX($D$97:$AD$97,BB$81)),IF(ROUND(INDEX($D$97:$AD$97,BB$81)/1000,1)&gt;0,"+"&amp;FIXED(ROUND(INDEX($D$97:$AD$97,BB$81)/1000,1),1),IF(ROUND(INDEX($D$97:$AD$97,BB$81)/1000,1)&lt;0,"−"&amp;FIXED(-ROUND(INDEX($D$97:$AD$97,BB$81)/1000,1),1),"±0")),""),IF(BB$82="B","",IF(BB$82="C","","")))</f>
        <v>0</v>
      </c>
      <c r="BC123" s="11">
        <f>IF(BC$82="A",IF(ISNUMBER(INDEX($D$97:$AD$97,BC$81)),IF(ROUND(INDEX($D$97:$AD$97,BC$81)/1000,1)&gt;0,"+"&amp;FIXED(ROUND(INDEX($D$97:$AD$97,BC$81)/1000,1),1),IF(ROUND(INDEX($D$97:$AD$97,BC$81)/1000,1)&lt;0,"−"&amp;FIXED(-ROUND(INDEX($D$97:$AD$97,BC$81)/1000,1),1),"±0")),""),IF(BC$82="B","",IF(BC$82="C","","")))</f>
        <v>0</v>
      </c>
      <c r="BD123" s="11">
        <f>IF(BD$82="A",IF(ISNUMBER(INDEX($D$97:$AD$97,BD$81)),IF(ROUND(INDEX($D$97:$AD$97,BD$81)/1000,1)&gt;0,"+"&amp;FIXED(ROUND(INDEX($D$97:$AD$97,BD$81)/1000,1),1),IF(ROUND(INDEX($D$97:$AD$97,BD$81)/1000,1)&lt;0,"−"&amp;FIXED(-ROUND(INDEX($D$97:$AD$97,BD$81)/1000,1),1),"±0")),""),IF(BD$82="B","",IF(BD$82="C","","")))</f>
        <v>0</v>
      </c>
      <c r="BE123" s="11">
        <f>IF(BE$82="A",IF(ISNUMBER(INDEX($D$97:$AD$97,BE$81)),IF(ROUND(INDEX($D$97:$AD$97,BE$81)/1000,1)&gt;0,"+"&amp;FIXED(ROUND(INDEX($D$97:$AD$97,BE$81)/1000,1),1),IF(ROUND(INDEX($D$97:$AD$97,BE$81)/1000,1)&lt;0,"−"&amp;FIXED(-ROUND(INDEX($D$97:$AD$97,BE$81)/1000,1),1),"±0")),""),IF(BE$82="B","",IF(BE$82="C","","")))</f>
        <v>0</v>
      </c>
      <c r="BF123" s="11">
        <f>IF(BF$82="A",IF(ISNUMBER(INDEX($D$97:$AD$97,BF$81)),IF(ROUND(INDEX($D$97:$AD$97,BF$81)/1000,1)&gt;0,"+"&amp;FIXED(ROUND(INDEX($D$97:$AD$97,BF$81)/1000,1),1),IF(ROUND(INDEX($D$97:$AD$97,BF$81)/1000,1)&lt;0,"−"&amp;FIXED(-ROUND(INDEX($D$97:$AD$97,BF$81)/1000,1),1),"±0")),""),IF(BF$82="B","",IF(BF$82="C","","")))</f>
        <v>0</v>
      </c>
      <c r="BG123" s="11">
        <f>IF(BG$82="A",IF(ISNUMBER(INDEX($D$97:$AD$97,BG$81)),IF(ROUND(INDEX($D$97:$AD$97,BG$81)/1000,1)&gt;0,"+"&amp;FIXED(ROUND(INDEX($D$97:$AD$97,BG$81)/1000,1),1),IF(ROUND(INDEX($D$97:$AD$97,BG$81)/1000,1)&lt;0,"−"&amp;FIXED(-ROUND(INDEX($D$97:$AD$97,BG$81)/1000,1),1),"±0")),""),IF(BG$82="B","",IF(BG$82="C","","")))</f>
        <v>0</v>
      </c>
      <c r="BH123" s="11">
        <f>IF(BH$82="A",IF(ISNUMBER(INDEX($D$97:$AD$97,BH$81)),IF(ROUND(INDEX($D$97:$AD$97,BH$81)/1000,1)&gt;0,"+"&amp;FIXED(ROUND(INDEX($D$97:$AD$97,BH$81)/1000,1),1),IF(ROUND(INDEX($D$97:$AD$97,BH$81)/1000,1)&lt;0,"−"&amp;FIXED(-ROUND(INDEX($D$97:$AD$97,BH$81)/1000,1),1),"±0")),""),IF(BH$82="B","",IF(BH$82="C","","")))</f>
        <v>0</v>
      </c>
      <c r="BI123" s="11">
        <f>IF(BI$82="A",IF(ISNUMBER(INDEX($D$97:$AD$97,BI$81)),IF(ROUND(INDEX($D$97:$AD$97,BI$81)/1000,1)&gt;0,"+"&amp;FIXED(ROUND(INDEX($D$97:$AD$97,BI$81)/1000,1),1),IF(ROUND(INDEX($D$97:$AD$97,BI$81)/1000,1)&lt;0,"−"&amp;FIXED(-ROUND(INDEX($D$97:$AD$97,BI$81)/1000,1),1),"±0")),""),IF(BI$82="B","",IF(BI$82="C","","")))</f>
        <v>0</v>
      </c>
      <c r="BJ123" s="11">
        <f>IF(BJ$82="A",IF(ISNUMBER(INDEX($D$97:$AD$97,BJ$81)),IF(ROUND(INDEX($D$97:$AD$97,BJ$81)/1000,1)&gt;0,"+"&amp;FIXED(ROUND(INDEX($D$97:$AD$97,BJ$81)/1000,1),1),IF(ROUND(INDEX($D$97:$AD$97,BJ$81)/1000,1)&lt;0,"−"&amp;FIXED(-ROUND(INDEX($D$97:$AD$97,BJ$81)/1000,1),1),"±0")),""),IF(BJ$82="B","",IF(BJ$82="C","","")))</f>
        <v>0</v>
      </c>
      <c r="BK123" s="11">
        <f>IF(BK$82="A",IF(ISNUMBER(INDEX($D$97:$AD$97,BK$81)),IF(ROUND(INDEX($D$97:$AD$97,BK$81)/1000,1)&gt;0,"+"&amp;FIXED(ROUND(INDEX($D$97:$AD$97,BK$81)/1000,1),1),IF(ROUND(INDEX($D$97:$AD$97,BK$81)/1000,1)&lt;0,"−"&amp;FIXED(-ROUND(INDEX($D$97:$AD$97,BK$81)/1000,1),1),"±0")),""),IF(BK$82="B","",IF(BK$82="C","","")))</f>
        <v>0</v>
      </c>
      <c r="BL123" s="11">
        <f>IF(BL$82="A",IF(ISNUMBER(INDEX($D$97:$AD$97,BL$81)),IF(ROUND(INDEX($D$97:$AD$97,BL$81)/1000,1)&gt;0,"+"&amp;FIXED(ROUND(INDEX($D$97:$AD$97,BL$81)/1000,1),1),IF(ROUND(INDEX($D$97:$AD$97,BL$81)/1000,1)&lt;0,"−"&amp;FIXED(-ROUND(INDEX($D$97:$AD$97,BL$81)/1000,1),1),"±0")),""),IF(BL$82="B","",IF(BL$82="C","","")))</f>
        <v>0</v>
      </c>
      <c r="BM123" s="11">
        <f>IF(BM$82="A",IF(ISNUMBER(INDEX($D$97:$AD$97,BM$81)),IF(ROUND(INDEX($D$97:$AD$97,BM$81)/1000,1)&gt;0,"+"&amp;FIXED(ROUND(INDEX($D$97:$AD$97,BM$81)/1000,1),1),IF(ROUND(INDEX($D$97:$AD$97,BM$81)/1000,1)&lt;0,"−"&amp;FIXED(-ROUND(INDEX($D$97:$AD$97,BM$81)/1000,1),1),"±0")),""),IF(BM$82="B","",IF(BM$82="C","","")))</f>
        <v>0</v>
      </c>
      <c r="BN123" s="11">
        <f>IF(BN$82="A",IF(ISNUMBER(INDEX($D$97:$AD$97,BN$81)),IF(ROUND(INDEX($D$97:$AD$97,BN$81)/1000,1)&gt;0,"+"&amp;FIXED(ROUND(INDEX($D$97:$AD$97,BN$81)/1000,1),1),IF(ROUND(INDEX($D$97:$AD$97,BN$81)/1000,1)&lt;0,"−"&amp;FIXED(-ROUND(INDEX($D$97:$AD$97,BN$81)/1000,1),1),"±0")),""),IF(BN$82="B","",IF(BN$82="C","","")))</f>
        <v>0</v>
      </c>
      <c r="BO123" s="11">
        <f>IF(BO$82="A",IF(ISNUMBER(INDEX($D$97:$AD$97,BO$81)),IF(ROUND(INDEX($D$97:$AD$97,BO$81)/1000,1)&gt;0,"+"&amp;FIXED(ROUND(INDEX($D$97:$AD$97,BO$81)/1000,1),1),IF(ROUND(INDEX($D$97:$AD$97,BO$81)/1000,1)&lt;0,"−"&amp;FIXED(-ROUND(INDEX($D$97:$AD$97,BO$81)/1000,1),1),"±0")),""),IF(BO$82="B","",IF(BO$82="C","","")))</f>
        <v>0</v>
      </c>
      <c r="BP123" s="11">
        <f>IF(BP$82="A",IF(ISNUMBER(INDEX($D$97:$AD$97,BP$81)),IF(ROUND(INDEX($D$97:$AD$97,BP$81)/1000,1)&gt;0,"+"&amp;FIXED(ROUND(INDEX($D$97:$AD$97,BP$81)/1000,1),1),IF(ROUND(INDEX($D$97:$AD$97,BP$81)/1000,1)&lt;0,"−"&amp;FIXED(-ROUND(INDEX($D$97:$AD$97,BP$81)/1000,1),1),"±0")),""),IF(BP$82="B","",IF(BP$82="C","","")))</f>
        <v>0</v>
      </c>
      <c r="BQ123" s="11">
        <f>IF(BQ$82="A",IF(ISNUMBER(INDEX($D$97:$AD$97,BQ$81)),IF(ROUND(INDEX($D$97:$AD$97,BQ$81)/1000,1)&gt;0,"+"&amp;FIXED(ROUND(INDEX($D$97:$AD$97,BQ$81)/1000,1),1),IF(ROUND(INDEX($D$97:$AD$97,BQ$81)/1000,1)&lt;0,"−"&amp;FIXED(-ROUND(INDEX($D$97:$AD$97,BQ$81)/1000,1),1),"±0")),""),IF(BQ$82="B","",IF(BQ$82="C","","")))</f>
        <v>0</v>
      </c>
      <c r="BR123" s="11">
        <f>IF(BR$82="A",IF(ISNUMBER(INDEX($D$97:$AD$97,BR$81)),IF(ROUND(INDEX($D$97:$AD$97,BR$81)/1000,1)&gt;0,"+"&amp;FIXED(ROUND(INDEX($D$97:$AD$97,BR$81)/1000,1),1),IF(ROUND(INDEX($D$97:$AD$97,BR$81)/1000,1)&lt;0,"−"&amp;FIXED(-ROUND(INDEX($D$97:$AD$97,BR$81)/1000,1),1),"±0")),""),IF(BR$82="B","",IF(BR$82="C","","")))</f>
        <v>0</v>
      </c>
      <c r="BS123" s="11">
        <f>IF(BS$82="A",IF(ISNUMBER(INDEX($D$97:$AD$97,BS$81)),IF(ROUND(INDEX($D$97:$AD$97,BS$81)/1000,1)&gt;0,"+"&amp;FIXED(ROUND(INDEX($D$97:$AD$97,BS$81)/1000,1),1),IF(ROUND(INDEX($D$97:$AD$97,BS$81)/1000,1)&lt;0,"−"&amp;FIXED(-ROUND(INDEX($D$97:$AD$97,BS$81)/1000,1),1),"±0")),""),IF(BS$82="B","",IF(BS$82="C","","")))</f>
        <v>0</v>
      </c>
      <c r="BT123" s="11">
        <f>IF(BT$82="A",IF(ISNUMBER(INDEX($D$97:$AD$97,BT$81)),IF(ROUND(INDEX($D$97:$AD$97,BT$81)/1000,1)&gt;0,"+"&amp;FIXED(ROUND(INDEX($D$97:$AD$97,BT$81)/1000,1),1),IF(ROUND(INDEX($D$97:$AD$97,BT$81)/1000,1)&lt;0,"−"&amp;FIXED(-ROUND(INDEX($D$97:$AD$97,BT$81)/1000,1),1),"±0")),""),IF(BT$82="B","",IF(BT$82="C","","")))</f>
        <v>0</v>
      </c>
    </row>
    <row r="124" spans="1:72">
      <c r="A124" s="11" t="s">
        <v>779</v>
      </c>
      <c r="B124" s="11" t="s">
        <v>780</v>
      </c>
      <c r="C124" s="67" t="s">
        <v>605</v>
      </c>
      <c r="D124" s="69">
        <f>IFERROR(D96/D52,NA())</f>
        <v>0</v>
      </c>
      <c r="E124" s="69">
        <f>IFERROR(E96/E52,NA())</f>
        <v>0</v>
      </c>
      <c r="F124" s="69">
        <f>IFERROR(F96/F52,NA())</f>
        <v>0</v>
      </c>
      <c r="G124" s="69">
        <f>IFERROR(G96/G52,NA())</f>
        <v>0</v>
      </c>
      <c r="H124" s="69">
        <f>IFERROR(H96/H52,NA())</f>
        <v>0</v>
      </c>
      <c r="I124" s="69">
        <f>IFERROR(I96/I52,NA())</f>
        <v>0</v>
      </c>
      <c r="J124" s="69">
        <f>IFERROR(J96/J52,NA())</f>
        <v>0</v>
      </c>
      <c r="K124" s="69">
        <f>IFERROR(K96/K52,NA())</f>
        <v>0</v>
      </c>
      <c r="L124" s="69">
        <f>IFERROR(L96/L52,NA())</f>
        <v>0</v>
      </c>
      <c r="M124" s="69">
        <f>IFERROR(M96/M52,NA())</f>
        <v>0</v>
      </c>
      <c r="N124" s="69">
        <f>IFERROR(N96/N52,NA())</f>
        <v>0</v>
      </c>
      <c r="O124" s="69">
        <f>IFERROR(O96/O52,NA())</f>
        <v>0</v>
      </c>
      <c r="P124" s="69">
        <f>IFERROR(P96/P52,NA())</f>
        <v>0</v>
      </c>
      <c r="Q124" s="69">
        <f>IFERROR(Q96/Q52,NA())</f>
        <v>0</v>
      </c>
      <c r="R124" s="69">
        <f>IFERROR(R96/R52,NA())</f>
        <v>0</v>
      </c>
      <c r="S124" s="69">
        <f>IFERROR(S96/S52,NA())</f>
        <v>0</v>
      </c>
      <c r="T124" s="69">
        <f>IFERROR(T96/T52,NA())</f>
        <v>0</v>
      </c>
      <c r="U124" s="69">
        <f>IFERROR(U96/U52,NA())</f>
        <v>0</v>
      </c>
      <c r="V124" s="69">
        <f>IFERROR(V96/V52,NA())</f>
        <v>0</v>
      </c>
      <c r="W124" s="69">
        <f>IFERROR(W96/W52,NA())</f>
        <v>0</v>
      </c>
      <c r="X124" s="69">
        <f>IFERROR(X96/X52,NA())</f>
        <v>0</v>
      </c>
      <c r="Y124" s="69">
        <f>IFERROR(Y96/Y52,NA())</f>
        <v>0</v>
      </c>
      <c r="Z124" s="69">
        <f>IFERROR(Z96/Z52,NA())</f>
        <v>0</v>
      </c>
      <c r="AA124" s="69">
        <f>IFERROR(AA96/AA52,NA())</f>
        <v>0</v>
      </c>
      <c r="AB124" s="69">
        <f>IFERROR(AB96/AB52,NA())</f>
        <v>0</v>
      </c>
      <c r="AC124" s="69">
        <f>IFERROR(AC96/AC52,NA())</f>
        <v>0</v>
      </c>
      <c r="AD124" s="69">
        <f>IFERROR(AD96/AD52,NA())</f>
        <v>0</v>
      </c>
    </row>
    <row r="125" spans="1:72">
      <c r="A125" s="11" t="s">
        <v>781</v>
      </c>
      <c r="B125" s="11" t="s">
        <v>782</v>
      </c>
      <c r="C125" s="67" t="s">
        <v>605</v>
      </c>
      <c r="D125" s="69">
        <f>IF(ISNUMBER(D7),D7/1000,NA())</f>
        <v>0</v>
      </c>
      <c r="E125" s="69">
        <f>IF(ISNUMBER(E7),E7/1000,NA())</f>
        <v>0</v>
      </c>
      <c r="F125" s="69">
        <f>IF(ISNUMBER(F7),F7/1000,NA())</f>
        <v>0</v>
      </c>
      <c r="G125" s="69">
        <f>IF(ISNUMBER(G7),G7/1000,NA())</f>
        <v>0</v>
      </c>
      <c r="H125" s="69">
        <f>IF(ISNUMBER(H7),H7/1000,NA())</f>
        <v>0</v>
      </c>
      <c r="I125" s="69">
        <f>IF(ISNUMBER(I7),I7/1000,NA())</f>
        <v>0</v>
      </c>
      <c r="J125" s="69">
        <f>IF(ISNUMBER(J7),J7/1000,NA())</f>
        <v>0</v>
      </c>
      <c r="K125" s="69">
        <f>IF(ISNUMBER(K7),K7/1000,NA())</f>
        <v>0</v>
      </c>
      <c r="L125" s="69">
        <f>IF(ISNUMBER(L7),L7/1000,NA())</f>
        <v>0</v>
      </c>
      <c r="M125" s="69">
        <f>IF(ISNUMBER(M7),M7/1000,NA())</f>
        <v>0</v>
      </c>
      <c r="N125" s="69">
        <f>IF(ISNUMBER(N7),N7/1000,NA())</f>
        <v>0</v>
      </c>
      <c r="O125" s="69">
        <f>IF(ISNUMBER(O7),O7/1000,NA())</f>
        <v>0</v>
      </c>
      <c r="P125" s="69">
        <f>IF(ISNUMBER(P7),P7/1000,NA())</f>
        <v>0</v>
      </c>
      <c r="Q125" s="69">
        <f>IF(ISNUMBER(Q7),Q7/1000,NA())</f>
        <v>0</v>
      </c>
      <c r="R125" s="69">
        <f>IF(ISNUMBER(R7),R7/1000,NA())</f>
        <v>0</v>
      </c>
      <c r="S125" s="69">
        <f>IF(ISNUMBER(S7),S7/1000,NA())</f>
        <v>0</v>
      </c>
      <c r="T125" s="69">
        <f>IF(ISNUMBER(T7),T7/1000,NA())</f>
        <v>0</v>
      </c>
      <c r="U125" s="69">
        <f>IF(ISNUMBER(U7),U7/1000,NA())</f>
        <v>0</v>
      </c>
      <c r="V125" s="69">
        <f>IF(ISNUMBER(V7),V7/1000,NA())</f>
        <v>0</v>
      </c>
      <c r="W125" s="69">
        <f>IF(ISNUMBER(W7),W7/1000,NA())</f>
        <v>0</v>
      </c>
      <c r="X125" s="69">
        <f>IF(ISNUMBER(X7),X7/1000,NA())</f>
        <v>0</v>
      </c>
      <c r="Y125" s="69">
        <f>IF(ISNUMBER(Y7),Y7/1000,NA())</f>
        <v>0</v>
      </c>
      <c r="Z125" s="69">
        <f>IF(ISNUMBER(Z7),Z7/1000,NA())</f>
        <v>0</v>
      </c>
      <c r="AA125" s="69">
        <f>IF(ISNUMBER(AA7),AA7/1000,NA())</f>
        <v>0</v>
      </c>
      <c r="AB125" s="69">
        <f>IF(ISNUMBER(AB7),AB7/1000,NA())</f>
        <v>0</v>
      </c>
      <c r="AC125" s="69">
        <f>IF(ISNUMBER(AC7),AC7/1000,NA())</f>
        <v>0</v>
      </c>
      <c r="AD125" s="69">
        <f>IF(ISNUMBER(AD7),AD7/1000,NA())</f>
        <v>0</v>
      </c>
    </row>
    <row r="126" spans="1:72">
      <c r="A126" s="11" t="s">
        <v>783</v>
      </c>
      <c r="B126" s="11" t="s">
        <v>784</v>
      </c>
      <c r="C126" s="67" t="s">
        <v>605</v>
      </c>
      <c r="D126" s="69">
        <f>IF(ISNUMBER(D16),D16/1000,NA())</f>
        <v>0</v>
      </c>
      <c r="E126" s="69">
        <f>IF(ISNUMBER(E16),E16/1000,NA())</f>
        <v>0</v>
      </c>
      <c r="F126" s="69">
        <f>IF(ISNUMBER(F16),F16/1000,NA())</f>
        <v>0</v>
      </c>
      <c r="G126" s="69">
        <f>IF(ISNUMBER(G16),G16/1000,NA())</f>
        <v>0</v>
      </c>
      <c r="H126" s="69">
        <f>IF(ISNUMBER(H16),H16/1000,NA())</f>
        <v>0</v>
      </c>
      <c r="I126" s="69">
        <f>IF(ISNUMBER(I16),I16/1000,NA())</f>
        <v>0</v>
      </c>
      <c r="J126" s="69">
        <f>IF(ISNUMBER(J16),J16/1000,NA())</f>
        <v>0</v>
      </c>
      <c r="K126" s="69">
        <f>IF(ISNUMBER(K16),K16/1000,NA())</f>
        <v>0</v>
      </c>
      <c r="L126" s="69">
        <f>IF(ISNUMBER(L16),L16/1000,NA())</f>
        <v>0</v>
      </c>
      <c r="M126" s="69">
        <f>IF(ISNUMBER(M16),M16/1000,NA())</f>
        <v>0</v>
      </c>
      <c r="N126" s="69">
        <f>IF(ISNUMBER(N16),N16/1000,NA())</f>
        <v>0</v>
      </c>
      <c r="O126" s="69">
        <f>IF(ISNUMBER(O16),O16/1000,NA())</f>
        <v>0</v>
      </c>
      <c r="P126" s="69">
        <f>IF(ISNUMBER(P16),P16/1000,NA())</f>
        <v>0</v>
      </c>
      <c r="Q126" s="69">
        <f>IF(ISNUMBER(Q16),Q16/1000,NA())</f>
        <v>0</v>
      </c>
      <c r="R126" s="69">
        <f>IF(ISNUMBER(R16),R16/1000,NA())</f>
        <v>0</v>
      </c>
      <c r="S126" s="69">
        <f>IF(ISNUMBER(S16),S16/1000,NA())</f>
        <v>0</v>
      </c>
      <c r="T126" s="69">
        <f>IF(ISNUMBER(T16),T16/1000,NA())</f>
        <v>0</v>
      </c>
      <c r="U126" s="69">
        <f>IF(ISNUMBER(U16),U16/1000,NA())</f>
        <v>0</v>
      </c>
      <c r="V126" s="69">
        <f>IF(ISNUMBER(V16),V16/1000,NA())</f>
        <v>0</v>
      </c>
      <c r="W126" s="69">
        <f>IF(ISNUMBER(W16),W16/1000,NA())</f>
        <v>0</v>
      </c>
      <c r="X126" s="69">
        <f>IF(ISNUMBER(X16),X16/1000,NA())</f>
        <v>0</v>
      </c>
      <c r="Y126" s="69">
        <f>IF(ISNUMBER(Y16),Y16/1000,NA())</f>
        <v>0</v>
      </c>
      <c r="Z126" s="69">
        <f>IF(ISNUMBER(Z16),Z16/1000,NA())</f>
        <v>0</v>
      </c>
      <c r="AA126" s="69">
        <f>IF(ISNUMBER(AA16),AA16/1000,NA())</f>
        <v>0</v>
      </c>
      <c r="AB126" s="69">
        <f>IF(ISNUMBER(AB16),AB16/1000,NA())</f>
        <v>0</v>
      </c>
      <c r="AC126" s="69">
        <f>IF(ISNUMBER(AC16),AC16/1000,NA())</f>
        <v>0</v>
      </c>
      <c r="AD126" s="69">
        <f>IF(ISNUMBER(AD16),AD16/1000,NA())</f>
        <v>0</v>
      </c>
    </row>
    <row r="127" spans="1:72">
      <c r="A127" s="11" t="s">
        <v>785</v>
      </c>
      <c r="B127" s="11" t="s">
        <v>786</v>
      </c>
      <c r="C127" s="67" t="s">
        <v>605</v>
      </c>
      <c r="D127" s="68">
        <f>IF(COUNT(D18,D19)=0,NA(),SUM(D18,D19))</f>
        <v>0</v>
      </c>
      <c r="E127" s="68">
        <f>IF(COUNT(E18,E19)=0,NA(),SUM(E18,E19))</f>
        <v>0</v>
      </c>
      <c r="F127" s="68">
        <f>IF(COUNT(F18,F19)=0,NA(),SUM(F18,F19))</f>
        <v>0</v>
      </c>
      <c r="G127" s="68">
        <f>IF(COUNT(G18,G19)=0,NA(),SUM(G18,G19))</f>
        <v>0</v>
      </c>
      <c r="H127" s="68">
        <f>IF(COUNT(H18,H19)=0,NA(),SUM(H18,H19))</f>
        <v>0</v>
      </c>
      <c r="I127" s="68">
        <f>IF(COUNT(I18,I19)=0,NA(),SUM(I18,I19))</f>
        <v>0</v>
      </c>
      <c r="J127" s="68">
        <f>IF(COUNT(J18,J19)=0,NA(),SUM(J18,J19))</f>
        <v>0</v>
      </c>
      <c r="K127" s="68">
        <f>IF(COUNT(K18,K19)=0,NA(),SUM(K18,K19))</f>
        <v>0</v>
      </c>
      <c r="L127" s="68">
        <f>IF(COUNT(L18,L19)=0,NA(),SUM(L18,L19))</f>
        <v>0</v>
      </c>
      <c r="M127" s="68">
        <f>IF(COUNT(M18,M19)=0,NA(),SUM(M18,M19))</f>
        <v>0</v>
      </c>
      <c r="N127" s="68">
        <f>IF(COUNT(N18,N19)=0,NA(),SUM(N18,N19))</f>
        <v>0</v>
      </c>
      <c r="O127" s="68">
        <f>IF(COUNT(O18,O19)=0,NA(),SUM(O18,O19))</f>
        <v>0</v>
      </c>
      <c r="P127" s="68">
        <f>IF(COUNT(P18,P19)=0,NA(),SUM(P18,P19))</f>
        <v>0</v>
      </c>
      <c r="Q127" s="68">
        <f>IF(COUNT(Q18,Q19)=0,NA(),SUM(Q18,Q19))</f>
        <v>0</v>
      </c>
      <c r="R127" s="68">
        <f>IF(COUNT(R18,R19)=0,NA(),SUM(R18,R19))</f>
        <v>0</v>
      </c>
      <c r="S127" s="68">
        <f>IF(COUNT(S18,S19)=0,NA(),SUM(S18,S19))</f>
        <v>0</v>
      </c>
      <c r="T127" s="68">
        <f>IF(COUNT(T18,T19)=0,NA(),SUM(T18,T19))</f>
        <v>0</v>
      </c>
      <c r="U127" s="68">
        <f>IF(COUNT(U18,U19)=0,NA(),SUM(U18,U19))</f>
        <v>0</v>
      </c>
      <c r="V127" s="68">
        <f>IF(COUNT(V18,V19)=0,NA(),SUM(V18,V19))</f>
        <v>0</v>
      </c>
      <c r="W127" s="68">
        <f>IF(COUNT(W18,W19)=0,NA(),SUM(W18,W19))</f>
        <v>0</v>
      </c>
      <c r="X127" s="68">
        <f>IF(COUNT(X18,X19)=0,NA(),SUM(X18,X19))</f>
        <v>0</v>
      </c>
      <c r="Y127" s="68">
        <f>IF(COUNT(Y18,Y19)=0,NA(),SUM(Y18,Y19))</f>
        <v>0</v>
      </c>
      <c r="Z127" s="68">
        <f>IF(COUNT(Z18,Z19)=0,NA(),SUM(Z18,Z19))</f>
        <v>0</v>
      </c>
      <c r="AA127" s="68">
        <f>IF(COUNT(AA18,AA19)=0,NA(),SUM(AA18,AA19))</f>
        <v>0</v>
      </c>
      <c r="AB127" s="68">
        <f>IF(COUNT(AB18,AB19)=0,NA(),SUM(AB18,AB19))</f>
        <v>0</v>
      </c>
      <c r="AC127" s="68">
        <f>IF(COUNT(AC18,AC19)=0,NA(),SUM(AC18,AC19))</f>
        <v>0</v>
      </c>
      <c r="AD127" s="68">
        <f>IF(COUNT(AD18,AD19)=0,NA(),SUM(AD18,AD19))</f>
        <v>0</v>
      </c>
    </row>
    <row r="128" spans="1:72">
      <c r="A128" s="11" t="s">
        <v>787</v>
      </c>
      <c r="B128" s="11" t="s">
        <v>788</v>
      </c>
      <c r="C128" s="67" t="s">
        <v>605</v>
      </c>
      <c r="D128" s="11">
        <f>IF(ISNUMBER(D17),FIXED(D17,0),IF(ISNUMBER(D127),FIXED(D127,0),""))</f>
        <v>0</v>
      </c>
      <c r="E128" s="11">
        <f>IF(ISNUMBER(E17),FIXED(E17,0),IF(ISNUMBER(E127),FIXED(E127,0),""))</f>
        <v>0</v>
      </c>
      <c r="F128" s="11">
        <f>IF(ISNUMBER(F17),FIXED(F17,0),IF(ISNUMBER(F127),FIXED(F127,0),""))</f>
        <v>0</v>
      </c>
      <c r="G128" s="11">
        <f>IF(ISNUMBER(G17),FIXED(G17,0),IF(ISNUMBER(G127),FIXED(G127,0),""))</f>
        <v>0</v>
      </c>
      <c r="H128" s="11">
        <f>IF(ISNUMBER(H17),FIXED(H17,0),IF(ISNUMBER(H127),FIXED(H127,0),""))</f>
        <v>0</v>
      </c>
      <c r="I128" s="11">
        <f>IF(ISNUMBER(I17),FIXED(I17,0),IF(ISNUMBER(I127),FIXED(I127,0),""))</f>
        <v>0</v>
      </c>
      <c r="J128" s="11">
        <f>IF(ISNUMBER(J17),FIXED(J17,0),IF(ISNUMBER(J127),FIXED(J127,0),""))</f>
        <v>0</v>
      </c>
      <c r="K128" s="11">
        <f>IF(ISNUMBER(K17),FIXED(K17,0),IF(ISNUMBER(K127),FIXED(K127,0),""))</f>
        <v>0</v>
      </c>
      <c r="L128" s="11">
        <f>IF(ISNUMBER(L17),FIXED(L17,0),IF(ISNUMBER(L127),FIXED(L127,0),""))</f>
        <v>0</v>
      </c>
      <c r="M128" s="11">
        <f>IF(ISNUMBER(M17),FIXED(M17,0),IF(ISNUMBER(M127),FIXED(M127,0),""))</f>
        <v>0</v>
      </c>
      <c r="N128" s="11">
        <f>IF(ISNUMBER(N17),FIXED(N17,0),IF(ISNUMBER(N127),FIXED(N127,0),""))</f>
        <v>0</v>
      </c>
      <c r="O128" s="11">
        <f>IF(ISNUMBER(O17),FIXED(O17,0),IF(ISNUMBER(O127),FIXED(O127,0),""))</f>
        <v>0</v>
      </c>
      <c r="P128" s="11">
        <f>IF(ISNUMBER(P17),FIXED(P17,0),IF(ISNUMBER(P127),FIXED(P127,0),""))</f>
        <v>0</v>
      </c>
      <c r="Q128" s="11">
        <f>IF(ISNUMBER(Q17),FIXED(Q17,0),IF(ISNUMBER(Q127),FIXED(Q127,0),""))</f>
        <v>0</v>
      </c>
      <c r="R128" s="11">
        <f>IF(ISNUMBER(R17),FIXED(R17,0),IF(ISNUMBER(R127),FIXED(R127,0),""))</f>
        <v>0</v>
      </c>
      <c r="S128" s="11">
        <f>IF(ISNUMBER(S17),FIXED(S17,0),IF(ISNUMBER(S127),FIXED(S127,0),""))</f>
        <v>0</v>
      </c>
      <c r="T128" s="11">
        <f>IF(ISNUMBER(T17),FIXED(T17,0),IF(ISNUMBER(T127),FIXED(T127,0),""))</f>
        <v>0</v>
      </c>
      <c r="U128" s="11">
        <f>IF(ISNUMBER(U17),FIXED(U17,0),IF(ISNUMBER(U127),FIXED(U127,0),""))</f>
        <v>0</v>
      </c>
      <c r="V128" s="11">
        <f>IF(ISNUMBER(V17),FIXED(V17,0),IF(ISNUMBER(V127),FIXED(V127,0),""))</f>
        <v>0</v>
      </c>
      <c r="W128" s="11">
        <f>IF(ISNUMBER(W17),FIXED(W17,0),IF(ISNUMBER(W127),FIXED(W127,0),""))</f>
        <v>0</v>
      </c>
      <c r="X128" s="11">
        <f>IF(ISNUMBER(X17),FIXED(X17,0),IF(ISNUMBER(X127),FIXED(X127,0),""))</f>
        <v>0</v>
      </c>
      <c r="Y128" s="11">
        <f>IF(ISNUMBER(Y17),FIXED(Y17,0),IF(ISNUMBER(Y127),FIXED(Y127,0),""))</f>
        <v>0</v>
      </c>
      <c r="Z128" s="11">
        <f>IF(ISNUMBER(Z17),FIXED(Z17,0),IF(ISNUMBER(Z127),FIXED(Z127,0),""))</f>
        <v>0</v>
      </c>
      <c r="AA128" s="11">
        <f>IF(ISNUMBER(AA17),FIXED(AA17,0),IF(ISNUMBER(AA127),FIXED(AA127,0),""))</f>
        <v>0</v>
      </c>
      <c r="AB128" s="11">
        <f>IF(ISNUMBER(AB17),FIXED(AB17,0),IF(ISNUMBER(AB127),FIXED(AB127,0),""))</f>
        <v>0</v>
      </c>
      <c r="AC128" s="11">
        <f>IF(ISNUMBER(AC17),FIXED(AC17,0),IF(ISNUMBER(AC127),FIXED(AC127,0),""))</f>
        <v>0</v>
      </c>
      <c r="AD128" s="11">
        <f>IF(ISNUMBER(AD17),FIXED(AD17,0),IF(ISNUMBER(AD127),FIXED(AD127,0),""))</f>
        <v>0</v>
      </c>
    </row>
    <row r="129" spans="1:30">
      <c r="A129" s="11" t="s">
        <v>789</v>
      </c>
      <c r="B129" s="11" t="s">
        <v>790</v>
      </c>
      <c r="C129" s="67" t="s">
        <v>605</v>
      </c>
      <c r="D129" s="68">
        <f>IF(COUNT(D21,D22,D23)=0,NA(),SUM(D21,D22,D23))</f>
        <v>0</v>
      </c>
      <c r="E129" s="68">
        <f>IF(COUNT(E21,E22,E23)=0,NA(),SUM(E21,E22,E23))</f>
        <v>0</v>
      </c>
      <c r="F129" s="68">
        <f>IF(COUNT(F21,F22,F23)=0,NA(),SUM(F21,F22,F23))</f>
        <v>0</v>
      </c>
      <c r="G129" s="68">
        <f>IF(COUNT(G21,G22,G23)=0,NA(),SUM(G21,G22,G23))</f>
        <v>0</v>
      </c>
      <c r="H129" s="68">
        <f>IF(COUNT(H21,H22,H23)=0,NA(),SUM(H21,H22,H23))</f>
        <v>0</v>
      </c>
      <c r="I129" s="68">
        <f>IF(COUNT(I21,I22,I23)=0,NA(),SUM(I21,I22,I23))</f>
        <v>0</v>
      </c>
      <c r="J129" s="68">
        <f>IF(COUNT(J21,J22,J23)=0,NA(),SUM(J21,J22,J23))</f>
        <v>0</v>
      </c>
      <c r="K129" s="68">
        <f>IF(COUNT(K21,K22,K23)=0,NA(),SUM(K21,K22,K23))</f>
        <v>0</v>
      </c>
      <c r="L129" s="68">
        <f>IF(COUNT(L21,L22,L23)=0,NA(),SUM(L21,L22,L23))</f>
        <v>0</v>
      </c>
      <c r="M129" s="68">
        <f>IF(COUNT(M21,M22,M23)=0,NA(),SUM(M21,M22,M23))</f>
        <v>0</v>
      </c>
      <c r="N129" s="68">
        <f>IF(COUNT(N21,N22,N23)=0,NA(),SUM(N21,N22,N23))</f>
        <v>0</v>
      </c>
      <c r="O129" s="68">
        <f>IF(COUNT(O21,O22,O23)=0,NA(),SUM(O21,O22,O23))</f>
        <v>0</v>
      </c>
      <c r="P129" s="68">
        <f>IF(COUNT(P21,P22,P23)=0,NA(),SUM(P21,P22,P23))</f>
        <v>0</v>
      </c>
      <c r="Q129" s="68">
        <f>IF(COUNT(Q21,Q22,Q23)=0,NA(),SUM(Q21,Q22,Q23))</f>
        <v>0</v>
      </c>
      <c r="R129" s="68">
        <f>IF(COUNT(R21,R22,R23)=0,NA(),SUM(R21,R22,R23))</f>
        <v>0</v>
      </c>
      <c r="S129" s="68">
        <f>IF(COUNT(S21,S22,S23)=0,NA(),SUM(S21,S22,S23))</f>
        <v>0</v>
      </c>
      <c r="T129" s="68">
        <f>IF(COUNT(T21,T22,T23)=0,NA(),SUM(T21,T22,T23))</f>
        <v>0</v>
      </c>
      <c r="U129" s="68">
        <f>IF(COUNT(U21,U22,U23)=0,NA(),SUM(U21,U22,U23))</f>
        <v>0</v>
      </c>
      <c r="V129" s="68">
        <f>IF(COUNT(V21,V22,V23)=0,NA(),SUM(V21,V22,V23))</f>
        <v>0</v>
      </c>
      <c r="W129" s="68">
        <f>IF(COUNT(W21,W22,W23)=0,NA(),SUM(W21,W22,W23))</f>
        <v>0</v>
      </c>
      <c r="X129" s="68">
        <f>IF(COUNT(X21,X22,X23)=0,NA(),SUM(X21,X22,X23))</f>
        <v>0</v>
      </c>
      <c r="Y129" s="68">
        <f>IF(COUNT(Y21,Y22,Y23)=0,NA(),SUM(Y21,Y22,Y23))</f>
        <v>0</v>
      </c>
      <c r="Z129" s="68">
        <f>IF(COUNT(Z21,Z22,Z23)=0,NA(),SUM(Z21,Z22,Z23))</f>
        <v>0</v>
      </c>
      <c r="AA129" s="68">
        <f>IF(COUNT(AA21,AA22,AA23)=0,NA(),SUM(AA21,AA22,AA23))</f>
        <v>0</v>
      </c>
      <c r="AB129" s="68">
        <f>IF(COUNT(AB21,AB22,AB23)=0,NA(),SUM(AB21,AB22,AB23))</f>
        <v>0</v>
      </c>
      <c r="AC129" s="68">
        <f>IF(COUNT(AC21,AC22,AC23)=0,NA(),SUM(AC21,AC22,AC23))</f>
        <v>0</v>
      </c>
      <c r="AD129" s="68">
        <f>IF(COUNT(AD21,AD22,AD23)=0,NA(),SUM(AD21,AD22,AD23))</f>
        <v>0</v>
      </c>
    </row>
    <row r="130" spans="1:30">
      <c r="A130" s="11" t="s">
        <v>791</v>
      </c>
      <c r="B130" s="11" t="s">
        <v>792</v>
      </c>
      <c r="C130" s="67" t="s">
        <v>605</v>
      </c>
      <c r="D130" s="11">
        <f>IF(ISNUMBER(D129),FIXED(D129,0),"")</f>
        <v>0</v>
      </c>
      <c r="E130" s="11">
        <f>IF(ISNUMBER(E129),FIXED(E129,0),"")</f>
        <v>0</v>
      </c>
      <c r="F130" s="11">
        <f>IF(ISNUMBER(F129),FIXED(F129,0),"")</f>
        <v>0</v>
      </c>
      <c r="G130" s="11">
        <f>IF(ISNUMBER(G129),FIXED(G129,0),"")</f>
        <v>0</v>
      </c>
      <c r="H130" s="11">
        <f>IF(ISNUMBER(H129),FIXED(H129,0),"")</f>
        <v>0</v>
      </c>
      <c r="I130" s="11">
        <f>IF(ISNUMBER(I129),FIXED(I129,0),"")</f>
        <v>0</v>
      </c>
      <c r="J130" s="11">
        <f>IF(ISNUMBER(J129),FIXED(J129,0),"")</f>
        <v>0</v>
      </c>
      <c r="K130" s="11">
        <f>IF(ISNUMBER(K129),FIXED(K129,0),"")</f>
        <v>0</v>
      </c>
      <c r="L130" s="11">
        <f>IF(ISNUMBER(L129),FIXED(L129,0),"")</f>
        <v>0</v>
      </c>
      <c r="M130" s="11">
        <f>IF(ISNUMBER(M129),FIXED(M129,0),"")</f>
        <v>0</v>
      </c>
      <c r="N130" s="11">
        <f>IF(ISNUMBER(N129),FIXED(N129,0),"")</f>
        <v>0</v>
      </c>
      <c r="O130" s="11">
        <f>IF(ISNUMBER(O129),FIXED(O129,0),"")</f>
        <v>0</v>
      </c>
      <c r="P130" s="11">
        <f>IF(ISNUMBER(P129),FIXED(P129,0),"")</f>
        <v>0</v>
      </c>
      <c r="Q130" s="11">
        <f>IF(ISNUMBER(Q129),FIXED(Q129,0),"")</f>
        <v>0</v>
      </c>
      <c r="R130" s="11">
        <f>IF(ISNUMBER(R129),FIXED(R129,0),"")</f>
        <v>0</v>
      </c>
      <c r="S130" s="11">
        <f>IF(ISNUMBER(S129),FIXED(S129,0),"")</f>
        <v>0</v>
      </c>
      <c r="T130" s="11">
        <f>IF(ISNUMBER(T129),FIXED(T129,0),"")</f>
        <v>0</v>
      </c>
      <c r="U130" s="11">
        <f>IF(ISNUMBER(U129),FIXED(U129,0),"")</f>
        <v>0</v>
      </c>
      <c r="V130" s="11">
        <f>IF(ISNUMBER(V129),FIXED(V129,0),"")</f>
        <v>0</v>
      </c>
      <c r="W130" s="11">
        <f>IF(ISNUMBER(W129),FIXED(W129,0),"")</f>
        <v>0</v>
      </c>
      <c r="X130" s="11">
        <f>IF(ISNUMBER(X129),FIXED(X129,0),"")</f>
        <v>0</v>
      </c>
      <c r="Y130" s="11">
        <f>IF(ISNUMBER(Y129),FIXED(Y129,0),"")</f>
        <v>0</v>
      </c>
      <c r="Z130" s="11">
        <f>IF(ISNUMBER(Z129),FIXED(Z129,0),"")</f>
        <v>0</v>
      </c>
      <c r="AA130" s="11">
        <f>IF(ISNUMBER(AA129),FIXED(AA129,0),"")</f>
        <v>0</v>
      </c>
      <c r="AB130" s="11">
        <f>IF(ISNUMBER(AB129),FIXED(AB129,0),"")</f>
        <v>0</v>
      </c>
      <c r="AC130" s="11">
        <f>IF(ISNUMBER(AC129),FIXED(AC129,0),"")</f>
        <v>0</v>
      </c>
      <c r="AD130" s="11">
        <f>IF(ISNUMBER(AD129),FIXED(AD129,0),"")</f>
        <v>0</v>
      </c>
    </row>
    <row r="131" spans="1:30">
      <c r="A131" s="11" t="s">
        <v>793</v>
      </c>
      <c r="B131" s="11" t="s">
        <v>794</v>
      </c>
      <c r="C131" s="67" t="s">
        <v>605</v>
      </c>
      <c r="D131" s="68">
        <f>IF(COUNT(D27,D28,D29)=0,NA(),SUM(D27,D28,D29))</f>
        <v>0</v>
      </c>
      <c r="E131" s="68">
        <f>IF(COUNT(E27,E28,E29)=0,NA(),SUM(E27,E28,E29))</f>
        <v>0</v>
      </c>
      <c r="F131" s="68">
        <f>IF(COUNT(F27,F28,F29)=0,NA(),SUM(F27,F28,F29))</f>
        <v>0</v>
      </c>
      <c r="G131" s="68">
        <f>IF(COUNT(G27,G28,G29)=0,NA(),SUM(G27,G28,G29))</f>
        <v>0</v>
      </c>
      <c r="H131" s="68">
        <f>IF(COUNT(H27,H28,H29)=0,NA(),SUM(H27,H28,H29))</f>
        <v>0</v>
      </c>
      <c r="I131" s="68">
        <f>IF(COUNT(I27,I28,I29)=0,NA(),SUM(I27,I28,I29))</f>
        <v>0</v>
      </c>
      <c r="J131" s="68">
        <f>IF(COUNT(J27,J28,J29)=0,NA(),SUM(J27,J28,J29))</f>
        <v>0</v>
      </c>
      <c r="K131" s="68">
        <f>IF(COUNT(K27,K28,K29)=0,NA(),SUM(K27,K28,K29))</f>
        <v>0</v>
      </c>
      <c r="L131" s="68">
        <f>IF(COUNT(L27,L28,L29)=0,NA(),SUM(L27,L28,L29))</f>
        <v>0</v>
      </c>
      <c r="M131" s="68">
        <f>IF(COUNT(M27,M28,M29)=0,NA(),SUM(M27,M28,M29))</f>
        <v>0</v>
      </c>
      <c r="N131" s="68">
        <f>IF(COUNT(N27,N28,N29)=0,NA(),SUM(N27,N28,N29))</f>
        <v>0</v>
      </c>
      <c r="O131" s="68">
        <f>IF(COUNT(O27,O28,O29)=0,NA(),SUM(O27,O28,O29))</f>
        <v>0</v>
      </c>
      <c r="P131" s="68">
        <f>IF(COUNT(P27,P28,P29)=0,NA(),SUM(P27,P28,P29))</f>
        <v>0</v>
      </c>
      <c r="Q131" s="68">
        <f>IF(COUNT(Q27,Q28,Q29)=0,NA(),SUM(Q27,Q28,Q29))</f>
        <v>0</v>
      </c>
      <c r="R131" s="68">
        <f>IF(COUNT(R27,R28,R29)=0,NA(),SUM(R27,R28,R29))</f>
        <v>0</v>
      </c>
      <c r="S131" s="68">
        <f>IF(COUNT(S27,S28,S29)=0,NA(),SUM(S27,S28,S29))</f>
        <v>0</v>
      </c>
      <c r="T131" s="68">
        <f>IF(COUNT(T27,T28,T29)=0,NA(),SUM(T27,T28,T29))</f>
        <v>0</v>
      </c>
      <c r="U131" s="68">
        <f>IF(COUNT(U27,U28,U29)=0,NA(),SUM(U27,U28,U29))</f>
        <v>0</v>
      </c>
      <c r="V131" s="68">
        <f>IF(COUNT(V27,V28,V29)=0,NA(),SUM(V27,V28,V29))</f>
        <v>0</v>
      </c>
      <c r="W131" s="68">
        <f>IF(COUNT(W27,W28,W29)=0,NA(),SUM(W27,W28,W29))</f>
        <v>0</v>
      </c>
      <c r="X131" s="68">
        <f>IF(COUNT(X27,X28,X29)=0,NA(),SUM(X27,X28,X29))</f>
        <v>0</v>
      </c>
      <c r="Y131" s="68">
        <f>IF(COUNT(Y27,Y28,Y29)=0,NA(),SUM(Y27,Y28,Y29))</f>
        <v>0</v>
      </c>
      <c r="Z131" s="68">
        <f>IF(COUNT(Z27,Z28,Z29)=0,NA(),SUM(Z27,Z28,Z29))</f>
        <v>0</v>
      </c>
      <c r="AA131" s="68">
        <f>IF(COUNT(AA27,AA28,AA29)=0,NA(),SUM(AA27,AA28,AA29))</f>
        <v>0</v>
      </c>
      <c r="AB131" s="68">
        <f>IF(COUNT(AB27,AB28,AB29)=0,NA(),SUM(AB27,AB28,AB29))</f>
        <v>0</v>
      </c>
      <c r="AC131" s="68">
        <f>IF(COUNT(AC27,AC28,AC29)=0,NA(),SUM(AC27,AC28,AC29))</f>
        <v>0</v>
      </c>
      <c r="AD131" s="68">
        <f>IF(COUNT(AD27,AD28,AD29)=0,NA(),SUM(AD27,AD28,AD29))</f>
        <v>0</v>
      </c>
    </row>
    <row r="132" spans="1:30">
      <c r="A132" s="11" t="s">
        <v>795</v>
      </c>
      <c r="B132" s="11" t="s">
        <v>796</v>
      </c>
      <c r="C132" s="67" t="s">
        <v>605</v>
      </c>
      <c r="D132" s="11">
        <f>IF(ISNUMBER(D131),FIXED(D131,0),"")</f>
        <v>0</v>
      </c>
      <c r="E132" s="11">
        <f>IF(ISNUMBER(E131),FIXED(E131,0),"")</f>
        <v>0</v>
      </c>
      <c r="F132" s="11">
        <f>IF(ISNUMBER(F131),FIXED(F131,0),"")</f>
        <v>0</v>
      </c>
      <c r="G132" s="11">
        <f>IF(ISNUMBER(G131),FIXED(G131,0),"")</f>
        <v>0</v>
      </c>
      <c r="H132" s="11">
        <f>IF(ISNUMBER(H131),FIXED(H131,0),"")</f>
        <v>0</v>
      </c>
      <c r="I132" s="11">
        <f>IF(ISNUMBER(I131),FIXED(I131,0),"")</f>
        <v>0</v>
      </c>
      <c r="J132" s="11">
        <f>IF(ISNUMBER(J131),FIXED(J131,0),"")</f>
        <v>0</v>
      </c>
      <c r="K132" s="11">
        <f>IF(ISNUMBER(K131),FIXED(K131,0),"")</f>
        <v>0</v>
      </c>
      <c r="L132" s="11">
        <f>IF(ISNUMBER(L131),FIXED(L131,0),"")</f>
        <v>0</v>
      </c>
      <c r="M132" s="11">
        <f>IF(ISNUMBER(M131),FIXED(M131,0),"")</f>
        <v>0</v>
      </c>
      <c r="N132" s="11">
        <f>IF(ISNUMBER(N131),FIXED(N131,0),"")</f>
        <v>0</v>
      </c>
      <c r="O132" s="11">
        <f>IF(ISNUMBER(O131),FIXED(O131,0),"")</f>
        <v>0</v>
      </c>
      <c r="P132" s="11">
        <f>IF(ISNUMBER(P131),FIXED(P131,0),"")</f>
        <v>0</v>
      </c>
      <c r="Q132" s="11">
        <f>IF(ISNUMBER(Q131),FIXED(Q131,0),"")</f>
        <v>0</v>
      </c>
      <c r="R132" s="11">
        <f>IF(ISNUMBER(R131),FIXED(R131,0),"")</f>
        <v>0</v>
      </c>
      <c r="S132" s="11">
        <f>IF(ISNUMBER(S131),FIXED(S131,0),"")</f>
        <v>0</v>
      </c>
      <c r="T132" s="11">
        <f>IF(ISNUMBER(T131),FIXED(T131,0),"")</f>
        <v>0</v>
      </c>
      <c r="U132" s="11">
        <f>IF(ISNUMBER(U131),FIXED(U131,0),"")</f>
        <v>0</v>
      </c>
      <c r="V132" s="11">
        <f>IF(ISNUMBER(V131),FIXED(V131,0),"")</f>
        <v>0</v>
      </c>
      <c r="W132" s="11">
        <f>IF(ISNUMBER(W131),FIXED(W131,0),"")</f>
        <v>0</v>
      </c>
      <c r="X132" s="11">
        <f>IF(ISNUMBER(X131),FIXED(X131,0),"")</f>
        <v>0</v>
      </c>
      <c r="Y132" s="11">
        <f>IF(ISNUMBER(Y131),FIXED(Y131,0),"")</f>
        <v>0</v>
      </c>
      <c r="Z132" s="11">
        <f>IF(ISNUMBER(Z131),FIXED(Z131,0),"")</f>
        <v>0</v>
      </c>
      <c r="AA132" s="11">
        <f>IF(ISNUMBER(AA131),FIXED(AA131,0),"")</f>
        <v>0</v>
      </c>
      <c r="AB132" s="11">
        <f>IF(ISNUMBER(AB131),FIXED(AB131,0),"")</f>
        <v>0</v>
      </c>
      <c r="AC132" s="11">
        <f>IF(ISNUMBER(AC131),FIXED(AC131,0),"")</f>
        <v>0</v>
      </c>
      <c r="AD132" s="11">
        <f>IF(ISNUMBER(AD131),FIXED(AD131,0),"")</f>
        <v>0</v>
      </c>
    </row>
    <row r="133" spans="1:30">
      <c r="A133" s="11" t="s">
        <v>797</v>
      </c>
      <c r="B133" s="11" t="s">
        <v>798</v>
      </c>
      <c r="C133" s="67" t="s">
        <v>605</v>
      </c>
      <c r="D133" s="68">
        <f>SLA_PV</f>
        <v>0</v>
      </c>
      <c r="E133" s="68">
        <f>SLA_PV</f>
        <v>0</v>
      </c>
      <c r="F133" s="68">
        <f>SLA_PV</f>
        <v>0</v>
      </c>
      <c r="G133" s="68">
        <f>SLA_PV</f>
        <v>0</v>
      </c>
      <c r="H133" s="68">
        <f>SLA_PV</f>
        <v>0</v>
      </c>
      <c r="I133" s="68">
        <f>SLA_PV</f>
        <v>0</v>
      </c>
      <c r="J133" s="68">
        <f>SLA_PV</f>
        <v>0</v>
      </c>
      <c r="K133" s="68">
        <f>SLA_PV</f>
        <v>0</v>
      </c>
      <c r="L133" s="68">
        <f>SLA_PV</f>
        <v>0</v>
      </c>
      <c r="M133" s="68">
        <f>SLA_PV</f>
        <v>0</v>
      </c>
      <c r="N133" s="68">
        <f>SLA_PV</f>
        <v>0</v>
      </c>
      <c r="O133" s="68">
        <f>SLA_PV</f>
        <v>0</v>
      </c>
      <c r="P133" s="68">
        <f>SLA_PV</f>
        <v>0</v>
      </c>
      <c r="Q133" s="68">
        <f>SLA_PV</f>
        <v>0</v>
      </c>
      <c r="R133" s="68">
        <f>SLA_PV</f>
        <v>0</v>
      </c>
      <c r="S133" s="68">
        <f>SLA_PV</f>
        <v>0</v>
      </c>
      <c r="T133" s="68">
        <f>SLA_PV</f>
        <v>0</v>
      </c>
      <c r="U133" s="68">
        <f>SLA_PV</f>
        <v>0</v>
      </c>
      <c r="V133" s="68">
        <f>SLA_PV</f>
        <v>0</v>
      </c>
      <c r="W133" s="68">
        <f>SLA_PV</f>
        <v>0</v>
      </c>
      <c r="X133" s="68">
        <f>SLA_PV</f>
        <v>0</v>
      </c>
      <c r="Y133" s="68">
        <f>SLA_PV</f>
        <v>0</v>
      </c>
      <c r="Z133" s="68">
        <f>SLA_PV</f>
        <v>0</v>
      </c>
      <c r="AA133" s="68">
        <f>SLA_PV</f>
        <v>0</v>
      </c>
      <c r="AB133" s="68">
        <f>SLA_PV</f>
        <v>0</v>
      </c>
      <c r="AC133" s="68">
        <f>SLA_PV</f>
        <v>0</v>
      </c>
      <c r="AD133" s="68">
        <f>SLA_PV</f>
        <v>0</v>
      </c>
    </row>
    <row r="134" spans="1:30">
      <c r="A134" s="11" t="s">
        <v>799</v>
      </c>
      <c r="B134" s="11" t="s">
        <v>800</v>
      </c>
      <c r="C134" s="67" t="s">
        <v>605</v>
      </c>
      <c r="D134" s="11">
        <f>IF(ISNUMBER(D10),IF(D10=0,"",FIXED(D10,0)),"")</f>
        <v>0</v>
      </c>
      <c r="E134" s="11">
        <f>IF(ISNUMBER(E10),IF(E10=0,"",FIXED(E10,0)),"")</f>
        <v>0</v>
      </c>
      <c r="F134" s="11">
        <f>IF(ISNUMBER(F10),IF(F10=0,"",FIXED(F10,0)),"")</f>
        <v>0</v>
      </c>
      <c r="G134" s="11">
        <f>IF(ISNUMBER(G10),IF(G10=0,"",FIXED(G10,0)),"")</f>
        <v>0</v>
      </c>
      <c r="H134" s="11">
        <f>IF(ISNUMBER(H10),IF(H10=0,"",FIXED(H10,0)),"")</f>
        <v>0</v>
      </c>
      <c r="I134" s="11">
        <f>IF(ISNUMBER(I10),IF(I10=0,"",FIXED(I10,0)),"")</f>
        <v>0</v>
      </c>
      <c r="J134" s="11">
        <f>IF(ISNUMBER(J10),IF(J10=0,"",FIXED(J10,0)),"")</f>
        <v>0</v>
      </c>
      <c r="K134" s="11">
        <f>IF(ISNUMBER(K10),IF(K10=0,"",FIXED(K10,0)),"")</f>
        <v>0</v>
      </c>
      <c r="L134" s="11">
        <f>IF(ISNUMBER(L10),IF(L10=0,"",FIXED(L10,0)),"")</f>
        <v>0</v>
      </c>
      <c r="M134" s="11">
        <f>IF(ISNUMBER(M10),IF(M10=0,"",FIXED(M10,0)),"")</f>
        <v>0</v>
      </c>
      <c r="N134" s="11">
        <f>IF(ISNUMBER(N10),IF(N10=0,"",FIXED(N10,0)),"")</f>
        <v>0</v>
      </c>
      <c r="O134" s="11">
        <f>IF(ISNUMBER(O10),IF(O10=0,"",FIXED(O10,0)),"")</f>
        <v>0</v>
      </c>
      <c r="P134" s="11">
        <f>IF(ISNUMBER(P10),IF(P10=0,"",FIXED(P10,0)),"")</f>
        <v>0</v>
      </c>
      <c r="Q134" s="11">
        <f>IF(ISNUMBER(Q10),IF(Q10=0,"",FIXED(Q10,0)),"")</f>
        <v>0</v>
      </c>
      <c r="R134" s="11">
        <f>IF(ISNUMBER(R10),IF(R10=0,"",FIXED(R10,0)),"")</f>
        <v>0</v>
      </c>
      <c r="S134" s="11">
        <f>IF(ISNUMBER(S10),IF(S10=0,"",FIXED(S10,0)),"")</f>
        <v>0</v>
      </c>
      <c r="T134" s="11">
        <f>IF(ISNUMBER(T10),IF(T10=0,"",FIXED(T10,0)),"")</f>
        <v>0</v>
      </c>
      <c r="U134" s="11">
        <f>IF(ISNUMBER(U10),IF(U10=0,"",FIXED(U10,0)),"")</f>
        <v>0</v>
      </c>
      <c r="V134" s="11">
        <f>IF(ISNUMBER(V10),IF(V10=0,"",FIXED(V10,0)),"")</f>
        <v>0</v>
      </c>
      <c r="W134" s="11">
        <f>IF(ISNUMBER(W10),IF(W10=0,"",FIXED(W10,0)),"")</f>
        <v>0</v>
      </c>
      <c r="X134" s="11">
        <f>IF(ISNUMBER(X10),IF(X10=0,"",FIXED(X10,0)),"")</f>
        <v>0</v>
      </c>
      <c r="Y134" s="11">
        <f>IF(ISNUMBER(Y10),IF(Y10=0,"",FIXED(Y10,0)),"")</f>
        <v>0</v>
      </c>
      <c r="Z134" s="11">
        <f>IF(ISNUMBER(Z10),IF(Z10=0,"",FIXED(Z10,0)),"")</f>
        <v>0</v>
      </c>
      <c r="AA134" s="11">
        <f>IF(ISNUMBER(AA10),IF(AA10=0,"",FIXED(AA10,0)),"")</f>
        <v>0</v>
      </c>
      <c r="AB134" s="11">
        <f>IF(ISNUMBER(AB10),IF(AB10=0,"",FIXED(AB10,0)),"")</f>
        <v>0</v>
      </c>
      <c r="AC134" s="11">
        <f>IF(ISNUMBER(AC10),IF(AC10=0,"",FIXED(AC10,0)),"")</f>
        <v>0</v>
      </c>
      <c r="AD134" s="11">
        <f>IF(ISNUMBER(AD10),IF(AD10=0,"",FIXED(AD10,0)),"")</f>
        <v>0</v>
      </c>
    </row>
    <row r="135" spans="1:30">
      <c r="A135" s="11" t="s">
        <v>801</v>
      </c>
      <c r="B135" s="11" t="s">
        <v>802</v>
      </c>
      <c r="C135" s="67" t="s">
        <v>602</v>
      </c>
      <c r="D135" s="68">
        <v>0</v>
      </c>
    </row>
    <row r="136" spans="1:30">
      <c r="A136" s="11" t="s">
        <v>803</v>
      </c>
      <c r="B136" s="11" t="s">
        <v>804</v>
      </c>
      <c r="C136" s="67" t="s">
        <v>605</v>
      </c>
      <c r="D136" s="68">
        <f>IF(AND($D$135=1,ISNUMBER(D10),ISNUMBER(D11)),IF((D10-D11)&gt;0,-0.28*MAX(1,_xlfn.AGGREGATE(4,6,$D$10:$AD$10),_xlfn.AGGREGATE(4,6,$D$11:$AD$11)),NA()),NA())</f>
        <v>0</v>
      </c>
      <c r="E136" s="68">
        <f>IF(AND($D$135=1,ISNUMBER(E10),ISNUMBER(E11)),IF((E10-E11)&gt;0,-0.28*MAX(1,_xlfn.AGGREGATE(4,6,$D$10:$AD$10),_xlfn.AGGREGATE(4,6,$D$11:$AD$11)),NA()),NA())</f>
        <v>0</v>
      </c>
      <c r="F136" s="68">
        <f>IF(AND($D$135=1,ISNUMBER(F10),ISNUMBER(F11)),IF((F10-F11)&gt;0,-0.28*MAX(1,_xlfn.AGGREGATE(4,6,$D$10:$AD$10),_xlfn.AGGREGATE(4,6,$D$11:$AD$11)),NA()),NA())</f>
        <v>0</v>
      </c>
      <c r="G136" s="68">
        <f>IF(AND($D$135=1,ISNUMBER(G10),ISNUMBER(G11)),IF((G10-G11)&gt;0,-0.28*MAX(1,_xlfn.AGGREGATE(4,6,$D$10:$AD$10),_xlfn.AGGREGATE(4,6,$D$11:$AD$11)),NA()),NA())</f>
        <v>0</v>
      </c>
      <c r="H136" s="68">
        <f>IF(AND($D$135=1,ISNUMBER(H10),ISNUMBER(H11)),IF((H10-H11)&gt;0,-0.28*MAX(1,_xlfn.AGGREGATE(4,6,$D$10:$AD$10),_xlfn.AGGREGATE(4,6,$D$11:$AD$11)),NA()),NA())</f>
        <v>0</v>
      </c>
      <c r="I136" s="68">
        <f>IF(AND($D$135=1,ISNUMBER(I10),ISNUMBER(I11)),IF((I10-I11)&gt;0,-0.28*MAX(1,_xlfn.AGGREGATE(4,6,$D$10:$AD$10),_xlfn.AGGREGATE(4,6,$D$11:$AD$11)),NA()),NA())</f>
        <v>0</v>
      </c>
      <c r="J136" s="68">
        <f>IF(AND($D$135=1,ISNUMBER(J10),ISNUMBER(J11)),IF((J10-J11)&gt;0,-0.28*MAX(1,_xlfn.AGGREGATE(4,6,$D$10:$AD$10),_xlfn.AGGREGATE(4,6,$D$11:$AD$11)),NA()),NA())</f>
        <v>0</v>
      </c>
      <c r="K136" s="68">
        <f>IF(AND($D$135=1,ISNUMBER(K10),ISNUMBER(K11)),IF((K10-K11)&gt;0,-0.28*MAX(1,_xlfn.AGGREGATE(4,6,$D$10:$AD$10),_xlfn.AGGREGATE(4,6,$D$11:$AD$11)),NA()),NA())</f>
        <v>0</v>
      </c>
      <c r="L136" s="68">
        <f>IF(AND($D$135=1,ISNUMBER(L10),ISNUMBER(L11)),IF((L10-L11)&gt;0,-0.28*MAX(1,_xlfn.AGGREGATE(4,6,$D$10:$AD$10),_xlfn.AGGREGATE(4,6,$D$11:$AD$11)),NA()),NA())</f>
        <v>0</v>
      </c>
      <c r="M136" s="68">
        <f>IF(AND($D$135=1,ISNUMBER(M10),ISNUMBER(M11)),IF((M10-M11)&gt;0,-0.28*MAX(1,_xlfn.AGGREGATE(4,6,$D$10:$AD$10),_xlfn.AGGREGATE(4,6,$D$11:$AD$11)),NA()),NA())</f>
        <v>0</v>
      </c>
      <c r="N136" s="68">
        <f>IF(AND($D$135=1,ISNUMBER(N10),ISNUMBER(N11)),IF((N10-N11)&gt;0,-0.28*MAX(1,_xlfn.AGGREGATE(4,6,$D$10:$AD$10),_xlfn.AGGREGATE(4,6,$D$11:$AD$11)),NA()),NA())</f>
        <v>0</v>
      </c>
      <c r="O136" s="68">
        <f>IF(AND($D$135=1,ISNUMBER(O10),ISNUMBER(O11)),IF((O10-O11)&gt;0,-0.28*MAX(1,_xlfn.AGGREGATE(4,6,$D$10:$AD$10),_xlfn.AGGREGATE(4,6,$D$11:$AD$11)),NA()),NA())</f>
        <v>0</v>
      </c>
      <c r="P136" s="68">
        <f>IF(AND($D$135=1,ISNUMBER(P10),ISNUMBER(P11)),IF((P10-P11)&gt;0,-0.28*MAX(1,_xlfn.AGGREGATE(4,6,$D$10:$AD$10),_xlfn.AGGREGATE(4,6,$D$11:$AD$11)),NA()),NA())</f>
        <v>0</v>
      </c>
      <c r="Q136" s="68">
        <f>IF(AND($D$135=1,ISNUMBER(Q10),ISNUMBER(Q11)),IF((Q10-Q11)&gt;0,-0.28*MAX(1,_xlfn.AGGREGATE(4,6,$D$10:$AD$10),_xlfn.AGGREGATE(4,6,$D$11:$AD$11)),NA()),NA())</f>
        <v>0</v>
      </c>
      <c r="R136" s="68">
        <f>IF(AND($D$135=1,ISNUMBER(R10),ISNUMBER(R11)),IF((R10-R11)&gt;0,-0.28*MAX(1,_xlfn.AGGREGATE(4,6,$D$10:$AD$10),_xlfn.AGGREGATE(4,6,$D$11:$AD$11)),NA()),NA())</f>
        <v>0</v>
      </c>
      <c r="S136" s="68">
        <f>IF(AND($D$135=1,ISNUMBER(S10),ISNUMBER(S11)),IF((S10-S11)&gt;0,-0.28*MAX(1,_xlfn.AGGREGATE(4,6,$D$10:$AD$10),_xlfn.AGGREGATE(4,6,$D$11:$AD$11)),NA()),NA())</f>
        <v>0</v>
      </c>
      <c r="T136" s="68">
        <f>IF(AND($D$135=1,ISNUMBER(T10),ISNUMBER(T11)),IF((T10-T11)&gt;0,-0.28*MAX(1,_xlfn.AGGREGATE(4,6,$D$10:$AD$10),_xlfn.AGGREGATE(4,6,$D$11:$AD$11)),NA()),NA())</f>
        <v>0</v>
      </c>
      <c r="U136" s="68">
        <f>IF(AND($D$135=1,ISNUMBER(U10),ISNUMBER(U11)),IF((U10-U11)&gt;0,-0.28*MAX(1,_xlfn.AGGREGATE(4,6,$D$10:$AD$10),_xlfn.AGGREGATE(4,6,$D$11:$AD$11)),NA()),NA())</f>
        <v>0</v>
      </c>
      <c r="V136" s="68">
        <f>IF(AND($D$135=1,ISNUMBER(V10),ISNUMBER(V11)),IF((V10-V11)&gt;0,-0.28*MAX(1,_xlfn.AGGREGATE(4,6,$D$10:$AD$10),_xlfn.AGGREGATE(4,6,$D$11:$AD$11)),NA()),NA())</f>
        <v>0</v>
      </c>
      <c r="W136" s="68">
        <f>IF(AND($D$135=1,ISNUMBER(W10),ISNUMBER(W11)),IF((W10-W11)&gt;0,-0.28*MAX(1,_xlfn.AGGREGATE(4,6,$D$10:$AD$10),_xlfn.AGGREGATE(4,6,$D$11:$AD$11)),NA()),NA())</f>
        <v>0</v>
      </c>
      <c r="X136" s="68">
        <f>IF(AND($D$135=1,ISNUMBER(X10),ISNUMBER(X11)),IF((X10-X11)&gt;0,-0.28*MAX(1,_xlfn.AGGREGATE(4,6,$D$10:$AD$10),_xlfn.AGGREGATE(4,6,$D$11:$AD$11)),NA()),NA())</f>
        <v>0</v>
      </c>
      <c r="Y136" s="68">
        <f>IF(AND($D$135=1,ISNUMBER(Y10),ISNUMBER(Y11)),IF((Y10-Y11)&gt;0,-0.28*MAX(1,_xlfn.AGGREGATE(4,6,$D$10:$AD$10),_xlfn.AGGREGATE(4,6,$D$11:$AD$11)),NA()),NA())</f>
        <v>0</v>
      </c>
      <c r="Z136" s="68">
        <f>IF(AND($D$135=1,ISNUMBER(Z10),ISNUMBER(Z11)),IF((Z10-Z11)&gt;0,-0.28*MAX(1,_xlfn.AGGREGATE(4,6,$D$10:$AD$10),_xlfn.AGGREGATE(4,6,$D$11:$AD$11)),NA()),NA())</f>
        <v>0</v>
      </c>
      <c r="AA136" s="68">
        <f>IF(AND($D$135=1,ISNUMBER(AA10),ISNUMBER(AA11)),IF((AA10-AA11)&gt;0,-0.28*MAX(1,_xlfn.AGGREGATE(4,6,$D$10:$AD$10),_xlfn.AGGREGATE(4,6,$D$11:$AD$11)),NA()),NA())</f>
        <v>0</v>
      </c>
      <c r="AB136" s="68">
        <f>IF(AND($D$135=1,ISNUMBER(AB10),ISNUMBER(AB11)),IF((AB10-AB11)&gt;0,-0.28*MAX(1,_xlfn.AGGREGATE(4,6,$D$10:$AD$10),_xlfn.AGGREGATE(4,6,$D$11:$AD$11)),NA()),NA())</f>
        <v>0</v>
      </c>
      <c r="AC136" s="68">
        <f>IF(AND($D$135=1,ISNUMBER(AC10),ISNUMBER(AC11)),IF((AC10-AC11)&gt;0,-0.28*MAX(1,_xlfn.AGGREGATE(4,6,$D$10:$AD$10),_xlfn.AGGREGATE(4,6,$D$11:$AD$11)),NA()),NA())</f>
        <v>0</v>
      </c>
      <c r="AD136" s="68">
        <f>IF(AND($D$135=1,ISNUMBER(AD10),ISNUMBER(AD11)),IF((AD10-AD11)&gt;0,-0.28*MAX(1,_xlfn.AGGREGATE(4,6,$D$10:$AD$10),_xlfn.AGGREGATE(4,6,$D$11:$AD$11)),NA()),NA())</f>
        <v>0</v>
      </c>
    </row>
    <row r="137" spans="1:30">
      <c r="A137" s="11" t="s">
        <v>805</v>
      </c>
      <c r="B137" s="11" t="s">
        <v>806</v>
      </c>
      <c r="C137" s="67" t="s">
        <v>605</v>
      </c>
      <c r="D137" s="68">
        <f>IF(AND($D$135=1,ISNUMBER(D10),ISNUMBER(D11)),IF((D10-D11)&lt;0,-0.28*MAX(1,_xlfn.AGGREGATE(4,6,$D$10:$AD$10),_xlfn.AGGREGATE(4,6,$D$11:$AD$11)),NA()),NA())</f>
        <v>0</v>
      </c>
      <c r="E137" s="68">
        <f>IF(AND($D$135=1,ISNUMBER(E10),ISNUMBER(E11)),IF((E10-E11)&lt;0,-0.28*MAX(1,_xlfn.AGGREGATE(4,6,$D$10:$AD$10),_xlfn.AGGREGATE(4,6,$D$11:$AD$11)),NA()),NA())</f>
        <v>0</v>
      </c>
      <c r="F137" s="68">
        <f>IF(AND($D$135=1,ISNUMBER(F10),ISNUMBER(F11)),IF((F10-F11)&lt;0,-0.28*MAX(1,_xlfn.AGGREGATE(4,6,$D$10:$AD$10),_xlfn.AGGREGATE(4,6,$D$11:$AD$11)),NA()),NA())</f>
        <v>0</v>
      </c>
      <c r="G137" s="68">
        <f>IF(AND($D$135=1,ISNUMBER(G10),ISNUMBER(G11)),IF((G10-G11)&lt;0,-0.28*MAX(1,_xlfn.AGGREGATE(4,6,$D$10:$AD$10),_xlfn.AGGREGATE(4,6,$D$11:$AD$11)),NA()),NA())</f>
        <v>0</v>
      </c>
      <c r="H137" s="68">
        <f>IF(AND($D$135=1,ISNUMBER(H10),ISNUMBER(H11)),IF((H10-H11)&lt;0,-0.28*MAX(1,_xlfn.AGGREGATE(4,6,$D$10:$AD$10),_xlfn.AGGREGATE(4,6,$D$11:$AD$11)),NA()),NA())</f>
        <v>0</v>
      </c>
      <c r="I137" s="68">
        <f>IF(AND($D$135=1,ISNUMBER(I10),ISNUMBER(I11)),IF((I10-I11)&lt;0,-0.28*MAX(1,_xlfn.AGGREGATE(4,6,$D$10:$AD$10),_xlfn.AGGREGATE(4,6,$D$11:$AD$11)),NA()),NA())</f>
        <v>0</v>
      </c>
      <c r="J137" s="68">
        <f>IF(AND($D$135=1,ISNUMBER(J10),ISNUMBER(J11)),IF((J10-J11)&lt;0,-0.28*MAX(1,_xlfn.AGGREGATE(4,6,$D$10:$AD$10),_xlfn.AGGREGATE(4,6,$D$11:$AD$11)),NA()),NA())</f>
        <v>0</v>
      </c>
      <c r="K137" s="68">
        <f>IF(AND($D$135=1,ISNUMBER(K10),ISNUMBER(K11)),IF((K10-K11)&lt;0,-0.28*MAX(1,_xlfn.AGGREGATE(4,6,$D$10:$AD$10),_xlfn.AGGREGATE(4,6,$D$11:$AD$11)),NA()),NA())</f>
        <v>0</v>
      </c>
      <c r="L137" s="68">
        <f>IF(AND($D$135=1,ISNUMBER(L10),ISNUMBER(L11)),IF((L10-L11)&lt;0,-0.28*MAX(1,_xlfn.AGGREGATE(4,6,$D$10:$AD$10),_xlfn.AGGREGATE(4,6,$D$11:$AD$11)),NA()),NA())</f>
        <v>0</v>
      </c>
      <c r="M137" s="68">
        <f>IF(AND($D$135=1,ISNUMBER(M10),ISNUMBER(M11)),IF((M10-M11)&lt;0,-0.28*MAX(1,_xlfn.AGGREGATE(4,6,$D$10:$AD$10),_xlfn.AGGREGATE(4,6,$D$11:$AD$11)),NA()),NA())</f>
        <v>0</v>
      </c>
      <c r="N137" s="68">
        <f>IF(AND($D$135=1,ISNUMBER(N10),ISNUMBER(N11)),IF((N10-N11)&lt;0,-0.28*MAX(1,_xlfn.AGGREGATE(4,6,$D$10:$AD$10),_xlfn.AGGREGATE(4,6,$D$11:$AD$11)),NA()),NA())</f>
        <v>0</v>
      </c>
      <c r="O137" s="68">
        <f>IF(AND($D$135=1,ISNUMBER(O10),ISNUMBER(O11)),IF((O10-O11)&lt;0,-0.28*MAX(1,_xlfn.AGGREGATE(4,6,$D$10:$AD$10),_xlfn.AGGREGATE(4,6,$D$11:$AD$11)),NA()),NA())</f>
        <v>0</v>
      </c>
      <c r="P137" s="68">
        <f>IF(AND($D$135=1,ISNUMBER(P10),ISNUMBER(P11)),IF((P10-P11)&lt;0,-0.28*MAX(1,_xlfn.AGGREGATE(4,6,$D$10:$AD$10),_xlfn.AGGREGATE(4,6,$D$11:$AD$11)),NA()),NA())</f>
        <v>0</v>
      </c>
      <c r="Q137" s="68">
        <f>IF(AND($D$135=1,ISNUMBER(Q10),ISNUMBER(Q11)),IF((Q10-Q11)&lt;0,-0.28*MAX(1,_xlfn.AGGREGATE(4,6,$D$10:$AD$10),_xlfn.AGGREGATE(4,6,$D$11:$AD$11)),NA()),NA())</f>
        <v>0</v>
      </c>
      <c r="R137" s="68">
        <f>IF(AND($D$135=1,ISNUMBER(R10),ISNUMBER(R11)),IF((R10-R11)&lt;0,-0.28*MAX(1,_xlfn.AGGREGATE(4,6,$D$10:$AD$10),_xlfn.AGGREGATE(4,6,$D$11:$AD$11)),NA()),NA())</f>
        <v>0</v>
      </c>
      <c r="S137" s="68">
        <f>IF(AND($D$135=1,ISNUMBER(S10),ISNUMBER(S11)),IF((S10-S11)&lt;0,-0.28*MAX(1,_xlfn.AGGREGATE(4,6,$D$10:$AD$10),_xlfn.AGGREGATE(4,6,$D$11:$AD$11)),NA()),NA())</f>
        <v>0</v>
      </c>
      <c r="T137" s="68">
        <f>IF(AND($D$135=1,ISNUMBER(T10),ISNUMBER(T11)),IF((T10-T11)&lt;0,-0.28*MAX(1,_xlfn.AGGREGATE(4,6,$D$10:$AD$10),_xlfn.AGGREGATE(4,6,$D$11:$AD$11)),NA()),NA())</f>
        <v>0</v>
      </c>
      <c r="U137" s="68">
        <f>IF(AND($D$135=1,ISNUMBER(U10),ISNUMBER(U11)),IF((U10-U11)&lt;0,-0.28*MAX(1,_xlfn.AGGREGATE(4,6,$D$10:$AD$10),_xlfn.AGGREGATE(4,6,$D$11:$AD$11)),NA()),NA())</f>
        <v>0</v>
      </c>
      <c r="V137" s="68">
        <f>IF(AND($D$135=1,ISNUMBER(V10),ISNUMBER(V11)),IF((V10-V11)&lt;0,-0.28*MAX(1,_xlfn.AGGREGATE(4,6,$D$10:$AD$10),_xlfn.AGGREGATE(4,6,$D$11:$AD$11)),NA()),NA())</f>
        <v>0</v>
      </c>
      <c r="W137" s="68">
        <f>IF(AND($D$135=1,ISNUMBER(W10),ISNUMBER(W11)),IF((W10-W11)&lt;0,-0.28*MAX(1,_xlfn.AGGREGATE(4,6,$D$10:$AD$10),_xlfn.AGGREGATE(4,6,$D$11:$AD$11)),NA()),NA())</f>
        <v>0</v>
      </c>
      <c r="X137" s="68">
        <f>IF(AND($D$135=1,ISNUMBER(X10),ISNUMBER(X11)),IF((X10-X11)&lt;0,-0.28*MAX(1,_xlfn.AGGREGATE(4,6,$D$10:$AD$10),_xlfn.AGGREGATE(4,6,$D$11:$AD$11)),NA()),NA())</f>
        <v>0</v>
      </c>
      <c r="Y137" s="68">
        <f>IF(AND($D$135=1,ISNUMBER(Y10),ISNUMBER(Y11)),IF((Y10-Y11)&lt;0,-0.28*MAX(1,_xlfn.AGGREGATE(4,6,$D$10:$AD$10),_xlfn.AGGREGATE(4,6,$D$11:$AD$11)),NA()),NA())</f>
        <v>0</v>
      </c>
      <c r="Z137" s="68">
        <f>IF(AND($D$135=1,ISNUMBER(Z10),ISNUMBER(Z11)),IF((Z10-Z11)&lt;0,-0.28*MAX(1,_xlfn.AGGREGATE(4,6,$D$10:$AD$10),_xlfn.AGGREGATE(4,6,$D$11:$AD$11)),NA()),NA())</f>
        <v>0</v>
      </c>
      <c r="AA137" s="68">
        <f>IF(AND($D$135=1,ISNUMBER(AA10),ISNUMBER(AA11)),IF((AA10-AA11)&lt;0,-0.28*MAX(1,_xlfn.AGGREGATE(4,6,$D$10:$AD$10),_xlfn.AGGREGATE(4,6,$D$11:$AD$11)),NA()),NA())</f>
        <v>0</v>
      </c>
      <c r="AB137" s="68">
        <f>IF(AND($D$135=1,ISNUMBER(AB10),ISNUMBER(AB11)),IF((AB10-AB11)&lt;0,-0.28*MAX(1,_xlfn.AGGREGATE(4,6,$D$10:$AD$10),_xlfn.AGGREGATE(4,6,$D$11:$AD$11)),NA()),NA())</f>
        <v>0</v>
      </c>
      <c r="AC137" s="68">
        <f>IF(AND($D$135=1,ISNUMBER(AC10),ISNUMBER(AC11)),IF((AC10-AC11)&lt;0,-0.28*MAX(1,_xlfn.AGGREGATE(4,6,$D$10:$AD$10),_xlfn.AGGREGATE(4,6,$D$11:$AD$11)),NA()),NA())</f>
        <v>0</v>
      </c>
      <c r="AD137" s="68">
        <f>IF(AND($D$135=1,ISNUMBER(AD10),ISNUMBER(AD11)),IF((AD10-AD11)&lt;0,-0.28*MAX(1,_xlfn.AGGREGATE(4,6,$D$10:$AD$10),_xlfn.AGGREGATE(4,6,$D$11:$AD$11)),NA()),NA())</f>
        <v>0</v>
      </c>
    </row>
    <row r="138" spans="1:30">
      <c r="A138" s="11" t="s">
        <v>807</v>
      </c>
      <c r="B138" s="11" t="s">
        <v>808</v>
      </c>
      <c r="C138" s="67" t="s">
        <v>605</v>
      </c>
      <c r="D138" s="68">
        <f>IF(AND($D$135=1,ISNUMBER(D10),ISNUMBER(D11)),IF((D10-D11)=0,-0.28*MAX(1,_xlfn.AGGREGATE(4,6,$D$10:$AD$10),_xlfn.AGGREGATE(4,6,$D$11:$AD$11)),NA()),NA())</f>
        <v>0</v>
      </c>
      <c r="E138" s="68">
        <f>IF(AND($D$135=1,ISNUMBER(E10),ISNUMBER(E11)),IF((E10-E11)=0,-0.28*MAX(1,_xlfn.AGGREGATE(4,6,$D$10:$AD$10),_xlfn.AGGREGATE(4,6,$D$11:$AD$11)),NA()),NA())</f>
        <v>0</v>
      </c>
      <c r="F138" s="68">
        <f>IF(AND($D$135=1,ISNUMBER(F10),ISNUMBER(F11)),IF((F10-F11)=0,-0.28*MAX(1,_xlfn.AGGREGATE(4,6,$D$10:$AD$10),_xlfn.AGGREGATE(4,6,$D$11:$AD$11)),NA()),NA())</f>
        <v>0</v>
      </c>
      <c r="G138" s="68">
        <f>IF(AND($D$135=1,ISNUMBER(G10),ISNUMBER(G11)),IF((G10-G11)=0,-0.28*MAX(1,_xlfn.AGGREGATE(4,6,$D$10:$AD$10),_xlfn.AGGREGATE(4,6,$D$11:$AD$11)),NA()),NA())</f>
        <v>0</v>
      </c>
      <c r="H138" s="68">
        <f>IF(AND($D$135=1,ISNUMBER(H10),ISNUMBER(H11)),IF((H10-H11)=0,-0.28*MAX(1,_xlfn.AGGREGATE(4,6,$D$10:$AD$10),_xlfn.AGGREGATE(4,6,$D$11:$AD$11)),NA()),NA())</f>
        <v>0</v>
      </c>
      <c r="I138" s="68">
        <f>IF(AND($D$135=1,ISNUMBER(I10),ISNUMBER(I11)),IF((I10-I11)=0,-0.28*MAX(1,_xlfn.AGGREGATE(4,6,$D$10:$AD$10),_xlfn.AGGREGATE(4,6,$D$11:$AD$11)),NA()),NA())</f>
        <v>0</v>
      </c>
      <c r="J138" s="68">
        <f>IF(AND($D$135=1,ISNUMBER(J10),ISNUMBER(J11)),IF((J10-J11)=0,-0.28*MAX(1,_xlfn.AGGREGATE(4,6,$D$10:$AD$10),_xlfn.AGGREGATE(4,6,$D$11:$AD$11)),NA()),NA())</f>
        <v>0</v>
      </c>
      <c r="K138" s="68">
        <f>IF(AND($D$135=1,ISNUMBER(K10),ISNUMBER(K11)),IF((K10-K11)=0,-0.28*MAX(1,_xlfn.AGGREGATE(4,6,$D$10:$AD$10),_xlfn.AGGREGATE(4,6,$D$11:$AD$11)),NA()),NA())</f>
        <v>0</v>
      </c>
      <c r="L138" s="68">
        <f>IF(AND($D$135=1,ISNUMBER(L10),ISNUMBER(L11)),IF((L10-L11)=0,-0.28*MAX(1,_xlfn.AGGREGATE(4,6,$D$10:$AD$10),_xlfn.AGGREGATE(4,6,$D$11:$AD$11)),NA()),NA())</f>
        <v>0</v>
      </c>
      <c r="M138" s="68">
        <f>IF(AND($D$135=1,ISNUMBER(M10),ISNUMBER(M11)),IF((M10-M11)=0,-0.28*MAX(1,_xlfn.AGGREGATE(4,6,$D$10:$AD$10),_xlfn.AGGREGATE(4,6,$D$11:$AD$11)),NA()),NA())</f>
        <v>0</v>
      </c>
      <c r="N138" s="68">
        <f>IF(AND($D$135=1,ISNUMBER(N10),ISNUMBER(N11)),IF((N10-N11)=0,-0.28*MAX(1,_xlfn.AGGREGATE(4,6,$D$10:$AD$10),_xlfn.AGGREGATE(4,6,$D$11:$AD$11)),NA()),NA())</f>
        <v>0</v>
      </c>
      <c r="O138" s="68">
        <f>IF(AND($D$135=1,ISNUMBER(O10),ISNUMBER(O11)),IF((O10-O11)=0,-0.28*MAX(1,_xlfn.AGGREGATE(4,6,$D$10:$AD$10),_xlfn.AGGREGATE(4,6,$D$11:$AD$11)),NA()),NA())</f>
        <v>0</v>
      </c>
      <c r="P138" s="68">
        <f>IF(AND($D$135=1,ISNUMBER(P10),ISNUMBER(P11)),IF((P10-P11)=0,-0.28*MAX(1,_xlfn.AGGREGATE(4,6,$D$10:$AD$10),_xlfn.AGGREGATE(4,6,$D$11:$AD$11)),NA()),NA())</f>
        <v>0</v>
      </c>
      <c r="Q138" s="68">
        <f>IF(AND($D$135=1,ISNUMBER(Q10),ISNUMBER(Q11)),IF((Q10-Q11)=0,-0.28*MAX(1,_xlfn.AGGREGATE(4,6,$D$10:$AD$10),_xlfn.AGGREGATE(4,6,$D$11:$AD$11)),NA()),NA())</f>
        <v>0</v>
      </c>
      <c r="R138" s="68">
        <f>IF(AND($D$135=1,ISNUMBER(R10),ISNUMBER(R11)),IF((R10-R11)=0,-0.28*MAX(1,_xlfn.AGGREGATE(4,6,$D$10:$AD$10),_xlfn.AGGREGATE(4,6,$D$11:$AD$11)),NA()),NA())</f>
        <v>0</v>
      </c>
      <c r="S138" s="68">
        <f>IF(AND($D$135=1,ISNUMBER(S10),ISNUMBER(S11)),IF((S10-S11)=0,-0.28*MAX(1,_xlfn.AGGREGATE(4,6,$D$10:$AD$10),_xlfn.AGGREGATE(4,6,$D$11:$AD$11)),NA()),NA())</f>
        <v>0</v>
      </c>
      <c r="T138" s="68">
        <f>IF(AND($D$135=1,ISNUMBER(T10),ISNUMBER(T11)),IF((T10-T11)=0,-0.28*MAX(1,_xlfn.AGGREGATE(4,6,$D$10:$AD$10),_xlfn.AGGREGATE(4,6,$D$11:$AD$11)),NA()),NA())</f>
        <v>0</v>
      </c>
      <c r="U138" s="68">
        <f>IF(AND($D$135=1,ISNUMBER(U10),ISNUMBER(U11)),IF((U10-U11)=0,-0.28*MAX(1,_xlfn.AGGREGATE(4,6,$D$10:$AD$10),_xlfn.AGGREGATE(4,6,$D$11:$AD$11)),NA()),NA())</f>
        <v>0</v>
      </c>
      <c r="V138" s="68">
        <f>IF(AND($D$135=1,ISNUMBER(V10),ISNUMBER(V11)),IF((V10-V11)=0,-0.28*MAX(1,_xlfn.AGGREGATE(4,6,$D$10:$AD$10),_xlfn.AGGREGATE(4,6,$D$11:$AD$11)),NA()),NA())</f>
        <v>0</v>
      </c>
      <c r="W138" s="68">
        <f>IF(AND($D$135=1,ISNUMBER(W10),ISNUMBER(W11)),IF((W10-W11)=0,-0.28*MAX(1,_xlfn.AGGREGATE(4,6,$D$10:$AD$10),_xlfn.AGGREGATE(4,6,$D$11:$AD$11)),NA()),NA())</f>
        <v>0</v>
      </c>
      <c r="X138" s="68">
        <f>IF(AND($D$135=1,ISNUMBER(X10),ISNUMBER(X11)),IF((X10-X11)=0,-0.28*MAX(1,_xlfn.AGGREGATE(4,6,$D$10:$AD$10),_xlfn.AGGREGATE(4,6,$D$11:$AD$11)),NA()),NA())</f>
        <v>0</v>
      </c>
      <c r="Y138" s="68">
        <f>IF(AND($D$135=1,ISNUMBER(Y10),ISNUMBER(Y11)),IF((Y10-Y11)=0,-0.28*MAX(1,_xlfn.AGGREGATE(4,6,$D$10:$AD$10),_xlfn.AGGREGATE(4,6,$D$11:$AD$11)),NA()),NA())</f>
        <v>0</v>
      </c>
      <c r="Z138" s="68">
        <f>IF(AND($D$135=1,ISNUMBER(Z10),ISNUMBER(Z11)),IF((Z10-Z11)=0,-0.28*MAX(1,_xlfn.AGGREGATE(4,6,$D$10:$AD$10),_xlfn.AGGREGATE(4,6,$D$11:$AD$11)),NA()),NA())</f>
        <v>0</v>
      </c>
      <c r="AA138" s="68">
        <f>IF(AND($D$135=1,ISNUMBER(AA10),ISNUMBER(AA11)),IF((AA10-AA11)=0,-0.28*MAX(1,_xlfn.AGGREGATE(4,6,$D$10:$AD$10),_xlfn.AGGREGATE(4,6,$D$11:$AD$11)),NA()),NA())</f>
        <v>0</v>
      </c>
      <c r="AB138" s="68">
        <f>IF(AND($D$135=1,ISNUMBER(AB10),ISNUMBER(AB11)),IF((AB10-AB11)=0,-0.28*MAX(1,_xlfn.AGGREGATE(4,6,$D$10:$AD$10),_xlfn.AGGREGATE(4,6,$D$11:$AD$11)),NA()),NA())</f>
        <v>0</v>
      </c>
      <c r="AC138" s="68">
        <f>IF(AND($D$135=1,ISNUMBER(AC10),ISNUMBER(AC11)),IF((AC10-AC11)=0,-0.28*MAX(1,_xlfn.AGGREGATE(4,6,$D$10:$AD$10),_xlfn.AGGREGATE(4,6,$D$11:$AD$11)),NA()),NA())</f>
        <v>0</v>
      </c>
      <c r="AD138" s="68">
        <f>IF(AND($D$135=1,ISNUMBER(AD10),ISNUMBER(AD11)),IF((AD10-AD11)=0,-0.28*MAX(1,_xlfn.AGGREGATE(4,6,$D$10:$AD$10),_xlfn.AGGREGATE(4,6,$D$11:$AD$11)),NA()),NA())</f>
        <v>0</v>
      </c>
    </row>
    <row r="139" spans="1:30">
      <c r="A139" s="11" t="s">
        <v>809</v>
      </c>
      <c r="B139" s="11" t="s">
        <v>810</v>
      </c>
      <c r="C139" s="67" t="s">
        <v>605</v>
      </c>
      <c r="D139" s="11">
        <f>IF(AND(ISNUMBER(D10),ISNUMBER(D11)),IF((D10-D11)&gt;0,"+"&amp;FIXED((D10-D11),0),IF((D10-D11)&lt;0,"−"&amp;FIXED(-(D10-D11),0),"±0")),"")</f>
        <v>0</v>
      </c>
      <c r="E139" s="11">
        <f>IF(AND(ISNUMBER(E10),ISNUMBER(E11)),IF((E10-E11)&gt;0,"+"&amp;FIXED((E10-E11),0),IF((E10-E11)&lt;0,"−"&amp;FIXED(-(E10-E11),0),"±0")),"")</f>
        <v>0</v>
      </c>
      <c r="F139" s="11">
        <f>IF(AND(ISNUMBER(F10),ISNUMBER(F11)),IF((F10-F11)&gt;0,"+"&amp;FIXED((F10-F11),0),IF((F10-F11)&lt;0,"−"&amp;FIXED(-(F10-F11),0),"±0")),"")</f>
        <v>0</v>
      </c>
      <c r="G139" s="11">
        <f>IF(AND(ISNUMBER(G10),ISNUMBER(G11)),IF((G10-G11)&gt;0,"+"&amp;FIXED((G10-G11),0),IF((G10-G11)&lt;0,"−"&amp;FIXED(-(G10-G11),0),"±0")),"")</f>
        <v>0</v>
      </c>
      <c r="H139" s="11">
        <f>IF(AND(ISNUMBER(H10),ISNUMBER(H11)),IF((H10-H11)&gt;0,"+"&amp;FIXED((H10-H11),0),IF((H10-H11)&lt;0,"−"&amp;FIXED(-(H10-H11),0),"±0")),"")</f>
        <v>0</v>
      </c>
      <c r="I139" s="11">
        <f>IF(AND(ISNUMBER(I10),ISNUMBER(I11)),IF((I10-I11)&gt;0,"+"&amp;FIXED((I10-I11),0),IF((I10-I11)&lt;0,"−"&amp;FIXED(-(I10-I11),0),"±0")),"")</f>
        <v>0</v>
      </c>
      <c r="J139" s="11">
        <f>IF(AND(ISNUMBER(J10),ISNUMBER(J11)),IF((J10-J11)&gt;0,"+"&amp;FIXED((J10-J11),0),IF((J10-J11)&lt;0,"−"&amp;FIXED(-(J10-J11),0),"±0")),"")</f>
        <v>0</v>
      </c>
      <c r="K139" s="11">
        <f>IF(AND(ISNUMBER(K10),ISNUMBER(K11)),IF((K10-K11)&gt;0,"+"&amp;FIXED((K10-K11),0),IF((K10-K11)&lt;0,"−"&amp;FIXED(-(K10-K11),0),"±0")),"")</f>
        <v>0</v>
      </c>
      <c r="L139" s="11">
        <f>IF(AND(ISNUMBER(L10),ISNUMBER(L11)),IF((L10-L11)&gt;0,"+"&amp;FIXED((L10-L11),0),IF((L10-L11)&lt;0,"−"&amp;FIXED(-(L10-L11),0),"±0")),"")</f>
        <v>0</v>
      </c>
      <c r="M139" s="11">
        <f>IF(AND(ISNUMBER(M10),ISNUMBER(M11)),IF((M10-M11)&gt;0,"+"&amp;FIXED((M10-M11),0),IF((M10-M11)&lt;0,"−"&amp;FIXED(-(M10-M11),0),"±0")),"")</f>
        <v>0</v>
      </c>
      <c r="N139" s="11">
        <f>IF(AND(ISNUMBER(N10),ISNUMBER(N11)),IF((N10-N11)&gt;0,"+"&amp;FIXED((N10-N11),0),IF((N10-N11)&lt;0,"−"&amp;FIXED(-(N10-N11),0),"±0")),"")</f>
        <v>0</v>
      </c>
      <c r="O139" s="11">
        <f>IF(AND(ISNUMBER(O10),ISNUMBER(O11)),IF((O10-O11)&gt;0,"+"&amp;FIXED((O10-O11),0),IF((O10-O11)&lt;0,"−"&amp;FIXED(-(O10-O11),0),"±0")),"")</f>
        <v>0</v>
      </c>
      <c r="P139" s="11">
        <f>IF(AND(ISNUMBER(P10),ISNUMBER(P11)),IF((P10-P11)&gt;0,"+"&amp;FIXED((P10-P11),0),IF((P10-P11)&lt;0,"−"&amp;FIXED(-(P10-P11),0),"±0")),"")</f>
        <v>0</v>
      </c>
      <c r="Q139" s="11">
        <f>IF(AND(ISNUMBER(Q10),ISNUMBER(Q11)),IF((Q10-Q11)&gt;0,"+"&amp;FIXED((Q10-Q11),0),IF((Q10-Q11)&lt;0,"−"&amp;FIXED(-(Q10-Q11),0),"±0")),"")</f>
        <v>0</v>
      </c>
      <c r="R139" s="11">
        <f>IF(AND(ISNUMBER(R10),ISNUMBER(R11)),IF((R10-R11)&gt;0,"+"&amp;FIXED((R10-R11),0),IF((R10-R11)&lt;0,"−"&amp;FIXED(-(R10-R11),0),"±0")),"")</f>
        <v>0</v>
      </c>
      <c r="S139" s="11">
        <f>IF(AND(ISNUMBER(S10),ISNUMBER(S11)),IF((S10-S11)&gt;0,"+"&amp;FIXED((S10-S11),0),IF((S10-S11)&lt;0,"−"&amp;FIXED(-(S10-S11),0),"±0")),"")</f>
        <v>0</v>
      </c>
      <c r="T139" s="11">
        <f>IF(AND(ISNUMBER(T10),ISNUMBER(T11)),IF((T10-T11)&gt;0,"+"&amp;FIXED((T10-T11),0),IF((T10-T11)&lt;0,"−"&amp;FIXED(-(T10-T11),0),"±0")),"")</f>
        <v>0</v>
      </c>
      <c r="U139" s="11">
        <f>IF(AND(ISNUMBER(U10),ISNUMBER(U11)),IF((U10-U11)&gt;0,"+"&amp;FIXED((U10-U11),0),IF((U10-U11)&lt;0,"−"&amp;FIXED(-(U10-U11),0),"±0")),"")</f>
        <v>0</v>
      </c>
      <c r="V139" s="11">
        <f>IF(AND(ISNUMBER(V10),ISNUMBER(V11)),IF((V10-V11)&gt;0,"+"&amp;FIXED((V10-V11),0),IF((V10-V11)&lt;0,"−"&amp;FIXED(-(V10-V11),0),"±0")),"")</f>
        <v>0</v>
      </c>
      <c r="W139" s="11">
        <f>IF(AND(ISNUMBER(W10),ISNUMBER(W11)),IF((W10-W11)&gt;0,"+"&amp;FIXED((W10-W11),0),IF((W10-W11)&lt;0,"−"&amp;FIXED(-(W10-W11),0),"±0")),"")</f>
        <v>0</v>
      </c>
      <c r="X139" s="11">
        <f>IF(AND(ISNUMBER(X10),ISNUMBER(X11)),IF((X10-X11)&gt;0,"+"&amp;FIXED((X10-X11),0),IF((X10-X11)&lt;0,"−"&amp;FIXED(-(X10-X11),0),"±0")),"")</f>
        <v>0</v>
      </c>
      <c r="Y139" s="11">
        <f>IF(AND(ISNUMBER(Y10),ISNUMBER(Y11)),IF((Y10-Y11)&gt;0,"+"&amp;FIXED((Y10-Y11),0),IF((Y10-Y11)&lt;0,"−"&amp;FIXED(-(Y10-Y11),0),"±0")),"")</f>
        <v>0</v>
      </c>
      <c r="Z139" s="11">
        <f>IF(AND(ISNUMBER(Z10),ISNUMBER(Z11)),IF((Z10-Z11)&gt;0,"+"&amp;FIXED((Z10-Z11),0),IF((Z10-Z11)&lt;0,"−"&amp;FIXED(-(Z10-Z11),0),"±0")),"")</f>
        <v>0</v>
      </c>
      <c r="AA139" s="11">
        <f>IF(AND(ISNUMBER(AA10),ISNUMBER(AA11)),IF((AA10-AA11)&gt;0,"+"&amp;FIXED((AA10-AA11),0),IF((AA10-AA11)&lt;0,"−"&amp;FIXED(-(AA10-AA11),0),"±0")),"")</f>
        <v>0</v>
      </c>
      <c r="AB139" s="11">
        <f>IF(AND(ISNUMBER(AB10),ISNUMBER(AB11)),IF((AB10-AB11)&gt;0,"+"&amp;FIXED((AB10-AB11),0),IF((AB10-AB11)&lt;0,"−"&amp;FIXED(-(AB10-AB11),0),"±0")),"")</f>
        <v>0</v>
      </c>
      <c r="AC139" s="11">
        <f>IF(AND(ISNUMBER(AC10),ISNUMBER(AC11)),IF((AC10-AC11)&gt;0,"+"&amp;FIXED((AC10-AC11),0),IF((AC10-AC11)&lt;0,"−"&amp;FIXED(-(AC10-AC11),0),"±0")),"")</f>
        <v>0</v>
      </c>
      <c r="AD139" s="11">
        <f>IF(AND(ISNUMBER(AD10),ISNUMBER(AD11)),IF((AD10-AD11)&gt;0,"+"&amp;FIXED((AD10-AD11),0),IF((AD10-AD11)&lt;0,"−"&amp;FIXED(-(AD10-AD11),0),"±0")),"")</f>
        <v>0</v>
      </c>
    </row>
    <row r="140" spans="1:30">
      <c r="A140" s="11" t="s">
        <v>811</v>
      </c>
      <c r="B140" s="11" t="s">
        <v>812</v>
      </c>
      <c r="C140" s="67" t="s">
        <v>602</v>
      </c>
      <c r="D140" s="68">
        <v>0</v>
      </c>
    </row>
    <row r="141" spans="1:30">
      <c r="A141" s="11" t="s">
        <v>813</v>
      </c>
      <c r="B141" s="11" t="s">
        <v>814</v>
      </c>
      <c r="C141" s="67" t="s">
        <v>605</v>
      </c>
      <c r="D141" s="68">
        <f>IF(AND($D$140=1,ISNUMBER(D24),ISNUMBER(D25)),IF((D24-D25)&gt;0,-0.28*MAX(1,_xlfn.AGGREGATE(4,6,$D$24:$AD$24),_xlfn.AGGREGATE(4,6,$D$25:$AD$25)),NA()),NA())</f>
        <v>0</v>
      </c>
      <c r="E141" s="68">
        <f>IF(AND($D$140=1,ISNUMBER(E24),ISNUMBER(E25)),IF((E24-E25)&gt;0,-0.28*MAX(1,_xlfn.AGGREGATE(4,6,$D$24:$AD$24),_xlfn.AGGREGATE(4,6,$D$25:$AD$25)),NA()),NA())</f>
        <v>0</v>
      </c>
      <c r="F141" s="68">
        <f>IF(AND($D$140=1,ISNUMBER(F24),ISNUMBER(F25)),IF((F24-F25)&gt;0,-0.28*MAX(1,_xlfn.AGGREGATE(4,6,$D$24:$AD$24),_xlfn.AGGREGATE(4,6,$D$25:$AD$25)),NA()),NA())</f>
        <v>0</v>
      </c>
      <c r="G141" s="68">
        <f>IF(AND($D$140=1,ISNUMBER(G24),ISNUMBER(G25)),IF((G24-G25)&gt;0,-0.28*MAX(1,_xlfn.AGGREGATE(4,6,$D$24:$AD$24),_xlfn.AGGREGATE(4,6,$D$25:$AD$25)),NA()),NA())</f>
        <v>0</v>
      </c>
      <c r="H141" s="68">
        <f>IF(AND($D$140=1,ISNUMBER(H24),ISNUMBER(H25)),IF((H24-H25)&gt;0,-0.28*MAX(1,_xlfn.AGGREGATE(4,6,$D$24:$AD$24),_xlfn.AGGREGATE(4,6,$D$25:$AD$25)),NA()),NA())</f>
        <v>0</v>
      </c>
      <c r="I141" s="68">
        <f>IF(AND($D$140=1,ISNUMBER(I24),ISNUMBER(I25)),IF((I24-I25)&gt;0,-0.28*MAX(1,_xlfn.AGGREGATE(4,6,$D$24:$AD$24),_xlfn.AGGREGATE(4,6,$D$25:$AD$25)),NA()),NA())</f>
        <v>0</v>
      </c>
      <c r="J141" s="68">
        <f>IF(AND($D$140=1,ISNUMBER(J24),ISNUMBER(J25)),IF((J24-J25)&gt;0,-0.28*MAX(1,_xlfn.AGGREGATE(4,6,$D$24:$AD$24),_xlfn.AGGREGATE(4,6,$D$25:$AD$25)),NA()),NA())</f>
        <v>0</v>
      </c>
      <c r="K141" s="68">
        <f>IF(AND($D$140=1,ISNUMBER(K24),ISNUMBER(K25)),IF((K24-K25)&gt;0,-0.28*MAX(1,_xlfn.AGGREGATE(4,6,$D$24:$AD$24),_xlfn.AGGREGATE(4,6,$D$25:$AD$25)),NA()),NA())</f>
        <v>0</v>
      </c>
      <c r="L141" s="68">
        <f>IF(AND($D$140=1,ISNUMBER(L24),ISNUMBER(L25)),IF((L24-L25)&gt;0,-0.28*MAX(1,_xlfn.AGGREGATE(4,6,$D$24:$AD$24),_xlfn.AGGREGATE(4,6,$D$25:$AD$25)),NA()),NA())</f>
        <v>0</v>
      </c>
      <c r="M141" s="68">
        <f>IF(AND($D$140=1,ISNUMBER(M24),ISNUMBER(M25)),IF((M24-M25)&gt;0,-0.28*MAX(1,_xlfn.AGGREGATE(4,6,$D$24:$AD$24),_xlfn.AGGREGATE(4,6,$D$25:$AD$25)),NA()),NA())</f>
        <v>0</v>
      </c>
      <c r="N141" s="68">
        <f>IF(AND($D$140=1,ISNUMBER(N24),ISNUMBER(N25)),IF((N24-N25)&gt;0,-0.28*MAX(1,_xlfn.AGGREGATE(4,6,$D$24:$AD$24),_xlfn.AGGREGATE(4,6,$D$25:$AD$25)),NA()),NA())</f>
        <v>0</v>
      </c>
      <c r="O141" s="68">
        <f>IF(AND($D$140=1,ISNUMBER(O24),ISNUMBER(O25)),IF((O24-O25)&gt;0,-0.28*MAX(1,_xlfn.AGGREGATE(4,6,$D$24:$AD$24),_xlfn.AGGREGATE(4,6,$D$25:$AD$25)),NA()),NA())</f>
        <v>0</v>
      </c>
      <c r="P141" s="68">
        <f>IF(AND($D$140=1,ISNUMBER(P24),ISNUMBER(P25)),IF((P24-P25)&gt;0,-0.28*MAX(1,_xlfn.AGGREGATE(4,6,$D$24:$AD$24),_xlfn.AGGREGATE(4,6,$D$25:$AD$25)),NA()),NA())</f>
        <v>0</v>
      </c>
      <c r="Q141" s="68">
        <f>IF(AND($D$140=1,ISNUMBER(Q24),ISNUMBER(Q25)),IF((Q24-Q25)&gt;0,-0.28*MAX(1,_xlfn.AGGREGATE(4,6,$D$24:$AD$24),_xlfn.AGGREGATE(4,6,$D$25:$AD$25)),NA()),NA())</f>
        <v>0</v>
      </c>
      <c r="R141" s="68">
        <f>IF(AND($D$140=1,ISNUMBER(R24),ISNUMBER(R25)),IF((R24-R25)&gt;0,-0.28*MAX(1,_xlfn.AGGREGATE(4,6,$D$24:$AD$24),_xlfn.AGGREGATE(4,6,$D$25:$AD$25)),NA()),NA())</f>
        <v>0</v>
      </c>
      <c r="S141" s="68">
        <f>IF(AND($D$140=1,ISNUMBER(S24),ISNUMBER(S25)),IF((S24-S25)&gt;0,-0.28*MAX(1,_xlfn.AGGREGATE(4,6,$D$24:$AD$24),_xlfn.AGGREGATE(4,6,$D$25:$AD$25)),NA()),NA())</f>
        <v>0</v>
      </c>
      <c r="T141" s="68">
        <f>IF(AND($D$140=1,ISNUMBER(T24),ISNUMBER(T25)),IF((T24-T25)&gt;0,-0.28*MAX(1,_xlfn.AGGREGATE(4,6,$D$24:$AD$24),_xlfn.AGGREGATE(4,6,$D$25:$AD$25)),NA()),NA())</f>
        <v>0</v>
      </c>
      <c r="U141" s="68">
        <f>IF(AND($D$140=1,ISNUMBER(U24),ISNUMBER(U25)),IF((U24-U25)&gt;0,-0.28*MAX(1,_xlfn.AGGREGATE(4,6,$D$24:$AD$24),_xlfn.AGGREGATE(4,6,$D$25:$AD$25)),NA()),NA())</f>
        <v>0</v>
      </c>
      <c r="V141" s="68">
        <f>IF(AND($D$140=1,ISNUMBER(V24),ISNUMBER(V25)),IF((V24-V25)&gt;0,-0.28*MAX(1,_xlfn.AGGREGATE(4,6,$D$24:$AD$24),_xlfn.AGGREGATE(4,6,$D$25:$AD$25)),NA()),NA())</f>
        <v>0</v>
      </c>
      <c r="W141" s="68">
        <f>IF(AND($D$140=1,ISNUMBER(W24),ISNUMBER(W25)),IF((W24-W25)&gt;0,-0.28*MAX(1,_xlfn.AGGREGATE(4,6,$D$24:$AD$24),_xlfn.AGGREGATE(4,6,$D$25:$AD$25)),NA()),NA())</f>
        <v>0</v>
      </c>
      <c r="X141" s="68">
        <f>IF(AND($D$140=1,ISNUMBER(X24),ISNUMBER(X25)),IF((X24-X25)&gt;0,-0.28*MAX(1,_xlfn.AGGREGATE(4,6,$D$24:$AD$24),_xlfn.AGGREGATE(4,6,$D$25:$AD$25)),NA()),NA())</f>
        <v>0</v>
      </c>
      <c r="Y141" s="68">
        <f>IF(AND($D$140=1,ISNUMBER(Y24),ISNUMBER(Y25)),IF((Y24-Y25)&gt;0,-0.28*MAX(1,_xlfn.AGGREGATE(4,6,$D$24:$AD$24),_xlfn.AGGREGATE(4,6,$D$25:$AD$25)),NA()),NA())</f>
        <v>0</v>
      </c>
      <c r="Z141" s="68">
        <f>IF(AND($D$140=1,ISNUMBER(Z24),ISNUMBER(Z25)),IF((Z24-Z25)&gt;0,-0.28*MAX(1,_xlfn.AGGREGATE(4,6,$D$24:$AD$24),_xlfn.AGGREGATE(4,6,$D$25:$AD$25)),NA()),NA())</f>
        <v>0</v>
      </c>
      <c r="AA141" s="68">
        <f>IF(AND($D$140=1,ISNUMBER(AA24),ISNUMBER(AA25)),IF((AA24-AA25)&gt;0,-0.28*MAX(1,_xlfn.AGGREGATE(4,6,$D$24:$AD$24),_xlfn.AGGREGATE(4,6,$D$25:$AD$25)),NA()),NA())</f>
        <v>0</v>
      </c>
      <c r="AB141" s="68">
        <f>IF(AND($D$140=1,ISNUMBER(AB24),ISNUMBER(AB25)),IF((AB24-AB25)&gt;0,-0.28*MAX(1,_xlfn.AGGREGATE(4,6,$D$24:$AD$24),_xlfn.AGGREGATE(4,6,$D$25:$AD$25)),NA()),NA())</f>
        <v>0</v>
      </c>
      <c r="AC141" s="68">
        <f>IF(AND($D$140=1,ISNUMBER(AC24),ISNUMBER(AC25)),IF((AC24-AC25)&gt;0,-0.28*MAX(1,_xlfn.AGGREGATE(4,6,$D$24:$AD$24),_xlfn.AGGREGATE(4,6,$D$25:$AD$25)),NA()),NA())</f>
        <v>0</v>
      </c>
      <c r="AD141" s="68">
        <f>IF(AND($D$140=1,ISNUMBER(AD24),ISNUMBER(AD25)),IF((AD24-AD25)&gt;0,-0.28*MAX(1,_xlfn.AGGREGATE(4,6,$D$24:$AD$24),_xlfn.AGGREGATE(4,6,$D$25:$AD$25)),NA()),NA())</f>
        <v>0</v>
      </c>
    </row>
    <row r="142" spans="1:30">
      <c r="A142" s="11" t="s">
        <v>815</v>
      </c>
      <c r="B142" s="11" t="s">
        <v>816</v>
      </c>
      <c r="C142" s="67" t="s">
        <v>605</v>
      </c>
      <c r="D142" s="68">
        <f>IF(AND($D$140=1,ISNUMBER(D24),ISNUMBER(D25)),IF((D24-D25)&lt;0,-0.28*MAX(1,_xlfn.AGGREGATE(4,6,$D$24:$AD$24),_xlfn.AGGREGATE(4,6,$D$25:$AD$25)),NA()),NA())</f>
        <v>0</v>
      </c>
      <c r="E142" s="68">
        <f>IF(AND($D$140=1,ISNUMBER(E24),ISNUMBER(E25)),IF((E24-E25)&lt;0,-0.28*MAX(1,_xlfn.AGGREGATE(4,6,$D$24:$AD$24),_xlfn.AGGREGATE(4,6,$D$25:$AD$25)),NA()),NA())</f>
        <v>0</v>
      </c>
      <c r="F142" s="68">
        <f>IF(AND($D$140=1,ISNUMBER(F24),ISNUMBER(F25)),IF((F24-F25)&lt;0,-0.28*MAX(1,_xlfn.AGGREGATE(4,6,$D$24:$AD$24),_xlfn.AGGREGATE(4,6,$D$25:$AD$25)),NA()),NA())</f>
        <v>0</v>
      </c>
      <c r="G142" s="68">
        <f>IF(AND($D$140=1,ISNUMBER(G24),ISNUMBER(G25)),IF((G24-G25)&lt;0,-0.28*MAX(1,_xlfn.AGGREGATE(4,6,$D$24:$AD$24),_xlfn.AGGREGATE(4,6,$D$25:$AD$25)),NA()),NA())</f>
        <v>0</v>
      </c>
      <c r="H142" s="68">
        <f>IF(AND($D$140=1,ISNUMBER(H24),ISNUMBER(H25)),IF((H24-H25)&lt;0,-0.28*MAX(1,_xlfn.AGGREGATE(4,6,$D$24:$AD$24),_xlfn.AGGREGATE(4,6,$D$25:$AD$25)),NA()),NA())</f>
        <v>0</v>
      </c>
      <c r="I142" s="68">
        <f>IF(AND($D$140=1,ISNUMBER(I24),ISNUMBER(I25)),IF((I24-I25)&lt;0,-0.28*MAX(1,_xlfn.AGGREGATE(4,6,$D$24:$AD$24),_xlfn.AGGREGATE(4,6,$D$25:$AD$25)),NA()),NA())</f>
        <v>0</v>
      </c>
      <c r="J142" s="68">
        <f>IF(AND($D$140=1,ISNUMBER(J24),ISNUMBER(J25)),IF((J24-J25)&lt;0,-0.28*MAX(1,_xlfn.AGGREGATE(4,6,$D$24:$AD$24),_xlfn.AGGREGATE(4,6,$D$25:$AD$25)),NA()),NA())</f>
        <v>0</v>
      </c>
      <c r="K142" s="68">
        <f>IF(AND($D$140=1,ISNUMBER(K24),ISNUMBER(K25)),IF((K24-K25)&lt;0,-0.28*MAX(1,_xlfn.AGGREGATE(4,6,$D$24:$AD$24),_xlfn.AGGREGATE(4,6,$D$25:$AD$25)),NA()),NA())</f>
        <v>0</v>
      </c>
      <c r="L142" s="68">
        <f>IF(AND($D$140=1,ISNUMBER(L24),ISNUMBER(L25)),IF((L24-L25)&lt;0,-0.28*MAX(1,_xlfn.AGGREGATE(4,6,$D$24:$AD$24),_xlfn.AGGREGATE(4,6,$D$25:$AD$25)),NA()),NA())</f>
        <v>0</v>
      </c>
      <c r="M142" s="68">
        <f>IF(AND($D$140=1,ISNUMBER(M24),ISNUMBER(M25)),IF((M24-M25)&lt;0,-0.28*MAX(1,_xlfn.AGGREGATE(4,6,$D$24:$AD$24),_xlfn.AGGREGATE(4,6,$D$25:$AD$25)),NA()),NA())</f>
        <v>0</v>
      </c>
      <c r="N142" s="68">
        <f>IF(AND($D$140=1,ISNUMBER(N24),ISNUMBER(N25)),IF((N24-N25)&lt;0,-0.28*MAX(1,_xlfn.AGGREGATE(4,6,$D$24:$AD$24),_xlfn.AGGREGATE(4,6,$D$25:$AD$25)),NA()),NA())</f>
        <v>0</v>
      </c>
      <c r="O142" s="68">
        <f>IF(AND($D$140=1,ISNUMBER(O24),ISNUMBER(O25)),IF((O24-O25)&lt;0,-0.28*MAX(1,_xlfn.AGGREGATE(4,6,$D$24:$AD$24),_xlfn.AGGREGATE(4,6,$D$25:$AD$25)),NA()),NA())</f>
        <v>0</v>
      </c>
      <c r="P142" s="68">
        <f>IF(AND($D$140=1,ISNUMBER(P24),ISNUMBER(P25)),IF((P24-P25)&lt;0,-0.28*MAX(1,_xlfn.AGGREGATE(4,6,$D$24:$AD$24),_xlfn.AGGREGATE(4,6,$D$25:$AD$25)),NA()),NA())</f>
        <v>0</v>
      </c>
      <c r="Q142" s="68">
        <f>IF(AND($D$140=1,ISNUMBER(Q24),ISNUMBER(Q25)),IF((Q24-Q25)&lt;0,-0.28*MAX(1,_xlfn.AGGREGATE(4,6,$D$24:$AD$24),_xlfn.AGGREGATE(4,6,$D$25:$AD$25)),NA()),NA())</f>
        <v>0</v>
      </c>
      <c r="R142" s="68">
        <f>IF(AND($D$140=1,ISNUMBER(R24),ISNUMBER(R25)),IF((R24-R25)&lt;0,-0.28*MAX(1,_xlfn.AGGREGATE(4,6,$D$24:$AD$24),_xlfn.AGGREGATE(4,6,$D$25:$AD$25)),NA()),NA())</f>
        <v>0</v>
      </c>
      <c r="S142" s="68">
        <f>IF(AND($D$140=1,ISNUMBER(S24),ISNUMBER(S25)),IF((S24-S25)&lt;0,-0.28*MAX(1,_xlfn.AGGREGATE(4,6,$D$24:$AD$24),_xlfn.AGGREGATE(4,6,$D$25:$AD$25)),NA()),NA())</f>
        <v>0</v>
      </c>
      <c r="T142" s="68">
        <f>IF(AND($D$140=1,ISNUMBER(T24),ISNUMBER(T25)),IF((T24-T25)&lt;0,-0.28*MAX(1,_xlfn.AGGREGATE(4,6,$D$24:$AD$24),_xlfn.AGGREGATE(4,6,$D$25:$AD$25)),NA()),NA())</f>
        <v>0</v>
      </c>
      <c r="U142" s="68">
        <f>IF(AND($D$140=1,ISNUMBER(U24),ISNUMBER(U25)),IF((U24-U25)&lt;0,-0.28*MAX(1,_xlfn.AGGREGATE(4,6,$D$24:$AD$24),_xlfn.AGGREGATE(4,6,$D$25:$AD$25)),NA()),NA())</f>
        <v>0</v>
      </c>
      <c r="V142" s="68">
        <f>IF(AND($D$140=1,ISNUMBER(V24),ISNUMBER(V25)),IF((V24-V25)&lt;0,-0.28*MAX(1,_xlfn.AGGREGATE(4,6,$D$24:$AD$24),_xlfn.AGGREGATE(4,6,$D$25:$AD$25)),NA()),NA())</f>
        <v>0</v>
      </c>
      <c r="W142" s="68">
        <f>IF(AND($D$140=1,ISNUMBER(W24),ISNUMBER(W25)),IF((W24-W25)&lt;0,-0.28*MAX(1,_xlfn.AGGREGATE(4,6,$D$24:$AD$24),_xlfn.AGGREGATE(4,6,$D$25:$AD$25)),NA()),NA())</f>
        <v>0</v>
      </c>
      <c r="X142" s="68">
        <f>IF(AND($D$140=1,ISNUMBER(X24),ISNUMBER(X25)),IF((X24-X25)&lt;0,-0.28*MAX(1,_xlfn.AGGREGATE(4,6,$D$24:$AD$24),_xlfn.AGGREGATE(4,6,$D$25:$AD$25)),NA()),NA())</f>
        <v>0</v>
      </c>
      <c r="Y142" s="68">
        <f>IF(AND($D$140=1,ISNUMBER(Y24),ISNUMBER(Y25)),IF((Y24-Y25)&lt;0,-0.28*MAX(1,_xlfn.AGGREGATE(4,6,$D$24:$AD$24),_xlfn.AGGREGATE(4,6,$D$25:$AD$25)),NA()),NA())</f>
        <v>0</v>
      </c>
      <c r="Z142" s="68">
        <f>IF(AND($D$140=1,ISNUMBER(Z24),ISNUMBER(Z25)),IF((Z24-Z25)&lt;0,-0.28*MAX(1,_xlfn.AGGREGATE(4,6,$D$24:$AD$24),_xlfn.AGGREGATE(4,6,$D$25:$AD$25)),NA()),NA())</f>
        <v>0</v>
      </c>
      <c r="AA142" s="68">
        <f>IF(AND($D$140=1,ISNUMBER(AA24),ISNUMBER(AA25)),IF((AA24-AA25)&lt;0,-0.28*MAX(1,_xlfn.AGGREGATE(4,6,$D$24:$AD$24),_xlfn.AGGREGATE(4,6,$D$25:$AD$25)),NA()),NA())</f>
        <v>0</v>
      </c>
      <c r="AB142" s="68">
        <f>IF(AND($D$140=1,ISNUMBER(AB24),ISNUMBER(AB25)),IF((AB24-AB25)&lt;0,-0.28*MAX(1,_xlfn.AGGREGATE(4,6,$D$24:$AD$24),_xlfn.AGGREGATE(4,6,$D$25:$AD$25)),NA()),NA())</f>
        <v>0</v>
      </c>
      <c r="AC142" s="68">
        <f>IF(AND($D$140=1,ISNUMBER(AC24),ISNUMBER(AC25)),IF((AC24-AC25)&lt;0,-0.28*MAX(1,_xlfn.AGGREGATE(4,6,$D$24:$AD$24),_xlfn.AGGREGATE(4,6,$D$25:$AD$25)),NA()),NA())</f>
        <v>0</v>
      </c>
      <c r="AD142" s="68">
        <f>IF(AND($D$140=1,ISNUMBER(AD24),ISNUMBER(AD25)),IF((AD24-AD25)&lt;0,-0.28*MAX(1,_xlfn.AGGREGATE(4,6,$D$24:$AD$24),_xlfn.AGGREGATE(4,6,$D$25:$AD$25)),NA()),NA())</f>
        <v>0</v>
      </c>
    </row>
    <row r="143" spans="1:30">
      <c r="A143" s="11" t="s">
        <v>817</v>
      </c>
      <c r="B143" s="11" t="s">
        <v>818</v>
      </c>
      <c r="C143" s="67" t="s">
        <v>605</v>
      </c>
      <c r="D143" s="68">
        <f>IF(AND($D$140=1,ISNUMBER(D24),ISNUMBER(D25)),IF((D24-D25)=0,-0.28*MAX(1,_xlfn.AGGREGATE(4,6,$D$24:$AD$24),_xlfn.AGGREGATE(4,6,$D$25:$AD$25)),NA()),NA())</f>
        <v>0</v>
      </c>
      <c r="E143" s="68">
        <f>IF(AND($D$140=1,ISNUMBER(E24),ISNUMBER(E25)),IF((E24-E25)=0,-0.28*MAX(1,_xlfn.AGGREGATE(4,6,$D$24:$AD$24),_xlfn.AGGREGATE(4,6,$D$25:$AD$25)),NA()),NA())</f>
        <v>0</v>
      </c>
      <c r="F143" s="68">
        <f>IF(AND($D$140=1,ISNUMBER(F24),ISNUMBER(F25)),IF((F24-F25)=0,-0.28*MAX(1,_xlfn.AGGREGATE(4,6,$D$24:$AD$24),_xlfn.AGGREGATE(4,6,$D$25:$AD$25)),NA()),NA())</f>
        <v>0</v>
      </c>
      <c r="G143" s="68">
        <f>IF(AND($D$140=1,ISNUMBER(G24),ISNUMBER(G25)),IF((G24-G25)=0,-0.28*MAX(1,_xlfn.AGGREGATE(4,6,$D$24:$AD$24),_xlfn.AGGREGATE(4,6,$D$25:$AD$25)),NA()),NA())</f>
        <v>0</v>
      </c>
      <c r="H143" s="68">
        <f>IF(AND($D$140=1,ISNUMBER(H24),ISNUMBER(H25)),IF((H24-H25)=0,-0.28*MAX(1,_xlfn.AGGREGATE(4,6,$D$24:$AD$24),_xlfn.AGGREGATE(4,6,$D$25:$AD$25)),NA()),NA())</f>
        <v>0</v>
      </c>
      <c r="I143" s="68">
        <f>IF(AND($D$140=1,ISNUMBER(I24),ISNUMBER(I25)),IF((I24-I25)=0,-0.28*MAX(1,_xlfn.AGGREGATE(4,6,$D$24:$AD$24),_xlfn.AGGREGATE(4,6,$D$25:$AD$25)),NA()),NA())</f>
        <v>0</v>
      </c>
      <c r="J143" s="68">
        <f>IF(AND($D$140=1,ISNUMBER(J24),ISNUMBER(J25)),IF((J24-J25)=0,-0.28*MAX(1,_xlfn.AGGREGATE(4,6,$D$24:$AD$24),_xlfn.AGGREGATE(4,6,$D$25:$AD$25)),NA()),NA())</f>
        <v>0</v>
      </c>
      <c r="K143" s="68">
        <f>IF(AND($D$140=1,ISNUMBER(K24),ISNUMBER(K25)),IF((K24-K25)=0,-0.28*MAX(1,_xlfn.AGGREGATE(4,6,$D$24:$AD$24),_xlfn.AGGREGATE(4,6,$D$25:$AD$25)),NA()),NA())</f>
        <v>0</v>
      </c>
      <c r="L143" s="68">
        <f>IF(AND($D$140=1,ISNUMBER(L24),ISNUMBER(L25)),IF((L24-L25)=0,-0.28*MAX(1,_xlfn.AGGREGATE(4,6,$D$24:$AD$24),_xlfn.AGGREGATE(4,6,$D$25:$AD$25)),NA()),NA())</f>
        <v>0</v>
      </c>
      <c r="M143" s="68">
        <f>IF(AND($D$140=1,ISNUMBER(M24),ISNUMBER(M25)),IF((M24-M25)=0,-0.28*MAX(1,_xlfn.AGGREGATE(4,6,$D$24:$AD$24),_xlfn.AGGREGATE(4,6,$D$25:$AD$25)),NA()),NA())</f>
        <v>0</v>
      </c>
      <c r="N143" s="68">
        <f>IF(AND($D$140=1,ISNUMBER(N24),ISNUMBER(N25)),IF((N24-N25)=0,-0.28*MAX(1,_xlfn.AGGREGATE(4,6,$D$24:$AD$24),_xlfn.AGGREGATE(4,6,$D$25:$AD$25)),NA()),NA())</f>
        <v>0</v>
      </c>
      <c r="O143" s="68">
        <f>IF(AND($D$140=1,ISNUMBER(O24),ISNUMBER(O25)),IF((O24-O25)=0,-0.28*MAX(1,_xlfn.AGGREGATE(4,6,$D$24:$AD$24),_xlfn.AGGREGATE(4,6,$D$25:$AD$25)),NA()),NA())</f>
        <v>0</v>
      </c>
      <c r="P143" s="68">
        <f>IF(AND($D$140=1,ISNUMBER(P24),ISNUMBER(P25)),IF((P24-P25)=0,-0.28*MAX(1,_xlfn.AGGREGATE(4,6,$D$24:$AD$24),_xlfn.AGGREGATE(4,6,$D$25:$AD$25)),NA()),NA())</f>
        <v>0</v>
      </c>
      <c r="Q143" s="68">
        <f>IF(AND($D$140=1,ISNUMBER(Q24),ISNUMBER(Q25)),IF((Q24-Q25)=0,-0.28*MAX(1,_xlfn.AGGREGATE(4,6,$D$24:$AD$24),_xlfn.AGGREGATE(4,6,$D$25:$AD$25)),NA()),NA())</f>
        <v>0</v>
      </c>
      <c r="R143" s="68">
        <f>IF(AND($D$140=1,ISNUMBER(R24),ISNUMBER(R25)),IF((R24-R25)=0,-0.28*MAX(1,_xlfn.AGGREGATE(4,6,$D$24:$AD$24),_xlfn.AGGREGATE(4,6,$D$25:$AD$25)),NA()),NA())</f>
        <v>0</v>
      </c>
      <c r="S143" s="68">
        <f>IF(AND($D$140=1,ISNUMBER(S24),ISNUMBER(S25)),IF((S24-S25)=0,-0.28*MAX(1,_xlfn.AGGREGATE(4,6,$D$24:$AD$24),_xlfn.AGGREGATE(4,6,$D$25:$AD$25)),NA()),NA())</f>
        <v>0</v>
      </c>
      <c r="T143" s="68">
        <f>IF(AND($D$140=1,ISNUMBER(T24),ISNUMBER(T25)),IF((T24-T25)=0,-0.28*MAX(1,_xlfn.AGGREGATE(4,6,$D$24:$AD$24),_xlfn.AGGREGATE(4,6,$D$25:$AD$25)),NA()),NA())</f>
        <v>0</v>
      </c>
      <c r="U143" s="68">
        <f>IF(AND($D$140=1,ISNUMBER(U24),ISNUMBER(U25)),IF((U24-U25)=0,-0.28*MAX(1,_xlfn.AGGREGATE(4,6,$D$24:$AD$24),_xlfn.AGGREGATE(4,6,$D$25:$AD$25)),NA()),NA())</f>
        <v>0</v>
      </c>
      <c r="V143" s="68">
        <f>IF(AND($D$140=1,ISNUMBER(V24),ISNUMBER(V25)),IF((V24-V25)=0,-0.28*MAX(1,_xlfn.AGGREGATE(4,6,$D$24:$AD$24),_xlfn.AGGREGATE(4,6,$D$25:$AD$25)),NA()),NA())</f>
        <v>0</v>
      </c>
      <c r="W143" s="68">
        <f>IF(AND($D$140=1,ISNUMBER(W24),ISNUMBER(W25)),IF((W24-W25)=0,-0.28*MAX(1,_xlfn.AGGREGATE(4,6,$D$24:$AD$24),_xlfn.AGGREGATE(4,6,$D$25:$AD$25)),NA()),NA())</f>
        <v>0</v>
      </c>
      <c r="X143" s="68">
        <f>IF(AND($D$140=1,ISNUMBER(X24),ISNUMBER(X25)),IF((X24-X25)=0,-0.28*MAX(1,_xlfn.AGGREGATE(4,6,$D$24:$AD$24),_xlfn.AGGREGATE(4,6,$D$25:$AD$25)),NA()),NA())</f>
        <v>0</v>
      </c>
      <c r="Y143" s="68">
        <f>IF(AND($D$140=1,ISNUMBER(Y24),ISNUMBER(Y25)),IF((Y24-Y25)=0,-0.28*MAX(1,_xlfn.AGGREGATE(4,6,$D$24:$AD$24),_xlfn.AGGREGATE(4,6,$D$25:$AD$25)),NA()),NA())</f>
        <v>0</v>
      </c>
      <c r="Z143" s="68">
        <f>IF(AND($D$140=1,ISNUMBER(Z24),ISNUMBER(Z25)),IF((Z24-Z25)=0,-0.28*MAX(1,_xlfn.AGGREGATE(4,6,$D$24:$AD$24),_xlfn.AGGREGATE(4,6,$D$25:$AD$25)),NA()),NA())</f>
        <v>0</v>
      </c>
      <c r="AA143" s="68">
        <f>IF(AND($D$140=1,ISNUMBER(AA24),ISNUMBER(AA25)),IF((AA24-AA25)=0,-0.28*MAX(1,_xlfn.AGGREGATE(4,6,$D$24:$AD$24),_xlfn.AGGREGATE(4,6,$D$25:$AD$25)),NA()),NA())</f>
        <v>0</v>
      </c>
      <c r="AB143" s="68">
        <f>IF(AND($D$140=1,ISNUMBER(AB24),ISNUMBER(AB25)),IF((AB24-AB25)=0,-0.28*MAX(1,_xlfn.AGGREGATE(4,6,$D$24:$AD$24),_xlfn.AGGREGATE(4,6,$D$25:$AD$25)),NA()),NA())</f>
        <v>0</v>
      </c>
      <c r="AC143" s="68">
        <f>IF(AND($D$140=1,ISNUMBER(AC24),ISNUMBER(AC25)),IF((AC24-AC25)=0,-0.28*MAX(1,_xlfn.AGGREGATE(4,6,$D$24:$AD$24),_xlfn.AGGREGATE(4,6,$D$25:$AD$25)),NA()),NA())</f>
        <v>0</v>
      </c>
      <c r="AD143" s="68">
        <f>IF(AND($D$140=1,ISNUMBER(AD24),ISNUMBER(AD25)),IF((AD24-AD25)=0,-0.28*MAX(1,_xlfn.AGGREGATE(4,6,$D$24:$AD$24),_xlfn.AGGREGATE(4,6,$D$25:$AD$25)),NA()),NA())</f>
        <v>0</v>
      </c>
    </row>
    <row r="144" spans="1:30">
      <c r="A144" s="11" t="s">
        <v>819</v>
      </c>
      <c r="B144" s="11" t="s">
        <v>820</v>
      </c>
      <c r="C144" s="67" t="s">
        <v>605</v>
      </c>
      <c r="D144" s="11">
        <f>IF(AND(ISNUMBER(D24),ISNUMBER(D25)),IF((D24-D25)&gt;0,"+"&amp;FIXED((D24-D25),0),IF((D24-D25)&lt;0,"−"&amp;FIXED(-(D24-D25),0),"±0")),"")</f>
        <v>0</v>
      </c>
      <c r="E144" s="11">
        <f>IF(AND(ISNUMBER(E24),ISNUMBER(E25)),IF((E24-E25)&gt;0,"+"&amp;FIXED((E24-E25),0),IF((E24-E25)&lt;0,"−"&amp;FIXED(-(E24-E25),0),"±0")),"")</f>
        <v>0</v>
      </c>
      <c r="F144" s="11">
        <f>IF(AND(ISNUMBER(F24),ISNUMBER(F25)),IF((F24-F25)&gt;0,"+"&amp;FIXED((F24-F25),0),IF((F24-F25)&lt;0,"−"&amp;FIXED(-(F24-F25),0),"±0")),"")</f>
        <v>0</v>
      </c>
      <c r="G144" s="11">
        <f>IF(AND(ISNUMBER(G24),ISNUMBER(G25)),IF((G24-G25)&gt;0,"+"&amp;FIXED((G24-G25),0),IF((G24-G25)&lt;0,"−"&amp;FIXED(-(G24-G25),0),"±0")),"")</f>
        <v>0</v>
      </c>
      <c r="H144" s="11">
        <f>IF(AND(ISNUMBER(H24),ISNUMBER(H25)),IF((H24-H25)&gt;0,"+"&amp;FIXED((H24-H25),0),IF((H24-H25)&lt;0,"−"&amp;FIXED(-(H24-H25),0),"±0")),"")</f>
        <v>0</v>
      </c>
      <c r="I144" s="11">
        <f>IF(AND(ISNUMBER(I24),ISNUMBER(I25)),IF((I24-I25)&gt;0,"+"&amp;FIXED((I24-I25),0),IF((I24-I25)&lt;0,"−"&amp;FIXED(-(I24-I25),0),"±0")),"")</f>
        <v>0</v>
      </c>
      <c r="J144" s="11">
        <f>IF(AND(ISNUMBER(J24),ISNUMBER(J25)),IF((J24-J25)&gt;0,"+"&amp;FIXED((J24-J25),0),IF((J24-J25)&lt;0,"−"&amp;FIXED(-(J24-J25),0),"±0")),"")</f>
        <v>0</v>
      </c>
      <c r="K144" s="11">
        <f>IF(AND(ISNUMBER(K24),ISNUMBER(K25)),IF((K24-K25)&gt;0,"+"&amp;FIXED((K24-K25),0),IF((K24-K25)&lt;0,"−"&amp;FIXED(-(K24-K25),0),"±0")),"")</f>
        <v>0</v>
      </c>
      <c r="L144" s="11">
        <f>IF(AND(ISNUMBER(L24),ISNUMBER(L25)),IF((L24-L25)&gt;0,"+"&amp;FIXED((L24-L25),0),IF((L24-L25)&lt;0,"−"&amp;FIXED(-(L24-L25),0),"±0")),"")</f>
        <v>0</v>
      </c>
      <c r="M144" s="11">
        <f>IF(AND(ISNUMBER(M24),ISNUMBER(M25)),IF((M24-M25)&gt;0,"+"&amp;FIXED((M24-M25),0),IF((M24-M25)&lt;0,"−"&amp;FIXED(-(M24-M25),0),"±0")),"")</f>
        <v>0</v>
      </c>
      <c r="N144" s="11">
        <f>IF(AND(ISNUMBER(N24),ISNUMBER(N25)),IF((N24-N25)&gt;0,"+"&amp;FIXED((N24-N25),0),IF((N24-N25)&lt;0,"−"&amp;FIXED(-(N24-N25),0),"±0")),"")</f>
        <v>0</v>
      </c>
      <c r="O144" s="11">
        <f>IF(AND(ISNUMBER(O24),ISNUMBER(O25)),IF((O24-O25)&gt;0,"+"&amp;FIXED((O24-O25),0),IF((O24-O25)&lt;0,"−"&amp;FIXED(-(O24-O25),0),"±0")),"")</f>
        <v>0</v>
      </c>
      <c r="P144" s="11">
        <f>IF(AND(ISNUMBER(P24),ISNUMBER(P25)),IF((P24-P25)&gt;0,"+"&amp;FIXED((P24-P25),0),IF((P24-P25)&lt;0,"−"&amp;FIXED(-(P24-P25),0),"±0")),"")</f>
        <v>0</v>
      </c>
      <c r="Q144" s="11">
        <f>IF(AND(ISNUMBER(Q24),ISNUMBER(Q25)),IF((Q24-Q25)&gt;0,"+"&amp;FIXED((Q24-Q25),0),IF((Q24-Q25)&lt;0,"−"&amp;FIXED(-(Q24-Q25),0),"±0")),"")</f>
        <v>0</v>
      </c>
      <c r="R144" s="11">
        <f>IF(AND(ISNUMBER(R24),ISNUMBER(R25)),IF((R24-R25)&gt;0,"+"&amp;FIXED((R24-R25),0),IF((R24-R25)&lt;0,"−"&amp;FIXED(-(R24-R25),0),"±0")),"")</f>
        <v>0</v>
      </c>
      <c r="S144" s="11">
        <f>IF(AND(ISNUMBER(S24),ISNUMBER(S25)),IF((S24-S25)&gt;0,"+"&amp;FIXED((S24-S25),0),IF((S24-S25)&lt;0,"−"&amp;FIXED(-(S24-S25),0),"±0")),"")</f>
        <v>0</v>
      </c>
      <c r="T144" s="11">
        <f>IF(AND(ISNUMBER(T24),ISNUMBER(T25)),IF((T24-T25)&gt;0,"+"&amp;FIXED((T24-T25),0),IF((T24-T25)&lt;0,"−"&amp;FIXED(-(T24-T25),0),"±0")),"")</f>
        <v>0</v>
      </c>
      <c r="U144" s="11">
        <f>IF(AND(ISNUMBER(U24),ISNUMBER(U25)),IF((U24-U25)&gt;0,"+"&amp;FIXED((U24-U25),0),IF((U24-U25)&lt;0,"−"&amp;FIXED(-(U24-U25),0),"±0")),"")</f>
        <v>0</v>
      </c>
      <c r="V144" s="11">
        <f>IF(AND(ISNUMBER(V24),ISNUMBER(V25)),IF((V24-V25)&gt;0,"+"&amp;FIXED((V24-V25),0),IF((V24-V25)&lt;0,"−"&amp;FIXED(-(V24-V25),0),"±0")),"")</f>
        <v>0</v>
      </c>
      <c r="W144" s="11">
        <f>IF(AND(ISNUMBER(W24),ISNUMBER(W25)),IF((W24-W25)&gt;0,"+"&amp;FIXED((W24-W25),0),IF((W24-W25)&lt;0,"−"&amp;FIXED(-(W24-W25),0),"±0")),"")</f>
        <v>0</v>
      </c>
      <c r="X144" s="11">
        <f>IF(AND(ISNUMBER(X24),ISNUMBER(X25)),IF((X24-X25)&gt;0,"+"&amp;FIXED((X24-X25),0),IF((X24-X25)&lt;0,"−"&amp;FIXED(-(X24-X25),0),"±0")),"")</f>
        <v>0</v>
      </c>
      <c r="Y144" s="11">
        <f>IF(AND(ISNUMBER(Y24),ISNUMBER(Y25)),IF((Y24-Y25)&gt;0,"+"&amp;FIXED((Y24-Y25),0),IF((Y24-Y25)&lt;0,"−"&amp;FIXED(-(Y24-Y25),0),"±0")),"")</f>
        <v>0</v>
      </c>
      <c r="Z144" s="11">
        <f>IF(AND(ISNUMBER(Z24),ISNUMBER(Z25)),IF((Z24-Z25)&gt;0,"+"&amp;FIXED((Z24-Z25),0),IF((Z24-Z25)&lt;0,"−"&amp;FIXED(-(Z24-Z25),0),"±0")),"")</f>
        <v>0</v>
      </c>
      <c r="AA144" s="11">
        <f>IF(AND(ISNUMBER(AA24),ISNUMBER(AA25)),IF((AA24-AA25)&gt;0,"+"&amp;FIXED((AA24-AA25),0),IF((AA24-AA25)&lt;0,"−"&amp;FIXED(-(AA24-AA25),0),"±0")),"")</f>
        <v>0</v>
      </c>
      <c r="AB144" s="11">
        <f>IF(AND(ISNUMBER(AB24),ISNUMBER(AB25)),IF((AB24-AB25)&gt;0,"+"&amp;FIXED((AB24-AB25),0),IF((AB24-AB25)&lt;0,"−"&amp;FIXED(-(AB24-AB25),0),"±0")),"")</f>
        <v>0</v>
      </c>
      <c r="AC144" s="11">
        <f>IF(AND(ISNUMBER(AC24),ISNUMBER(AC25)),IF((AC24-AC25)&gt;0,"+"&amp;FIXED((AC24-AC25),0),IF((AC24-AC25)&lt;0,"−"&amp;FIXED(-(AC24-AC25),0),"±0")),"")</f>
        <v>0</v>
      </c>
      <c r="AD144" s="11">
        <f>IF(AND(ISNUMBER(AD24),ISNUMBER(AD25)),IF((AD24-AD25)&gt;0,"+"&amp;FIXED((AD24-AD25),0),IF((AD24-AD25)&lt;0,"−"&amp;FIXED(-(AD24-AD25),0),"±0")),"")</f>
        <v>0</v>
      </c>
    </row>
    <row r="145" spans="1:41">
      <c r="A145" s="11" t="s">
        <v>821</v>
      </c>
      <c r="B145" s="11" t="s">
        <v>822</v>
      </c>
      <c r="C145" s="67" t="s">
        <v>602</v>
      </c>
      <c r="D145" s="68">
        <v>0</v>
      </c>
    </row>
    <row r="146" spans="1:41">
      <c r="A146" s="11" t="s">
        <v>823</v>
      </c>
      <c r="B146" s="11" t="s">
        <v>824</v>
      </c>
      <c r="C146" s="67" t="s">
        <v>605</v>
      </c>
      <c r="D146" s="68">
        <f>IF(AND($D$145=1,ISNUMBER(D30),ISNUMBER(D31)),IF((D30-D31)&gt;0,-0.28*MAX(1,_xlfn.AGGREGATE(4,6,$D$30:$AD$30),_xlfn.AGGREGATE(4,6,$D$31:$AD$31)),NA()),NA())</f>
        <v>0</v>
      </c>
      <c r="E146" s="68">
        <f>IF(AND($D$145=1,ISNUMBER(E30),ISNUMBER(E31)),IF((E30-E31)&gt;0,-0.28*MAX(1,_xlfn.AGGREGATE(4,6,$D$30:$AD$30),_xlfn.AGGREGATE(4,6,$D$31:$AD$31)),NA()),NA())</f>
        <v>0</v>
      </c>
      <c r="F146" s="68">
        <f>IF(AND($D$145=1,ISNUMBER(F30),ISNUMBER(F31)),IF((F30-F31)&gt;0,-0.28*MAX(1,_xlfn.AGGREGATE(4,6,$D$30:$AD$30),_xlfn.AGGREGATE(4,6,$D$31:$AD$31)),NA()),NA())</f>
        <v>0</v>
      </c>
      <c r="G146" s="68">
        <f>IF(AND($D$145=1,ISNUMBER(G30),ISNUMBER(G31)),IF((G30-G31)&gt;0,-0.28*MAX(1,_xlfn.AGGREGATE(4,6,$D$30:$AD$30),_xlfn.AGGREGATE(4,6,$D$31:$AD$31)),NA()),NA())</f>
        <v>0</v>
      </c>
      <c r="H146" s="68">
        <f>IF(AND($D$145=1,ISNUMBER(H30),ISNUMBER(H31)),IF((H30-H31)&gt;0,-0.28*MAX(1,_xlfn.AGGREGATE(4,6,$D$30:$AD$30),_xlfn.AGGREGATE(4,6,$D$31:$AD$31)),NA()),NA())</f>
        <v>0</v>
      </c>
      <c r="I146" s="68">
        <f>IF(AND($D$145=1,ISNUMBER(I30),ISNUMBER(I31)),IF((I30-I31)&gt;0,-0.28*MAX(1,_xlfn.AGGREGATE(4,6,$D$30:$AD$30),_xlfn.AGGREGATE(4,6,$D$31:$AD$31)),NA()),NA())</f>
        <v>0</v>
      </c>
      <c r="J146" s="68">
        <f>IF(AND($D$145=1,ISNUMBER(J30),ISNUMBER(J31)),IF((J30-J31)&gt;0,-0.28*MAX(1,_xlfn.AGGREGATE(4,6,$D$30:$AD$30),_xlfn.AGGREGATE(4,6,$D$31:$AD$31)),NA()),NA())</f>
        <v>0</v>
      </c>
      <c r="K146" s="68">
        <f>IF(AND($D$145=1,ISNUMBER(K30),ISNUMBER(K31)),IF((K30-K31)&gt;0,-0.28*MAX(1,_xlfn.AGGREGATE(4,6,$D$30:$AD$30),_xlfn.AGGREGATE(4,6,$D$31:$AD$31)),NA()),NA())</f>
        <v>0</v>
      </c>
      <c r="L146" s="68">
        <f>IF(AND($D$145=1,ISNUMBER(L30),ISNUMBER(L31)),IF((L30-L31)&gt;0,-0.28*MAX(1,_xlfn.AGGREGATE(4,6,$D$30:$AD$30),_xlfn.AGGREGATE(4,6,$D$31:$AD$31)),NA()),NA())</f>
        <v>0</v>
      </c>
      <c r="M146" s="68">
        <f>IF(AND($D$145=1,ISNUMBER(M30),ISNUMBER(M31)),IF((M30-M31)&gt;0,-0.28*MAX(1,_xlfn.AGGREGATE(4,6,$D$30:$AD$30),_xlfn.AGGREGATE(4,6,$D$31:$AD$31)),NA()),NA())</f>
        <v>0</v>
      </c>
      <c r="N146" s="68">
        <f>IF(AND($D$145=1,ISNUMBER(N30),ISNUMBER(N31)),IF((N30-N31)&gt;0,-0.28*MAX(1,_xlfn.AGGREGATE(4,6,$D$30:$AD$30),_xlfn.AGGREGATE(4,6,$D$31:$AD$31)),NA()),NA())</f>
        <v>0</v>
      </c>
      <c r="O146" s="68">
        <f>IF(AND($D$145=1,ISNUMBER(O30),ISNUMBER(O31)),IF((O30-O31)&gt;0,-0.28*MAX(1,_xlfn.AGGREGATE(4,6,$D$30:$AD$30),_xlfn.AGGREGATE(4,6,$D$31:$AD$31)),NA()),NA())</f>
        <v>0</v>
      </c>
      <c r="P146" s="68">
        <f>IF(AND($D$145=1,ISNUMBER(P30),ISNUMBER(P31)),IF((P30-P31)&gt;0,-0.28*MAX(1,_xlfn.AGGREGATE(4,6,$D$30:$AD$30),_xlfn.AGGREGATE(4,6,$D$31:$AD$31)),NA()),NA())</f>
        <v>0</v>
      </c>
      <c r="Q146" s="68">
        <f>IF(AND($D$145=1,ISNUMBER(Q30),ISNUMBER(Q31)),IF((Q30-Q31)&gt;0,-0.28*MAX(1,_xlfn.AGGREGATE(4,6,$D$30:$AD$30),_xlfn.AGGREGATE(4,6,$D$31:$AD$31)),NA()),NA())</f>
        <v>0</v>
      </c>
      <c r="R146" s="68">
        <f>IF(AND($D$145=1,ISNUMBER(R30),ISNUMBER(R31)),IF((R30-R31)&gt;0,-0.28*MAX(1,_xlfn.AGGREGATE(4,6,$D$30:$AD$30),_xlfn.AGGREGATE(4,6,$D$31:$AD$31)),NA()),NA())</f>
        <v>0</v>
      </c>
      <c r="S146" s="68">
        <f>IF(AND($D$145=1,ISNUMBER(S30),ISNUMBER(S31)),IF((S30-S31)&gt;0,-0.28*MAX(1,_xlfn.AGGREGATE(4,6,$D$30:$AD$30),_xlfn.AGGREGATE(4,6,$D$31:$AD$31)),NA()),NA())</f>
        <v>0</v>
      </c>
      <c r="T146" s="68">
        <f>IF(AND($D$145=1,ISNUMBER(T30),ISNUMBER(T31)),IF((T30-T31)&gt;0,-0.28*MAX(1,_xlfn.AGGREGATE(4,6,$D$30:$AD$30),_xlfn.AGGREGATE(4,6,$D$31:$AD$31)),NA()),NA())</f>
        <v>0</v>
      </c>
      <c r="U146" s="68">
        <f>IF(AND($D$145=1,ISNUMBER(U30),ISNUMBER(U31)),IF((U30-U31)&gt;0,-0.28*MAX(1,_xlfn.AGGREGATE(4,6,$D$30:$AD$30),_xlfn.AGGREGATE(4,6,$D$31:$AD$31)),NA()),NA())</f>
        <v>0</v>
      </c>
      <c r="V146" s="68">
        <f>IF(AND($D$145=1,ISNUMBER(V30),ISNUMBER(V31)),IF((V30-V31)&gt;0,-0.28*MAX(1,_xlfn.AGGREGATE(4,6,$D$30:$AD$30),_xlfn.AGGREGATE(4,6,$D$31:$AD$31)),NA()),NA())</f>
        <v>0</v>
      </c>
      <c r="W146" s="68">
        <f>IF(AND($D$145=1,ISNUMBER(W30),ISNUMBER(W31)),IF((W30-W31)&gt;0,-0.28*MAX(1,_xlfn.AGGREGATE(4,6,$D$30:$AD$30),_xlfn.AGGREGATE(4,6,$D$31:$AD$31)),NA()),NA())</f>
        <v>0</v>
      </c>
      <c r="X146" s="68">
        <f>IF(AND($D$145=1,ISNUMBER(X30),ISNUMBER(X31)),IF((X30-X31)&gt;0,-0.28*MAX(1,_xlfn.AGGREGATE(4,6,$D$30:$AD$30),_xlfn.AGGREGATE(4,6,$D$31:$AD$31)),NA()),NA())</f>
        <v>0</v>
      </c>
      <c r="Y146" s="68">
        <f>IF(AND($D$145=1,ISNUMBER(Y30),ISNUMBER(Y31)),IF((Y30-Y31)&gt;0,-0.28*MAX(1,_xlfn.AGGREGATE(4,6,$D$30:$AD$30),_xlfn.AGGREGATE(4,6,$D$31:$AD$31)),NA()),NA())</f>
        <v>0</v>
      </c>
      <c r="Z146" s="68">
        <f>IF(AND($D$145=1,ISNUMBER(Z30),ISNUMBER(Z31)),IF((Z30-Z31)&gt;0,-0.28*MAX(1,_xlfn.AGGREGATE(4,6,$D$30:$AD$30),_xlfn.AGGREGATE(4,6,$D$31:$AD$31)),NA()),NA())</f>
        <v>0</v>
      </c>
      <c r="AA146" s="68">
        <f>IF(AND($D$145=1,ISNUMBER(AA30),ISNUMBER(AA31)),IF((AA30-AA31)&gt;0,-0.28*MAX(1,_xlfn.AGGREGATE(4,6,$D$30:$AD$30),_xlfn.AGGREGATE(4,6,$D$31:$AD$31)),NA()),NA())</f>
        <v>0</v>
      </c>
      <c r="AB146" s="68">
        <f>IF(AND($D$145=1,ISNUMBER(AB30),ISNUMBER(AB31)),IF((AB30-AB31)&gt;0,-0.28*MAX(1,_xlfn.AGGREGATE(4,6,$D$30:$AD$30),_xlfn.AGGREGATE(4,6,$D$31:$AD$31)),NA()),NA())</f>
        <v>0</v>
      </c>
      <c r="AC146" s="68">
        <f>IF(AND($D$145=1,ISNUMBER(AC30),ISNUMBER(AC31)),IF((AC30-AC31)&gt;0,-0.28*MAX(1,_xlfn.AGGREGATE(4,6,$D$30:$AD$30),_xlfn.AGGREGATE(4,6,$D$31:$AD$31)),NA()),NA())</f>
        <v>0</v>
      </c>
      <c r="AD146" s="68">
        <f>IF(AND($D$145=1,ISNUMBER(AD30),ISNUMBER(AD31)),IF((AD30-AD31)&gt;0,-0.28*MAX(1,_xlfn.AGGREGATE(4,6,$D$30:$AD$30),_xlfn.AGGREGATE(4,6,$D$31:$AD$31)),NA()),NA())</f>
        <v>0</v>
      </c>
    </row>
    <row r="147" spans="1:41">
      <c r="A147" s="11" t="s">
        <v>825</v>
      </c>
      <c r="B147" s="11" t="s">
        <v>826</v>
      </c>
      <c r="C147" s="67" t="s">
        <v>605</v>
      </c>
      <c r="D147" s="68">
        <f>IF(AND($D$145=1,ISNUMBER(D30),ISNUMBER(D31)),IF((D30-D31)&lt;0,-0.28*MAX(1,_xlfn.AGGREGATE(4,6,$D$30:$AD$30),_xlfn.AGGREGATE(4,6,$D$31:$AD$31)),NA()),NA())</f>
        <v>0</v>
      </c>
      <c r="E147" s="68">
        <f>IF(AND($D$145=1,ISNUMBER(E30),ISNUMBER(E31)),IF((E30-E31)&lt;0,-0.28*MAX(1,_xlfn.AGGREGATE(4,6,$D$30:$AD$30),_xlfn.AGGREGATE(4,6,$D$31:$AD$31)),NA()),NA())</f>
        <v>0</v>
      </c>
      <c r="F147" s="68">
        <f>IF(AND($D$145=1,ISNUMBER(F30),ISNUMBER(F31)),IF((F30-F31)&lt;0,-0.28*MAX(1,_xlfn.AGGREGATE(4,6,$D$30:$AD$30),_xlfn.AGGREGATE(4,6,$D$31:$AD$31)),NA()),NA())</f>
        <v>0</v>
      </c>
      <c r="G147" s="68">
        <f>IF(AND($D$145=1,ISNUMBER(G30),ISNUMBER(G31)),IF((G30-G31)&lt;0,-0.28*MAX(1,_xlfn.AGGREGATE(4,6,$D$30:$AD$30),_xlfn.AGGREGATE(4,6,$D$31:$AD$31)),NA()),NA())</f>
        <v>0</v>
      </c>
      <c r="H147" s="68">
        <f>IF(AND($D$145=1,ISNUMBER(H30),ISNUMBER(H31)),IF((H30-H31)&lt;0,-0.28*MAX(1,_xlfn.AGGREGATE(4,6,$D$30:$AD$30),_xlfn.AGGREGATE(4,6,$D$31:$AD$31)),NA()),NA())</f>
        <v>0</v>
      </c>
      <c r="I147" s="68">
        <f>IF(AND($D$145=1,ISNUMBER(I30),ISNUMBER(I31)),IF((I30-I31)&lt;0,-0.28*MAX(1,_xlfn.AGGREGATE(4,6,$D$30:$AD$30),_xlfn.AGGREGATE(4,6,$D$31:$AD$31)),NA()),NA())</f>
        <v>0</v>
      </c>
      <c r="J147" s="68">
        <f>IF(AND($D$145=1,ISNUMBER(J30),ISNUMBER(J31)),IF((J30-J31)&lt;0,-0.28*MAX(1,_xlfn.AGGREGATE(4,6,$D$30:$AD$30),_xlfn.AGGREGATE(4,6,$D$31:$AD$31)),NA()),NA())</f>
        <v>0</v>
      </c>
      <c r="K147" s="68">
        <f>IF(AND($D$145=1,ISNUMBER(K30),ISNUMBER(K31)),IF((K30-K31)&lt;0,-0.28*MAX(1,_xlfn.AGGREGATE(4,6,$D$30:$AD$30),_xlfn.AGGREGATE(4,6,$D$31:$AD$31)),NA()),NA())</f>
        <v>0</v>
      </c>
      <c r="L147" s="68">
        <f>IF(AND($D$145=1,ISNUMBER(L30),ISNUMBER(L31)),IF((L30-L31)&lt;0,-0.28*MAX(1,_xlfn.AGGREGATE(4,6,$D$30:$AD$30),_xlfn.AGGREGATE(4,6,$D$31:$AD$31)),NA()),NA())</f>
        <v>0</v>
      </c>
      <c r="M147" s="68">
        <f>IF(AND($D$145=1,ISNUMBER(M30),ISNUMBER(M31)),IF((M30-M31)&lt;0,-0.28*MAX(1,_xlfn.AGGREGATE(4,6,$D$30:$AD$30),_xlfn.AGGREGATE(4,6,$D$31:$AD$31)),NA()),NA())</f>
        <v>0</v>
      </c>
      <c r="N147" s="68">
        <f>IF(AND($D$145=1,ISNUMBER(N30),ISNUMBER(N31)),IF((N30-N31)&lt;0,-0.28*MAX(1,_xlfn.AGGREGATE(4,6,$D$30:$AD$30),_xlfn.AGGREGATE(4,6,$D$31:$AD$31)),NA()),NA())</f>
        <v>0</v>
      </c>
      <c r="O147" s="68">
        <f>IF(AND($D$145=1,ISNUMBER(O30),ISNUMBER(O31)),IF((O30-O31)&lt;0,-0.28*MAX(1,_xlfn.AGGREGATE(4,6,$D$30:$AD$30),_xlfn.AGGREGATE(4,6,$D$31:$AD$31)),NA()),NA())</f>
        <v>0</v>
      </c>
      <c r="P147" s="68">
        <f>IF(AND($D$145=1,ISNUMBER(P30),ISNUMBER(P31)),IF((P30-P31)&lt;0,-0.28*MAX(1,_xlfn.AGGREGATE(4,6,$D$30:$AD$30),_xlfn.AGGREGATE(4,6,$D$31:$AD$31)),NA()),NA())</f>
        <v>0</v>
      </c>
      <c r="Q147" s="68">
        <f>IF(AND($D$145=1,ISNUMBER(Q30),ISNUMBER(Q31)),IF((Q30-Q31)&lt;0,-0.28*MAX(1,_xlfn.AGGREGATE(4,6,$D$30:$AD$30),_xlfn.AGGREGATE(4,6,$D$31:$AD$31)),NA()),NA())</f>
        <v>0</v>
      </c>
      <c r="R147" s="68">
        <f>IF(AND($D$145=1,ISNUMBER(R30),ISNUMBER(R31)),IF((R30-R31)&lt;0,-0.28*MAX(1,_xlfn.AGGREGATE(4,6,$D$30:$AD$30),_xlfn.AGGREGATE(4,6,$D$31:$AD$31)),NA()),NA())</f>
        <v>0</v>
      </c>
      <c r="S147" s="68">
        <f>IF(AND($D$145=1,ISNUMBER(S30),ISNUMBER(S31)),IF((S30-S31)&lt;0,-0.28*MAX(1,_xlfn.AGGREGATE(4,6,$D$30:$AD$30),_xlfn.AGGREGATE(4,6,$D$31:$AD$31)),NA()),NA())</f>
        <v>0</v>
      </c>
      <c r="T147" s="68">
        <f>IF(AND($D$145=1,ISNUMBER(T30),ISNUMBER(T31)),IF((T30-T31)&lt;0,-0.28*MAX(1,_xlfn.AGGREGATE(4,6,$D$30:$AD$30),_xlfn.AGGREGATE(4,6,$D$31:$AD$31)),NA()),NA())</f>
        <v>0</v>
      </c>
      <c r="U147" s="68">
        <f>IF(AND($D$145=1,ISNUMBER(U30),ISNUMBER(U31)),IF((U30-U31)&lt;0,-0.28*MAX(1,_xlfn.AGGREGATE(4,6,$D$30:$AD$30),_xlfn.AGGREGATE(4,6,$D$31:$AD$31)),NA()),NA())</f>
        <v>0</v>
      </c>
      <c r="V147" s="68">
        <f>IF(AND($D$145=1,ISNUMBER(V30),ISNUMBER(V31)),IF((V30-V31)&lt;0,-0.28*MAX(1,_xlfn.AGGREGATE(4,6,$D$30:$AD$30),_xlfn.AGGREGATE(4,6,$D$31:$AD$31)),NA()),NA())</f>
        <v>0</v>
      </c>
      <c r="W147" s="68">
        <f>IF(AND($D$145=1,ISNUMBER(W30),ISNUMBER(W31)),IF((W30-W31)&lt;0,-0.28*MAX(1,_xlfn.AGGREGATE(4,6,$D$30:$AD$30),_xlfn.AGGREGATE(4,6,$D$31:$AD$31)),NA()),NA())</f>
        <v>0</v>
      </c>
      <c r="X147" s="68">
        <f>IF(AND($D$145=1,ISNUMBER(X30),ISNUMBER(X31)),IF((X30-X31)&lt;0,-0.28*MAX(1,_xlfn.AGGREGATE(4,6,$D$30:$AD$30),_xlfn.AGGREGATE(4,6,$D$31:$AD$31)),NA()),NA())</f>
        <v>0</v>
      </c>
      <c r="Y147" s="68">
        <f>IF(AND($D$145=1,ISNUMBER(Y30),ISNUMBER(Y31)),IF((Y30-Y31)&lt;0,-0.28*MAX(1,_xlfn.AGGREGATE(4,6,$D$30:$AD$30),_xlfn.AGGREGATE(4,6,$D$31:$AD$31)),NA()),NA())</f>
        <v>0</v>
      </c>
      <c r="Z147" s="68">
        <f>IF(AND($D$145=1,ISNUMBER(Z30),ISNUMBER(Z31)),IF((Z30-Z31)&lt;0,-0.28*MAX(1,_xlfn.AGGREGATE(4,6,$D$30:$AD$30),_xlfn.AGGREGATE(4,6,$D$31:$AD$31)),NA()),NA())</f>
        <v>0</v>
      </c>
      <c r="AA147" s="68">
        <f>IF(AND($D$145=1,ISNUMBER(AA30),ISNUMBER(AA31)),IF((AA30-AA31)&lt;0,-0.28*MAX(1,_xlfn.AGGREGATE(4,6,$D$30:$AD$30),_xlfn.AGGREGATE(4,6,$D$31:$AD$31)),NA()),NA())</f>
        <v>0</v>
      </c>
      <c r="AB147" s="68">
        <f>IF(AND($D$145=1,ISNUMBER(AB30),ISNUMBER(AB31)),IF((AB30-AB31)&lt;0,-0.28*MAX(1,_xlfn.AGGREGATE(4,6,$D$30:$AD$30),_xlfn.AGGREGATE(4,6,$D$31:$AD$31)),NA()),NA())</f>
        <v>0</v>
      </c>
      <c r="AC147" s="68">
        <f>IF(AND($D$145=1,ISNUMBER(AC30),ISNUMBER(AC31)),IF((AC30-AC31)&lt;0,-0.28*MAX(1,_xlfn.AGGREGATE(4,6,$D$30:$AD$30),_xlfn.AGGREGATE(4,6,$D$31:$AD$31)),NA()),NA())</f>
        <v>0</v>
      </c>
      <c r="AD147" s="68">
        <f>IF(AND($D$145=1,ISNUMBER(AD30),ISNUMBER(AD31)),IF((AD30-AD31)&lt;0,-0.28*MAX(1,_xlfn.AGGREGATE(4,6,$D$30:$AD$30),_xlfn.AGGREGATE(4,6,$D$31:$AD$31)),NA()),NA())</f>
        <v>0</v>
      </c>
    </row>
    <row r="148" spans="1:41">
      <c r="A148" s="11" t="s">
        <v>827</v>
      </c>
      <c r="B148" s="11" t="s">
        <v>828</v>
      </c>
      <c r="C148" s="67" t="s">
        <v>605</v>
      </c>
      <c r="D148" s="68">
        <f>IF(AND($D$145=1,ISNUMBER(D30),ISNUMBER(D31)),IF((D30-D31)=0,-0.28*MAX(1,_xlfn.AGGREGATE(4,6,$D$30:$AD$30),_xlfn.AGGREGATE(4,6,$D$31:$AD$31)),NA()),NA())</f>
        <v>0</v>
      </c>
      <c r="E148" s="68">
        <f>IF(AND($D$145=1,ISNUMBER(E30),ISNUMBER(E31)),IF((E30-E31)=0,-0.28*MAX(1,_xlfn.AGGREGATE(4,6,$D$30:$AD$30),_xlfn.AGGREGATE(4,6,$D$31:$AD$31)),NA()),NA())</f>
        <v>0</v>
      </c>
      <c r="F148" s="68">
        <f>IF(AND($D$145=1,ISNUMBER(F30),ISNUMBER(F31)),IF((F30-F31)=0,-0.28*MAX(1,_xlfn.AGGREGATE(4,6,$D$30:$AD$30),_xlfn.AGGREGATE(4,6,$D$31:$AD$31)),NA()),NA())</f>
        <v>0</v>
      </c>
      <c r="G148" s="68">
        <f>IF(AND($D$145=1,ISNUMBER(G30),ISNUMBER(G31)),IF((G30-G31)=0,-0.28*MAX(1,_xlfn.AGGREGATE(4,6,$D$30:$AD$30),_xlfn.AGGREGATE(4,6,$D$31:$AD$31)),NA()),NA())</f>
        <v>0</v>
      </c>
      <c r="H148" s="68">
        <f>IF(AND($D$145=1,ISNUMBER(H30),ISNUMBER(H31)),IF((H30-H31)=0,-0.28*MAX(1,_xlfn.AGGREGATE(4,6,$D$30:$AD$30),_xlfn.AGGREGATE(4,6,$D$31:$AD$31)),NA()),NA())</f>
        <v>0</v>
      </c>
      <c r="I148" s="68">
        <f>IF(AND($D$145=1,ISNUMBER(I30),ISNUMBER(I31)),IF((I30-I31)=0,-0.28*MAX(1,_xlfn.AGGREGATE(4,6,$D$30:$AD$30),_xlfn.AGGREGATE(4,6,$D$31:$AD$31)),NA()),NA())</f>
        <v>0</v>
      </c>
      <c r="J148" s="68">
        <f>IF(AND($D$145=1,ISNUMBER(J30),ISNUMBER(J31)),IF((J30-J31)=0,-0.28*MAX(1,_xlfn.AGGREGATE(4,6,$D$30:$AD$30),_xlfn.AGGREGATE(4,6,$D$31:$AD$31)),NA()),NA())</f>
        <v>0</v>
      </c>
      <c r="K148" s="68">
        <f>IF(AND($D$145=1,ISNUMBER(K30),ISNUMBER(K31)),IF((K30-K31)=0,-0.28*MAX(1,_xlfn.AGGREGATE(4,6,$D$30:$AD$30),_xlfn.AGGREGATE(4,6,$D$31:$AD$31)),NA()),NA())</f>
        <v>0</v>
      </c>
      <c r="L148" s="68">
        <f>IF(AND($D$145=1,ISNUMBER(L30),ISNUMBER(L31)),IF((L30-L31)=0,-0.28*MAX(1,_xlfn.AGGREGATE(4,6,$D$30:$AD$30),_xlfn.AGGREGATE(4,6,$D$31:$AD$31)),NA()),NA())</f>
        <v>0</v>
      </c>
      <c r="M148" s="68">
        <f>IF(AND($D$145=1,ISNUMBER(M30),ISNUMBER(M31)),IF((M30-M31)=0,-0.28*MAX(1,_xlfn.AGGREGATE(4,6,$D$30:$AD$30),_xlfn.AGGREGATE(4,6,$D$31:$AD$31)),NA()),NA())</f>
        <v>0</v>
      </c>
      <c r="N148" s="68">
        <f>IF(AND($D$145=1,ISNUMBER(N30),ISNUMBER(N31)),IF((N30-N31)=0,-0.28*MAX(1,_xlfn.AGGREGATE(4,6,$D$30:$AD$30),_xlfn.AGGREGATE(4,6,$D$31:$AD$31)),NA()),NA())</f>
        <v>0</v>
      </c>
      <c r="O148" s="68">
        <f>IF(AND($D$145=1,ISNUMBER(O30),ISNUMBER(O31)),IF((O30-O31)=0,-0.28*MAX(1,_xlfn.AGGREGATE(4,6,$D$30:$AD$30),_xlfn.AGGREGATE(4,6,$D$31:$AD$31)),NA()),NA())</f>
        <v>0</v>
      </c>
      <c r="P148" s="68">
        <f>IF(AND($D$145=1,ISNUMBER(P30),ISNUMBER(P31)),IF((P30-P31)=0,-0.28*MAX(1,_xlfn.AGGREGATE(4,6,$D$30:$AD$30),_xlfn.AGGREGATE(4,6,$D$31:$AD$31)),NA()),NA())</f>
        <v>0</v>
      </c>
      <c r="Q148" s="68">
        <f>IF(AND($D$145=1,ISNUMBER(Q30),ISNUMBER(Q31)),IF((Q30-Q31)=0,-0.28*MAX(1,_xlfn.AGGREGATE(4,6,$D$30:$AD$30),_xlfn.AGGREGATE(4,6,$D$31:$AD$31)),NA()),NA())</f>
        <v>0</v>
      </c>
      <c r="R148" s="68">
        <f>IF(AND($D$145=1,ISNUMBER(R30),ISNUMBER(R31)),IF((R30-R31)=0,-0.28*MAX(1,_xlfn.AGGREGATE(4,6,$D$30:$AD$30),_xlfn.AGGREGATE(4,6,$D$31:$AD$31)),NA()),NA())</f>
        <v>0</v>
      </c>
      <c r="S148" s="68">
        <f>IF(AND($D$145=1,ISNUMBER(S30),ISNUMBER(S31)),IF((S30-S31)=0,-0.28*MAX(1,_xlfn.AGGREGATE(4,6,$D$30:$AD$30),_xlfn.AGGREGATE(4,6,$D$31:$AD$31)),NA()),NA())</f>
        <v>0</v>
      </c>
      <c r="T148" s="68">
        <f>IF(AND($D$145=1,ISNUMBER(T30),ISNUMBER(T31)),IF((T30-T31)=0,-0.28*MAX(1,_xlfn.AGGREGATE(4,6,$D$30:$AD$30),_xlfn.AGGREGATE(4,6,$D$31:$AD$31)),NA()),NA())</f>
        <v>0</v>
      </c>
      <c r="U148" s="68">
        <f>IF(AND($D$145=1,ISNUMBER(U30),ISNUMBER(U31)),IF((U30-U31)=0,-0.28*MAX(1,_xlfn.AGGREGATE(4,6,$D$30:$AD$30),_xlfn.AGGREGATE(4,6,$D$31:$AD$31)),NA()),NA())</f>
        <v>0</v>
      </c>
      <c r="V148" s="68">
        <f>IF(AND($D$145=1,ISNUMBER(V30),ISNUMBER(V31)),IF((V30-V31)=0,-0.28*MAX(1,_xlfn.AGGREGATE(4,6,$D$30:$AD$30),_xlfn.AGGREGATE(4,6,$D$31:$AD$31)),NA()),NA())</f>
        <v>0</v>
      </c>
      <c r="W148" s="68">
        <f>IF(AND($D$145=1,ISNUMBER(W30),ISNUMBER(W31)),IF((W30-W31)=0,-0.28*MAX(1,_xlfn.AGGREGATE(4,6,$D$30:$AD$30),_xlfn.AGGREGATE(4,6,$D$31:$AD$31)),NA()),NA())</f>
        <v>0</v>
      </c>
      <c r="X148" s="68">
        <f>IF(AND($D$145=1,ISNUMBER(X30),ISNUMBER(X31)),IF((X30-X31)=0,-0.28*MAX(1,_xlfn.AGGREGATE(4,6,$D$30:$AD$30),_xlfn.AGGREGATE(4,6,$D$31:$AD$31)),NA()),NA())</f>
        <v>0</v>
      </c>
      <c r="Y148" s="68">
        <f>IF(AND($D$145=1,ISNUMBER(Y30),ISNUMBER(Y31)),IF((Y30-Y31)=0,-0.28*MAX(1,_xlfn.AGGREGATE(4,6,$D$30:$AD$30),_xlfn.AGGREGATE(4,6,$D$31:$AD$31)),NA()),NA())</f>
        <v>0</v>
      </c>
      <c r="Z148" s="68">
        <f>IF(AND($D$145=1,ISNUMBER(Z30),ISNUMBER(Z31)),IF((Z30-Z31)=0,-0.28*MAX(1,_xlfn.AGGREGATE(4,6,$D$30:$AD$30),_xlfn.AGGREGATE(4,6,$D$31:$AD$31)),NA()),NA())</f>
        <v>0</v>
      </c>
      <c r="AA148" s="68">
        <f>IF(AND($D$145=1,ISNUMBER(AA30),ISNUMBER(AA31)),IF((AA30-AA31)=0,-0.28*MAX(1,_xlfn.AGGREGATE(4,6,$D$30:$AD$30),_xlfn.AGGREGATE(4,6,$D$31:$AD$31)),NA()),NA())</f>
        <v>0</v>
      </c>
      <c r="AB148" s="68">
        <f>IF(AND($D$145=1,ISNUMBER(AB30),ISNUMBER(AB31)),IF((AB30-AB31)=0,-0.28*MAX(1,_xlfn.AGGREGATE(4,6,$D$30:$AD$30),_xlfn.AGGREGATE(4,6,$D$31:$AD$31)),NA()),NA())</f>
        <v>0</v>
      </c>
      <c r="AC148" s="68">
        <f>IF(AND($D$145=1,ISNUMBER(AC30),ISNUMBER(AC31)),IF((AC30-AC31)=0,-0.28*MAX(1,_xlfn.AGGREGATE(4,6,$D$30:$AD$30),_xlfn.AGGREGATE(4,6,$D$31:$AD$31)),NA()),NA())</f>
        <v>0</v>
      </c>
      <c r="AD148" s="68">
        <f>IF(AND($D$145=1,ISNUMBER(AD30),ISNUMBER(AD31)),IF((AD30-AD31)=0,-0.28*MAX(1,_xlfn.AGGREGATE(4,6,$D$30:$AD$30),_xlfn.AGGREGATE(4,6,$D$31:$AD$31)),NA()),NA())</f>
        <v>0</v>
      </c>
    </row>
    <row r="149" spans="1:41">
      <c r="A149" s="11" t="s">
        <v>829</v>
      </c>
      <c r="B149" s="11" t="s">
        <v>830</v>
      </c>
      <c r="C149" s="67" t="s">
        <v>605</v>
      </c>
      <c r="D149" s="11">
        <f>IF(AND(ISNUMBER(D30),ISNUMBER(D31)),IF((D30-D31)&gt;0,"+"&amp;FIXED((D30-D31),0),IF((D30-D31)&lt;0,"−"&amp;FIXED(-(D30-D31),0),"±0")),"")</f>
        <v>0</v>
      </c>
      <c r="E149" s="11">
        <f>IF(AND(ISNUMBER(E30),ISNUMBER(E31)),IF((E30-E31)&gt;0,"+"&amp;FIXED((E30-E31),0),IF((E30-E31)&lt;0,"−"&amp;FIXED(-(E30-E31),0),"±0")),"")</f>
        <v>0</v>
      </c>
      <c r="F149" s="11">
        <f>IF(AND(ISNUMBER(F30),ISNUMBER(F31)),IF((F30-F31)&gt;0,"+"&amp;FIXED((F30-F31),0),IF((F30-F31)&lt;0,"−"&amp;FIXED(-(F30-F31),0),"±0")),"")</f>
        <v>0</v>
      </c>
      <c r="G149" s="11">
        <f>IF(AND(ISNUMBER(G30),ISNUMBER(G31)),IF((G30-G31)&gt;0,"+"&amp;FIXED((G30-G31),0),IF((G30-G31)&lt;0,"−"&amp;FIXED(-(G30-G31),0),"±0")),"")</f>
        <v>0</v>
      </c>
      <c r="H149" s="11">
        <f>IF(AND(ISNUMBER(H30),ISNUMBER(H31)),IF((H30-H31)&gt;0,"+"&amp;FIXED((H30-H31),0),IF((H30-H31)&lt;0,"−"&amp;FIXED(-(H30-H31),0),"±0")),"")</f>
        <v>0</v>
      </c>
      <c r="I149" s="11">
        <f>IF(AND(ISNUMBER(I30),ISNUMBER(I31)),IF((I30-I31)&gt;0,"+"&amp;FIXED((I30-I31),0),IF((I30-I31)&lt;0,"−"&amp;FIXED(-(I30-I31),0),"±0")),"")</f>
        <v>0</v>
      </c>
      <c r="J149" s="11">
        <f>IF(AND(ISNUMBER(J30),ISNUMBER(J31)),IF((J30-J31)&gt;0,"+"&amp;FIXED((J30-J31),0),IF((J30-J31)&lt;0,"−"&amp;FIXED(-(J30-J31),0),"±0")),"")</f>
        <v>0</v>
      </c>
      <c r="K149" s="11">
        <f>IF(AND(ISNUMBER(K30),ISNUMBER(K31)),IF((K30-K31)&gt;0,"+"&amp;FIXED((K30-K31),0),IF((K30-K31)&lt;0,"−"&amp;FIXED(-(K30-K31),0),"±0")),"")</f>
        <v>0</v>
      </c>
      <c r="L149" s="11">
        <f>IF(AND(ISNUMBER(L30),ISNUMBER(L31)),IF((L30-L31)&gt;0,"+"&amp;FIXED((L30-L31),0),IF((L30-L31)&lt;0,"−"&amp;FIXED(-(L30-L31),0),"±0")),"")</f>
        <v>0</v>
      </c>
      <c r="M149" s="11">
        <f>IF(AND(ISNUMBER(M30),ISNUMBER(M31)),IF((M30-M31)&gt;0,"+"&amp;FIXED((M30-M31),0),IF((M30-M31)&lt;0,"−"&amp;FIXED(-(M30-M31),0),"±0")),"")</f>
        <v>0</v>
      </c>
      <c r="N149" s="11">
        <f>IF(AND(ISNUMBER(N30),ISNUMBER(N31)),IF((N30-N31)&gt;0,"+"&amp;FIXED((N30-N31),0),IF((N30-N31)&lt;0,"−"&amp;FIXED(-(N30-N31),0),"±0")),"")</f>
        <v>0</v>
      </c>
      <c r="O149" s="11">
        <f>IF(AND(ISNUMBER(O30),ISNUMBER(O31)),IF((O30-O31)&gt;0,"+"&amp;FIXED((O30-O31),0),IF((O30-O31)&lt;0,"−"&amp;FIXED(-(O30-O31),0),"±0")),"")</f>
        <v>0</v>
      </c>
      <c r="P149" s="11">
        <f>IF(AND(ISNUMBER(P30),ISNUMBER(P31)),IF((P30-P31)&gt;0,"+"&amp;FIXED((P30-P31),0),IF((P30-P31)&lt;0,"−"&amp;FIXED(-(P30-P31),0),"±0")),"")</f>
        <v>0</v>
      </c>
      <c r="Q149" s="11">
        <f>IF(AND(ISNUMBER(Q30),ISNUMBER(Q31)),IF((Q30-Q31)&gt;0,"+"&amp;FIXED((Q30-Q31),0),IF((Q30-Q31)&lt;0,"−"&amp;FIXED(-(Q30-Q31),0),"±0")),"")</f>
        <v>0</v>
      </c>
      <c r="R149" s="11">
        <f>IF(AND(ISNUMBER(R30),ISNUMBER(R31)),IF((R30-R31)&gt;0,"+"&amp;FIXED((R30-R31),0),IF((R30-R31)&lt;0,"−"&amp;FIXED(-(R30-R31),0),"±0")),"")</f>
        <v>0</v>
      </c>
      <c r="S149" s="11">
        <f>IF(AND(ISNUMBER(S30),ISNUMBER(S31)),IF((S30-S31)&gt;0,"+"&amp;FIXED((S30-S31),0),IF((S30-S31)&lt;0,"−"&amp;FIXED(-(S30-S31),0),"±0")),"")</f>
        <v>0</v>
      </c>
      <c r="T149" s="11">
        <f>IF(AND(ISNUMBER(T30),ISNUMBER(T31)),IF((T30-T31)&gt;0,"+"&amp;FIXED((T30-T31),0),IF((T30-T31)&lt;0,"−"&amp;FIXED(-(T30-T31),0),"±0")),"")</f>
        <v>0</v>
      </c>
      <c r="U149" s="11">
        <f>IF(AND(ISNUMBER(U30),ISNUMBER(U31)),IF((U30-U31)&gt;0,"+"&amp;FIXED((U30-U31),0),IF((U30-U31)&lt;0,"−"&amp;FIXED(-(U30-U31),0),"±0")),"")</f>
        <v>0</v>
      </c>
      <c r="V149" s="11">
        <f>IF(AND(ISNUMBER(V30),ISNUMBER(V31)),IF((V30-V31)&gt;0,"+"&amp;FIXED((V30-V31),0),IF((V30-V31)&lt;0,"−"&amp;FIXED(-(V30-V31),0),"±0")),"")</f>
        <v>0</v>
      </c>
      <c r="W149" s="11">
        <f>IF(AND(ISNUMBER(W30),ISNUMBER(W31)),IF((W30-W31)&gt;0,"+"&amp;FIXED((W30-W31),0),IF((W30-W31)&lt;0,"−"&amp;FIXED(-(W30-W31),0),"±0")),"")</f>
        <v>0</v>
      </c>
      <c r="X149" s="11">
        <f>IF(AND(ISNUMBER(X30),ISNUMBER(X31)),IF((X30-X31)&gt;0,"+"&amp;FIXED((X30-X31),0),IF((X30-X31)&lt;0,"−"&amp;FIXED(-(X30-X31),0),"±0")),"")</f>
        <v>0</v>
      </c>
      <c r="Y149" s="11">
        <f>IF(AND(ISNUMBER(Y30),ISNUMBER(Y31)),IF((Y30-Y31)&gt;0,"+"&amp;FIXED((Y30-Y31),0),IF((Y30-Y31)&lt;0,"−"&amp;FIXED(-(Y30-Y31),0),"±0")),"")</f>
        <v>0</v>
      </c>
      <c r="Z149" s="11">
        <f>IF(AND(ISNUMBER(Z30),ISNUMBER(Z31)),IF((Z30-Z31)&gt;0,"+"&amp;FIXED((Z30-Z31),0),IF((Z30-Z31)&lt;0,"−"&amp;FIXED(-(Z30-Z31),0),"±0")),"")</f>
        <v>0</v>
      </c>
      <c r="AA149" s="11">
        <f>IF(AND(ISNUMBER(AA30),ISNUMBER(AA31)),IF((AA30-AA31)&gt;0,"+"&amp;FIXED((AA30-AA31),0),IF((AA30-AA31)&lt;0,"−"&amp;FIXED(-(AA30-AA31),0),"±0")),"")</f>
        <v>0</v>
      </c>
      <c r="AB149" s="11">
        <f>IF(AND(ISNUMBER(AB30),ISNUMBER(AB31)),IF((AB30-AB31)&gt;0,"+"&amp;FIXED((AB30-AB31),0),IF((AB30-AB31)&lt;0,"−"&amp;FIXED(-(AB30-AB31),0),"±0")),"")</f>
        <v>0</v>
      </c>
      <c r="AC149" s="11">
        <f>IF(AND(ISNUMBER(AC30),ISNUMBER(AC31)),IF((AC30-AC31)&gt;0,"+"&amp;FIXED((AC30-AC31),0),IF((AC30-AC31)&lt;0,"−"&amp;FIXED(-(AC30-AC31),0),"±0")),"")</f>
        <v>0</v>
      </c>
      <c r="AD149" s="11">
        <f>IF(AND(ISNUMBER(AD30),ISNUMBER(AD31)),IF((AD30-AD31)&gt;0,"+"&amp;FIXED((AD30-AD31),0),IF((AD30-AD31)&lt;0,"−"&amp;FIXED(-(AD30-AD31),0),"±0")),"")</f>
        <v>0</v>
      </c>
    </row>
    <row r="150" spans="1:41">
      <c r="A150" s="11" t="s">
        <v>486</v>
      </c>
      <c r="B150" s="11" t="s">
        <v>831</v>
      </c>
      <c r="C150" s="67" t="s">
        <v>832</v>
      </c>
      <c r="AF150" s="68">
        <f>IFERROR(IF(ISNUMBER(INDEX(Rohdaten_3!$A$3:$AM$3,MATCH(AF$4,Rohdaten_3!$A$1:$AM$1,0))),INDEX(Rohdaten_3!$A$3:$AM$3,MATCH(AF$4,Rohdaten_3!$A$1:$AM$1,0)),NA()),NA())</f>
        <v>0</v>
      </c>
      <c r="AG150" s="68">
        <f>IFERROR(IF(ISNUMBER(INDEX(Rohdaten_3!$A$3:$AM$3,MATCH(AG$4,Rohdaten_3!$A$1:$AM$1,0))),INDEX(Rohdaten_3!$A$3:$AM$3,MATCH(AG$4,Rohdaten_3!$A$1:$AM$1,0)),NA()),NA())</f>
        <v>0</v>
      </c>
      <c r="AH150" s="68">
        <f>IFERROR(IF(ISNUMBER(INDEX(Rohdaten_3!$A$3:$AM$3,MATCH(AH$4,Rohdaten_3!$A$1:$AM$1,0))),INDEX(Rohdaten_3!$A$3:$AM$3,MATCH(AH$4,Rohdaten_3!$A$1:$AM$1,0)),NA()),NA())</f>
        <v>0</v>
      </c>
      <c r="AI150" s="68">
        <f>IFERROR(IF(ISNUMBER(INDEX(Rohdaten_3!$A$3:$AM$3,MATCH(AI$4,Rohdaten_3!$A$1:$AM$1,0))),INDEX(Rohdaten_3!$A$3:$AM$3,MATCH(AI$4,Rohdaten_3!$A$1:$AM$1,0)),NA()),NA())</f>
        <v>0</v>
      </c>
      <c r="AJ150" s="68">
        <f>IFERROR(IF(ISNUMBER(INDEX(Rohdaten_3!$A$3:$AM$3,MATCH(AJ$4,Rohdaten_3!$A$1:$AM$1,0))),INDEX(Rohdaten_3!$A$3:$AM$3,MATCH(AJ$4,Rohdaten_3!$A$1:$AM$1,0)),NA()),NA())</f>
        <v>0</v>
      </c>
      <c r="AK150" s="68">
        <f>IFERROR(IF(ISNUMBER(INDEX(Rohdaten_3!$A$3:$AM$3,MATCH(AK$4,Rohdaten_3!$A$1:$AM$1,0))),INDEX(Rohdaten_3!$A$3:$AM$3,MATCH(AK$4,Rohdaten_3!$A$1:$AM$1,0)),NA()),NA())</f>
        <v>0</v>
      </c>
      <c r="AL150" s="68">
        <f>IFERROR(IF(ISNUMBER(INDEX(Rohdaten_3!$A$3:$AM$3,MATCH(AL$4,Rohdaten_3!$A$1:$AM$1,0))),INDEX(Rohdaten_3!$A$3:$AM$3,MATCH(AL$4,Rohdaten_3!$A$1:$AM$1,0)),NA()),NA())</f>
        <v>0</v>
      </c>
      <c r="AM150" s="68">
        <f>IFERROR(IF(ISNUMBER(INDEX(Rohdaten_3!$A$3:$AM$3,MATCH(AM$4,Rohdaten_3!$A$1:$AM$1,0))),INDEX(Rohdaten_3!$A$3:$AM$3,MATCH(AM$4,Rohdaten_3!$A$1:$AM$1,0)),NA()),NA())</f>
        <v>0</v>
      </c>
      <c r="AN150" s="68">
        <f>IFERROR(IF(ISNUMBER(INDEX(Rohdaten_3!$A$3:$AM$3,MATCH(AN$4,Rohdaten_3!$A$1:$AM$1,0))),INDEX(Rohdaten_3!$A$3:$AM$3,MATCH(AN$4,Rohdaten_3!$A$1:$AM$1,0)),NA()),NA())</f>
        <v>0</v>
      </c>
      <c r="AO150" s="68">
        <f>IFERROR(IF(ISNUMBER(INDEX(Rohdaten_3!$A$3:$AM$3,MATCH(AO$4,Rohdaten_3!$A$1:$AM$1,0))),INDEX(Rohdaten_3!$A$3:$AM$3,MATCH(AO$4,Rohdaten_3!$A$1:$AM$1,0)),NA()),NA())</f>
        <v>0</v>
      </c>
    </row>
    <row r="151" spans="1:41">
      <c r="A151" s="11" t="s">
        <v>833</v>
      </c>
      <c r="B151" s="11" t="s">
        <v>834</v>
      </c>
      <c r="C151" s="67" t="s">
        <v>835</v>
      </c>
      <c r="AF151" s="68">
        <f>IFERROR(IF(ISNUMBER(INDEX(Rohdaten_3!$A$4:$AM$4,MATCH(AF$4,Rohdaten_3!$A$1:$AM$1,0))),INDEX(Rohdaten_3!$A$4:$AM$4,MATCH(AF$4,Rohdaten_3!$A$1:$AM$1,0)),NA()),NA())</f>
        <v>0</v>
      </c>
      <c r="AG151" s="68">
        <f>IFERROR(IF(ISNUMBER(INDEX(Rohdaten_3!$A$4:$AM$4,MATCH(AG$4,Rohdaten_3!$A$1:$AM$1,0))),INDEX(Rohdaten_3!$A$4:$AM$4,MATCH(AG$4,Rohdaten_3!$A$1:$AM$1,0)),NA()),NA())</f>
        <v>0</v>
      </c>
      <c r="AH151" s="68">
        <f>IFERROR(IF(ISNUMBER(INDEX(Rohdaten_3!$A$4:$AM$4,MATCH(AH$4,Rohdaten_3!$A$1:$AM$1,0))),INDEX(Rohdaten_3!$A$4:$AM$4,MATCH(AH$4,Rohdaten_3!$A$1:$AM$1,0)),NA()),NA())</f>
        <v>0</v>
      </c>
      <c r="AI151" s="68">
        <f>IFERROR(IF(ISNUMBER(INDEX(Rohdaten_3!$A$4:$AM$4,MATCH(AI$4,Rohdaten_3!$A$1:$AM$1,0))),INDEX(Rohdaten_3!$A$4:$AM$4,MATCH(AI$4,Rohdaten_3!$A$1:$AM$1,0)),NA()),NA())</f>
        <v>0</v>
      </c>
      <c r="AJ151" s="68">
        <f>IFERROR(IF(ISNUMBER(INDEX(Rohdaten_3!$A$4:$AM$4,MATCH(AJ$4,Rohdaten_3!$A$1:$AM$1,0))),INDEX(Rohdaten_3!$A$4:$AM$4,MATCH(AJ$4,Rohdaten_3!$A$1:$AM$1,0)),NA()),NA())</f>
        <v>0</v>
      </c>
      <c r="AK151" s="68">
        <f>IFERROR(IF(ISNUMBER(INDEX(Rohdaten_3!$A$4:$AM$4,MATCH(AK$4,Rohdaten_3!$A$1:$AM$1,0))),INDEX(Rohdaten_3!$A$4:$AM$4,MATCH(AK$4,Rohdaten_3!$A$1:$AM$1,0)),NA()),NA())</f>
        <v>0</v>
      </c>
      <c r="AL151" s="68">
        <f>IFERROR(IF(ISNUMBER(INDEX(Rohdaten_3!$A$4:$AM$4,MATCH(AL$4,Rohdaten_3!$A$1:$AM$1,0))),INDEX(Rohdaten_3!$A$4:$AM$4,MATCH(AL$4,Rohdaten_3!$A$1:$AM$1,0)),NA()),NA())</f>
        <v>0</v>
      </c>
      <c r="AM151" s="68">
        <f>IFERROR(IF(ISNUMBER(INDEX(Rohdaten_3!$A$4:$AM$4,MATCH(AM$4,Rohdaten_3!$A$1:$AM$1,0))),INDEX(Rohdaten_3!$A$4:$AM$4,MATCH(AM$4,Rohdaten_3!$A$1:$AM$1,0)),NA()),NA())</f>
        <v>0</v>
      </c>
      <c r="AN151" s="68">
        <f>IFERROR(IF(ISNUMBER(INDEX(Rohdaten_3!$A$4:$AM$4,MATCH(AN$4,Rohdaten_3!$A$1:$AM$1,0))),INDEX(Rohdaten_3!$A$4:$AM$4,MATCH(AN$4,Rohdaten_3!$A$1:$AM$1,0)),NA()),NA())</f>
        <v>0</v>
      </c>
      <c r="AO151" s="68">
        <f>IFERROR(IF(ISNUMBER(INDEX(Rohdaten_3!$A$4:$AM$4,MATCH(AO$4,Rohdaten_3!$A$1:$AM$1,0))),INDEX(Rohdaten_3!$A$4:$AM$4,MATCH(AO$4,Rohdaten_3!$A$1:$AM$1,0)),NA()),NA())</f>
        <v>0</v>
      </c>
    </row>
    <row r="152" spans="1:41">
      <c r="A152" s="11" t="s">
        <v>491</v>
      </c>
      <c r="B152" s="11" t="s">
        <v>836</v>
      </c>
      <c r="C152" s="67" t="s">
        <v>837</v>
      </c>
      <c r="AF152" s="68">
        <f>IFERROR(IF(ISNUMBER(INDEX(Rohdaten_3!$A$5:$AM$5,MATCH(AF$4,Rohdaten_3!$A$1:$AM$1,0))),INDEX(Rohdaten_3!$A$5:$AM$5,MATCH(AF$4,Rohdaten_3!$A$1:$AM$1,0)),NA()),NA())</f>
        <v>0</v>
      </c>
      <c r="AG152" s="68">
        <f>IFERROR(IF(ISNUMBER(INDEX(Rohdaten_3!$A$5:$AM$5,MATCH(AG$4,Rohdaten_3!$A$1:$AM$1,0))),INDEX(Rohdaten_3!$A$5:$AM$5,MATCH(AG$4,Rohdaten_3!$A$1:$AM$1,0)),NA()),NA())</f>
        <v>0</v>
      </c>
      <c r="AH152" s="68">
        <f>IFERROR(IF(ISNUMBER(INDEX(Rohdaten_3!$A$5:$AM$5,MATCH(AH$4,Rohdaten_3!$A$1:$AM$1,0))),INDEX(Rohdaten_3!$A$5:$AM$5,MATCH(AH$4,Rohdaten_3!$A$1:$AM$1,0)),NA()),NA())</f>
        <v>0</v>
      </c>
      <c r="AI152" s="68">
        <f>IFERROR(IF(ISNUMBER(INDEX(Rohdaten_3!$A$5:$AM$5,MATCH(AI$4,Rohdaten_3!$A$1:$AM$1,0))),INDEX(Rohdaten_3!$A$5:$AM$5,MATCH(AI$4,Rohdaten_3!$A$1:$AM$1,0)),NA()),NA())</f>
        <v>0</v>
      </c>
      <c r="AJ152" s="68">
        <f>IFERROR(IF(ISNUMBER(INDEX(Rohdaten_3!$A$5:$AM$5,MATCH(AJ$4,Rohdaten_3!$A$1:$AM$1,0))),INDEX(Rohdaten_3!$A$5:$AM$5,MATCH(AJ$4,Rohdaten_3!$A$1:$AM$1,0)),NA()),NA())</f>
        <v>0</v>
      </c>
      <c r="AK152" s="68">
        <f>IFERROR(IF(ISNUMBER(INDEX(Rohdaten_3!$A$5:$AM$5,MATCH(AK$4,Rohdaten_3!$A$1:$AM$1,0))),INDEX(Rohdaten_3!$A$5:$AM$5,MATCH(AK$4,Rohdaten_3!$A$1:$AM$1,0)),NA()),NA())</f>
        <v>0</v>
      </c>
      <c r="AL152" s="68">
        <f>IFERROR(IF(ISNUMBER(INDEX(Rohdaten_3!$A$5:$AM$5,MATCH(AL$4,Rohdaten_3!$A$1:$AM$1,0))),INDEX(Rohdaten_3!$A$5:$AM$5,MATCH(AL$4,Rohdaten_3!$A$1:$AM$1,0)),NA()),NA())</f>
        <v>0</v>
      </c>
      <c r="AM152" s="68">
        <f>IFERROR(IF(ISNUMBER(INDEX(Rohdaten_3!$A$5:$AM$5,MATCH(AM$4,Rohdaten_3!$A$1:$AM$1,0))),INDEX(Rohdaten_3!$A$5:$AM$5,MATCH(AM$4,Rohdaten_3!$A$1:$AM$1,0)),NA()),NA())</f>
        <v>0</v>
      </c>
      <c r="AN152" s="68">
        <f>IFERROR(IF(ISNUMBER(INDEX(Rohdaten_3!$A$5:$AM$5,MATCH(AN$4,Rohdaten_3!$A$1:$AM$1,0))),INDEX(Rohdaten_3!$A$5:$AM$5,MATCH(AN$4,Rohdaten_3!$A$1:$AM$1,0)),NA()),NA())</f>
        <v>0</v>
      </c>
      <c r="AO152" s="68">
        <f>IFERROR(IF(ISNUMBER(INDEX(Rohdaten_3!$A$5:$AM$5,MATCH(AO$4,Rohdaten_3!$A$1:$AM$1,0))),INDEX(Rohdaten_3!$A$5:$AM$5,MATCH(AO$4,Rohdaten_3!$A$1:$AM$1,0)),NA()),NA())</f>
        <v>0</v>
      </c>
    </row>
    <row r="153" spans="1:41">
      <c r="A153" s="11" t="s">
        <v>838</v>
      </c>
      <c r="B153" s="11" t="s">
        <v>839</v>
      </c>
      <c r="C153" s="67" t="s">
        <v>605</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482</v>
      </c>
      <c r="B154" s="11" t="s">
        <v>840</v>
      </c>
      <c r="C154" s="67" t="s">
        <v>841</v>
      </c>
      <c r="AF154" s="68">
        <f>IFERROR(IF(ISNUMBER(INDEX(Rohdaten_2!$A$4:$AQ$4,MATCH(AF$4,Rohdaten_2!$A$1:$AQ$1,0))),INDEX(Rohdaten_2!$A$4:$AQ$4,MATCH(AF$4,Rohdaten_2!$A$1:$AQ$1,0)),NA()),NA())</f>
        <v>0</v>
      </c>
      <c r="AG154" s="68">
        <f>IFERROR(IF(ISNUMBER(INDEX(Rohdaten_2!$A$4:$AQ$4,MATCH(AG$4,Rohdaten_2!$A$1:$AQ$1,0))),INDEX(Rohdaten_2!$A$4:$AQ$4,MATCH(AG$4,Rohdaten_2!$A$1:$AQ$1,0)),NA()),NA())</f>
        <v>0</v>
      </c>
      <c r="AH154" s="68">
        <f>IFERROR(IF(ISNUMBER(INDEX(Rohdaten_2!$A$4:$AQ$4,MATCH(AH$4,Rohdaten_2!$A$1:$AQ$1,0))),INDEX(Rohdaten_2!$A$4:$AQ$4,MATCH(AH$4,Rohdaten_2!$A$1:$AQ$1,0)),NA()),NA())</f>
        <v>0</v>
      </c>
      <c r="AI154" s="68">
        <f>IFERROR(IF(ISNUMBER(INDEX(Rohdaten_2!$A$4:$AQ$4,MATCH(AI$4,Rohdaten_2!$A$1:$AQ$1,0))),INDEX(Rohdaten_2!$A$4:$AQ$4,MATCH(AI$4,Rohdaten_2!$A$1:$AQ$1,0)),NA()),NA())</f>
        <v>0</v>
      </c>
      <c r="AJ154" s="68">
        <f>IFERROR(IF(ISNUMBER(INDEX(Rohdaten_2!$A$4:$AQ$4,MATCH(AJ$4,Rohdaten_2!$A$1:$AQ$1,0))),INDEX(Rohdaten_2!$A$4:$AQ$4,MATCH(AJ$4,Rohdaten_2!$A$1:$AQ$1,0)),NA()),NA())</f>
        <v>0</v>
      </c>
      <c r="AK154" s="68">
        <f>IFERROR(IF(ISNUMBER(INDEX(Rohdaten_2!$A$4:$AQ$4,MATCH(AK$4,Rohdaten_2!$A$1:$AQ$1,0))),INDEX(Rohdaten_2!$A$4:$AQ$4,MATCH(AK$4,Rohdaten_2!$A$1:$AQ$1,0)),NA()),NA())</f>
        <v>0</v>
      </c>
      <c r="AL154" s="68">
        <f>IFERROR(IF(ISNUMBER(INDEX(Rohdaten_2!$A$4:$AQ$4,MATCH(AL$4,Rohdaten_2!$A$1:$AQ$1,0))),INDEX(Rohdaten_2!$A$4:$AQ$4,MATCH(AL$4,Rohdaten_2!$A$1:$AQ$1,0)),NA()),NA())</f>
        <v>0</v>
      </c>
      <c r="AM154" s="68">
        <f>IFERROR(IF(ISNUMBER(INDEX(Rohdaten_2!$A$4:$AQ$4,MATCH(AM$4,Rohdaten_2!$A$1:$AQ$1,0))),INDEX(Rohdaten_2!$A$4:$AQ$4,MATCH(AM$4,Rohdaten_2!$A$1:$AQ$1,0)),NA()),NA())</f>
        <v>0</v>
      </c>
      <c r="AN154" s="68">
        <f>IFERROR(IF(ISNUMBER(INDEX(Rohdaten_2!$A$4:$AQ$4,MATCH(AN$4,Rohdaten_2!$A$1:$AQ$1,0))),INDEX(Rohdaten_2!$A$4:$AQ$4,MATCH(AN$4,Rohdaten_2!$A$1:$AQ$1,0)),NA()),NA())</f>
        <v>0</v>
      </c>
      <c r="AO154" s="68">
        <f>IFERROR(IF(ISNUMBER(INDEX(Rohdaten_2!$A$4:$AQ$4,MATCH(AO$4,Rohdaten_2!$A$1:$AQ$1,0))),INDEX(Rohdaten_2!$A$4:$AQ$4,MATCH(AO$4,Rohdaten_2!$A$1:$AQ$1,0)),NA()),NA())</f>
        <v>0</v>
      </c>
    </row>
    <row r="155" spans="1:41">
      <c r="A155" s="11" t="s">
        <v>484</v>
      </c>
      <c r="B155" s="11" t="s">
        <v>842</v>
      </c>
      <c r="C155" s="67" t="s">
        <v>843</v>
      </c>
      <c r="AF155" s="68">
        <f>IFERROR(IF(ISNUMBER(INDEX(Rohdaten_2!$A$5:$AQ$5,MATCH(AF$4,Rohdaten_2!$A$1:$AQ$1,0))),INDEX(Rohdaten_2!$A$5:$AQ$5,MATCH(AF$4,Rohdaten_2!$A$1:$AQ$1,0)),NA()),NA())</f>
        <v>0</v>
      </c>
      <c r="AG155" s="68">
        <f>IFERROR(IF(ISNUMBER(INDEX(Rohdaten_2!$A$5:$AQ$5,MATCH(AG$4,Rohdaten_2!$A$1:$AQ$1,0))),INDEX(Rohdaten_2!$A$5:$AQ$5,MATCH(AG$4,Rohdaten_2!$A$1:$AQ$1,0)),NA()),NA())</f>
        <v>0</v>
      </c>
      <c r="AH155" s="68">
        <f>IFERROR(IF(ISNUMBER(INDEX(Rohdaten_2!$A$5:$AQ$5,MATCH(AH$4,Rohdaten_2!$A$1:$AQ$1,0))),INDEX(Rohdaten_2!$A$5:$AQ$5,MATCH(AH$4,Rohdaten_2!$A$1:$AQ$1,0)),NA()),NA())</f>
        <v>0</v>
      </c>
      <c r="AI155" s="68">
        <f>IFERROR(IF(ISNUMBER(INDEX(Rohdaten_2!$A$5:$AQ$5,MATCH(AI$4,Rohdaten_2!$A$1:$AQ$1,0))),INDEX(Rohdaten_2!$A$5:$AQ$5,MATCH(AI$4,Rohdaten_2!$A$1:$AQ$1,0)),NA()),NA())</f>
        <v>0</v>
      </c>
      <c r="AJ155" s="68">
        <f>IFERROR(IF(ISNUMBER(INDEX(Rohdaten_2!$A$5:$AQ$5,MATCH(AJ$4,Rohdaten_2!$A$1:$AQ$1,0))),INDEX(Rohdaten_2!$A$5:$AQ$5,MATCH(AJ$4,Rohdaten_2!$A$1:$AQ$1,0)),NA()),NA())</f>
        <v>0</v>
      </c>
      <c r="AK155" s="68">
        <f>IFERROR(IF(ISNUMBER(INDEX(Rohdaten_2!$A$5:$AQ$5,MATCH(AK$4,Rohdaten_2!$A$1:$AQ$1,0))),INDEX(Rohdaten_2!$A$5:$AQ$5,MATCH(AK$4,Rohdaten_2!$A$1:$AQ$1,0)),NA()),NA())</f>
        <v>0</v>
      </c>
      <c r="AL155" s="68">
        <f>IFERROR(IF(ISNUMBER(INDEX(Rohdaten_2!$A$5:$AQ$5,MATCH(AL$4,Rohdaten_2!$A$1:$AQ$1,0))),INDEX(Rohdaten_2!$A$5:$AQ$5,MATCH(AL$4,Rohdaten_2!$A$1:$AQ$1,0)),NA()),NA())</f>
        <v>0</v>
      </c>
      <c r="AM155" s="68">
        <f>IFERROR(IF(ISNUMBER(INDEX(Rohdaten_2!$A$5:$AQ$5,MATCH(AM$4,Rohdaten_2!$A$1:$AQ$1,0))),INDEX(Rohdaten_2!$A$5:$AQ$5,MATCH(AM$4,Rohdaten_2!$A$1:$AQ$1,0)),NA()),NA())</f>
        <v>0</v>
      </c>
      <c r="AN155" s="68">
        <f>IFERROR(IF(ISNUMBER(INDEX(Rohdaten_2!$A$5:$AQ$5,MATCH(AN$4,Rohdaten_2!$A$1:$AQ$1,0))),INDEX(Rohdaten_2!$A$5:$AQ$5,MATCH(AN$4,Rohdaten_2!$A$1:$AQ$1,0)),NA()),NA())</f>
        <v>0</v>
      </c>
      <c r="AO155" s="68">
        <f>IFERROR(IF(ISNUMBER(INDEX(Rohdaten_2!$A$5:$AQ$5,MATCH(AO$4,Rohdaten_2!$A$1:$AQ$1,0))),INDEX(Rohdaten_2!$A$5:$AQ$5,MATCH(AO$4,Rohdaten_2!$A$1:$AQ$1,0)),NA()),NA())</f>
        <v>0</v>
      </c>
    </row>
    <row r="156" spans="1:41">
      <c r="A156" s="11" t="s">
        <v>844</v>
      </c>
      <c r="B156" s="11" t="s">
        <v>845</v>
      </c>
      <c r="C156" s="67" t="s">
        <v>605</v>
      </c>
      <c r="AF156" s="68">
        <f>IF(ISNUMBER(AF154),ROUND(AF154,0),NA())</f>
        <v>0</v>
      </c>
      <c r="AG156" s="68">
        <f>IF(ISNUMBER(AG154),ROUND(AG154,0),NA())</f>
        <v>0</v>
      </c>
      <c r="AH156" s="68">
        <f>IF(ISNUMBER(AH154),ROUND(AH154,0),NA())</f>
        <v>0</v>
      </c>
      <c r="AI156" s="68">
        <f>IF(ISNUMBER(AI154),ROUND(AI154,0),NA())</f>
        <v>0</v>
      </c>
      <c r="AJ156" s="68">
        <f>IF(ISNUMBER(AJ154),ROUND(AJ154,0),NA())</f>
        <v>0</v>
      </c>
      <c r="AK156" s="68">
        <f>IF(ISNUMBER(AK154),ROUND(AK154,0),NA())</f>
        <v>0</v>
      </c>
      <c r="AL156" s="68">
        <f>IF(ISNUMBER(AL154),ROUND(AL154,0),NA())</f>
        <v>0</v>
      </c>
      <c r="AM156" s="68">
        <f>IF(ISNUMBER(AM154),ROUND(AM154,0),NA())</f>
        <v>0</v>
      </c>
      <c r="AN156" s="68">
        <f>IF(ISNUMBER(AN154),ROUND(AN154,0),NA())</f>
        <v>0</v>
      </c>
      <c r="AO156" s="68">
        <f>IF(ISNUMBER(AO154),ROUND(AO154,0),NA())</f>
        <v>0</v>
      </c>
    </row>
    <row r="157" spans="1:41">
      <c r="A157" s="11" t="s">
        <v>846</v>
      </c>
      <c r="B157" s="11" t="s">
        <v>847</v>
      </c>
      <c r="C157" s="67" t="s">
        <v>605</v>
      </c>
      <c r="AF157" s="68">
        <f>IF(ISNUMBER(AF155),ROUND(AF155,0),NA())</f>
        <v>0</v>
      </c>
      <c r="AG157" s="68">
        <f>IF(ISNUMBER(AG155),ROUND(AG155,0),NA())</f>
        <v>0</v>
      </c>
      <c r="AH157" s="68">
        <f>IF(ISNUMBER(AH155),ROUND(AH155,0),NA())</f>
        <v>0</v>
      </c>
      <c r="AI157" s="68">
        <f>IF(ISNUMBER(AI155),ROUND(AI155,0),NA())</f>
        <v>0</v>
      </c>
      <c r="AJ157" s="68">
        <f>IF(ISNUMBER(AJ155),ROUND(AJ155,0),NA())</f>
        <v>0</v>
      </c>
      <c r="AK157" s="68">
        <f>IF(ISNUMBER(AK155),ROUND(AK155,0),NA())</f>
        <v>0</v>
      </c>
      <c r="AL157" s="68">
        <f>IF(ISNUMBER(AL155),ROUND(AL155,0),NA())</f>
        <v>0</v>
      </c>
      <c r="AM157" s="68">
        <f>IF(ISNUMBER(AM155),ROUND(AM155,0),NA())</f>
        <v>0</v>
      </c>
      <c r="AN157" s="68">
        <f>IF(ISNUMBER(AN155),ROUND(AN155,0),NA())</f>
        <v>0</v>
      </c>
      <c r="AO157" s="68">
        <f>IF(ISNUMBER(AO155),ROUND(AO155,0),NA())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924</v>
      </c>
      <c r="J1" s="6"/>
      <c r="L1" s="11">
        <v>2027</v>
      </c>
      <c r="M1" s="6" t="s">
        <v>924</v>
      </c>
    </row>
    <row r="2" spans="1:18">
      <c r="A2" s="6" t="s">
        <v>925</v>
      </c>
      <c r="B2" s="6" t="s">
        <v>926</v>
      </c>
      <c r="C2" s="6" t="s">
        <v>927</v>
      </c>
      <c r="D2" s="6" t="s">
        <v>928</v>
      </c>
      <c r="E2" s="6" t="s">
        <v>929</v>
      </c>
      <c r="F2" s="6" t="s">
        <v>930</v>
      </c>
      <c r="G2" s="6" t="s">
        <v>931</v>
      </c>
      <c r="H2" s="6" t="s">
        <v>932</v>
      </c>
      <c r="I2" s="6" t="s">
        <v>933</v>
      </c>
      <c r="J2" s="6" t="s">
        <v>934</v>
      </c>
      <c r="L2" s="6" t="s">
        <v>928</v>
      </c>
      <c r="M2" s="6" t="s">
        <v>929</v>
      </c>
      <c r="N2" s="6" t="s">
        <v>930</v>
      </c>
      <c r="O2" s="6" t="s">
        <v>931</v>
      </c>
      <c r="P2" s="6" t="s">
        <v>932</v>
      </c>
      <c r="Q2" s="6" t="s">
        <v>933</v>
      </c>
      <c r="R2" s="6" t="s">
        <v>934</v>
      </c>
    </row>
    <row r="3" spans="1:18">
      <c r="A3" s="11" t="s">
        <v>935</v>
      </c>
      <c r="B3" s="11" t="s">
        <v>936</v>
      </c>
      <c r="C3" s="11" t="s">
        <v>937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938</v>
      </c>
      <c r="B4" s="11" t="s">
        <v>939</v>
      </c>
      <c r="C4" s="11" t="s">
        <v>937</v>
      </c>
      <c r="D4" s="70">
        <v>46028</v>
      </c>
      <c r="G4" s="70">
        <v>46028</v>
      </c>
      <c r="J4" s="70">
        <v>46028</v>
      </c>
      <c r="L4" s="70">
        <v>46393</v>
      </c>
      <c r="O4" s="70">
        <v>46393</v>
      </c>
      <c r="R4" s="70">
        <v>46393</v>
      </c>
    </row>
    <row r="5" spans="1:18">
      <c r="A5" s="11" t="s">
        <v>940</v>
      </c>
      <c r="B5" s="11" t="s">
        <v>941</v>
      </c>
      <c r="C5" s="11" t="s">
        <v>937</v>
      </c>
      <c r="D5" s="70">
        <v>46089</v>
      </c>
      <c r="I5" s="70">
        <v>46089</v>
      </c>
      <c r="L5" s="70">
        <v>46454</v>
      </c>
      <c r="Q5" s="70">
        <v>46454</v>
      </c>
    </row>
    <row r="6" spans="1:18">
      <c r="A6" s="11" t="s">
        <v>942</v>
      </c>
      <c r="B6" s="11" t="s">
        <v>943</v>
      </c>
      <c r="C6" s="11" t="s">
        <v>937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944</v>
      </c>
      <c r="B7" s="11" t="s">
        <v>945</v>
      </c>
      <c r="C7" s="11" t="s">
        <v>937</v>
      </c>
      <c r="D7" s="70">
        <v>46242</v>
      </c>
      <c r="L7" s="70">
        <v>46607</v>
      </c>
    </row>
    <row r="8" spans="1:18">
      <c r="A8" s="11" t="s">
        <v>946</v>
      </c>
      <c r="B8" s="11" t="s">
        <v>947</v>
      </c>
      <c r="C8" s="11" t="s">
        <v>937</v>
      </c>
      <c r="D8" s="70">
        <v>46249</v>
      </c>
      <c r="G8" s="70">
        <v>46249</v>
      </c>
      <c r="L8" s="70">
        <v>46614</v>
      </c>
      <c r="O8" s="70">
        <v>46614</v>
      </c>
    </row>
    <row r="9" spans="1:18">
      <c r="A9" s="11" t="s">
        <v>948</v>
      </c>
      <c r="B9" s="11" t="s">
        <v>949</v>
      </c>
      <c r="C9" s="11" t="s">
        <v>937</v>
      </c>
      <c r="D9" s="70">
        <v>46285</v>
      </c>
      <c r="L9" s="70">
        <v>46650</v>
      </c>
    </row>
    <row r="10" spans="1:18">
      <c r="A10" s="11" t="s">
        <v>950</v>
      </c>
      <c r="B10" s="11" t="s">
        <v>951</v>
      </c>
      <c r="C10" s="11" t="s">
        <v>937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952</v>
      </c>
      <c r="B11" s="11" t="s">
        <v>953</v>
      </c>
      <c r="C11" s="11" t="s">
        <v>937</v>
      </c>
      <c r="D11" s="70">
        <v>46326</v>
      </c>
      <c r="H11" s="70">
        <v>46326</v>
      </c>
      <c r="L11" s="70">
        <v>46691</v>
      </c>
      <c r="P11" s="70">
        <v>46691</v>
      </c>
    </row>
    <row r="12" spans="1:18">
      <c r="A12" s="11" t="s">
        <v>954</v>
      </c>
      <c r="B12" s="11" t="s">
        <v>955</v>
      </c>
      <c r="C12" s="11" t="s">
        <v>937</v>
      </c>
      <c r="D12" s="70">
        <v>46327</v>
      </c>
      <c r="E12" s="70">
        <v>46327</v>
      </c>
      <c r="F12" s="70">
        <v>46327</v>
      </c>
      <c r="G12" s="70">
        <v>46327</v>
      </c>
      <c r="J12" s="70">
        <v>46327</v>
      </c>
      <c r="L12" s="70">
        <v>46692</v>
      </c>
      <c r="M12" s="70">
        <v>46692</v>
      </c>
      <c r="N12" s="70">
        <v>46692</v>
      </c>
      <c r="O12" s="70">
        <v>46692</v>
      </c>
      <c r="R12" s="70">
        <v>46692</v>
      </c>
    </row>
    <row r="13" spans="1:18">
      <c r="A13" s="11" t="s">
        <v>956</v>
      </c>
      <c r="B13" s="11" t="s">
        <v>957</v>
      </c>
      <c r="C13" s="11" t="s">
        <v>937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958</v>
      </c>
      <c r="B14" s="11" t="s">
        <v>959</v>
      </c>
      <c r="C14" s="11" t="s">
        <v>937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960</v>
      </c>
      <c r="B15" s="11" t="s">
        <v>961</v>
      </c>
      <c r="C15" s="11" t="s">
        <v>937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962</v>
      </c>
      <c r="B16" s="11" t="s">
        <v>963</v>
      </c>
      <c r="C16" s="11" t="s">
        <v>937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964</v>
      </c>
      <c r="B17" s="11" t="s">
        <v>965</v>
      </c>
      <c r="C17" s="11" t="s">
        <v>966</v>
      </c>
      <c r="D17" s="70">
        <v>46344</v>
      </c>
      <c r="L17" s="70">
        <v>46708</v>
      </c>
    </row>
    <row r="18" spans="1:18">
      <c r="A18" s="11" t="s">
        <v>967</v>
      </c>
      <c r="B18" s="11" t="s">
        <v>968</v>
      </c>
      <c r="C18" s="11" t="s">
        <v>969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970</v>
      </c>
      <c r="B19" s="11" t="s">
        <v>971</v>
      </c>
      <c r="C19" s="11" t="s">
        <v>972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973</v>
      </c>
      <c r="B20" s="11" t="s">
        <v>974</v>
      </c>
      <c r="C20" s="11" t="s">
        <v>975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976</v>
      </c>
      <c r="B21" s="11" t="s">
        <v>977</v>
      </c>
      <c r="C21" s="11" t="s">
        <v>978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979</v>
      </c>
      <c r="B22" s="11" t="s">
        <v>980</v>
      </c>
      <c r="C22" s="11" t="s">
        <v>981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982</v>
      </c>
      <c r="B23" s="11" t="s">
        <v>983</v>
      </c>
      <c r="C23" s="11" t="s">
        <v>984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985</v>
      </c>
      <c r="B24" s="11" t="s">
        <v>986</v>
      </c>
      <c r="C24" s="11" t="s">
        <v>987</v>
      </c>
      <c r="D24" s="70">
        <v>46177</v>
      </c>
      <c r="E24" s="70">
        <v>46177</v>
      </c>
      <c r="F24" s="70">
        <v>46177</v>
      </c>
      <c r="G24" s="70">
        <v>46177</v>
      </c>
      <c r="J24" s="70">
        <v>46177</v>
      </c>
      <c r="L24" s="70">
        <v>46534</v>
      </c>
      <c r="M24" s="70">
        <v>46541</v>
      </c>
      <c r="N24" s="70">
        <v>46541</v>
      </c>
      <c r="O24" s="70">
        <v>46541</v>
      </c>
      <c r="R24" s="70">
        <v>46541</v>
      </c>
    </row>
    <row r="25" spans="1:18">
      <c r="A25" s="11" t="s">
        <v>988</v>
      </c>
      <c r="B25" s="11" t="s">
        <v>989</v>
      </c>
      <c r="C25" s="11" t="s">
        <v>990</v>
      </c>
      <c r="D25" s="70">
        <v>46069</v>
      </c>
      <c r="E25" s="70">
        <v>46069</v>
      </c>
      <c r="F25" s="70">
        <v>46069</v>
      </c>
      <c r="L25" s="70">
        <v>46426</v>
      </c>
      <c r="M25" s="70">
        <v>46433</v>
      </c>
      <c r="N25" s="70">
        <v>46433</v>
      </c>
    </row>
    <row r="26" spans="1:18">
      <c r="A26" s="11" t="s">
        <v>991</v>
      </c>
      <c r="B26" s="11" t="s">
        <v>992</v>
      </c>
      <c r="C26" s="11" t="s">
        <v>993</v>
      </c>
      <c r="D26" s="70">
        <v>46070</v>
      </c>
      <c r="G26" s="70">
        <v>46070</v>
      </c>
      <c r="L26" s="70">
        <v>46427</v>
      </c>
      <c r="O26" s="70">
        <v>46427</v>
      </c>
    </row>
    <row r="27" spans="1:18">
      <c r="A27" s="11" t="s">
        <v>994</v>
      </c>
      <c r="B27" s="11"/>
      <c r="C27" s="11" t="s">
        <v>995</v>
      </c>
      <c r="D27" s="70">
        <v>45785</v>
      </c>
    </row>
    <row r="28" spans="1:18">
      <c r="A28" s="11" t="s">
        <v>935</v>
      </c>
      <c r="B28" s="11" t="s">
        <v>996</v>
      </c>
      <c r="C28" s="11" t="s">
        <v>937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938</v>
      </c>
      <c r="B29" s="11" t="s">
        <v>997</v>
      </c>
      <c r="C29" s="11" t="s">
        <v>937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2026-10-07T17:32:04Z</dcterms:created>
  <dcterms:modified xsi:type="dcterms:W3CDTF">2026-10-07T17:32:04Z</dcterms:modified>
</cp:coreProperties>
</file>