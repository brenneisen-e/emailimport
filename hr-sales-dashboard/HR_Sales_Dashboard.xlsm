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Deckblatt" sheetId="3" r:id="rId3"/>
    <sheet name="PPT_2" sheetId="4" r:id="rId4"/>
    <sheet name="PPT_3" sheetId="5" r:id="rId5"/>
    <sheet name="Rohdaten" sheetId="6" r:id="rId6"/>
    <sheet name="Kommentare" sheetId="7" r:id="rId7"/>
    <sheet name="Zuständigkeiten" sheetId="8" r:id="rId8"/>
    <sheet name="Konfiguration" sheetId="9" r:id="rId9"/>
    <sheet name="BUE_Serviceparameter" sheetId="10" r:id="rId10"/>
    <sheet name="Dashboard_Daten" sheetId="11" r:id="rId11"/>
    <sheet name="Feiertage" sheetId="12" r:id="rId12"/>
    <sheet name="Wertstand" sheetId="13" state="hidden" r:id="rId13"/>
  </sheets>
  <externalReferences>
    <externalReference r:id="rIdExt1"/>
  </externalReferences>
  <definedNames>
    <definedName name="Berichtstag">Konfiguration!$C$6</definedName>
    <definedName name="BUE_O_OK">Dashboard_Daten!$D$306</definedName>
    <definedName name="BUE_O_TEXT">Dashboard_Daten!$E$306</definedName>
    <definedName name="BUE_V_OK">Dashboard_Daten!$D$305</definedName>
    <definedName name="BUE_V_TEXT">Dashboard_Daten!$E$305</definedName>
    <definedName name="FeiertageBT">Feiertage!$T$3:$T$58</definedName>
    <definedName name="Personen">Konfiguration!$B$28:$B$57</definedName>
    <definedName name="RD_Kopf">Rohdaten!$A$1:$LJ$1</definedName>
    <definedName name="RD_Monate">Rohdaten!$A$159:$LJ$159</definedName>
    <definedName name="SLA_PV">Konfiguration!$C$9</definedName>
    <definedName name="Stichtag">IF(N(Konfiguration!$C$5)&gt;0,Konfiguration!$H$7,Konfiguration!$H$6)</definedName>
    <definedName name="ZuordnungOffen">Konfiguration!$C$59</definedName>
  </definedNames>
  <calcPr calcId="124519" fullCalcOnLoad="1"/>
</workbook>
</file>

<file path=xl/sharedStrings.xml><?xml version="1.0" encoding="utf-8"?>
<sst xmlns="http://schemas.openxmlformats.org/spreadsheetml/2006/main" count="4128" uniqueCount="1409">
  <si>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</si>
  <si>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</si>
  <si>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</si>
  <si>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</si>
  <si>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</si>
  <si>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</si>
  <si>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</si>
  <si>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</si>
  <si>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</si>
  <si>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</si>
  <si>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</si>
  <si>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</si>
  <si>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</si>
  <si>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</si>
  <si>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</si>
  <si>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</si>
  <si>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</si>
  <si>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</si>
  <si>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</si>
  <si>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</si>
  <si>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</si>
  <si>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</si>
  <si>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</si>
  <si>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</si>
  <si>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</si>
  <si>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</si>
  <si>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</si>
  <si>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</si>
  <si>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</si>
  <si>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</si>
  <si>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</si>
  <si>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</si>
  <si>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</si>
  <si>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</si>
  <si>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</si>
  <si>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</si>
  <si>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</si>
  <si>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</si>
  <si>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</si>
  <si>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</si>
  <si>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</si>
  <si>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</si>
  <si>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</si>
  <si>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</si>
  <si>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</si>
  <si>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</si>
  <si>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</si>
  <si>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</si>
  <si>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</si>
  <si>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</si>
  <si>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</si>
  <si>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</si>
  <si>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</si>
  <si>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</si>
  <si>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</si>
  <si>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</si>
  <si>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</si>
  <si>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</si>
  <si>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</si>
  <si>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</si>
  <si>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</si>
  <si>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</si>
  <si>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</si>
  <si>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</si>
  <si>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</si>
  <si>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</si>
  <si>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</si>
  <si>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</si>
  <si>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</si>
  <si>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</si>
  <si>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</si>
  <si>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</si>
  <si>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</si>
  <si>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</si>
  <si>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</si>
  <si>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</si>
  <si>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</si>
  <si>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</si>
  <si>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</si>
  <si>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</si>
  <si>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</si>
  <si>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</si>
  <si>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</si>
  <si>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</si>
  <si>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</si>
  <si>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</si>
  <si>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</si>
  <si>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</si>
  <si>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</si>
  <si>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</si>
  <si>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</si>
  <si>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</si>
  <si>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</si>
  <si>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</si>
  <si>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</si>
  <si>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</si>
  <si>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</si>
  <si>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</si>
  <si>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</si>
  <si>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</si>
  <si>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</si>
  <si>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</si>
  <si>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</si>
  <si>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</si>
  <si>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</si>
  <si>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</si>
  <si>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</si>
  <si>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</si>
  <si>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</si>
  <si>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</si>
  <si>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</si>
  <si>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</si>
  <si>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</si>
  <si>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</si>
  <si>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</si>
  <si>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</si>
  <si>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</si>
  <si>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</si>
  <si>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</si>
  <si>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</si>
  <si>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</si>
  <si>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</si>
  <si>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</si>
  <si>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</si>
  <si>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</si>
  <si>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</si>
  <si>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</si>
  <si>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</si>
  <si>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</si>
  <si>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</si>
  <si>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</si>
  <si>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</si>
  <si>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</si>
  <si>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</si>
  <si>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</si>
  <si>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</si>
  <si>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</si>
  <si>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</si>
  <si>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</si>
  <si>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</si>
  <si>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</si>
  <si>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</si>
  <si>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</si>
  <si>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</si>
  <si>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</si>
  <si>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</si>
  <si>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</si>
  <si>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</si>
  <si>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</si>
  <si>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</si>
  <si>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</si>
  <si>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</si>
  <si>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</si>
  <si>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</si>
  <si>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</si>
  <si>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</si>
  <si>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</si>
  <si>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</si>
  <si>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</si>
  <si>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</si>
  <si>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</si>
  <si>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</si>
  <si>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</si>
  <si>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</si>
  <si>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</si>
  <si>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</si>
  <si>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</si>
  <si>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</si>
  <si>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</si>
  <si>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</si>
  <si>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</si>
  <si>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</si>
  <si>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</si>
  <si>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</si>
  <si>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</si>
  <si>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</si>
  <si>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</si>
  <si>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</si>
  <si>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</si>
  <si>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</si>
  <si>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</si>
  <si>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</si>
  <si>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</si>
  <si>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</si>
  <si>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</si>
  <si>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</si>
  <si>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</si>
  <si>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</si>
  <si>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</si>
  <si>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</si>
  <si>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</si>
  <si>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</si>
  <si>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</si>
  <si>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</si>
  <si>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</si>
  <si>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</si>
  <si>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</si>
  <si>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</si>
  <si>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</si>
  <si>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</si>
  <si>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</si>
  <si>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</si>
  <si>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</si>
  <si>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</si>
  <si>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</si>
  <si>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</si>
  <si>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</si>
  <si>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</si>
  <si>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</si>
  <si>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</si>
  <si>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</si>
  <si>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</si>
  <si>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</si>
  <si>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</si>
  <si>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</si>
  <si>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</si>
  <si>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</si>
  <si>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</si>
  <si>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</si>
  <si>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</si>
  <si>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</si>
  <si>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</si>
  <si>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</si>
  <si>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</si>
  <si>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</si>
  <si>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</si>
  <si>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</si>
  <si>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</si>
  <si>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</si>
  <si>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</si>
  <si>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</si>
  <si>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</si>
  <si>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</si>
  <si>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</si>
  <si>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</si>
  <si>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</si>
  <si>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</si>
  <si>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</si>
  <si>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</si>
  <si>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</si>
  <si>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</si>
  <si>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</si>
  <si>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</si>
  <si>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</si>
  <si>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</si>
  <si>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</si>
  <si>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</si>
  <si>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</si>
  <si>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</si>
  <si>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</si>
  <si>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</si>
  <si>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</si>
  <si>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</si>
  <si>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</si>
  <si>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</si>
  <si>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</si>
  <si>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</si>
  <si>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</si>
  <si>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</si>
  <si>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</si>
  <si>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</si>
  <si>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</si>
  <si>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</si>
  <si>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</si>
  <si>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</si>
  <si>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</si>
  <si>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</si>
  <si>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</si>
  <si>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</si>
  <si>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</si>
  <si>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</si>
  <si>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</si>
  <si>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</si>
  <si>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</si>
  <si>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</si>
  <si>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</si>
  <si>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</si>
  <si>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</si>
  <si>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</si>
  <si>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</si>
  <si>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</si>
  <si>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</si>
  <si>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</si>
  <si>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</si>
  <si>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</si>
  <si>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</si>
  <si>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</si>
  <si>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</si>
  <si>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</si>
  <si>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</si>
  <si>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</si>
  <si>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</si>
  <si>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</si>
  <si>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</si>
  <si>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</si>
  <si>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</si>
  <si>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</si>
  <si>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</si>
  <si>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</si>
  <si>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</si>
  <si>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</si>
  <si>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</si>
  <si>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</si>
  <si>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</si>
  <si>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</si>
  <si>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</si>
  <si>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</si>
  <si>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</si>
  <si>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</si>
  <si>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</si>
  <si>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</si>
  <si>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</si>
  <si>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</si>
  <si>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</si>
  <si>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</si>
  <si>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</si>
  <si>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</si>
  <si>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</si>
  <si>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</si>
  <si>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</si>
  <si>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</si>
  <si>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</si>
  <si>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</si>
  <si>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</si>
  <si>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</si>
  <si>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</si>
  <si>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</si>
  <si>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</si>
  <si>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</si>
  <si>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</si>
  <si>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</si>
  <si>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</si>
  <si>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</si>
  <si>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</si>
  <si>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</si>
  <si>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</si>
  <si>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</si>
  <si>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</si>
  <si>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</si>
  <si>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</si>
  <si>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</si>
  <si>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</si>
  <si>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</si>
  <si>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</si>
  <si>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</si>
  <si>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</si>
  <si>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</si>
  <si>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</si>
  <si>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</si>
  <si>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</si>
  <si>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</si>
  <si>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</si>
  <si>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</si>
  <si>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</si>
  <si>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</si>
  <si>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</si>
  <si>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</si>
  <si>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</si>
  <si>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</si>
  <si>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</si>
  <si>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</si>
  <si>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</si>
  <si>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</si>
  <si>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</si>
  <si>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</si>
  <si>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18D_f</t>
  </si>
  <si>
    <t>Neuverpflichtungen fristgerecht erledigt</t>
  </si>
  <si>
    <t>18E_w</t>
  </si>
  <si>
    <t>Erledigungsquote (Zellinhalt)</t>
  </si>
  <si>
    <t>18E_z</t>
  </si>
  <si>
    <t>Erledigungsquote als Zahl</t>
  </si>
  <si>
    <t>18E</t>
  </si>
  <si>
    <t>Erledigungsquote</t>
  </si>
  <si>
    <t>18E_t</t>
  </si>
  <si>
    <t>Erledigungsquote Beschriftung</t>
  </si>
  <si>
    <t>21b</t>
  </si>
  <si>
    <t>MAK Soll</t>
  </si>
  <si>
    <t>21c</t>
  </si>
  <si>
    <t>MAK (V)Ist</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</si>
  <si>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</si>
  <si>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</si>
  <si>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</si>
  <si>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</si>
  <si>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</si>
  <si>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</si>
  <si>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</si>
  <si>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</si>
  <si>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</si>
  <si>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</si>
  <si>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</si>
  <si>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</si>
  <si>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</si>
  <si>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</si>
  <si>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</si>
  <si>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</si>
  <si>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</si>
  <si>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</si>
  <si>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</si>
  <si>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</si>
  <si>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</si>
  <si>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</si>
  <si>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</si>
  <si>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</si>
  <si>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</si>
  <si>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</si>
  <si>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</si>
  <si>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</si>
  <si>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</si>
  <si>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</si>
  <si>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</si>
  <si>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</si>
  <si>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</si>
  <si>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</si>
  <si>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</si>
  <si>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</si>
  <si>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</si>
  <si>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</si>
  <si>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</si>
  <si>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</si>
  <si>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</si>
  <si>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</si>
  <si>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</si>
  <si>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</si>
  <si>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</si>
  <si>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</si>
  <si>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</si>
  <si>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</si>
  <si>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</si>
  <si>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</si>
  <si>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</si>
  <si>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</si>
  <si>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</si>
  <si>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</si>
  <si>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</si>
  <si>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</si>
  <si>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</si>
  <si>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</si>
  <si>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</si>
  <si>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</si>
  <si>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</si>
  <si>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</si>
  <si>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</si>
  <si>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</si>
  <si>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</si>
  <si>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</si>
  <si>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</si>
  <si>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</si>
  <si>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</si>
  <si>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</si>
  <si>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</si>
  <si>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</si>
  <si>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</si>
  <si>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</si>
  <si>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</si>
  <si>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</si>
  <si>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</si>
  <si>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</si>
  <si>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</si>
  <si>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</si>
  <si>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</si>
  <si>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</si>
  <si>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</si>
  <si>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</si>
  <si>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</si>
  <si>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</si>
  <si>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</si>
  <si>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</si>
  <si>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</si>
  <si>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</si>
  <si>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</si>
  <si>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</si>
  <si>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</si>
  <si>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</si>
  <si>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8e_pv</t>
  </si>
  <si>
    <t>Provisionsreklamation Makler: Offene Vorgänge (Linie, normiert auf PV_M)</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</si>
  <si>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</si>
  <si>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</si>
  <si>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</si>
  <si>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</si>
  <si>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</si>
  <si>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</si>
  <si>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</si>
  <si>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</si>
  <si>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</si>
  <si>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</si>
  <si>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t>
  </si>
  <si>
    <t>PPT_2 5 Provisionsreklamation Makler: SLA_pv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</si>
  <si>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</si>
  <si>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</si>
  <si>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</si>
  <si>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</si>
  <si>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</si>
  <si>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</si>
  <si>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</si>
  <si>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</si>
  <si>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</si>
  <si>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</si>
  <si>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</si>
  <si>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</si>
  <si>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</si>
  <si>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</si>
  <si>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</si>
  <si>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</si>
  <si>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</si>
  <si>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</si>
  <si>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</si>
  <si>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</si>
  <si>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</si>
  <si>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</si>
  <si>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</si>
  <si>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</si>
  <si>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</si>
  <si>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</si>
  <si>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</si>
  <si>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</si>
  <si>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</si>
  <si>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</si>
  <si>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</si>
  <si>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</si>
  <si>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</si>
  <si>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</si>
  <si>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</si>
  <si>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</si>
  <si>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</si>
  <si>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</si>
  <si>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</si>
  <si>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</si>
  <si>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</si>
  <si>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</si>
  <si>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</si>
  <si>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</si>
  <si>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</si>
  <si>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</si>
  <si>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</si>
  <si>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</si>
  <si>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</si>
  <si>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</si>
  <si>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</si>
  <si>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</si>
  <si>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</si>
  <si>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</si>
  <si>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</si>
  <si>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</si>
  <si>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</si>
  <si>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</si>
  <si>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</si>
  <si>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</si>
  <si>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</si>
  <si>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</si>
  <si>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</si>
  <si>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</si>
  <si>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</si>
  <si>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</si>
  <si>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</si>
  <si>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</si>
  <si>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</si>
  <si>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</si>
  <si>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</si>
  <si>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</si>
  <si>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</si>
  <si>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</si>
  <si>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</si>
  <si>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</si>
  <si>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</si>
  <si>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</si>
  <si>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</si>
  <si>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</si>
  <si>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</si>
  <si>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</si>
  <si>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</si>
  <si>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</si>
  <si>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</si>
  <si>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</si>
  <si>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</si>
  <si>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</si>
  <si>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</si>
  <si>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</si>
  <si>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</si>
  <si>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</si>
  <si>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</si>
  <si>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</si>
  <si>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</si>
  <si>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</si>
  <si>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</si>
  <si>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</si>
  <si>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</si>
  <si>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</si>
  <si>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</si>
  <si>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</si>
  <si>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</si>
  <si>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</si>
  <si>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</si>
  <si>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</si>
  <si>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</si>
  <si>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</si>
  <si>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</si>
  <si>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</si>
  <si>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</si>
  <si>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</si>
  <si>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</si>
  <si>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</si>
  <si>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</si>
  <si>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</si>
  <si>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</si>
  <si>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</si>
  <si>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</si>
  <si>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</si>
  <si>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</si>
  <si>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</si>
  <si>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</si>
  <si>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</si>
  <si>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</si>
  <si>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</si>
  <si>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</si>
  <si>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</si>
  <si>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</si>
  <si>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</si>
  <si>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</si>
  <si>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</si>
  <si>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</si>
  <si>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</si>
  <si>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</si>
  <si>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</si>
  <si>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</si>
  <si>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</si>
  <si>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</si>
  <si>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</si>
  <si>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</si>
  <si>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</si>
  <si>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</si>
  <si>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</si>
  <si>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</si>
  <si>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</si>
  <si>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</si>
  <si>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</si>
  <si>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</si>
  <si>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</si>
  <si>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</si>
  <si>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</si>
  <si>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</si>
  <si>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</si>
  <si>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</si>
  <si>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</si>
  <si>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</si>
  <si>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</si>
  <si>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</si>
  <si>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</si>
  <si>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</si>
  <si>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</si>
  <si>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</si>
  <si>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</si>
  <si>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</si>
  <si>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</si>
  <si>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</si>
  <si>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</si>
  <si>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</si>
  <si>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</si>
  <si>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</si>
  <si>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</si>
  <si>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</si>
  <si>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</si>
  <si>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</si>
  <si>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</si>
  <si>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</si>
  <si>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</si>
  <si>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</si>
  <si>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</si>
  <si>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</si>
  <si>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</si>
  <si>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</si>
  <si>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</si>
  <si>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</si>
  <si>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</si>
  <si>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</si>
  <si>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</si>
  <si>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</si>
  <si>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</si>
  <si>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Zuständigkeiten · wer liefert welchen Wert?</t>
  </si>
  <si>
    <t>Pflicht = auf PPT_2 oder PPT_3 berichtet; BÜ und MAK automatisch. Zyklus bestimmt, wann ein Wert offen ist: wöchentlich = Spalte des Berichtstags, monatlich = Vormonat (Monatswerte) bzw. ein Wert im laufenden Monat, quartalsweise = Vorquartal. Nicht berichtete Werte zeigen grau „nicht berichtet“, Themen ohne Pflichtwert sind eingeklappt (+).</t>
  </si>
  <si>
    <t>Zeile</t>
  </si>
  <si>
    <t>Code</t>
  </si>
  <si>
    <t>Kennzahl</t>
  </si>
  <si>
    <t>Laut Rohdaten (Spalte E)</t>
  </si>
  <si>
    <t>Personen (aus den Punkten)</t>
  </si>
  <si>
    <t>Pflicht</t>
  </si>
  <si>
    <t>Zyklus</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</si>
  <si>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</si>
  <si>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</si>
  <si>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</si>
  <si>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</si>
  <si>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</si>
  <si>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</si>
  <si>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</si>
  <si>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</si>
  <si>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</si>
  <si>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</si>
  <si>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</si>
  <si>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</si>
  <si>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wöchentlich</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</si>
  <si>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</si>
  <si>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</si>
  <si>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</si>
  <si>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</si>
  <si>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</si>
  <si>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</si>
  <si>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</si>
  <si>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</si>
  <si>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</si>
  <si>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</si>
  <si>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</si>
  <si>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</si>
  <si>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</si>
  <si>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</si>
  <si>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</si>
  <si>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</si>
  <si>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</si>
  <si>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</si>
  <si>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</si>
  <si>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</si>
  <si>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</si>
  <si>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</si>
  <si>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</si>
  <si>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</si>
  <si>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</si>
  <si>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</si>
  <si>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</si>
  <si>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</si>
  <si>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</si>
  <si>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</si>
  <si>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</si>
  <si>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</si>
  <si>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</si>
  <si>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</si>
  <si>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</si>
  <si>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</si>
  <si>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</si>
  <si>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</si>
  <si>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</si>
  <si>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</si>
  <si>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</si>
  <si>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</si>
  <si>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</si>
  <si>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</si>
  <si>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</si>
  <si>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</si>
  <si>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</si>
  <si>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</si>
  <si>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</si>
  <si>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</si>
  <si>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</si>
  <si>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</si>
  <si>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</si>
  <si>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</si>
  <si>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</si>
  <si>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</si>
  <si>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</si>
  <si>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</si>
  <si>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</si>
  <si>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</si>
  <si>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</si>
  <si>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</si>
  <si>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</si>
  <si>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</si>
  <si>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</si>
  <si>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</si>
  <si>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</si>
  <si>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</si>
  <si>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</si>
  <si>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</si>
  <si>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</si>
  <si>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</si>
  <si>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</si>
  <si>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</si>
  <si>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</si>
  <si>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</si>
  <si>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</si>
  <si>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</si>
  <si>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</si>
  <si>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</si>
  <si>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</si>
  <si>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</si>
  <si>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</si>
  <si>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</si>
  <si>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</si>
  <si>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</si>
  <si>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</si>
  <si>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</si>
  <si>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</si>
  <si>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</si>
  <si>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</si>
  <si>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</si>
  <si>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</si>
  <si>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</si>
  <si>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</si>
  <si>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</si>
  <si>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</si>
  <si>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</si>
  <si>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</si>
  <si>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</si>
  <si>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</si>
  <si>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</si>
  <si>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</si>
  <si>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</si>
  <si>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</si>
  <si>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</si>
  <si>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</si>
  <si>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</si>
  <si>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</si>
  <si>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</si>
  <si>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</si>
  <si>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</si>
  <si>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</si>
  <si>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</si>
  <si>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</si>
  <si>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</si>
  <si>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</si>
  <si>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</si>
  <si>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</si>
  <si>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</si>
  <si>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</si>
  <si>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</si>
  <si>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</si>
  <si>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</si>
  <si>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</si>
  <si>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</si>
  <si>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</si>
  <si>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</si>
  <si>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</si>
  <si>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</si>
  <si>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</si>
  <si>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</si>
  <si>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</si>
  <si>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</si>
  <si>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</si>
  <si>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</si>
  <si>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</si>
  <si>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</si>
  <si>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</si>
  <si>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</si>
  <si>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</si>
  <si>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</si>
  <si>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</si>
  <si>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</si>
  <si>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</si>
  <si>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</si>
  <si>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</si>
  <si>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</si>
  <si>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</si>
  <si>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</si>
  <si>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</si>
  <si>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</si>
  <si>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</si>
  <si>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</si>
  <si>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</si>
  <si>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</si>
  <si>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</si>
  <si>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</si>
  <si>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</si>
  <si>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</si>
  <si>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</si>
  <si>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</si>
  <si>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</si>
  <si>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</si>
  <si>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</si>
  <si>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</si>
  <si>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</si>
  <si>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</si>
  <si>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</si>
  <si>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</si>
  <si>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</si>
  <si>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</si>
  <si>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</si>
  <si>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</si>
  <si>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</si>
  <si>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</si>
  <si>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</si>
  <si>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</si>
  <si>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</si>
  <si>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</si>
  <si>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</si>
  <si>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</si>
  <si>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</si>
  <si>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</si>
  <si>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</si>
  <si>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</si>
  <si>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</si>
  <si>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</si>
  <si>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</si>
  <si>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</si>
  <si>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</si>
  <si>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</si>
  <si>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</si>
  <si>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</si>
  <si>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</si>
  <si>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</si>
  <si>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</si>
  <si>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</si>
  <si>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</si>
  <si>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</si>
  <si>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</si>
  <si>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</si>
  <si>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</si>
  <si>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</si>
  <si>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</si>
  <si>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</si>
  <si>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</si>
  <si>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</si>
  <si>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</si>
  <si>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</si>
  <si>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</si>
  <si>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</si>
  <si>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</si>
  <si>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</si>
  <si>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</si>
  <si>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</si>
  <si>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</si>
  <si>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</si>
  <si>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</si>
  <si>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</si>
  <si>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</si>
  <si>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</si>
  <si>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</si>
  <si>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</si>
  <si>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</si>
  <si>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</si>
  <si>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</si>
  <si>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</si>
  <si>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</si>
  <si>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</si>
  <si>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</si>
  <si>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</si>
  <si>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</si>
  <si>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</si>
  <si>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</si>
  <si>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</si>
  <si>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</si>
  <si>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</si>
  <si>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</si>
  <si>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</si>
  <si>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</si>
  <si>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</si>
  <si>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</si>
  <si>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</si>
  <si>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</si>
  <si>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</si>
  <si>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</si>
  <si>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</si>
  <si>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</si>
  <si>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</si>
  <si>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</si>
  <si>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</si>
  <si>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</si>
  <si>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</si>
  <si>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</si>
  <si>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</si>
  <si>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</si>
  <si>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</si>
  <si>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21   MAK</t>
  </si>
  <si>
    <t>Ist · HSA1D</t>
  </si>
  <si>
    <t>monatlich</t>
  </si>
  <si>
    <t>MAK · Ist · HSA1D</t>
  </si>
  <si>
    <t>21a</t>
  </si>
  <si>
    <t>Soll · HSA1D</t>
  </si>
  <si>
    <t>MAK · Soll · HSA1D</t>
  </si>
  <si>
    <t>Vist · HSA1D</t>
  </si>
  <si>
    <t>MAK · Vist · HSA1D</t>
  </si>
  <si>
    <t>18   Neuverpflichtung</t>
  </si>
  <si>
    <t>Gesamt (Stück) · HSA1</t>
  </si>
  <si>
    <t>Neuverpflichtung · Gesamt (Stück) · HSA1</t>
  </si>
  <si>
    <t>Fristgerecht erledigt · HSA1</t>
  </si>
  <si>
    <t>Neuverpflichtung · Fristgerecht erledigt · HSA1</t>
  </si>
  <si>
    <t>Erledigungsquote in % · HSA1</t>
  </si>
  <si>
    <t>Neuverpflichtung · Erledigungsquote in % · HSA1</t>
  </si>
  <si>
    <t>nicht Fristgerecht erledigt · HSA1</t>
  </si>
  <si>
    <t>Neuverpflichtung · nicht Fristgerecht erledigt · HSA1</t>
  </si>
  <si>
    <t>Zurückgezogen/ Rückgabe an RD · HSA1</t>
  </si>
  <si>
    <t>Neuverpflichtung · Zurückgezogen/ Rückgabe an RD · HSA1</t>
  </si>
  <si>
    <t>Konfiguration</t>
  </si>
  <si>
    <t>Weiße Felder mit Rahmen = Eingaben · graue Felder = berechnet</t>
  </si>
  <si>
    <t>BERICHTSTAG</t>
  </si>
  <si>
    <t>Berichtstag automatisch (Wochentag F4 nach dem Freitag der KW; Feiertag am Standort F5 → nächster Werktag)</t>
  </si>
  <si>
    <t>Hilfswerte</t>
  </si>
  <si>
    <t>Wochentag des Berichtstags</t>
  </si>
  <si>
    <t>Montag</t>
  </si>
  <si>
    <t>Feiertage nach Standort (Blatt Feiertage)</t>
  </si>
  <si>
    <t>D</t>
  </si>
  <si>
    <t>Stichtag der Wochenwerte (Freitag der gemeldeten KW)</t>
  </si>
  <si>
    <t>Wochentag gilt ab (davor Meldung am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</si>
  <si>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</si>
  <si>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</si>
  <si>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</si>
  <si>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</si>
  <si>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</si>
  <si>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</si>
  <si>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</si>
  <si>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</si>
  <si>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</si>
  <si>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https://myergo.sharepoint.com/sites/PVDashboard/Shared Documents/BÜ - HS/BUE_Reporting_Master.xlsm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</si>
  <si>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</si>
  <si>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</si>
  <si>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</si>
  <si>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</si>
  <si>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</si>
  <si>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</si>
  <si>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</si>
  <si>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</si>
  <si>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</si>
  <si>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</si>
  <si>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</si>
  <si>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</si>
  <si>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</si>
  <si>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</si>
  <si>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Deckblatt</t>
  </si>
  <si>
    <t>Titelfolie</t>
  </si>
  <si>
    <t>PPT_2</t>
  </si>
  <si>
    <t>HR Sales | Dashboard Serviceparameter</t>
  </si>
  <si>
    <t>DASHBOARDS</t>
  </si>
  <si>
    <t>PPT_3</t>
  </si>
  <si>
    <t>HR Sales | Dashboard ext. Faktoren &amp; HS-Ressourcen</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</si>
  <si>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</si>
  <si>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</si>
  <si>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</si>
  <si>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</si>
  <si>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</si>
  <si>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</si>
  <si>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</si>
  <si>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</si>
  <si>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</si>
  <si>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</si>
  <si>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</si>
  <si>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</si>
  <si>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</si>
  <si>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</si>
  <si>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</si>
  <si>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</si>
  <si>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</si>
  <si>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</si>
  <si>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Köster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</si>
  <si>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</si>
  <si>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</si>
  <si>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</si>
  <si>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</si>
  <si>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</si>
  <si>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</si>
  <si>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</si>
  <si>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</si>
  <si>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</si>
  <si>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</si>
  <si>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</si>
  <si>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</si>
  <si>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</si>
  <si>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</si>
  <si>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https://myergo.sharepoint.com/sites/PVDashboard/Shared Documents/Allgemein/2025_Dashboard HS.xlsm</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</si>
  <si>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</si>
  <si>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</si>
  <si>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</si>
  <si>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</si>
  <si>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</si>
  <si>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</si>
  <si>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</si>
  <si>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</si>
  <si>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</si>
  <si>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</si>
  <si>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</si>
  <si>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</si>
  <si>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</si>
  <si>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</si>
  <si>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</si>
  <si>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</si>
  <si>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</si>
  <si>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</si>
  <si>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</si>
  <si>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</si>
  <si>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</si>
  <si>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</si>
  <si>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</si>
  <si>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</si>
  <si>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</si>
  <si>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</si>
  <si>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</si>
  <si>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</si>
  <si>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</si>
  <si>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</si>
  <si>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</si>
  <si>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</si>
  <si>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</si>
  <si>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</si>
  <si>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</si>
  <si>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</si>
  <si>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</si>
  <si>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</si>
  <si>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</si>
  <si>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</si>
  <si>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</si>
  <si>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</si>
  <si>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</si>
  <si>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</si>
  <si>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</si>
  <si>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</si>
  <si>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</si>
  <si>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</si>
  <si>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</si>
  <si>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</si>
  <si>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</si>
  <si>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</si>
  <si>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</si>
  <si>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</si>
  <si>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</si>
  <si>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</si>
  <si>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</si>
  <si>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</si>
  <si>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</si>
  <si>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</si>
  <si>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</si>
  <si>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</si>
  <si>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</si>
  <si>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</si>
  <si>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</si>
  <si>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</si>
  <si>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</si>
  <si>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</si>
  <si>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</si>
  <si>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</si>
  <si>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</si>
  <si>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</si>
  <si>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Richartz/ Mey</t>
  </si>
  <si>
    <t>Defects operativer Betrieb</t>
  </si>
  <si>
    <t>Revisionsanforderungen
(Sonderuntersuchungs- &amp; Revisionsbereichte)</t>
  </si>
  <si>
    <t>Start 15.10.24</t>
  </si>
  <si>
    <t>es handelt sich um keinen Rückstand im eigentlichen Sinne, sondern um Maßnahmenumsetzungen innerhalb der vorgegebenen Fristen</t>
  </si>
  <si>
    <t>Watchlist</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</si>
  <si>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</si>
  <si>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</si>
  <si>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</si>
  <si>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</si>
  <si>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</si>
  <si>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</si>
  <si>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</si>
  <si>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</si>
  <si>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</si>
  <si>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</si>
  <si>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</si>
  <si>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Zeitz/ Köster</t>
  </si>
  <si>
    <t>Ausgleichsanspruch</t>
  </si>
  <si>
    <t>Kneissler/ Kirsten</t>
  </si>
  <si>
    <t>Monat</t>
  </si>
  <si>
    <t>MONATSWERTE · Mitarbeiter-Kapazitäten  (Spalten = Monate)</t>
  </si>
  <si>
    <t>Rohdaten_2</t>
  </si>
  <si>
    <t>MAK</t>
  </si>
  <si>
    <t>Ist</t>
  </si>
  <si>
    <t>HSA1D</t>
  </si>
  <si>
    <t>Soll</t>
  </si>
  <si>
    <t>Vist</t>
  </si>
  <si>
    <t>MONATSWERTE · Neuverpflichtung  (Spalten = Monate)</t>
  </si>
  <si>
    <t>Rohdaten_3</t>
  </si>
  <si>
    <t>Neuverpflichtung</t>
  </si>
  <si>
    <t>Gesamt (Stück)</t>
  </si>
  <si>
    <t>HSA1</t>
  </si>
  <si>
    <t>Fristgerecht erledigt</t>
  </si>
  <si>
    <t>Erledigungsquote in %</t>
  </si>
  <si>
    <t>nicht Fristgerecht erledigt</t>
  </si>
  <si>
    <t>Zurückgezogen/ Rückgabe an RD</t>
  </si>
  <si>
    <t>Stand der Werte (Datum der Zahl in Rohdaten, gleiche Zelle)</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</si>
  <si>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</si>
  <si>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</si>
  <si>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</si>
  <si>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</si>
  <si>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</si>
  <si>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</si>
  <si>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</si>
  <si>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</si>
  <si>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</si>
  <si>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</si>
  <si>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</si>
  <si>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</si>
  <si>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</si>
  <si>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</si>
  <si>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</si>
  <si>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</si>
  <si>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</si>
  <si>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</si>
  <si>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</si>
  <si>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</si>
  <si>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</si>
  <si>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</si>
  <si>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</si>
  <si>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</si>
  <si>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</si>
  <si>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</si>
  <si>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</si>
  <si>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</si>
  <si>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</si>
  <si>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</si>
  <si>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</si>
  <si>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</si>
  <si>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</si>
  <si>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</si>
  <si>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</si>
  <si>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</si>
  <si>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</si>
  <si>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</si>
  <si>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</si>
  <si>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</si>
  <si>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</si>
  <si>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</si>
  <si>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</si>
  <si>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</si>
  <si>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</si>
  <si>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</si>
  <si>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</si>
  <si>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</si>
  <si>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</si>
  <si>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</si>
  <si>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</si>
  <si>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</si>
  <si>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</si>
  <si>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</si>
  <si>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</si>
  <si>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</si>
  <si>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</si>
  <si>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</si>
  <si>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</si>
  <si>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</si>
  <si>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</si>
  <si>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</si>
  <si>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</si>
  <si>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</si>
  <si>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die Vorwoche der gemeldeten KW.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</si>
  <si>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</si>
  <si>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</si>
  <si>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</si>
  <si>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</si>
  <si>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</si>
  <si>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</si>
  <si>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</si>
  <si>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</si>
  <si>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</si>
  <si>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</si>
  <si>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</si>
  <si>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</si>
  <si>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</si>
  <si>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</si>
  <si>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</si>
  <si>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</si>
  <si>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</si>
  <si>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</si>
  <si>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</si>
  <si>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</si>
  <si>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</si>
  <si>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</si>
  <si>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</si>
  <si>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</si>
  <si>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</si>
  <si>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</si>
  <si>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</si>
  <si>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</si>
  <si>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</si>
  <si>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</si>
  <si>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</si>
  <si>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</si>
  <si>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</si>
  <si>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</si>
  <si>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</si>
  <si>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</si>
  <si>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</si>
  <si>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</si>
  <si>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</si>
  <si>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</si>
  <si>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</si>
  <si>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</si>
  <si>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</si>
  <si>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</si>
  <si>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</si>
  <si>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</si>
  <si>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</si>
  <si>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</si>
  <si>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</si>
  <si>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</si>
  <si>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</si>
  <si>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</si>
  <si>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</si>
  <si>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</si>
  <si>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</si>
  <si>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</si>
  <si>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</si>
  <si>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</si>
  <si>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</si>
  <si>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</si>
  <si>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</si>
  <si>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</si>
  <si>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</si>
  <si>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</si>
  <si>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</si>
  <si>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</si>
  <si>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</si>
  <si>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</si>
  <si>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</si>
  <si>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</si>
  <si>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</si>
  <si>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</si>
  <si>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</si>
  <si>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</si>
  <si>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</si>
  <si>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</si>
  <si>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</si>
  <si>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</si>
  <si>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</si>
  <si>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</si>
  <si>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</si>
  <si>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</si>
  <si>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Für den Berichtstag (Standort Konfiguration F5)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</si>
  <si>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</si>
  <si>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</si>
  <si>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</si>
  <si>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</si>
  <si>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</si>
  <si>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</si>
  <si>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</si>
  <si>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</si>
  <si>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</si>
  <si>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</si>
  <si>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</si>
  <si>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</si>
  <si>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</si>
  <si>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</si>
  <si>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</si>
  <si>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</si>
  <si>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</si>
  <si>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</si>
  <si>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</si>
  <si>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</si>
  <si>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</si>
  <si>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</si>
  <si>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</si>
  <si>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</si>
  <si>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</si>
  <si>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</si>
  <si>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</si>
  <si>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</si>
  <si>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</si>
  <si>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</si>
  <si>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</si>
  <si>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</si>
  <si>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</si>
  <si>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</si>
  <si>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</si>
  <si>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</si>
  <si>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</si>
  <si>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</si>
  <si>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</si>
  <si>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</si>
  <si>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</si>
  <si>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</si>
  <si>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</si>
  <si>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</si>
  <si>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</si>
  <si>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</si>
  <si>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</si>
  <si>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</si>
  <si>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</si>
  <si>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</si>
  <si>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</si>
  <si>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</si>
  <si>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</si>
  <si>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</si>
  <si>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Erledigungsquote|K3_Monate&gt;Erledigungsquote&gt;155|</t>
  </si>
  <si>
    <t>K4_Linie:W;K4_Bewegung:W;K4_BewegungDelta:W</t>
  </si>
  <si>
    <t>Dashboard_Daten!$D$178</t>
  </si>
  <si>
    <t>Offene Vorgänge|K4_Linie&gt;Offene Vorgänge&gt;176|</t>
  </si>
  <si>
    <t>Zunahmen|K4_Bewegung&gt;Wert Zunahmen&gt;193|</t>
  </si>
  <si>
    <t>Abnahmen|K4_Bewegung&gt;Wert Abnahmen&gt;195|</t>
  </si>
  <si>
    <t>Δ Zunahmen − Abnahmen unter der KW|K4_BewegungDelta&gt;Delta auf&gt;199,K4_BewegungDelta&gt;Delta ab&gt;199,K4_BewegungDelta&gt;Delta null&gt;199|Dashboard_Daten!$D$185</t>
  </si>
  <si>
    <t>K5_Linie:W</t>
  </si>
  <si>
    <t>Dashboard_Daten!$D$205</t>
  </si>
  <si>
    <t>Offene Vorgänge|K5_Linie&gt;Offene Vorgänge&gt;208|</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</si>
  <si>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</si>
  <si>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</si>
  <si>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</si>
  <si>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</si>
  <si>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</si>
  <si>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</si>
  <si>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</si>
  <si>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</si>
  <si>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VNRs&gt;231|</t>
  </si>
  <si>
    <t>In Bearbeitung|K2_Treffer&gt;In Bearbeitung&gt;233|</t>
  </si>
  <si>
    <t>Erledigt|K2_Treffer&gt;Erledigt&gt;235|</t>
  </si>
  <si>
    <t>K3_Linie:W</t>
  </si>
  <si>
    <t>Offene Arbeitsanweisungen|K3_Linie&gt;Offene Arbeitsanweisungen&gt;0|</t>
  </si>
  <si>
    <t>K4_Offen:W;K4_Bewegung:W;K4_BewegungDelta:W</t>
  </si>
  <si>
    <t>Dashboard_Daten!$D$250</t>
  </si>
  <si>
    <t>Sev 4|K4_Offen&gt;Sev 4&gt;0|</t>
  </si>
  <si>
    <t>Sev 3|K4_Offen&gt;Sev 3&gt;0|</t>
  </si>
  <si>
    <t>Sev 1+2|K4_Offen&gt;Sev 1+2&gt;0|</t>
  </si>
  <si>
    <t>Summe über dem Stapel|K4_Offen&gt;Summe&gt;249|</t>
  </si>
  <si>
    <t>Zunahmen|K4_Bewegung&gt;Wert Zunahmen&gt;265|</t>
  </si>
  <si>
    <t>Abnahmen|K4_Bewegung&gt;Wert Abnahmen&gt;267|</t>
  </si>
  <si>
    <t>Δ Zunahmen − Abnahmen unter der KW|K4_BewegungDelta&gt;Delta auf&gt;271,K4_BewegungDelta&gt;Delta ab&gt;271,K4_BewegungDelta&gt;Delta null&gt;271|Dashboard_Daten!$D$257</t>
  </si>
  <si>
    <t>K5_Offen:W;K5_Bewegung:W;K5_BewegungDelta:W</t>
  </si>
  <si>
    <t>Dashboard_Daten!$D$281</t>
  </si>
  <si>
    <t>Sev 4|K5_Offen&gt;Sev 4&gt;0|</t>
  </si>
  <si>
    <t>Sev 3|K5_Offen&gt;Sev 3&gt;0|</t>
  </si>
  <si>
    <t>Sev 1+2|K5_Offen&gt;Sev 1+2&gt;0|</t>
  </si>
  <si>
    <t>Summe über dem Stapel|K5_Offen&gt;Summe&gt;280|</t>
  </si>
  <si>
    <t>Zunahmen|K5_Bewegung&gt;Wert Zunahmen&gt;296|</t>
  </si>
  <si>
    <t>Abnahmen|K5_Bewegung&gt;Wert Abnahmen&gt;298|</t>
  </si>
  <si>
    <t>Δ Zunahmen − Abnahmen unter der KW|K5_BewegungDelta&gt;Delta auf&gt;302,K5_BewegungDelta&gt;Delta ab&gt;302,K5_BewegungDelta&gt;Delta null&gt;302|Dashboard_Daten!$D$288</t>
  </si>
  <si>
    <t>K6_MAK:F</t>
  </si>
  <si>
    <t>SOLL MAK|K6_MAK&gt;SOLL MAK&gt;0|</t>
  </si>
  <si>
    <t>(V)IST MAK|K6_MAK&gt;(V)IST MAK&gt;0|</t>
  </si>
</sst>
</file>

<file path=xl/styles.xml><?xml version="1.0" encoding="utf-8"?>
<styleSheet xmlns="http://schemas.openxmlformats.org/spreadsheetml/2006/main">
  <numFmts count="11">
    <numFmt numFmtId="164" formatCode="#,##0"/>
    <numFmt numFmtId="165" formatCode="[$-407]dddd, dd.mm.yyyy"/>
    <numFmt numFmtId="166" formatCode="dd.mm.yyyy"/>
    <numFmt numFmtId="167" formatCode="[Red]+#,##0;[Color10]-#,##0;0"/>
    <numFmt numFmtId="168" formatCode="dd.mm.yy"/>
    <numFmt numFmtId="169" formatCode="mm.yyyy"/>
    <numFmt numFmtId="170" formatCode="#,##0.##"/>
    <numFmt numFmtId="171" formatCode="#,##0.00"/>
    <numFmt numFmtId="172" formatCode="0%"/>
    <numFmt numFmtId="173" formatCode="[Red]+0%;[Color10]-0%;0%"/>
    <numFmt numFmtId="174" formatCode="#,##0.0"/>
  </numFmts>
  <fonts count="26">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sz val="9"/>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8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0" fontId="9" fillId="3" borderId="2" xfId="0" applyFont="1" applyFill="1" applyBorder="1" applyAlignment="1">
      <alignment vertical="center"/>
    </xf>
    <xf numFmtId="0" fontId="15" fillId="0" borderId="0" xfId="0" applyFont="1"/>
    <xf numFmtId="169" fontId="9" fillId="3" borderId="2" xfId="0" applyNumberFormat="1" applyFont="1" applyFill="1" applyBorder="1" applyAlignment="1">
      <alignment horizontal="center" vertical="center"/>
    </xf>
    <xf numFmtId="0" fontId="21" fillId="0" borderId="3" xfId="0" applyFont="1" applyBorder="1" applyAlignment="1">
      <alignment vertical="top"/>
    </xf>
    <xf numFmtId="170" fontId="13" fillId="5" borderId="4" xfId="0" applyNumberFormat="1" applyFont="1" applyFill="1" applyBorder="1"/>
    <xf numFmtId="0" fontId="21" fillId="0" borderId="0" xfId="0" applyFont="1" applyAlignment="1">
      <alignment vertical="top"/>
    </xf>
    <xf numFmtId="171" fontId="13" fillId="2" borderId="1" xfId="0" applyNumberFormat="1" applyFont="1" applyFill="1" applyBorder="1"/>
    <xf numFmtId="170" fontId="13" fillId="5" borderId="1" xfId="0" applyNumberFormat="1" applyFont="1" applyFill="1" applyBorder="1"/>
    <xf numFmtId="170" fontId="18" fillId="2" borderId="1" xfId="0" applyNumberFormat="1" applyFont="1" applyFill="1" applyBorder="1"/>
    <xf numFmtId="172" fontId="18" fillId="2" borderId="1" xfId="0" applyNumberFormat="1" applyFont="1" applyFill="1" applyBorder="1"/>
    <xf numFmtId="173" fontId="17" fillId="6" borderId="0" xfId="0" applyNumberFormat="1" applyFont="1" applyFill="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2"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3" fillId="8" borderId="1" xfId="0" applyFont="1" applyFill="1" applyBorder="1" applyAlignment="1">
      <alignment horizontal="left" vertical="center" indent="1"/>
    </xf>
    <xf numFmtId="0" fontId="13"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6"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4"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Dashboard_Daten!$CH$165:$CQ$165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Dashboard_Daten!$CH$166:$CQ$166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Dashboard_Daten!$AJ$155</c:f>
                  <c:strCache>
                    <c:ptCount val="1"/>
                    <c:pt idx="0">
                      <c:v>0</c:v>
                    </c:pt>
                  </c:strCache>
                </c:strRef>
              </c:tx>
              <c:showVal val="1"/>
            </c:dLbl>
            <c:dLbl>
              <c:idx val="1"/>
              <c:layout/>
              <c:tx>
                <c:strRef>
                  <c:f>Dashboard_Daten!$AK$155</c:f>
                  <c:strCache>
                    <c:ptCount val="1"/>
                    <c:pt idx="0">
                      <c:v>0</c:v>
                    </c:pt>
                  </c:strCache>
                </c:strRef>
              </c:tx>
              <c:showVal val="1"/>
            </c:dLbl>
            <c:dLbl>
              <c:idx val="2"/>
              <c:layout/>
              <c:tx>
                <c:strRef>
                  <c:f>Dashboard_Daten!$AL$155</c:f>
                  <c:strCache>
                    <c:ptCount val="1"/>
                    <c:pt idx="0">
                      <c:v>0</c:v>
                    </c:pt>
                  </c:strCache>
                </c:strRef>
              </c:tx>
              <c:showVal val="1"/>
            </c:dLbl>
            <c:dLbl>
              <c:idx val="3"/>
              <c:layout/>
              <c:tx>
                <c:strRef>
                  <c:f>Dashboard_Daten!$AM$155</c:f>
                  <c:strCache>
                    <c:ptCount val="1"/>
                    <c:pt idx="0">
                      <c:v>0</c:v>
                    </c:pt>
                  </c:strCache>
                </c:strRef>
              </c:tx>
              <c:showVal val="1"/>
            </c:dLbl>
            <c:dLbl>
              <c:idx val="4"/>
              <c:layout/>
              <c:tx>
                <c:strRef>
                  <c:f>Dashboard_Daten!$AN$155</c:f>
                  <c:strCache>
                    <c:ptCount val="1"/>
                    <c:pt idx="0">
                      <c:v>0</c:v>
                    </c:pt>
                  </c:strCache>
                </c:strRef>
              </c:tx>
              <c:showVal val="1"/>
            </c:dLbl>
            <c:dLbl>
              <c:idx val="5"/>
              <c:layout/>
              <c:tx>
                <c:strRef>
                  <c:f>Dashboard_Daten!$AO$155</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Dashboard_Daten!$CQ$176</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Dashboard_Daten!$CH$175:$CQ$175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Dashboard_Daten!$CH$177:$CQ$177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Dashboard_Daten!$CH$191:$CQ$191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Dashboard_Daten!$CH$192:$CQ$192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Dashboard_Daten!$CH$194:$CQ$194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Dashboard_Daten!$CH$198:$CQ$198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Dashboard_Daten!$CQ$208</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Dashboard_Daten!$CH$209:$CQ$209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1.25877"/>
          <c:min val="-0.8361"/>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Dashboard_Daten!$CH$214:$CQ$214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Dashboard_Daten!$CH$218:$CQ$218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Dashboard_Daten!$CH$219:$CQ$219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Dashboard_Daten!$CH$223:$CQ$223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Dashboard_Daten!$CH$224:$CQ$224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Dashboard_Daten!$CH$229:$CQ$229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Dashboard_Daten!$CH$232:$CQ$232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Dashboard_Daten!$CH$234:$CQ$234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Dashboard_Daten!$CH$239:$CQ$239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Dashboard_Daten!$CH$240:$CQ$240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Dashboard_Daten!$CH$245:$CQ$245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Dashboard_Daten!$CH$247:$CQ$247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Dashboard_Daten!$CH$249</c:f>
                  <c:strCache>
                    <c:ptCount val="1"/>
                    <c:pt idx="0">
                      <c:v>0</c:v>
                    </c:pt>
                  </c:strCache>
                </c:strRef>
              </c:tx>
              <c:dLblPos val="t"/>
              <c:showVal val="1"/>
            </c:dLbl>
            <c:dLbl>
              <c:idx val="1"/>
              <c:layout/>
              <c:tx>
                <c:strRef>
                  <c:f>Dashboard_Daten!$CI$249</c:f>
                  <c:strCache>
                    <c:ptCount val="1"/>
                    <c:pt idx="0">
                      <c:v>0</c:v>
                    </c:pt>
                  </c:strCache>
                </c:strRef>
              </c:tx>
              <c:dLblPos val="t"/>
              <c:showVal val="1"/>
            </c:dLbl>
            <c:dLbl>
              <c:idx val="2"/>
              <c:layout/>
              <c:tx>
                <c:strRef>
                  <c:f>Dashboard_Daten!$CJ$249</c:f>
                  <c:strCache>
                    <c:ptCount val="1"/>
                    <c:pt idx="0">
                      <c:v>0</c:v>
                    </c:pt>
                  </c:strCache>
                </c:strRef>
              </c:tx>
              <c:dLblPos val="t"/>
              <c:showVal val="1"/>
            </c:dLbl>
            <c:dLbl>
              <c:idx val="3"/>
              <c:layout/>
              <c:tx>
                <c:strRef>
                  <c:f>Dashboard_Daten!$CK$249</c:f>
                  <c:strCache>
                    <c:ptCount val="1"/>
                    <c:pt idx="0">
                      <c:v>0</c:v>
                    </c:pt>
                  </c:strCache>
                </c:strRef>
              </c:tx>
              <c:dLblPos val="t"/>
              <c:showVal val="1"/>
            </c:dLbl>
            <c:dLbl>
              <c:idx val="4"/>
              <c:layout/>
              <c:tx>
                <c:strRef>
                  <c:f>Dashboard_Daten!$CL$249</c:f>
                  <c:strCache>
                    <c:ptCount val="1"/>
                    <c:pt idx="0">
                      <c:v>0</c:v>
                    </c:pt>
                  </c:strCache>
                </c:strRef>
              </c:tx>
              <c:dLblPos val="t"/>
              <c:showVal val="1"/>
            </c:dLbl>
            <c:dLbl>
              <c:idx val="5"/>
              <c:layout/>
              <c:tx>
                <c:strRef>
                  <c:f>Dashboard_Daten!$CM$249</c:f>
                  <c:strCache>
                    <c:ptCount val="1"/>
                    <c:pt idx="0">
                      <c:v>0</c:v>
                    </c:pt>
                  </c:strCache>
                </c:strRef>
              </c:tx>
              <c:dLblPos val="t"/>
              <c:showVal val="1"/>
            </c:dLbl>
            <c:dLbl>
              <c:idx val="6"/>
              <c:layout/>
              <c:tx>
                <c:strRef>
                  <c:f>Dashboard_Daten!$CN$249</c:f>
                  <c:strCache>
                    <c:ptCount val="1"/>
                    <c:pt idx="0">
                      <c:v>0</c:v>
                    </c:pt>
                  </c:strCache>
                </c:strRef>
              </c:tx>
              <c:dLblPos val="t"/>
              <c:showVal val="1"/>
            </c:dLbl>
            <c:dLbl>
              <c:idx val="7"/>
              <c:layout/>
              <c:tx>
                <c:strRef>
                  <c:f>Dashboard_Daten!$CO$249</c:f>
                  <c:strCache>
                    <c:ptCount val="1"/>
                    <c:pt idx="0">
                      <c:v>0</c:v>
                    </c:pt>
                  </c:strCache>
                </c:strRef>
              </c:tx>
              <c:dLblPos val="t"/>
              <c:showVal val="1"/>
            </c:dLbl>
            <c:dLbl>
              <c:idx val="8"/>
              <c:layout/>
              <c:tx>
                <c:strRef>
                  <c:f>Dashboard_Daten!$CP$249</c:f>
                  <c:strCache>
                    <c:ptCount val="1"/>
                    <c:pt idx="0">
                      <c:v>0</c:v>
                    </c:pt>
                  </c:strCache>
                </c:strRef>
              </c:tx>
              <c:dLblPos val="t"/>
              <c:showVal val="1"/>
            </c:dLbl>
            <c:dLbl>
              <c:idx val="9"/>
              <c:layout/>
              <c:tx>
                <c:strRef>
                  <c:f>Dashboard_Daten!$CQ$249</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Dashboard_Daten!$CH$248:$CQ$248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Dashboard_Daten!$CH$262:$CQ$262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Dashboard_Daten!$CH$263:$CQ$263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Dashboard_Daten!$CH$269:$CQ$269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Dashboard_Daten!$CH$270:$CQ$270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Dashboard_Daten!$CH$278:$CQ$278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Dashboard_Daten!$CH$280</c:f>
                  <c:strCache>
                    <c:ptCount val="1"/>
                    <c:pt idx="0">
                      <c:v>0</c:v>
                    </c:pt>
                  </c:strCache>
                </c:strRef>
              </c:tx>
              <c:dLblPos val="t"/>
              <c:showVal val="1"/>
            </c:dLbl>
            <c:dLbl>
              <c:idx val="1"/>
              <c:layout/>
              <c:tx>
                <c:strRef>
                  <c:f>Dashboard_Daten!$CI$280</c:f>
                  <c:strCache>
                    <c:ptCount val="1"/>
                    <c:pt idx="0">
                      <c:v>0</c:v>
                    </c:pt>
                  </c:strCache>
                </c:strRef>
              </c:tx>
              <c:dLblPos val="t"/>
              <c:showVal val="1"/>
            </c:dLbl>
            <c:dLbl>
              <c:idx val="2"/>
              <c:layout/>
              <c:tx>
                <c:strRef>
                  <c:f>Dashboard_Daten!$CJ$280</c:f>
                  <c:strCache>
                    <c:ptCount val="1"/>
                    <c:pt idx="0">
                      <c:v>0</c:v>
                    </c:pt>
                  </c:strCache>
                </c:strRef>
              </c:tx>
              <c:dLblPos val="t"/>
              <c:showVal val="1"/>
            </c:dLbl>
            <c:dLbl>
              <c:idx val="3"/>
              <c:layout/>
              <c:tx>
                <c:strRef>
                  <c:f>Dashboard_Daten!$CK$280</c:f>
                  <c:strCache>
                    <c:ptCount val="1"/>
                    <c:pt idx="0">
                      <c:v>0</c:v>
                    </c:pt>
                  </c:strCache>
                </c:strRef>
              </c:tx>
              <c:dLblPos val="t"/>
              <c:showVal val="1"/>
            </c:dLbl>
            <c:dLbl>
              <c:idx val="4"/>
              <c:layout/>
              <c:tx>
                <c:strRef>
                  <c:f>Dashboard_Daten!$CL$280</c:f>
                  <c:strCache>
                    <c:ptCount val="1"/>
                    <c:pt idx="0">
                      <c:v>0</c:v>
                    </c:pt>
                  </c:strCache>
                </c:strRef>
              </c:tx>
              <c:dLblPos val="t"/>
              <c:showVal val="1"/>
            </c:dLbl>
            <c:dLbl>
              <c:idx val="5"/>
              <c:layout/>
              <c:tx>
                <c:strRef>
                  <c:f>Dashboard_Daten!$CM$280</c:f>
                  <c:strCache>
                    <c:ptCount val="1"/>
                    <c:pt idx="0">
                      <c:v>0</c:v>
                    </c:pt>
                  </c:strCache>
                </c:strRef>
              </c:tx>
              <c:dLblPos val="t"/>
              <c:showVal val="1"/>
            </c:dLbl>
            <c:dLbl>
              <c:idx val="6"/>
              <c:layout/>
              <c:tx>
                <c:strRef>
                  <c:f>Dashboard_Daten!$CN$280</c:f>
                  <c:strCache>
                    <c:ptCount val="1"/>
                    <c:pt idx="0">
                      <c:v>0</c:v>
                    </c:pt>
                  </c:strCache>
                </c:strRef>
              </c:tx>
              <c:dLblPos val="t"/>
              <c:showVal val="1"/>
            </c:dLbl>
            <c:dLbl>
              <c:idx val="7"/>
              <c:layout/>
              <c:tx>
                <c:strRef>
                  <c:f>Dashboard_Daten!$CO$280</c:f>
                  <c:strCache>
                    <c:ptCount val="1"/>
                    <c:pt idx="0">
                      <c:v>0</c:v>
                    </c:pt>
                  </c:strCache>
                </c:strRef>
              </c:tx>
              <c:dLblPos val="t"/>
              <c:showVal val="1"/>
            </c:dLbl>
            <c:dLbl>
              <c:idx val="8"/>
              <c:layout/>
              <c:tx>
                <c:strRef>
                  <c:f>Dashboard_Daten!$CP$280</c:f>
                  <c:strCache>
                    <c:ptCount val="1"/>
                    <c:pt idx="0">
                      <c:v>0</c:v>
                    </c:pt>
                  </c:strCache>
                </c:strRef>
              </c:tx>
              <c:dLblPos val="t"/>
              <c:showVal val="1"/>
            </c:dLbl>
            <c:dLbl>
              <c:idx val="9"/>
              <c:layout/>
              <c:tx>
                <c:strRef>
                  <c:f>Dashboard_Daten!$CQ$280</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Dashboard_Daten!$CH$279:$CQ$279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Dashboard_Daten!$CH$293:$CQ$293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Dashboard_Daten!$CH$294:$CQ$294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Dashboard_Daten!$CH$295:$CQ$295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Dashboard_Daten!$CH$299:$CQ$299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Dashboard_Daten!$CH$300:$CQ$300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Dashboard_Daten!$CH$301:$CQ$301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Dashboard_Daten!$CS$158:$CV$158</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Dashboard_Daten!$CS$159:$CV$159</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60">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61">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4">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9">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2">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2">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17">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2">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27">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38">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43">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74">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twoCellAnchor editAs="absolute">
    <xdr:from>
      <xdr:col>7</xdr:col>
      <xdr:colOff>342900</xdr:colOff>
      <xdr:row>0</xdr:row>
      <xdr:rowOff>57150</xdr:rowOff>
    </xdr:from>
    <xdr:to>
      <xdr:col>10</xdr:col>
      <xdr:colOff>161925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10</xdr:col>
      <xdr:colOff>276225</xdr:colOff>
      <xdr:row>0</xdr:row>
      <xdr:rowOff>57150</xdr:rowOff>
    </xdr:from>
    <xdr:to>
      <xdr:col>15</xdr:col>
      <xdr:colOff>85725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23</xdr:col>
      <xdr:colOff>28575</xdr:colOff>
      <xdr:row>0</xdr:row>
      <xdr:rowOff>57150</xdr:rowOff>
    </xdr:from>
    <xdr:to>
      <xdr:col>28</xdr:col>
      <xdr:colOff>28575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28</xdr:col>
      <xdr:colOff>142875</xdr:colOff>
      <xdr:row>0</xdr:row>
      <xdr:rowOff>57150</xdr:rowOff>
    </xdr:from>
    <xdr:to>
      <xdr:col>33</xdr:col>
      <xdr:colOff>142875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hyperlink" Target="https://myergo.sharepoint.com/sites/PVDashboard/Shared%20Documents/B&#220;%20-%20HS/BUE_Reporting_Master.xlsm" TargetMode="External"/><Relationship Id="rId2" Type="http://schemas.openxmlformats.org/officeDocument/2006/relationships/hyperlink" Target="https://myergo.sharepoint.com/sites/PVDashboard/Shared%20Documents/Allgemein/2025_Dashboard%20HS.xlsm" TargetMode="Externa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1311</v>
      </c>
    </row>
    <row r="3" spans="2:27" ht="16.5" customHeight="1">
      <c r="B3" s="2">
        <f>Konfiguration!C16</f>
        <v>0</v>
      </c>
    </row>
    <row r="4" spans="2:27" ht="16.5" customHeight="1">
      <c r="U4" s="3" t="s">
        <v>1331</v>
      </c>
    </row>
    <row r="5" spans="2:27" ht="16.5" customHeight="1">
      <c r="B5" s="4" t="s">
        <v>979</v>
      </c>
      <c r="G5" s="4" t="s">
        <v>1318</v>
      </c>
      <c r="Y5" s="3" t="s">
        <v>1332</v>
      </c>
      <c r="Z5" s="5">
        <f>SUM($Y$7:$Y$36)</f>
        <v>0</v>
      </c>
    </row>
    <row r="6" spans="2:27" ht="16.5" customHeight="1">
      <c r="B6" s="6">
        <f>Berichtstag</f>
        <v>0</v>
      </c>
      <c r="C6" s="6"/>
      <c r="D6" s="7">
        <f>"KW "&amp;_xlfn.ISOWEEKNUM(Stichtag)</f>
        <v>0</v>
      </c>
      <c r="G6" s="8" t="s">
        <v>1319</v>
      </c>
      <c r="U6" s="3" t="s">
        <v>1333</v>
      </c>
      <c r="V6" s="3" t="s">
        <v>1323</v>
      </c>
      <c r="W6" s="3" t="s">
        <v>1324</v>
      </c>
      <c r="X6" s="3" t="s">
        <v>684</v>
      </c>
      <c r="Y6" s="3" t="s">
        <v>1334</v>
      </c>
      <c r="Z6" s="3" t="s">
        <v>1335</v>
      </c>
      <c r="AA6" s="3" t="s">
        <v>1336</v>
      </c>
    </row>
    <row r="7" spans="2:27" ht="16.5" customHeight="1">
      <c r="B7" s="8">
        <f>IF(Konfiguration!C5="","automatisch: nächster "&amp;Konfiguration!F4,"von Hand gesetzt (Konfiguration C5)")&amp;" · Werte der KW "&amp;_xlfn.ISOWEEKNUM(Stichtag)&amp;" (Stand "&amp;TEXT(DAY(Stichtag),"00")&amp;"."&amp;TEXT(MONTH(Stichtag),"00")&amp;".)"</f>
        <v>0</v>
      </c>
      <c r="G7" s="8" t="s">
        <v>1320</v>
      </c>
      <c r="U7">
        <f>IF(Konfiguration!$B$28="","",Konfiguration!$B$28)</f>
        <v>0</v>
      </c>
      <c r="V7">
        <f>IF($U7="","",COUNTIFS(Zuständigkeiten!$I$5:$I$400,"●",Zuständigkeiten!$F$5:$F$400,"ja",Zuständigkeiten!$H$5:$H$400,"offen")+IF(COUNTIFS(Zuständigkeiten!$I$5:$I$400,"●",Zuständigkeiten!$B$5:$B$400,"7V?")&gt;0,1-BUE_V_OK,0)+IF(COUNTIFS(Zuständigkeiten!$I$5:$I$400,"●",Zuständigkeiten!$B$5:$B$400,"7O?")&gt;0,1-BUE_O_OK,0))</f>
        <v>0</v>
      </c>
      <c r="W7">
        <f>IF($U7="","",COUNTIFS(Zuständigkeiten!$I$5:$I$400,"●",Zuständigkeiten!$F$5:$F$400,"ja",Zuständigkeiten!$H$5:$H$400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1321</v>
      </c>
      <c r="U8">
        <f>IF(Konfiguration!$B$29="","",Konfiguration!$B$29)</f>
        <v>0</v>
      </c>
      <c r="V8">
        <f>IF($U8="","",COUNTIFS(Zuständigkeiten!$J$5:$J$400,"●",Zuständigkeiten!$F$5:$F$400,"ja",Zuständigkeiten!$H$5:$H$400,"offen")+IF(COUNTIFS(Zuständigkeiten!$J$5:$J$400,"●",Zuständigkeiten!$B$5:$B$400,"7V?")&gt;0,1-BUE_V_OK,0)+IF(COUNTIFS(Zuständigkeiten!$J$5:$J$400,"●",Zuständigkeiten!$B$5:$B$400,"7O?")&gt;0,1-BUE_O_OK,0))</f>
        <v>0</v>
      </c>
      <c r="W8">
        <f>IF($U8="","",COUNTIFS(Zuständigkeiten!$J$5:$J$400,"●",Zuständigkeiten!$F$5:$F$400,"ja",Zuständigkeiten!$H$5:$H$400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1322</v>
      </c>
      <c r="H9" s="10" t="s">
        <v>1323</v>
      </c>
      <c r="I9" s="10" t="s">
        <v>1324</v>
      </c>
      <c r="J9" s="10" t="s">
        <v>1325</v>
      </c>
      <c r="U9">
        <f>IF(Konfiguration!$B$30="","",Konfiguration!$B$30)</f>
        <v>0</v>
      </c>
      <c r="V9">
        <f>IF($U9="","",COUNTIFS(Zuständigkeiten!$K$5:$K$400,"●",Zuständigkeiten!$F$5:$F$400,"ja",Zuständigkeiten!$H$5:$H$400,"offen")+IF(COUNTIFS(Zuständigkeiten!$K$5:$K$400,"●",Zuständigkeiten!$B$5:$B$400,"7V?")&gt;0,1-BUE_V_OK,0)+IF(COUNTIFS(Zuständigkeiten!$K$5:$K$400,"●",Zuständigkeiten!$B$5:$B$400,"7O?")&gt;0,1-BUE_O_OK,0))</f>
        <v>0</v>
      </c>
      <c r="W9">
        <f>IF($U9="","",COUNTIFS(Zuständigkeiten!$K$5:$K$400,"●",Zuständigkeiten!$F$5:$F$400,"ja",Zuständigkeiten!$H$5:$H$400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IF($AA10="P",INDEX($V$7:$V$36,MATCH(1,$Z$7:$Z$36,0)),IF($AA10="G",COUNTIFS(Zuständigkeiten!$F$5:$F$400,"ja",Zuständigkeiten!$H$5:$H$400,"offen")+(1-BUE_V_OK)+(1-BUE_O_OK),""))</f>
        <v>0</v>
      </c>
      <c r="I10" s="12">
        <f>IF($AA10="P",INDEX($W$7:$W$36,MATCH(1,$Z$7:$Z$36,0)),IF($AA10="G",COUNTIFS(Zuständigkeiten!$F$5:$F$400,"ja",Zuständigkeiten!$H$5:$H$400,"erledigt")+BUE_V_OK+BUE_O_OK,""))</f>
        <v>0</v>
      </c>
      <c r="J10" s="12">
        <f>IF($AA10="P",INDEX($X$7:$X$36,MATCH(1,$Z$7:$Z$36,0)),IF($AA10="G",COUNTIF(Zuständigkeiten!$F$5:$F$400,"ja")+2,""))</f>
        <v>0</v>
      </c>
      <c r="U10">
        <f>IF(Konfiguration!$B$31="","",Konfiguration!$B$31)</f>
        <v>0</v>
      </c>
      <c r="V10">
        <f>IF($U10="","",COUNTIFS(Zuständigkeiten!$L$5:$L$400,"●",Zuständigkeiten!$F$5:$F$400,"ja",Zuständigkeiten!$H$5:$H$400,"offen")+IF(COUNTIFS(Zuständigkeiten!$L$5:$L$400,"●",Zuständigkeiten!$B$5:$B$400,"7V?")&gt;0,1-BUE_V_OK,0)+IF(COUNTIFS(Zuständigkeiten!$L$5:$L$400,"●",Zuständigkeiten!$B$5:$B$400,"7O?")&gt;0,1-BUE_O_OK,0))</f>
        <v>0</v>
      </c>
      <c r="W10">
        <f>IF($U10="","",COUNTIFS(Zuständigkeiten!$L$5:$L$400,"●",Zuständigkeiten!$F$5:$F$400,"ja",Zuständigkeiten!$H$5:$H$400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IF($AA11="P",INDEX($V$7:$V$36,MATCH(2,$Z$7:$Z$36,0)),IF($AA11="G",COUNTIFS(Zuständigkeiten!$F$5:$F$400,"ja",Zuständigkeiten!$H$5:$H$400,"offen")+(1-BUE_V_OK)+(1-BUE_O_OK),""))</f>
        <v>0</v>
      </c>
      <c r="I11" s="12">
        <f>IF($AA11="P",INDEX($W$7:$W$36,MATCH(2,$Z$7:$Z$36,0)),IF($AA11="G",COUNTIFS(Zuständigkeiten!$F$5:$F$400,"ja",Zuständigkeiten!$H$5:$H$400,"erledigt")+BUE_V_OK+BUE_O_OK,""))</f>
        <v>0</v>
      </c>
      <c r="J11" s="12">
        <f>IF($AA11="P",INDEX($X$7:$X$36,MATCH(2,$Z$7:$Z$36,0)),IF($AA11="G",COUNTIF(Zuständigkeiten!$F$5:$F$400,"ja")+2,""))</f>
        <v>0</v>
      </c>
      <c r="U11">
        <f>IF(Konfiguration!$B$32="","",Konfiguration!$B$32)</f>
        <v>0</v>
      </c>
      <c r="V11">
        <f>IF($U11="","",COUNTIFS(Zuständigkeiten!$M$5:$M$400,"●",Zuständigkeiten!$F$5:$F$400,"ja",Zuständigkeiten!$H$5:$H$400,"offen")+IF(COUNTIFS(Zuständigkeiten!$M$5:$M$400,"●",Zuständigkeiten!$B$5:$B$400,"7V?")&gt;0,1-BUE_V_OK,0)+IF(COUNTIFS(Zuständigkeiten!$M$5:$M$400,"●",Zuständigkeiten!$B$5:$B$400,"7O?")&gt;0,1-BUE_O_OK,0))</f>
        <v>0</v>
      </c>
      <c r="W11">
        <f>IF($U11="","",COUNTIFS(Zuständigkeiten!$M$5:$M$400,"●",Zuständigkeiten!$F$5:$F$400,"ja",Zuständigkeiten!$H$5:$H$400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IF($AA12="P",INDEX($V$7:$V$36,MATCH(3,$Z$7:$Z$36,0)),IF($AA12="G",COUNTIFS(Zuständigkeiten!$F$5:$F$400,"ja",Zuständigkeiten!$H$5:$H$400,"offen")+(1-BUE_V_OK)+(1-BUE_O_OK),""))</f>
        <v>0</v>
      </c>
      <c r="I12" s="12">
        <f>IF($AA12="P",INDEX($W$7:$W$36,MATCH(3,$Z$7:$Z$36,0)),IF($AA12="G",COUNTIFS(Zuständigkeiten!$F$5:$F$400,"ja",Zuständigkeiten!$H$5:$H$400,"erledigt")+BUE_V_OK+BUE_O_OK,""))</f>
        <v>0</v>
      </c>
      <c r="J12" s="12">
        <f>IF($AA12="P",INDEX($X$7:$X$36,MATCH(3,$Z$7:$Z$36,0)),IF($AA12="G",COUNTIF(Zuständigkeiten!$F$5:$F$400,"ja")+2,""))</f>
        <v>0</v>
      </c>
      <c r="U12">
        <f>IF(Konfiguration!$B$33="","",Konfiguration!$B$33)</f>
        <v>0</v>
      </c>
      <c r="V12">
        <f>IF($U12="","",COUNTIFS(Zuständigkeiten!$N$5:$N$400,"●",Zuständigkeiten!$F$5:$F$400,"ja",Zuständigkeiten!$H$5:$H$400,"offen")+IF(COUNTIFS(Zuständigkeiten!$N$5:$N$400,"●",Zuständigkeiten!$B$5:$B$400,"7V?")&gt;0,1-BUE_V_OK,0)+IF(COUNTIFS(Zuständigkeiten!$N$5:$N$400,"●",Zuständigkeiten!$B$5:$B$400,"7O?")&gt;0,1-BUE_O_OK,0))</f>
        <v>0</v>
      </c>
      <c r="W12">
        <f>IF($U12="","",COUNTIFS(Zuständigkeiten!$N$5:$N$400,"●",Zuständigkeiten!$F$5:$F$400,"ja",Zuständigkeiten!$H$5:$H$400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IF($AA13="P",INDEX($V$7:$V$36,MATCH(4,$Z$7:$Z$36,0)),IF($AA13="G",COUNTIFS(Zuständigkeiten!$F$5:$F$400,"ja",Zuständigkeiten!$H$5:$H$400,"offen")+(1-BUE_V_OK)+(1-BUE_O_OK),""))</f>
        <v>0</v>
      </c>
      <c r="I13" s="12">
        <f>IF($AA13="P",INDEX($W$7:$W$36,MATCH(4,$Z$7:$Z$36,0)),IF($AA13="G",COUNTIFS(Zuständigkeiten!$F$5:$F$400,"ja",Zuständigkeiten!$H$5:$H$400,"erledigt")+BUE_V_OK+BUE_O_OK,""))</f>
        <v>0</v>
      </c>
      <c r="J13" s="12">
        <f>IF($AA13="P",INDEX($X$7:$X$36,MATCH(4,$Z$7:$Z$36,0)),IF($AA13="G",COUNTIF(Zuständigkeiten!$F$5:$F$400,"ja")+2,""))</f>
        <v>0</v>
      </c>
      <c r="U13">
        <f>IF(Konfiguration!$B$34="","",Konfiguration!$B$34)</f>
        <v>0</v>
      </c>
      <c r="V13">
        <f>IF($U13="","",COUNTIFS(Zuständigkeiten!$O$5:$O$400,"●",Zuständigkeiten!$F$5:$F$400,"ja",Zuständigkeiten!$H$5:$H$400,"offen")+IF(COUNTIFS(Zuständigkeiten!$O$5:$O$400,"●",Zuständigkeiten!$B$5:$B$400,"7V?")&gt;0,1-BUE_V_OK,0)+IF(COUNTIFS(Zuständigkeiten!$O$5:$O$400,"●",Zuständigkeiten!$B$5:$B$400,"7O?")&gt;0,1-BUE_O_OK,0))</f>
        <v>0</v>
      </c>
      <c r="W13">
        <f>IF($U13="","",COUNTIFS(Zuständigkeiten!$O$5:$O$400,"●",Zuständigkeiten!$F$5:$F$400,"ja",Zuständigkeiten!$H$5:$H$400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1312</v>
      </c>
      <c r="G14" s="11">
        <f>IF($AA14="P",INDEX($U$7:$U$36,MATCH(5,$Z$7:$Z$36,0)),IF($AA14="G","Gesamt (Werte)",""))</f>
        <v>0</v>
      </c>
      <c r="H14" s="12">
        <f>IF($AA14="P",INDEX($V$7:$V$36,MATCH(5,$Z$7:$Z$36,0)),IF($AA14="G",COUNTIFS(Zuständigkeiten!$F$5:$F$400,"ja",Zuständigkeiten!$H$5:$H$400,"offen")+(1-BUE_V_OK)+(1-BUE_O_OK),""))</f>
        <v>0</v>
      </c>
      <c r="I14" s="12">
        <f>IF($AA14="P",INDEX($W$7:$W$36,MATCH(5,$Z$7:$Z$36,0)),IF($AA14="G",COUNTIFS(Zuständigkeiten!$F$5:$F$400,"ja",Zuständigkeiten!$H$5:$H$400,"erledigt")+BUE_V_OK+BUE_O_OK,""))</f>
        <v>0</v>
      </c>
      <c r="J14" s="12">
        <f>IF($AA14="P",INDEX($X$7:$X$36,MATCH(5,$Z$7:$Z$36,0)),IF($AA14="G",COUNTIF(Zuständigkeiten!$F$5:$F$400,"ja")+2,""))</f>
        <v>0</v>
      </c>
      <c r="U14">
        <f>IF(Konfiguration!$B$35="","",Konfiguration!$B$35)</f>
        <v>0</v>
      </c>
      <c r="V14">
        <f>IF($U14="","",COUNTIFS(Zuständigkeiten!$P$5:$P$400,"●",Zuständigkeiten!$F$5:$F$400,"ja",Zuständigkeiten!$H$5:$H$400,"offen")+IF(COUNTIFS(Zuständigkeiten!$P$5:$P$400,"●",Zuständigkeiten!$B$5:$B$400,"7V?")&gt;0,1-BUE_V_OK,0)+IF(COUNTIFS(Zuständigkeiten!$P$5:$P$400,"●",Zuständigkeiten!$B$5:$B$400,"7O?")&gt;0,1-BUE_O_OK,0))</f>
        <v>0</v>
      </c>
      <c r="W14">
        <f>IF($U14="","",COUNTIFS(Zuständigkeiten!$P$5:$P$400,"●",Zuständigkeiten!$F$5:$F$400,"ja",Zuständigkeiten!$H$5:$H$400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IF($AA15="P",INDEX($V$7:$V$36,MATCH(6,$Z$7:$Z$36,0)),IF($AA15="G",COUNTIFS(Zuständigkeiten!$F$5:$F$400,"ja",Zuständigkeiten!$H$5:$H$400,"offen")+(1-BUE_V_OK)+(1-BUE_O_OK),""))</f>
        <v>0</v>
      </c>
      <c r="I15" s="12">
        <f>IF($AA15="P",INDEX($W$7:$W$36,MATCH(6,$Z$7:$Z$36,0)),IF($AA15="G",COUNTIFS(Zuständigkeiten!$F$5:$F$400,"ja",Zuständigkeiten!$H$5:$H$400,"erledigt")+BUE_V_OK+BUE_O_OK,""))</f>
        <v>0</v>
      </c>
      <c r="J15" s="12">
        <f>IF($AA15="P",INDEX($X$7:$X$36,MATCH(6,$Z$7:$Z$36,0)),IF($AA15="G",COUNTIF(Zuständigkeiten!$F$5:$F$400,"ja")+2,""))</f>
        <v>0</v>
      </c>
      <c r="U15">
        <f>IF(Konfiguration!$B$36="","",Konfiguration!$B$36)</f>
        <v>0</v>
      </c>
      <c r="V15">
        <f>IF($U15="","",COUNTIFS(Zuständigkeiten!$Q$5:$Q$400,"●",Zuständigkeiten!$F$5:$F$400,"ja",Zuständigkeiten!$H$5:$H$400,"offen")+IF(COUNTIFS(Zuständigkeiten!$Q$5:$Q$400,"●",Zuständigkeiten!$B$5:$B$400,"7V?")&gt;0,1-BUE_V_OK,0)+IF(COUNTIFS(Zuständigkeiten!$Q$5:$Q$400,"●",Zuständigkeiten!$B$5:$B$400,"7O?")&gt;0,1-BUE_O_OK,0))</f>
        <v>0</v>
      </c>
      <c r="W15">
        <f>IF($U15="","",COUNTIFS(Zuständigkeiten!$Q$5:$Q$400,"●",Zuständigkeiten!$F$5:$F$400,"ja",Zuständigkeiten!$H$5:$H$400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IF($AA16="P",INDEX($V$7:$V$36,MATCH(7,$Z$7:$Z$36,0)),IF($AA16="G",COUNTIFS(Zuständigkeiten!$F$5:$F$400,"ja",Zuständigkeiten!$H$5:$H$400,"offen")+(1-BUE_V_OK)+(1-BUE_O_OK),""))</f>
        <v>0</v>
      </c>
      <c r="I16" s="12">
        <f>IF($AA16="P",INDEX($W$7:$W$36,MATCH(7,$Z$7:$Z$36,0)),IF($AA16="G",COUNTIFS(Zuständigkeiten!$F$5:$F$400,"ja",Zuständigkeiten!$H$5:$H$400,"erledigt")+BUE_V_OK+BUE_O_OK,""))</f>
        <v>0</v>
      </c>
      <c r="J16" s="12">
        <f>IF($AA16="P",INDEX($X$7:$X$36,MATCH(7,$Z$7:$Z$36,0)),IF($AA16="G",COUNTIF(Zuständigkeiten!$F$5:$F$400,"ja")+2,""))</f>
        <v>0</v>
      </c>
      <c r="U16">
        <f>IF(Konfiguration!$B$37="","",Konfiguration!$B$37)</f>
        <v>0</v>
      </c>
      <c r="V16">
        <f>IF($U16="","",COUNTIFS(Zuständigkeiten!$R$5:$R$400,"●",Zuständigkeiten!$F$5:$F$400,"ja",Zuständigkeiten!$H$5:$H$400,"offen")+IF(COUNTIFS(Zuständigkeiten!$R$5:$R$400,"●",Zuständigkeiten!$B$5:$B$400,"7V?")&gt;0,1-BUE_V_OK,0)+IF(COUNTIFS(Zuständigkeiten!$R$5:$R$400,"●",Zuständigkeiten!$B$5:$B$400,"7O?")&gt;0,1-BUE_O_OK,0))</f>
        <v>0</v>
      </c>
      <c r="W16">
        <f>IF($U16="","",COUNTIFS(Zuständigkeiten!$R$5:$R$400,"●",Zuständigkeiten!$F$5:$F$400,"ja",Zuständigkeiten!$H$5:$H$400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IF($AA17="P",INDEX($V$7:$V$36,MATCH(8,$Z$7:$Z$36,0)),IF($AA17="G",COUNTIFS(Zuständigkeiten!$F$5:$F$400,"ja",Zuständigkeiten!$H$5:$H$400,"offen")+(1-BUE_V_OK)+(1-BUE_O_OK),""))</f>
        <v>0</v>
      </c>
      <c r="I17" s="12">
        <f>IF($AA17="P",INDEX($W$7:$W$36,MATCH(8,$Z$7:$Z$36,0)),IF($AA17="G",COUNTIFS(Zuständigkeiten!$F$5:$F$400,"ja",Zuständigkeiten!$H$5:$H$400,"erledigt")+BUE_V_OK+BUE_O_OK,""))</f>
        <v>0</v>
      </c>
      <c r="J17" s="12">
        <f>IF($AA17="P",INDEX($X$7:$X$36,MATCH(8,$Z$7:$Z$36,0)),IF($AA17="G",COUNTIF(Zuständigkeiten!$F$5:$F$400,"ja")+2,""))</f>
        <v>0</v>
      </c>
      <c r="U17">
        <f>IF(Konfiguration!$B$38="","",Konfiguration!$B$38)</f>
        <v>0</v>
      </c>
      <c r="V17">
        <f>IF($U17="","",COUNTIFS(Zuständigkeiten!$S$5:$S$400,"●",Zuständigkeiten!$F$5:$F$400,"ja",Zuständigkeiten!$H$5:$H$400,"offen")+IF(COUNTIFS(Zuständigkeiten!$S$5:$S$400,"●",Zuständigkeiten!$B$5:$B$400,"7V?")&gt;0,1-BUE_V_OK,0)+IF(COUNTIFS(Zuständigkeiten!$S$5:$S$400,"●",Zuständigkeiten!$B$5:$B$400,"7O?")&gt;0,1-BUE_O_OK,0))</f>
        <v>0</v>
      </c>
      <c r="W17">
        <f>IF($U17="","",COUNTIFS(Zuständigkeiten!$S$5:$S$400,"●",Zuständigkeiten!$F$5:$F$400,"ja",Zuständigkeiten!$H$5:$H$400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IF($AA18="P",INDEX($V$7:$V$36,MATCH(9,$Z$7:$Z$36,0)),IF($AA18="G",COUNTIFS(Zuständigkeiten!$F$5:$F$400,"ja",Zuständigkeiten!$H$5:$H$400,"offen")+(1-BUE_V_OK)+(1-BUE_O_OK),""))</f>
        <v>0</v>
      </c>
      <c r="I18" s="12">
        <f>IF($AA18="P",INDEX($W$7:$W$36,MATCH(9,$Z$7:$Z$36,0)),IF($AA18="G",COUNTIFS(Zuständigkeiten!$F$5:$F$400,"ja",Zuständigkeiten!$H$5:$H$400,"erledigt")+BUE_V_OK+BUE_O_OK,""))</f>
        <v>0</v>
      </c>
      <c r="J18" s="12">
        <f>IF($AA18="P",INDEX($X$7:$X$36,MATCH(9,$Z$7:$Z$36,0)),IF($AA18="G",COUNTIF(Zuständigkeiten!$F$5:$F$400,"ja")+2,""))</f>
        <v>0</v>
      </c>
      <c r="U18">
        <f>IF(Konfiguration!$B$39="","",Konfiguration!$B$39)</f>
        <v>0</v>
      </c>
      <c r="V18">
        <f>IF($U18="","",COUNTIFS(Zuständigkeiten!$T$5:$T$400,"●",Zuständigkeiten!$F$5:$F$400,"ja",Zuständigkeiten!$H$5:$H$400,"offen")+IF(COUNTIFS(Zuständigkeiten!$T$5:$T$400,"●",Zuständigkeiten!$B$5:$B$400,"7V?")&gt;0,1-BUE_V_OK,0)+IF(COUNTIFS(Zuständigkeiten!$T$5:$T$400,"●",Zuständigkeiten!$B$5:$B$400,"7O?")&gt;0,1-BUE_O_OK,0))</f>
        <v>0</v>
      </c>
      <c r="W18">
        <f>IF($U18="","",COUNTIFS(Zuständigkeiten!$T$5:$T$400,"●",Zuständigkeiten!$F$5:$F$400,"ja",Zuständigkeiten!$H$5:$H$400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IF($AA19="P",INDEX($V$7:$V$36,MATCH(10,$Z$7:$Z$36,0)),IF($AA19="G",COUNTIFS(Zuständigkeiten!$F$5:$F$400,"ja",Zuständigkeiten!$H$5:$H$400,"offen")+(1-BUE_V_OK)+(1-BUE_O_OK),""))</f>
        <v>0</v>
      </c>
      <c r="I19" s="12">
        <f>IF($AA19="P",INDEX($W$7:$W$36,MATCH(10,$Z$7:$Z$36,0)),IF($AA19="G",COUNTIFS(Zuständigkeiten!$F$5:$F$400,"ja",Zuständigkeiten!$H$5:$H$400,"erledigt")+BUE_V_OK+BUE_O_OK,""))</f>
        <v>0</v>
      </c>
      <c r="J19" s="12">
        <f>IF($AA19="P",INDEX($X$7:$X$36,MATCH(10,$Z$7:$Z$36,0)),IF($AA19="G",COUNTIF(Zuständigkeiten!$F$5:$F$400,"ja")+2,""))</f>
        <v>0</v>
      </c>
      <c r="U19">
        <f>IF(Konfiguration!$B$40="","",Konfiguration!$B$40)</f>
        <v>0</v>
      </c>
      <c r="V19">
        <f>IF($U19="","",COUNTIFS(Zuständigkeiten!$U$5:$U$400,"●",Zuständigkeiten!$F$5:$F$400,"ja",Zuständigkeiten!$H$5:$H$400,"offen")+IF(COUNTIFS(Zuständigkeiten!$U$5:$U$400,"●",Zuständigkeiten!$B$5:$B$400,"7V?")&gt;0,1-BUE_V_OK,0)+IF(COUNTIFS(Zuständigkeiten!$U$5:$U$400,"●",Zuständigkeiten!$B$5:$B$400,"7O?")&gt;0,1-BUE_O_OK,0))</f>
        <v>0</v>
      </c>
      <c r="W19">
        <f>IF($U19="","",COUNTIFS(Zuständigkeiten!$U$5:$U$400,"●",Zuständigkeiten!$F$5:$F$400,"ja",Zuständigkeiten!$H$5:$H$400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IF($AA20="P",INDEX($V$7:$V$36,MATCH(11,$Z$7:$Z$36,0)),IF($AA20="G",COUNTIFS(Zuständigkeiten!$F$5:$F$400,"ja",Zuständigkeiten!$H$5:$H$400,"offen")+(1-BUE_V_OK)+(1-BUE_O_OK),""))</f>
        <v>0</v>
      </c>
      <c r="I20" s="12">
        <f>IF($AA20="P",INDEX($W$7:$W$36,MATCH(11,$Z$7:$Z$36,0)),IF($AA20="G",COUNTIFS(Zuständigkeiten!$F$5:$F$400,"ja",Zuständigkeiten!$H$5:$H$400,"erledigt")+BUE_V_OK+BUE_O_OK,""))</f>
        <v>0</v>
      </c>
      <c r="J20" s="12">
        <f>IF($AA20="P",INDEX($X$7:$X$36,MATCH(11,$Z$7:$Z$36,0)),IF($AA20="G",COUNTIF(Zuständigkeiten!$F$5:$F$400,"ja")+2,""))</f>
        <v>0</v>
      </c>
      <c r="U20">
        <f>IF(Konfiguration!$B$41="","",Konfiguration!$B$41)</f>
        <v>0</v>
      </c>
      <c r="V20">
        <f>IF($U20="","",COUNTIFS(Zuständigkeiten!$V$5:$V$400,"●",Zuständigkeiten!$F$5:$F$400,"ja",Zuständigkeiten!$H$5:$H$400,"offen")+IF(COUNTIFS(Zuständigkeiten!$V$5:$V$400,"●",Zuständigkeiten!$B$5:$B$400,"7V?")&gt;0,1-BUE_V_OK,0)+IF(COUNTIFS(Zuständigkeiten!$V$5:$V$400,"●",Zuständigkeiten!$B$5:$B$400,"7O?")&gt;0,1-BUE_O_OK,0))</f>
        <v>0</v>
      </c>
      <c r="W20">
        <f>IF($U20="","",COUNTIFS(Zuständigkeiten!$V$5:$V$400,"●",Zuständigkeiten!$F$5:$F$400,"ja",Zuständigkeiten!$H$5:$H$400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IF($AA21="P",INDEX($V$7:$V$36,MATCH(12,$Z$7:$Z$36,0)),IF($AA21="G",COUNTIFS(Zuständigkeiten!$F$5:$F$400,"ja",Zuständigkeiten!$H$5:$H$400,"offen")+(1-BUE_V_OK)+(1-BUE_O_OK),""))</f>
        <v>0</v>
      </c>
      <c r="I21" s="12">
        <f>IF($AA21="P",INDEX($W$7:$W$36,MATCH(12,$Z$7:$Z$36,0)),IF($AA21="G",COUNTIFS(Zuständigkeiten!$F$5:$F$400,"ja",Zuständigkeiten!$H$5:$H$400,"erledigt")+BUE_V_OK+BUE_O_OK,""))</f>
        <v>0</v>
      </c>
      <c r="J21" s="12">
        <f>IF($AA21="P",INDEX($X$7:$X$36,MATCH(12,$Z$7:$Z$36,0)),IF($AA21="G",COUNTIF(Zuständigkeiten!$F$5:$F$400,"ja")+2,""))</f>
        <v>0</v>
      </c>
      <c r="U21">
        <f>IF(Konfiguration!$B$42="","",Konfiguration!$B$42)</f>
        <v>0</v>
      </c>
      <c r="V21">
        <f>IF($U21="","",COUNTIFS(Zuständigkeiten!$W$5:$W$400,"●",Zuständigkeiten!$F$5:$F$400,"ja",Zuständigkeiten!$H$5:$H$400,"offen")+IF(COUNTIFS(Zuständigkeiten!$W$5:$W$400,"●",Zuständigkeiten!$B$5:$B$400,"7V?")&gt;0,1-BUE_V_OK,0)+IF(COUNTIFS(Zuständigkeiten!$W$5:$W$400,"●",Zuständigkeiten!$B$5:$B$400,"7O?")&gt;0,1-BUE_O_OK,0))</f>
        <v>0</v>
      </c>
      <c r="W21">
        <f>IF($U21="","",COUNTIFS(Zuständigkeiten!$W$5:$W$400,"●",Zuständigkeiten!$F$5:$F$400,"ja",Zuständigkeiten!$H$5:$H$400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IF($AA22="P",INDEX($V$7:$V$36,MATCH(13,$Z$7:$Z$36,0)),IF($AA22="G",COUNTIFS(Zuständigkeiten!$F$5:$F$400,"ja",Zuständigkeiten!$H$5:$H$400,"offen")+(1-BUE_V_OK)+(1-BUE_O_OK),""))</f>
        <v>0</v>
      </c>
      <c r="I22" s="12">
        <f>IF($AA22="P",INDEX($W$7:$W$36,MATCH(13,$Z$7:$Z$36,0)),IF($AA22="G",COUNTIFS(Zuständigkeiten!$F$5:$F$400,"ja",Zuständigkeiten!$H$5:$H$400,"erledigt")+BUE_V_OK+BUE_O_OK,""))</f>
        <v>0</v>
      </c>
      <c r="J22" s="12">
        <f>IF($AA22="P",INDEX($X$7:$X$36,MATCH(13,$Z$7:$Z$36,0)),IF($AA22="G",COUNTIF(Zuständigkeiten!$F$5:$F$400,"ja")+2,""))</f>
        <v>0</v>
      </c>
      <c r="U22">
        <f>IF(Konfiguration!$B$43="","",Konfiguration!$B$43)</f>
        <v>0</v>
      </c>
      <c r="V22">
        <f>IF($U22="","",COUNTIFS(Zuständigkeiten!$X$5:$X$400,"●",Zuständigkeiten!$F$5:$F$400,"ja",Zuständigkeiten!$H$5:$H$400,"offen")+IF(COUNTIFS(Zuständigkeiten!$X$5:$X$400,"●",Zuständigkeiten!$B$5:$B$400,"7V?")&gt;0,1-BUE_V_OK,0)+IF(COUNTIFS(Zuständigkeiten!$X$5:$X$400,"●",Zuständigkeiten!$B$5:$B$400,"7O?")&gt;0,1-BUE_O_OK,0))</f>
        <v>0</v>
      </c>
      <c r="W22">
        <f>IF($U22="","",COUNTIFS(Zuständigkeiten!$X$5:$X$400,"●",Zuständigkeiten!$F$5:$F$400,"ja",Zuständigkeiten!$H$5:$H$400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IF($AA23="P",INDEX($V$7:$V$36,MATCH(14,$Z$7:$Z$36,0)),IF($AA23="G",COUNTIFS(Zuständigkeiten!$F$5:$F$400,"ja",Zuständigkeiten!$H$5:$H$400,"offen")+(1-BUE_V_OK)+(1-BUE_O_OK),""))</f>
        <v>0</v>
      </c>
      <c r="I23" s="12">
        <f>IF($AA23="P",INDEX($W$7:$W$36,MATCH(14,$Z$7:$Z$36,0)),IF($AA23="G",COUNTIFS(Zuständigkeiten!$F$5:$F$400,"ja",Zuständigkeiten!$H$5:$H$400,"erledigt")+BUE_V_OK+BUE_O_OK,""))</f>
        <v>0</v>
      </c>
      <c r="J23" s="12">
        <f>IF($AA23="P",INDEX($X$7:$X$36,MATCH(14,$Z$7:$Z$36,0)),IF($AA23="G",COUNTIF(Zuständigkeiten!$F$5:$F$400,"ja")+2,""))</f>
        <v>0</v>
      </c>
      <c r="U23">
        <f>IF(Konfiguration!$B$44="","",Konfiguration!$B$44)</f>
        <v>0</v>
      </c>
      <c r="V23">
        <f>IF($U23="","",COUNTIFS(Zuständigkeiten!$Y$5:$Y$400,"●",Zuständigkeiten!$F$5:$F$400,"ja",Zuständigkeiten!$H$5:$H$400,"offen")+IF(COUNTIFS(Zuständigkeiten!$Y$5:$Y$400,"●",Zuständigkeiten!$B$5:$B$400,"7V?")&gt;0,1-BUE_V_OK,0)+IF(COUNTIFS(Zuständigkeiten!$Y$5:$Y$400,"●",Zuständigkeiten!$B$5:$B$400,"7O?")&gt;0,1-BUE_O_OK,0))</f>
        <v>0</v>
      </c>
      <c r="W23">
        <f>IF($U23="","",COUNTIFS(Zuständigkeiten!$Y$5:$Y$400,"●",Zuständigkeiten!$F$5:$F$400,"ja",Zuständigkeiten!$H$5:$H$400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IF($AA24="P",INDEX($V$7:$V$36,MATCH(15,$Z$7:$Z$36,0)),IF($AA24="G",COUNTIFS(Zuständigkeiten!$F$5:$F$400,"ja",Zuständigkeiten!$H$5:$H$400,"offen")+(1-BUE_V_OK)+(1-BUE_O_OK),""))</f>
        <v>0</v>
      </c>
      <c r="I24" s="12">
        <f>IF($AA24="P",INDEX($W$7:$W$36,MATCH(15,$Z$7:$Z$36,0)),IF($AA24="G",COUNTIFS(Zuständigkeiten!$F$5:$F$400,"ja",Zuständigkeiten!$H$5:$H$400,"erledigt")+BUE_V_OK+BUE_O_OK,""))</f>
        <v>0</v>
      </c>
      <c r="J24" s="12">
        <f>IF($AA24="P",INDEX($X$7:$X$36,MATCH(15,$Z$7:$Z$36,0)),IF($AA24="G",COUNTIF(Zuständigkeiten!$F$5:$F$400,"ja")+2,""))</f>
        <v>0</v>
      </c>
      <c r="U24">
        <f>IF(Konfiguration!$B$45="","",Konfiguration!$B$45)</f>
        <v>0</v>
      </c>
      <c r="V24">
        <f>IF($U24="","",COUNTIFS(Zuständigkeiten!$Z$5:$Z$400,"●",Zuständigkeiten!$F$5:$F$400,"ja",Zuständigkeiten!$H$5:$H$400,"offen")+IF(COUNTIFS(Zuständigkeiten!$Z$5:$Z$400,"●",Zuständigkeiten!$B$5:$B$400,"7V?")&gt;0,1-BUE_V_OK,0)+IF(COUNTIFS(Zuständigkeiten!$Z$5:$Z$400,"●",Zuständigkeiten!$B$5:$B$400,"7O?")&gt;0,1-BUE_O_OK,0))</f>
        <v>0</v>
      </c>
      <c r="W24">
        <f>IF($U24="","",COUNTIFS(Zuständigkeiten!$Z$5:$Z$400,"●",Zuständigkeiten!$F$5:$F$400,"ja",Zuständigkeiten!$H$5:$H$400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IF($AA25="P",INDEX($V$7:$V$36,MATCH(16,$Z$7:$Z$36,0)),IF($AA25="G",COUNTIFS(Zuständigkeiten!$F$5:$F$400,"ja",Zuständigkeiten!$H$5:$H$400,"offen")+(1-BUE_V_OK)+(1-BUE_O_OK),""))</f>
        <v>0</v>
      </c>
      <c r="I25" s="12">
        <f>IF($AA25="P",INDEX($W$7:$W$36,MATCH(16,$Z$7:$Z$36,0)),IF($AA25="G",COUNTIFS(Zuständigkeiten!$F$5:$F$400,"ja",Zuständigkeiten!$H$5:$H$400,"erledigt")+BUE_V_OK+BUE_O_OK,""))</f>
        <v>0</v>
      </c>
      <c r="J25" s="12">
        <f>IF($AA25="P",INDEX($X$7:$X$36,MATCH(16,$Z$7:$Z$36,0)),IF($AA25="G",COUNTIF(Zuständigkeiten!$F$5:$F$400,"ja")+2,""))</f>
        <v>0</v>
      </c>
      <c r="U25">
        <f>IF(Konfiguration!$B$46="","",Konfiguration!$B$46)</f>
        <v>0</v>
      </c>
      <c r="V25">
        <f>IF($U25="","",COUNTIFS(Zuständigkeiten!$AA$5:$AA$400,"●",Zuständigkeiten!$F$5:$F$400,"ja",Zuständigkeiten!$H$5:$H$400,"offen")+IF(COUNTIFS(Zuständigkeiten!$AA$5:$AA$400,"●",Zuständigkeiten!$B$5:$B$400,"7V?")&gt;0,1-BUE_V_OK,0)+IF(COUNTIFS(Zuständigkeiten!$AA$5:$AA$400,"●",Zuständigkeiten!$B$5:$B$400,"7O?")&gt;0,1-BUE_O_OK,0))</f>
        <v>0</v>
      </c>
      <c r="W25">
        <f>IF($U25="","",COUNTIFS(Zuständigkeiten!$AA$5:$AA$400,"●",Zuständigkeiten!$F$5:$F$400,"ja",Zuständigkeiten!$H$5:$H$400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IF($AA26="P",INDEX($V$7:$V$36,MATCH(17,$Z$7:$Z$36,0)),IF($AA26="G",COUNTIFS(Zuständigkeiten!$F$5:$F$400,"ja",Zuständigkeiten!$H$5:$H$400,"offen")+(1-BUE_V_OK)+(1-BUE_O_OK),""))</f>
        <v>0</v>
      </c>
      <c r="I26" s="12">
        <f>IF($AA26="P",INDEX($W$7:$W$36,MATCH(17,$Z$7:$Z$36,0)),IF($AA26="G",COUNTIFS(Zuständigkeiten!$F$5:$F$400,"ja",Zuständigkeiten!$H$5:$H$400,"erledigt")+BUE_V_OK+BUE_O_OK,""))</f>
        <v>0</v>
      </c>
      <c r="J26" s="12">
        <f>IF($AA26="P",INDEX($X$7:$X$36,MATCH(17,$Z$7:$Z$36,0)),IF($AA26="G",COUNTIF(Zuständigkeiten!$F$5:$F$400,"ja")+2,""))</f>
        <v>0</v>
      </c>
      <c r="U26">
        <f>IF(Konfiguration!$B$47="","",Konfiguration!$B$47)</f>
        <v>0</v>
      </c>
      <c r="V26">
        <f>IF($U26="","",COUNTIFS(Zuständigkeiten!$AB$5:$AB$400,"●",Zuständigkeiten!$F$5:$F$400,"ja",Zuständigkeiten!$H$5:$H$400,"offen")+IF(COUNTIFS(Zuständigkeiten!$AB$5:$AB$400,"●",Zuständigkeiten!$B$5:$B$400,"7V?")&gt;0,1-BUE_V_OK,0)+IF(COUNTIFS(Zuständigkeiten!$AB$5:$AB$400,"●",Zuständigkeiten!$B$5:$B$400,"7O?")&gt;0,1-BUE_O_OK,0))</f>
        <v>0</v>
      </c>
      <c r="W26">
        <f>IF($U26="","",COUNTIFS(Zuständigkeiten!$AB$5:$AB$400,"●",Zuständigkeiten!$F$5:$F$400,"ja",Zuständigkeiten!$H$5:$H$400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IF($AA27="P",INDEX($V$7:$V$36,MATCH(18,$Z$7:$Z$36,0)),IF($AA27="G",COUNTIFS(Zuständigkeiten!$F$5:$F$400,"ja",Zuständigkeiten!$H$5:$H$400,"offen")+(1-BUE_V_OK)+(1-BUE_O_OK),""))</f>
        <v>0</v>
      </c>
      <c r="I27" s="12">
        <f>IF($AA27="P",INDEX($W$7:$W$36,MATCH(18,$Z$7:$Z$36,0)),IF($AA27="G",COUNTIFS(Zuständigkeiten!$F$5:$F$400,"ja",Zuständigkeiten!$H$5:$H$400,"erledigt")+BUE_V_OK+BUE_O_OK,""))</f>
        <v>0</v>
      </c>
      <c r="J27" s="12">
        <f>IF($AA27="P",INDEX($X$7:$X$36,MATCH(18,$Z$7:$Z$36,0)),IF($AA27="G",COUNTIF(Zuständigkeiten!$F$5:$F$400,"ja")+2,""))</f>
        <v>0</v>
      </c>
      <c r="U27">
        <f>IF(Konfiguration!$B$48="","",Konfiguration!$B$48)</f>
        <v>0</v>
      </c>
      <c r="V27">
        <f>IF($U27="","",COUNTIFS(Zuständigkeiten!$AC$5:$AC$400,"●",Zuständigkeiten!$F$5:$F$400,"ja",Zuständigkeiten!$H$5:$H$400,"offen")+IF(COUNTIFS(Zuständigkeiten!$AC$5:$AC$400,"●",Zuständigkeiten!$B$5:$B$400,"7V?")&gt;0,1-BUE_V_OK,0)+IF(COUNTIFS(Zuständigkeiten!$AC$5:$AC$400,"●",Zuständigkeiten!$B$5:$B$400,"7O?")&gt;0,1-BUE_O_OK,0))</f>
        <v>0</v>
      </c>
      <c r="W27">
        <f>IF($U27="","",COUNTIFS(Zuständigkeiten!$AC$5:$AC$400,"●",Zuständigkeiten!$F$5:$F$400,"ja",Zuständigkeiten!$H$5:$H$400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1313</v>
      </c>
      <c r="G28" s="11">
        <f>IF($AA28="P",INDEX($U$7:$U$36,MATCH(19,$Z$7:$Z$36,0)),IF($AA28="G","Gesamt (Werte)",""))</f>
        <v>0</v>
      </c>
      <c r="H28" s="12">
        <f>IF($AA28="P",INDEX($V$7:$V$36,MATCH(19,$Z$7:$Z$36,0)),IF($AA28="G",COUNTIFS(Zuständigkeiten!$F$5:$F$400,"ja",Zuständigkeiten!$H$5:$H$400,"offen")+(1-BUE_V_OK)+(1-BUE_O_OK),""))</f>
        <v>0</v>
      </c>
      <c r="I28" s="12">
        <f>IF($AA28="P",INDEX($W$7:$W$36,MATCH(19,$Z$7:$Z$36,0)),IF($AA28="G",COUNTIFS(Zuständigkeiten!$F$5:$F$400,"ja",Zuständigkeiten!$H$5:$H$400,"erledigt")+BUE_V_OK+BUE_O_OK,""))</f>
        <v>0</v>
      </c>
      <c r="J28" s="12">
        <f>IF($AA28="P",INDEX($X$7:$X$36,MATCH(19,$Z$7:$Z$36,0)),IF($AA28="G",COUNTIF(Zuständigkeiten!$F$5:$F$400,"ja")+2,""))</f>
        <v>0</v>
      </c>
      <c r="U28">
        <f>IF(Konfiguration!$B$49="","",Konfiguration!$B$49)</f>
        <v>0</v>
      </c>
      <c r="V28">
        <f>IF($U28="","",COUNTIFS(Zuständigkeiten!$AD$5:$AD$400,"●",Zuständigkeiten!$F$5:$F$400,"ja",Zuständigkeiten!$H$5:$H$400,"offen")+IF(COUNTIFS(Zuständigkeiten!$AD$5:$AD$400,"●",Zuständigkeiten!$B$5:$B$400,"7V?")&gt;0,1-BUE_V_OK,0)+IF(COUNTIFS(Zuständigkeiten!$AD$5:$AD$400,"●",Zuständigkeiten!$B$5:$B$400,"7O?")&gt;0,1-BUE_O_OK,0))</f>
        <v>0</v>
      </c>
      <c r="W28">
        <f>IF($U28="","",COUNTIFS(Zuständigkeiten!$AD$5:$AD$400,"●",Zuständigkeiten!$F$5:$F$400,"ja",Zuständigkeiten!$H$5:$H$400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1314</v>
      </c>
      <c r="G29" s="11">
        <f>IF($AA29="P",INDEX($U$7:$U$36,MATCH(20,$Z$7:$Z$36,0)),IF($AA29="G","Gesamt (Werte)",""))</f>
        <v>0</v>
      </c>
      <c r="H29" s="12">
        <f>IF($AA29="P",INDEX($V$7:$V$36,MATCH(20,$Z$7:$Z$36,0)),IF($AA29="G",COUNTIFS(Zuständigkeiten!$F$5:$F$400,"ja",Zuständigkeiten!$H$5:$H$400,"offen")+(1-BUE_V_OK)+(1-BUE_O_OK),""))</f>
        <v>0</v>
      </c>
      <c r="I29" s="12">
        <f>IF($AA29="P",INDEX($W$7:$W$36,MATCH(20,$Z$7:$Z$36,0)),IF($AA29="G",COUNTIFS(Zuständigkeiten!$F$5:$F$400,"ja",Zuständigkeiten!$H$5:$H$400,"erledigt")+BUE_V_OK+BUE_O_OK,""))</f>
        <v>0</v>
      </c>
      <c r="J29" s="12">
        <f>IF($AA29="P",INDEX($X$7:$X$36,MATCH(20,$Z$7:$Z$36,0)),IF($AA29="G",COUNTIF(Zuständigkeiten!$F$5:$F$400,"ja")+2,""))</f>
        <v>0</v>
      </c>
      <c r="U29">
        <f>IF(Konfiguration!$B$50="","",Konfiguration!$B$50)</f>
        <v>0</v>
      </c>
      <c r="V29">
        <f>IF($U29="","",COUNTIFS(Zuständigkeiten!$AE$5:$AE$400,"●",Zuständigkeiten!$F$5:$F$400,"ja",Zuständigkeiten!$H$5:$H$400,"offen")+IF(COUNTIFS(Zuständigkeiten!$AE$5:$AE$400,"●",Zuständigkeiten!$B$5:$B$400,"7V?")&gt;0,1-BUE_V_OK,0)+IF(COUNTIFS(Zuständigkeiten!$AE$5:$AE$400,"●",Zuständigkeiten!$B$5:$B$400,"7O?")&gt;0,1-BUE_O_OK,0))</f>
        <v>0</v>
      </c>
      <c r="W29">
        <f>IF($U29="","",COUNTIFS(Zuständigkeiten!$AE$5:$AE$400,"●",Zuständigkeiten!$F$5:$F$400,"ja",Zuständigkeiten!$H$5:$H$400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1315</v>
      </c>
      <c r="G30" s="11">
        <f>IF($AA30="P",INDEX($U$7:$U$36,MATCH(21,$Z$7:$Z$36,0)),IF($AA30="G","Gesamt (Werte)",""))</f>
        <v>0</v>
      </c>
      <c r="H30" s="12">
        <f>IF($AA30="P",INDEX($V$7:$V$36,MATCH(21,$Z$7:$Z$36,0)),IF($AA30="G",COUNTIFS(Zuständigkeiten!$F$5:$F$400,"ja",Zuständigkeiten!$H$5:$H$400,"offen")+(1-BUE_V_OK)+(1-BUE_O_OK),""))</f>
        <v>0</v>
      </c>
      <c r="I30" s="12">
        <f>IF($AA30="P",INDEX($W$7:$W$36,MATCH(21,$Z$7:$Z$36,0)),IF($AA30="G",COUNTIFS(Zuständigkeiten!$F$5:$F$400,"ja",Zuständigkeiten!$H$5:$H$400,"erledigt")+BUE_V_OK+BUE_O_OK,""))</f>
        <v>0</v>
      </c>
      <c r="J30" s="12">
        <f>IF($AA30="P",INDEX($X$7:$X$36,MATCH(21,$Z$7:$Z$36,0)),IF($AA30="G",COUNTIF(Zuständigkeiten!$F$5:$F$400,"ja")+2,""))</f>
        <v>0</v>
      </c>
      <c r="U30">
        <f>IF(Konfiguration!$B$51="","",Konfiguration!$B$51)</f>
        <v>0</v>
      </c>
      <c r="V30">
        <f>IF($U30="","",COUNTIFS(Zuständigkeiten!$AF$5:$AF$400,"●",Zuständigkeiten!$F$5:$F$400,"ja",Zuständigkeiten!$H$5:$H$400,"offen")+IF(COUNTIFS(Zuständigkeiten!$AF$5:$AF$400,"●",Zuständigkeiten!$B$5:$B$400,"7V?")&gt;0,1-BUE_V_OK,0)+IF(COUNTIFS(Zuständigkeiten!$AF$5:$AF$400,"●",Zuständigkeiten!$B$5:$B$400,"7O?")&gt;0,1-BUE_O_OK,0))</f>
        <v>0</v>
      </c>
      <c r="W30">
        <f>IF($U30="","",COUNTIFS(Zuständigkeiten!$AF$5:$AF$400,"●",Zuständigkeiten!$F$5:$F$400,"ja",Zuständigkeiten!$H$5:$H$400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1316</v>
      </c>
      <c r="G31" s="11">
        <f>IF($AA31="P",INDEX($U$7:$U$36,MATCH(22,$Z$7:$Z$36,0)),IF($AA31="G","Gesamt (Werte)",""))</f>
        <v>0</v>
      </c>
      <c r="H31" s="12">
        <f>IF($AA31="P",INDEX($V$7:$V$36,MATCH(22,$Z$7:$Z$36,0)),IF($AA31="G",COUNTIFS(Zuständigkeiten!$F$5:$F$400,"ja",Zuständigkeiten!$H$5:$H$400,"offen")+(1-BUE_V_OK)+(1-BUE_O_OK),""))</f>
        <v>0</v>
      </c>
      <c r="I31" s="12">
        <f>IF($AA31="P",INDEX($W$7:$W$36,MATCH(22,$Z$7:$Z$36,0)),IF($AA31="G",COUNTIFS(Zuständigkeiten!$F$5:$F$400,"ja",Zuständigkeiten!$H$5:$H$400,"erledigt")+BUE_V_OK+BUE_O_OK,""))</f>
        <v>0</v>
      </c>
      <c r="J31" s="12">
        <f>IF($AA31="P",INDEX($X$7:$X$36,MATCH(22,$Z$7:$Z$36,0)),IF($AA31="G",COUNTIF(Zuständigkeiten!$F$5:$F$400,"ja")+2,""))</f>
        <v>0</v>
      </c>
      <c r="U31">
        <f>IF(Konfiguration!$B$52="","",Konfiguration!$B$52)</f>
        <v>0</v>
      </c>
      <c r="V31">
        <f>IF($U31="","",COUNTIFS(Zuständigkeiten!$AG$5:$AG$400,"●",Zuständigkeiten!$F$5:$F$400,"ja",Zuständigkeiten!$H$5:$H$400,"offen")+IF(COUNTIFS(Zuständigkeiten!$AG$5:$AG$400,"●",Zuständigkeiten!$B$5:$B$400,"7V?")&gt;0,1-BUE_V_OK,0)+IF(COUNTIFS(Zuständigkeiten!$AG$5:$AG$400,"●",Zuständigkeiten!$B$5:$B$400,"7O?")&gt;0,1-BUE_O_OK,0))</f>
        <v>0</v>
      </c>
      <c r="W31">
        <f>IF($U31="","",COUNTIFS(Zuständigkeiten!$AG$5:$AG$400,"●",Zuständigkeiten!$F$5:$F$400,"ja",Zuständigkeiten!$H$5:$H$400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1317</v>
      </c>
      <c r="G32" s="11">
        <f>IF($AA32="P",INDEX($U$7:$U$36,MATCH(23,$Z$7:$Z$36,0)),IF($AA32="G","Gesamt (Werte)",""))</f>
        <v>0</v>
      </c>
      <c r="H32" s="12">
        <f>IF($AA32="P",INDEX($V$7:$V$36,MATCH(23,$Z$7:$Z$36,0)),IF($AA32="G",COUNTIFS(Zuständigkeiten!$F$5:$F$400,"ja",Zuständigkeiten!$H$5:$H$400,"offen")+(1-BUE_V_OK)+(1-BUE_O_OK),""))</f>
        <v>0</v>
      </c>
      <c r="I32" s="12">
        <f>IF($AA32="P",INDEX($W$7:$W$36,MATCH(23,$Z$7:$Z$36,0)),IF($AA32="G",COUNTIFS(Zuständigkeiten!$F$5:$F$400,"ja",Zuständigkeiten!$H$5:$H$400,"erledigt")+BUE_V_OK+BUE_O_OK,""))</f>
        <v>0</v>
      </c>
      <c r="J32" s="12">
        <f>IF($AA32="P",INDEX($X$7:$X$36,MATCH(23,$Z$7:$Z$36,0)),IF($AA32="G",COUNTIF(Zuständigkeiten!$F$5:$F$400,"ja")+2,""))</f>
        <v>0</v>
      </c>
      <c r="U32">
        <f>IF(Konfiguration!$B$53="","",Konfiguration!$B$53)</f>
        <v>0</v>
      </c>
      <c r="V32">
        <f>IF($U32="","",COUNTIFS(Zuständigkeiten!$AH$5:$AH$400,"●",Zuständigkeiten!$F$5:$F$400,"ja",Zuständigkeiten!$H$5:$H$400,"offen")+IF(COUNTIFS(Zuständigkeiten!$AH$5:$AH$400,"●",Zuständigkeiten!$B$5:$B$400,"7V?")&gt;0,1-BUE_V_OK,0)+IF(COUNTIFS(Zuständigkeiten!$AH$5:$AH$400,"●",Zuständigkeiten!$B$5:$B$400,"7O?")&gt;0,1-BUE_O_OK,0))</f>
        <v>0</v>
      </c>
      <c r="W32">
        <f>IF($U32="","",COUNTIFS(Zuständigkeiten!$AH$5:$AH$400,"●",Zuständigkeiten!$F$5:$F$400,"ja",Zuständigkeiten!$H$5:$H$400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IF($AA33="P",INDEX($V$7:$V$36,MATCH(24,$Z$7:$Z$36,0)),IF($AA33="G",COUNTIFS(Zuständigkeiten!$F$5:$F$400,"ja",Zuständigkeiten!$H$5:$H$400,"offen")+(1-BUE_V_OK)+(1-BUE_O_OK),""))</f>
        <v>0</v>
      </c>
      <c r="I33" s="12">
        <f>IF($AA33="P",INDEX($W$7:$W$36,MATCH(24,$Z$7:$Z$36,0)),IF($AA33="G",COUNTIFS(Zuständigkeiten!$F$5:$F$400,"ja",Zuständigkeiten!$H$5:$H$400,"erledigt")+BUE_V_OK+BUE_O_OK,""))</f>
        <v>0</v>
      </c>
      <c r="J33" s="12">
        <f>IF($AA33="P",INDEX($X$7:$X$36,MATCH(24,$Z$7:$Z$36,0)),IF($AA33="G",COUNTIF(Zuständigkeiten!$F$5:$F$400,"ja")+2,""))</f>
        <v>0</v>
      </c>
      <c r="U33">
        <f>IF(Konfiguration!$B$54="","",Konfiguration!$B$54)</f>
        <v>0</v>
      </c>
      <c r="V33">
        <f>IF($U33="","",COUNTIFS(Zuständigkeiten!$AI$5:$AI$400,"●",Zuständigkeiten!$F$5:$F$400,"ja",Zuständigkeiten!$H$5:$H$400,"offen")+IF(COUNTIFS(Zuständigkeiten!$AI$5:$AI$400,"●",Zuständigkeiten!$B$5:$B$400,"7V?")&gt;0,1-BUE_V_OK,0)+IF(COUNTIFS(Zuständigkeiten!$AI$5:$AI$400,"●",Zuständigkeiten!$B$5:$B$400,"7O?")&gt;0,1-BUE_O_OK,0))</f>
        <v>0</v>
      </c>
      <c r="W33">
        <f>IF($U33="","",COUNTIFS(Zuständigkeiten!$AI$5:$AI$400,"●",Zuständigkeiten!$F$5:$F$400,"ja",Zuständigkeiten!$H$5:$H$400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IF($AA34="P",INDEX($V$7:$V$36,MATCH(25,$Z$7:$Z$36,0)),IF($AA34="G",COUNTIFS(Zuständigkeiten!$F$5:$F$400,"ja",Zuständigkeiten!$H$5:$H$400,"offen")+(1-BUE_V_OK)+(1-BUE_O_OK),""))</f>
        <v>0</v>
      </c>
      <c r="I34" s="12">
        <f>IF($AA34="P",INDEX($W$7:$W$36,MATCH(25,$Z$7:$Z$36,0)),IF($AA34="G",COUNTIFS(Zuständigkeiten!$F$5:$F$400,"ja",Zuständigkeiten!$H$5:$H$400,"erledigt")+BUE_V_OK+BUE_O_OK,""))</f>
        <v>0</v>
      </c>
      <c r="J34" s="12">
        <f>IF($AA34="P",INDEX($X$7:$X$36,MATCH(25,$Z$7:$Z$36,0)),IF($AA34="G",COUNTIF(Zuständigkeiten!$F$5:$F$400,"ja")+2,""))</f>
        <v>0</v>
      </c>
      <c r="U34">
        <f>IF(Konfiguration!$B$55="","",Konfiguration!$B$55)</f>
        <v>0</v>
      </c>
      <c r="V34">
        <f>IF($U34="","",COUNTIFS(Zuständigkeiten!$AJ$5:$AJ$400,"●",Zuständigkeiten!$F$5:$F$400,"ja",Zuständigkeiten!$H$5:$H$400,"offen")+IF(COUNTIFS(Zuständigkeiten!$AJ$5:$AJ$400,"●",Zuständigkeiten!$B$5:$B$400,"7V?")&gt;0,1-BUE_V_OK,0)+IF(COUNTIFS(Zuständigkeiten!$AJ$5:$AJ$400,"●",Zuständigkeiten!$B$5:$B$400,"7O?")&gt;0,1-BUE_O_OK,0))</f>
        <v>0</v>
      </c>
      <c r="W34">
        <f>IF($U34="","",COUNTIFS(Zuständigkeiten!$AJ$5:$AJ$400,"●",Zuständigkeiten!$F$5:$F$400,"ja",Zuständigkeiten!$H$5:$H$400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IF($AA35="P",INDEX($V$7:$V$36,MATCH(26,$Z$7:$Z$36,0)),IF($AA35="G",COUNTIFS(Zuständigkeiten!$F$5:$F$400,"ja",Zuständigkeiten!$H$5:$H$400,"offen")+(1-BUE_V_OK)+(1-BUE_O_OK),""))</f>
        <v>0</v>
      </c>
      <c r="I35" s="12">
        <f>IF($AA35="P",INDEX($W$7:$W$36,MATCH(26,$Z$7:$Z$36,0)),IF($AA35="G",COUNTIFS(Zuständigkeiten!$F$5:$F$400,"ja",Zuständigkeiten!$H$5:$H$400,"erledigt")+BUE_V_OK+BUE_O_OK,""))</f>
        <v>0</v>
      </c>
      <c r="J35" s="12">
        <f>IF($AA35="P",INDEX($X$7:$X$36,MATCH(26,$Z$7:$Z$36,0)),IF($AA35="G",COUNTIF(Zuständigkeiten!$F$5:$F$400,"ja")+2,""))</f>
        <v>0</v>
      </c>
      <c r="U35">
        <f>IF(Konfiguration!$B$56="","",Konfiguration!$B$56)</f>
        <v>0</v>
      </c>
      <c r="V35">
        <f>IF($U35="","",COUNTIFS(Zuständigkeiten!$AK$5:$AK$400,"●",Zuständigkeiten!$F$5:$F$400,"ja",Zuständigkeiten!$H$5:$H$400,"offen")+IF(COUNTIFS(Zuständigkeiten!$AK$5:$AK$400,"●",Zuständigkeiten!$B$5:$B$400,"7V?")&gt;0,1-BUE_V_OK,0)+IF(COUNTIFS(Zuständigkeiten!$AK$5:$AK$400,"●",Zuständigkeiten!$B$5:$B$400,"7O?")&gt;0,1-BUE_O_OK,0))</f>
        <v>0</v>
      </c>
      <c r="W35">
        <f>IF($U35="","",COUNTIFS(Zuständigkeiten!$AK$5:$AK$400,"●",Zuständigkeiten!$F$5:$F$400,"ja",Zuständigkeiten!$H$5:$H$400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IF($AA36="P",INDEX($V$7:$V$36,MATCH(27,$Z$7:$Z$36,0)),IF($AA36="G",COUNTIFS(Zuständigkeiten!$F$5:$F$400,"ja",Zuständigkeiten!$H$5:$H$400,"offen")+(1-BUE_V_OK)+(1-BUE_O_OK),""))</f>
        <v>0</v>
      </c>
      <c r="I36" s="12">
        <f>IF($AA36="P",INDEX($W$7:$W$36,MATCH(27,$Z$7:$Z$36,0)),IF($AA36="G",COUNTIFS(Zuständigkeiten!$F$5:$F$400,"ja",Zuständigkeiten!$H$5:$H$400,"erledigt")+BUE_V_OK+BUE_O_OK,""))</f>
        <v>0</v>
      </c>
      <c r="J36" s="12">
        <f>IF($AA36="P",INDEX($X$7:$X$36,MATCH(27,$Z$7:$Z$36,0)),IF($AA36="G",COUNTIF(Zuständigkeiten!$F$5:$F$400,"ja")+2,""))</f>
        <v>0</v>
      </c>
      <c r="U36">
        <f>IF(Konfiguration!$B$57="","",Konfiguration!$B$57)</f>
        <v>0</v>
      </c>
      <c r="V36">
        <f>IF($U36="","",COUNTIFS(Zuständigkeiten!$AL$5:$AL$400,"●",Zuständigkeiten!$F$5:$F$400,"ja",Zuständigkeiten!$H$5:$H$400,"offen")+IF(COUNTIFS(Zuständigkeiten!$AL$5:$AL$400,"●",Zuständigkeiten!$B$5:$B$400,"7V?")&gt;0,1-BUE_V_OK,0)+IF(COUNTIFS(Zuständigkeiten!$AL$5:$AL$400,"●",Zuständigkeiten!$B$5:$B$400,"7O?")&gt;0,1-BUE_O_OK,0))</f>
        <v>0</v>
      </c>
      <c r="W36">
        <f>IF($U36="","",COUNTIFS(Zuständigkeiten!$AL$5:$AL$400,"●",Zuständigkeiten!$F$5:$F$400,"ja",Zuständigkeiten!$H$5:$H$400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IF($AA37="P",INDEX($V$7:$V$36,MATCH(28,$Z$7:$Z$36,0)),IF($AA37="G",COUNTIFS(Zuständigkeiten!$F$5:$F$400,"ja",Zuständigkeiten!$H$5:$H$400,"offen")+(1-BUE_V_OK)+(1-BUE_O_OK),""))</f>
        <v>0</v>
      </c>
      <c r="I37" s="12">
        <f>IF($AA37="P",INDEX($W$7:$W$36,MATCH(28,$Z$7:$Z$36,0)),IF($AA37="G",COUNTIFS(Zuständigkeiten!$F$5:$F$400,"ja",Zuständigkeiten!$H$5:$H$400,"erledigt")+BUE_V_OK+BUE_O_OK,""))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IF($AA38="P",INDEX($V$7:$V$36,MATCH(29,$Z$7:$Z$36,0)),IF($AA38="G",COUNTIFS(Zuständigkeiten!$F$5:$F$400,"ja",Zuständigkeiten!$H$5:$H$400,"offen")+(1-BUE_V_OK)+(1-BUE_O_OK),""))</f>
        <v>0</v>
      </c>
      <c r="I38" s="12">
        <f>IF($AA38="P",INDEX($W$7:$W$36,MATCH(29,$Z$7:$Z$36,0)),IF($AA38="G",COUNTIFS(Zuständigkeiten!$F$5:$F$400,"ja",Zuständigkeiten!$H$5:$H$400,"erledigt")+BUE_V_OK+BUE_O_OK,""))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IF($AA39="P",INDEX($V$7:$V$36,MATCH(30,$Z$7:$Z$36,0)),IF($AA39="G",COUNTIFS(Zuständigkeiten!$F$5:$F$400,"ja",Zuständigkeiten!$H$5:$H$400,"offen")+(1-BUE_V_OK)+(1-BUE_O_OK),""))</f>
        <v>0</v>
      </c>
      <c r="I39" s="12">
        <f>IF($AA39="P",INDEX($W$7:$W$36,MATCH(30,$Z$7:$Z$36,0)),IF($AA39="G",COUNTIFS(Zuständigkeiten!$F$5:$F$400,"ja",Zuständigkeiten!$H$5:$H$400,"erledigt")+BUE_V_OK+BUE_O_OK,""))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IF($AA40="P",INDEX($V$7:$V$36,MATCH(31,$Z$7:$Z$36,0)),IF($AA40="G",COUNTIFS(Zuständigkeiten!$F$5:$F$400,"ja",Zuständigkeiten!$H$5:$H$400,"offen")+(1-BUE_V_OK)+(1-BUE_O_OK),""))</f>
        <v>0</v>
      </c>
      <c r="I40" s="12">
        <f>IF($AA40="P",INDEX($W$7:$W$36,MATCH(31,$Z$7:$Z$36,0)),IF($AA40="G",COUNTIFS(Zuständigkeiten!$F$5:$F$400,"ja",Zuständigkeiten!$H$5:$H$400,"erledigt")+BUE_V_OK+BUE_O_OK,""))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1195</v>
      </c>
    </row>
    <row r="2" spans="2:8">
      <c r="B2" s="2">
        <f>"Letzter und davor liegender Eintrag je Kennzahl · Berichtstag "&amp;TEXT(DAY(Berichtstag),"00")&amp;"."&amp;TEXT(MONTH(Berichtstag),"00")&amp;"."&amp;YEAR(Berichtstag)</f>
        <v>0</v>
      </c>
    </row>
    <row r="4" spans="2:8" ht="22" customHeight="1">
      <c r="B4" s="9" t="s">
        <v>680</v>
      </c>
      <c r="C4" s="9" t="s">
        <v>681</v>
      </c>
      <c r="D4" s="10" t="s">
        <v>1196</v>
      </c>
      <c r="E4" s="10" t="s">
        <v>1197</v>
      </c>
      <c r="F4" s="10" t="s">
        <v>1198</v>
      </c>
      <c r="G4" s="10" t="s">
        <v>1197</v>
      </c>
      <c r="H4" s="10" t="s">
        <v>1199</v>
      </c>
    </row>
    <row r="5" spans="2:8">
      <c r="B5" s="14" t="s">
        <v>102</v>
      </c>
      <c r="C5" s="15" t="s">
        <v>1089</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823</v>
      </c>
      <c r="C6" s="15" t="s">
        <v>1200</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826</v>
      </c>
      <c r="C7" s="15" t="s">
        <v>1201</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1202</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858</v>
      </c>
      <c r="C9" s="15" t="s">
        <v>1203</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1204</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1123</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1205</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1206</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1207</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1208</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1209</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1210</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1211</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1212</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1213</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1214</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1215</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940</v>
      </c>
      <c r="C23" s="15" t="s">
        <v>1216</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949</v>
      </c>
      <c r="C24" s="15" t="s">
        <v>1217</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952</v>
      </c>
      <c r="C25" s="15" t="s">
        <v>1218</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1141</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1143</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375</v>
      </c>
      <c r="C28" s="15" t="s">
        <v>1219</v>
      </c>
      <c r="D28" s="16">
        <f t="array" ref="D28">IFERROR(LOOKUP(2,1/(ISNUMBER(Rohdaten!$JA$162:$LG$162)*ISNUMBER(Rohdaten!$JA$159:$LG$159)),Rohdaten!$JA$159:$LG$159),"")</f>
        <v>0</v>
      </c>
      <c r="E28" s="17">
        <f>IF(D28="","",INDEX(Rohdaten!$JA$162:$LG$162,MATCH(D28,Rohdaten!$JA$159:$LG$159,0)))</f>
        <v>0</v>
      </c>
      <c r="F28" s="16">
        <f t="array" ref="F28">IF(D28="","",IFERROR(LOOKUP(2,1/(ISNUMBER(Rohdaten!$JA$162:$LG$162)*ISNUMBER(Rohdaten!$JA$159:$LG$159)*(Rohdaten!$JA$159:$LG$159&lt;D28)),Rohdaten!$JA$159:$LG$159),""))</f>
        <v>0</v>
      </c>
      <c r="G28" s="17">
        <f>IF(F28="","",INDEX(Rohdaten!$JA$162:$LG$162,MATCH(F28,Rohdaten!$JA$159:$LG$159,0)))</f>
        <v>0</v>
      </c>
      <c r="H28" s="18">
        <f>IF(OR(E28="",G28=""),"",E28-G28)</f>
        <v>0</v>
      </c>
    </row>
    <row r="29" spans="2:8">
      <c r="B29" s="14" t="s">
        <v>377</v>
      </c>
      <c r="C29" s="15" t="s">
        <v>1220</v>
      </c>
      <c r="D29" s="16">
        <f t="array" ref="D29">IFERROR(LOOKUP(2,1/(ISNUMBER(Rohdaten!$JA$163:$LG$163)*ISNUMBER(Rohdaten!$JA$159:$LG$159)),Rohdaten!$JA$159:$LG$159),"")</f>
        <v>0</v>
      </c>
      <c r="E29" s="17">
        <f>IF(D29="","",INDEX(Rohdaten!$JA$163:$LG$163,MATCH(D29,Rohdaten!$JA$159:$LG$159,0)))</f>
        <v>0</v>
      </c>
      <c r="F29" s="16">
        <f t="array" ref="F29">IF(D29="","",IFERROR(LOOKUP(2,1/(ISNUMBER(Rohdaten!$JA$163:$LG$163)*ISNUMBER(Rohdaten!$JA$159:$LG$159)*(Rohdaten!$JA$159:$LG$159&lt;D29)),Rohdaten!$JA$159:$LG$159),""))</f>
        <v>0</v>
      </c>
      <c r="G29" s="17">
        <f>IF(F29="","",INDEX(Rohdaten!$JA$163:$LG$163,MATCH(F29,Rohdaten!$JA$159:$LG$159,0)))</f>
        <v>0</v>
      </c>
      <c r="H29" s="18">
        <f>IF(OR(E29="",G29=""),"",E29-G29)</f>
        <v>0</v>
      </c>
    </row>
    <row r="30" spans="2:8">
      <c r="B30" s="14" t="s">
        <v>145</v>
      </c>
      <c r="C30" s="15" t="s">
        <v>1221</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787</v>
      </c>
      <c r="C31" s="15" t="s">
        <v>1222</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793</v>
      </c>
      <c r="C32" s="15" t="s">
        <v>1223</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243</v>
      </c>
      <c r="C33" s="15" t="s">
        <v>1224</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808</v>
      </c>
      <c r="C34" s="15" t="s">
        <v>1225</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814</v>
      </c>
      <c r="C35" s="15" t="s">
        <v>1226</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1227</v>
      </c>
    </row>
  </sheetData>
  <conditionalFormatting sqref="D5:D35">
    <cfRule type="expression" dxfId="4" priority="1">
      <formula>AND(ISNUMBER($D5),$D5&lt;Stichtag-7)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Deckblatt">
    <tabColor rgb="FFBF1528"/>
  </sheetPr>
  <dimension ref="G2"/>
  <sheetViews>
    <sheetView showGridLines="0" zoomScale="90" zoomScaleNormal="90" workbookViewId="0"/>
  </sheetViews>
  <sheetFormatPr defaultRowHeight="15"/>
  <cols>
    <col min="1" max="61" width="9.85546875" customWidth="1"/>
  </cols>
  <sheetData>
    <row r="2" spans="7:7">
      <c r="G2" s="8" t="s">
        <v>383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Rohdaten">
    <tabColor rgb="FF0B6F7D"/>
    <outlinePr summaryBelow="0"/>
  </sheetPr>
  <dimension ref="A1:LJ171"/>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1055</v>
      </c>
      <c r="B1" s="9" t="s">
        <v>1056</v>
      </c>
      <c r="C1" s="9" t="s">
        <v>1057</v>
      </c>
      <c r="D1" s="9" t="s">
        <v>1058</v>
      </c>
      <c r="E1" s="9" t="s">
        <v>1059</v>
      </c>
      <c r="F1" s="9" t="s">
        <v>1060</v>
      </c>
      <c r="G1" s="9" t="s">
        <v>1061</v>
      </c>
      <c r="H1" s="9" t="s">
        <v>1062</v>
      </c>
      <c r="I1" s="19">
        <v>45324</v>
      </c>
      <c r="J1" s="20" t="s">
        <v>1063</v>
      </c>
      <c r="K1" s="19">
        <v>45330</v>
      </c>
      <c r="L1" s="20" t="s">
        <v>1063</v>
      </c>
      <c r="M1" s="19">
        <v>45337</v>
      </c>
      <c r="N1" s="20" t="s">
        <v>1063</v>
      </c>
      <c r="O1" s="19">
        <v>45344</v>
      </c>
      <c r="P1" s="20" t="s">
        <v>1063</v>
      </c>
      <c r="Q1" s="19">
        <v>45351</v>
      </c>
      <c r="R1" s="20" t="s">
        <v>1063</v>
      </c>
      <c r="S1" s="19">
        <v>45358</v>
      </c>
      <c r="T1" s="20" t="s">
        <v>1063</v>
      </c>
      <c r="U1" s="19">
        <v>45365</v>
      </c>
      <c r="V1" s="20" t="s">
        <v>1063</v>
      </c>
      <c r="W1" s="19">
        <v>45372</v>
      </c>
      <c r="X1" s="20" t="s">
        <v>1063</v>
      </c>
      <c r="Y1" s="19">
        <v>45379</v>
      </c>
      <c r="Z1" s="20" t="s">
        <v>1063</v>
      </c>
      <c r="AA1" s="19">
        <v>45386</v>
      </c>
      <c r="AB1" s="20" t="s">
        <v>1063</v>
      </c>
      <c r="AC1" s="19">
        <v>45393</v>
      </c>
      <c r="AD1" s="20" t="s">
        <v>1063</v>
      </c>
      <c r="AE1" s="19">
        <v>45400</v>
      </c>
      <c r="AF1" s="20" t="s">
        <v>1063</v>
      </c>
      <c r="AG1" s="19">
        <v>45407</v>
      </c>
      <c r="AH1" s="20" t="s">
        <v>1063</v>
      </c>
      <c r="AI1" s="19">
        <v>45414</v>
      </c>
      <c r="AJ1" s="20" t="s">
        <v>1063</v>
      </c>
      <c r="AK1" s="19">
        <v>45420</v>
      </c>
      <c r="AL1" s="20" t="s">
        <v>1063</v>
      </c>
      <c r="AM1" s="19">
        <v>45428</v>
      </c>
      <c r="AN1" s="20" t="s">
        <v>1063</v>
      </c>
      <c r="AO1" s="19">
        <v>45435</v>
      </c>
      <c r="AP1" s="20" t="s">
        <v>1063</v>
      </c>
      <c r="AQ1" s="19">
        <v>45443</v>
      </c>
      <c r="AR1" s="20" t="s">
        <v>1063</v>
      </c>
      <c r="AS1" s="19">
        <v>45456</v>
      </c>
      <c r="AT1" s="20" t="s">
        <v>1063</v>
      </c>
      <c r="AU1" s="19">
        <v>45463</v>
      </c>
      <c r="AV1" s="20" t="s">
        <v>1063</v>
      </c>
      <c r="AW1" s="19">
        <v>45470</v>
      </c>
      <c r="AX1" s="20" t="s">
        <v>1063</v>
      </c>
      <c r="AY1" s="19">
        <v>45477</v>
      </c>
      <c r="AZ1" s="20" t="s">
        <v>1063</v>
      </c>
      <c r="BA1" s="19">
        <v>45484</v>
      </c>
      <c r="BB1" s="20" t="s">
        <v>1063</v>
      </c>
      <c r="BC1" s="19">
        <v>45491</v>
      </c>
      <c r="BD1" s="20" t="s">
        <v>1063</v>
      </c>
      <c r="BE1" s="19">
        <v>45498</v>
      </c>
      <c r="BF1" s="20" t="s">
        <v>1063</v>
      </c>
      <c r="BG1" s="19">
        <v>45505</v>
      </c>
      <c r="BH1" s="20" t="s">
        <v>1063</v>
      </c>
      <c r="BI1" s="19">
        <v>45512</v>
      </c>
      <c r="BJ1" s="20" t="s">
        <v>1063</v>
      </c>
      <c r="BK1" s="19">
        <v>45520</v>
      </c>
      <c r="BL1" s="20" t="s">
        <v>1063</v>
      </c>
      <c r="BM1" s="19">
        <v>45526</v>
      </c>
      <c r="BN1" s="20" t="s">
        <v>1063</v>
      </c>
      <c r="BO1" s="19">
        <v>45533</v>
      </c>
      <c r="BP1" s="20" t="s">
        <v>1063</v>
      </c>
      <c r="BQ1" s="19">
        <v>45540</v>
      </c>
      <c r="BR1" s="20" t="s">
        <v>1063</v>
      </c>
      <c r="BS1" s="19">
        <v>45547</v>
      </c>
      <c r="BT1" s="20" t="s">
        <v>1063</v>
      </c>
      <c r="BU1" s="19">
        <v>45554</v>
      </c>
      <c r="BV1" s="20" t="s">
        <v>1063</v>
      </c>
      <c r="BW1" s="19">
        <v>45561</v>
      </c>
      <c r="BX1" s="20" t="s">
        <v>1063</v>
      </c>
      <c r="BY1" s="19">
        <v>45567</v>
      </c>
      <c r="BZ1" s="20" t="s">
        <v>1063</v>
      </c>
      <c r="CA1" s="19">
        <v>45575</v>
      </c>
      <c r="CB1" s="20" t="s">
        <v>1063</v>
      </c>
      <c r="CC1" s="19">
        <v>45582</v>
      </c>
      <c r="CD1" s="20" t="s">
        <v>1063</v>
      </c>
      <c r="CE1" s="19">
        <v>45589</v>
      </c>
      <c r="CF1" s="20" t="s">
        <v>1063</v>
      </c>
      <c r="CG1" s="19">
        <v>45596</v>
      </c>
      <c r="CH1" s="20" t="s">
        <v>1063</v>
      </c>
      <c r="CI1" s="19">
        <v>45603</v>
      </c>
      <c r="CJ1" s="20" t="s">
        <v>1063</v>
      </c>
      <c r="CK1" s="19">
        <v>45610</v>
      </c>
      <c r="CL1" s="20" t="s">
        <v>1063</v>
      </c>
      <c r="CM1" s="19">
        <v>45617</v>
      </c>
      <c r="CN1" s="20" t="s">
        <v>1063</v>
      </c>
      <c r="CO1" s="19">
        <v>45624</v>
      </c>
      <c r="CP1" s="20" t="s">
        <v>1063</v>
      </c>
      <c r="CQ1" s="19">
        <v>45631</v>
      </c>
      <c r="CR1" s="20" t="s">
        <v>1063</v>
      </c>
      <c r="CS1" s="19">
        <v>45638</v>
      </c>
      <c r="CT1" s="20" t="s">
        <v>1063</v>
      </c>
      <c r="CU1" s="19">
        <v>45645</v>
      </c>
      <c r="CV1" s="20" t="s">
        <v>1063</v>
      </c>
      <c r="CW1" s="19">
        <v>45660</v>
      </c>
      <c r="CX1" s="20" t="s">
        <v>1063</v>
      </c>
      <c r="CY1" s="19">
        <v>45663</v>
      </c>
      <c r="CZ1" s="20" t="s">
        <v>1063</v>
      </c>
      <c r="DA1" s="19">
        <v>45674</v>
      </c>
      <c r="DB1" s="20" t="s">
        <v>1063</v>
      </c>
      <c r="DC1" s="19">
        <v>45681</v>
      </c>
      <c r="DD1" s="20" t="s">
        <v>1063</v>
      </c>
      <c r="DE1" s="19">
        <v>45688</v>
      </c>
      <c r="DF1" s="20" t="s">
        <v>1063</v>
      </c>
      <c r="DG1" s="19">
        <v>45695</v>
      </c>
      <c r="DH1" s="20" t="s">
        <v>1063</v>
      </c>
      <c r="DI1" s="19">
        <v>45702</v>
      </c>
      <c r="DJ1" s="20" t="s">
        <v>1063</v>
      </c>
      <c r="DK1" s="19">
        <v>45709</v>
      </c>
      <c r="DL1" s="20" t="s">
        <v>1063</v>
      </c>
      <c r="DM1" s="19">
        <v>45716</v>
      </c>
      <c r="DN1" s="20" t="s">
        <v>1063</v>
      </c>
      <c r="DO1" s="19">
        <v>45723</v>
      </c>
      <c r="DP1" s="20" t="s">
        <v>1063</v>
      </c>
      <c r="DQ1" s="19">
        <v>45730</v>
      </c>
      <c r="DR1" s="20" t="s">
        <v>1063</v>
      </c>
      <c r="DS1" s="19">
        <v>45737</v>
      </c>
      <c r="DT1" s="20" t="s">
        <v>1063</v>
      </c>
      <c r="DU1" s="19">
        <v>45744</v>
      </c>
      <c r="DV1" s="20" t="s">
        <v>1063</v>
      </c>
      <c r="DW1" s="19">
        <v>45751</v>
      </c>
      <c r="DX1" s="20" t="s">
        <v>1063</v>
      </c>
      <c r="DY1" s="19">
        <v>45758</v>
      </c>
      <c r="DZ1" s="20" t="s">
        <v>1063</v>
      </c>
      <c r="EA1" s="19">
        <v>45764</v>
      </c>
      <c r="EB1" s="20" t="s">
        <v>1063</v>
      </c>
      <c r="EC1" s="19">
        <v>45772</v>
      </c>
      <c r="ED1" s="20" t="s">
        <v>1063</v>
      </c>
      <c r="EE1" s="19">
        <v>45779</v>
      </c>
      <c r="EF1" s="20" t="s">
        <v>1063</v>
      </c>
      <c r="EG1" s="19">
        <v>45786</v>
      </c>
      <c r="EH1" s="20" t="s">
        <v>1063</v>
      </c>
      <c r="EI1" s="19">
        <v>45793</v>
      </c>
      <c r="EJ1" s="20" t="s">
        <v>1063</v>
      </c>
      <c r="EK1" s="19">
        <v>45800</v>
      </c>
      <c r="EL1" s="20" t="s">
        <v>1063</v>
      </c>
      <c r="EM1" s="19">
        <v>45807</v>
      </c>
      <c r="EN1" s="20" t="s">
        <v>1063</v>
      </c>
      <c r="EO1" s="19">
        <v>45814</v>
      </c>
      <c r="EP1" s="20" t="s">
        <v>1063</v>
      </c>
      <c r="EQ1" s="19">
        <v>45821</v>
      </c>
      <c r="ER1" s="20" t="s">
        <v>1063</v>
      </c>
      <c r="ES1" s="19">
        <v>45828</v>
      </c>
      <c r="ET1" s="20" t="s">
        <v>1063</v>
      </c>
      <c r="EU1" s="19">
        <v>45835</v>
      </c>
      <c r="EV1" s="20" t="s">
        <v>1063</v>
      </c>
      <c r="EW1" s="19">
        <v>45842</v>
      </c>
      <c r="EX1" s="20" t="s">
        <v>1063</v>
      </c>
      <c r="EY1" s="19">
        <v>45849</v>
      </c>
      <c r="EZ1" s="20" t="s">
        <v>1063</v>
      </c>
      <c r="FA1" s="19">
        <v>45856</v>
      </c>
      <c r="FB1" s="20" t="s">
        <v>1063</v>
      </c>
      <c r="FC1" s="19">
        <v>45863</v>
      </c>
      <c r="FD1" s="20" t="s">
        <v>1063</v>
      </c>
      <c r="FE1" s="19">
        <v>45870</v>
      </c>
      <c r="FF1" s="20" t="s">
        <v>1063</v>
      </c>
      <c r="FG1" s="19">
        <v>45877</v>
      </c>
      <c r="FH1" s="20" t="s">
        <v>1063</v>
      </c>
      <c r="FI1" s="19">
        <v>45884</v>
      </c>
      <c r="FJ1" s="20" t="s">
        <v>1063</v>
      </c>
      <c r="FK1" s="19">
        <v>45891</v>
      </c>
      <c r="FL1" s="20" t="s">
        <v>1063</v>
      </c>
      <c r="FM1" s="19">
        <v>45898</v>
      </c>
      <c r="FN1" s="20" t="s">
        <v>1063</v>
      </c>
      <c r="FO1" s="19">
        <v>45905</v>
      </c>
      <c r="FP1" s="20" t="s">
        <v>1063</v>
      </c>
      <c r="FQ1" s="19">
        <v>45912</v>
      </c>
      <c r="FR1" s="20" t="s">
        <v>1063</v>
      </c>
      <c r="FS1" s="19">
        <v>45919</v>
      </c>
      <c r="FT1" s="20" t="s">
        <v>1063</v>
      </c>
      <c r="FU1" s="19">
        <v>45926</v>
      </c>
      <c r="FV1" s="20" t="s">
        <v>1063</v>
      </c>
      <c r="FW1" s="19">
        <v>45933</v>
      </c>
      <c r="FX1" s="20" t="s">
        <v>1063</v>
      </c>
      <c r="FY1" s="19">
        <v>45940</v>
      </c>
      <c r="FZ1" s="20" t="s">
        <v>1063</v>
      </c>
      <c r="GA1" s="19">
        <v>45947</v>
      </c>
      <c r="GB1" s="20" t="s">
        <v>1063</v>
      </c>
      <c r="GC1" s="19">
        <v>45954</v>
      </c>
      <c r="GD1" s="20" t="s">
        <v>1063</v>
      </c>
      <c r="GE1" s="19">
        <v>45961</v>
      </c>
      <c r="GF1" s="20" t="s">
        <v>1063</v>
      </c>
      <c r="GG1" s="19">
        <v>45968</v>
      </c>
      <c r="GH1" s="20" t="s">
        <v>1063</v>
      </c>
      <c r="GI1" s="19">
        <v>45975</v>
      </c>
      <c r="GJ1" s="20" t="s">
        <v>1063</v>
      </c>
      <c r="GK1" s="19">
        <v>45982</v>
      </c>
      <c r="GL1" s="20" t="s">
        <v>1063</v>
      </c>
      <c r="GM1" s="19">
        <v>45989</v>
      </c>
      <c r="GN1" s="20" t="s">
        <v>1063</v>
      </c>
      <c r="GO1" s="19">
        <v>45996</v>
      </c>
      <c r="GP1" s="20" t="s">
        <v>1063</v>
      </c>
      <c r="GQ1" s="19">
        <v>46003</v>
      </c>
      <c r="GR1" s="20" t="s">
        <v>1063</v>
      </c>
      <c r="GS1" s="19">
        <v>46010</v>
      </c>
      <c r="GT1" s="20" t="s">
        <v>1063</v>
      </c>
      <c r="GU1" s="19">
        <v>46017</v>
      </c>
      <c r="GV1" s="20" t="s">
        <v>1063</v>
      </c>
      <c r="GW1" s="19">
        <v>46024</v>
      </c>
      <c r="GX1" s="20" t="s">
        <v>1063</v>
      </c>
      <c r="GY1" s="19">
        <v>46031</v>
      </c>
      <c r="GZ1" s="20" t="s">
        <v>1063</v>
      </c>
      <c r="HA1" s="19">
        <v>46038</v>
      </c>
      <c r="HB1" s="20" t="s">
        <v>1063</v>
      </c>
      <c r="HC1" s="19">
        <v>46045</v>
      </c>
      <c r="HD1" s="20" t="s">
        <v>1063</v>
      </c>
      <c r="HE1" s="19">
        <v>46052</v>
      </c>
      <c r="HF1" s="20" t="s">
        <v>1063</v>
      </c>
      <c r="HG1" s="19">
        <v>46059</v>
      </c>
      <c r="HH1" s="20" t="s">
        <v>1063</v>
      </c>
      <c r="HI1" s="19">
        <v>46066</v>
      </c>
      <c r="HJ1" s="20" t="s">
        <v>1063</v>
      </c>
      <c r="HK1" s="19">
        <v>46073</v>
      </c>
      <c r="HL1" s="20" t="s">
        <v>1063</v>
      </c>
      <c r="HM1" s="19">
        <v>46080</v>
      </c>
      <c r="HN1" s="20" t="s">
        <v>1063</v>
      </c>
      <c r="HO1" s="19">
        <v>46087</v>
      </c>
      <c r="HP1" s="20" t="s">
        <v>1063</v>
      </c>
      <c r="HQ1" s="19">
        <v>46094</v>
      </c>
      <c r="HR1" s="20" t="s">
        <v>1063</v>
      </c>
      <c r="HS1" s="19">
        <v>46101</v>
      </c>
      <c r="HT1" s="20" t="s">
        <v>1063</v>
      </c>
      <c r="HU1" s="19">
        <v>46108</v>
      </c>
      <c r="HV1" s="20" t="s">
        <v>1063</v>
      </c>
      <c r="HW1" s="19">
        <v>46115</v>
      </c>
      <c r="HX1" s="20" t="s">
        <v>1063</v>
      </c>
      <c r="HY1" s="19">
        <v>46122</v>
      </c>
      <c r="HZ1" s="20" t="s">
        <v>1063</v>
      </c>
      <c r="IA1" s="19">
        <v>46129</v>
      </c>
      <c r="IB1" s="20" t="s">
        <v>1063</v>
      </c>
      <c r="IC1" s="19">
        <v>46136</v>
      </c>
      <c r="ID1" s="20" t="s">
        <v>1063</v>
      </c>
      <c r="IE1" s="19">
        <v>46143</v>
      </c>
      <c r="IF1" s="20" t="s">
        <v>1063</v>
      </c>
      <c r="IG1" s="19">
        <v>46150</v>
      </c>
      <c r="IH1" s="20" t="s">
        <v>1063</v>
      </c>
      <c r="II1" s="19">
        <v>46157</v>
      </c>
      <c r="IJ1" s="20" t="s">
        <v>1063</v>
      </c>
      <c r="IK1" s="19">
        <v>46164</v>
      </c>
      <c r="IL1" s="20" t="s">
        <v>1063</v>
      </c>
      <c r="IM1" s="19">
        <v>46171</v>
      </c>
      <c r="IN1" s="20" t="s">
        <v>1063</v>
      </c>
      <c r="IO1" s="19">
        <v>46178</v>
      </c>
      <c r="IP1" s="20" t="s">
        <v>1063</v>
      </c>
      <c r="IQ1" s="19">
        <v>46185</v>
      </c>
      <c r="IR1" s="20" t="s">
        <v>1063</v>
      </c>
      <c r="IS1" s="19">
        <v>46192</v>
      </c>
      <c r="IT1" s="20" t="s">
        <v>1063</v>
      </c>
      <c r="IU1" s="19">
        <v>46199</v>
      </c>
      <c r="IV1" s="20" t="s">
        <v>1063</v>
      </c>
      <c r="IW1" s="19">
        <v>46206</v>
      </c>
      <c r="IX1" s="20" t="s">
        <v>1063</v>
      </c>
      <c r="IY1" s="19">
        <v>46213</v>
      </c>
      <c r="IZ1" s="20" t="s">
        <v>1063</v>
      </c>
      <c r="JA1" s="19">
        <v>46220</v>
      </c>
      <c r="JB1" s="20" t="s">
        <v>1063</v>
      </c>
      <c r="JC1" s="19">
        <v>46227</v>
      </c>
      <c r="JD1" s="20" t="s">
        <v>1063</v>
      </c>
      <c r="JE1" s="19">
        <v>46234</v>
      </c>
      <c r="JF1" s="20" t="s">
        <v>1063</v>
      </c>
      <c r="JG1" s="19">
        <v>46241</v>
      </c>
      <c r="JH1" s="20" t="s">
        <v>1063</v>
      </c>
      <c r="JI1" s="19">
        <v>46248</v>
      </c>
      <c r="JJ1" s="20" t="s">
        <v>1063</v>
      </c>
      <c r="JK1" s="19">
        <v>46255</v>
      </c>
      <c r="JL1" s="20" t="s">
        <v>1063</v>
      </c>
      <c r="JM1" s="19">
        <v>46262</v>
      </c>
      <c r="JN1" s="20" t="s">
        <v>1063</v>
      </c>
      <c r="JO1" s="19">
        <v>46269</v>
      </c>
      <c r="JP1" s="20" t="s">
        <v>1063</v>
      </c>
      <c r="JQ1" s="19">
        <v>46276</v>
      </c>
      <c r="JR1" s="20" t="s">
        <v>1063</v>
      </c>
      <c r="JS1" s="19">
        <v>46283</v>
      </c>
      <c r="JT1" s="20" t="s">
        <v>1063</v>
      </c>
      <c r="JU1" s="19">
        <v>46290</v>
      </c>
      <c r="JV1" s="20" t="s">
        <v>1063</v>
      </c>
      <c r="JW1" s="19">
        <v>46297</v>
      </c>
      <c r="JX1" s="20" t="s">
        <v>1063</v>
      </c>
      <c r="JY1" s="19">
        <v>46304</v>
      </c>
      <c r="JZ1" s="20" t="s">
        <v>1063</v>
      </c>
      <c r="KA1" s="19">
        <v>46311</v>
      </c>
      <c r="KB1" s="20" t="s">
        <v>1063</v>
      </c>
      <c r="KC1" s="19">
        <v>46318</v>
      </c>
      <c r="KD1" s="20" t="s">
        <v>1063</v>
      </c>
      <c r="KE1" s="19">
        <v>46325</v>
      </c>
      <c r="KF1" s="20" t="s">
        <v>1063</v>
      </c>
      <c r="KG1" s="19">
        <v>46332</v>
      </c>
      <c r="KH1" s="20" t="s">
        <v>1063</v>
      </c>
      <c r="KI1" s="19">
        <v>46339</v>
      </c>
      <c r="KJ1" s="20" t="s">
        <v>1063</v>
      </c>
      <c r="KK1" s="19">
        <v>46346</v>
      </c>
      <c r="KL1" s="20" t="s">
        <v>1063</v>
      </c>
      <c r="KM1" s="19">
        <v>46353</v>
      </c>
      <c r="KN1" s="20" t="s">
        <v>1063</v>
      </c>
      <c r="KO1" s="19">
        <v>46360</v>
      </c>
      <c r="KP1" s="20" t="s">
        <v>1063</v>
      </c>
      <c r="KQ1" s="19">
        <v>46367</v>
      </c>
      <c r="KR1" s="20" t="s">
        <v>1063</v>
      </c>
      <c r="KS1" s="19">
        <v>46374</v>
      </c>
      <c r="KT1" s="20" t="s">
        <v>1063</v>
      </c>
      <c r="KU1" s="19">
        <v>46381</v>
      </c>
      <c r="KV1" s="20" t="s">
        <v>1063</v>
      </c>
      <c r="KW1" s="19">
        <v>46388</v>
      </c>
      <c r="KX1" s="20" t="s">
        <v>1063</v>
      </c>
      <c r="KY1" s="19">
        <v>46395</v>
      </c>
      <c r="KZ1" s="20" t="s">
        <v>1063</v>
      </c>
      <c r="LA1" s="19">
        <v>46402</v>
      </c>
      <c r="LB1" s="20" t="s">
        <v>1063</v>
      </c>
      <c r="LC1" s="19">
        <v>46409</v>
      </c>
      <c r="LD1" s="20" t="s">
        <v>1063</v>
      </c>
      <c r="LE1" s="19">
        <v>46416</v>
      </c>
      <c r="LF1" s="20" t="s">
        <v>1063</v>
      </c>
      <c r="LG1" s="19">
        <v>46423</v>
      </c>
      <c r="LH1" s="20" t="s">
        <v>1063</v>
      </c>
      <c r="LJ1" s="9" t="s">
        <v>1065</v>
      </c>
    </row>
    <row r="2" spans="1:322" ht="12" customHeight="1">
      <c r="I2" s="21">
        <f>IF(COUNT(I3:I157)&gt;0,"Y","X")</f>
        <v>0</v>
      </c>
      <c r="J2" s="21" t="s">
        <v>1064</v>
      </c>
      <c r="K2" s="21">
        <f>IF(COUNT(K3:K157)&gt;0,"Y","X")</f>
        <v>0</v>
      </c>
      <c r="L2" s="21" t="s">
        <v>1064</v>
      </c>
      <c r="M2" s="21">
        <f>IF(COUNT(M3:M157)&gt;0,"Y","X")</f>
        <v>0</v>
      </c>
      <c r="N2" s="21" t="s">
        <v>1064</v>
      </c>
      <c r="O2" s="21">
        <f>IF(COUNT(O3:O157)&gt;0,"Y","X")</f>
        <v>0</v>
      </c>
      <c r="P2" s="21" t="s">
        <v>1064</v>
      </c>
      <c r="Q2" s="21">
        <f>IF(COUNT(Q3:Q157)&gt;0,"Y","X")</f>
        <v>0</v>
      </c>
      <c r="R2" s="21" t="s">
        <v>1064</v>
      </c>
      <c r="S2" s="21">
        <f>IF(COUNT(S3:S157)&gt;0,"Y","X")</f>
        <v>0</v>
      </c>
      <c r="T2" s="21" t="s">
        <v>1064</v>
      </c>
      <c r="U2" s="21">
        <f>IF(COUNT(U3:U157)&gt;0,"Y","X")</f>
        <v>0</v>
      </c>
      <c r="V2" s="21" t="s">
        <v>1064</v>
      </c>
      <c r="W2" s="21">
        <f>IF(COUNT(W3:W157)&gt;0,"Y","X")</f>
        <v>0</v>
      </c>
      <c r="X2" s="21" t="s">
        <v>1064</v>
      </c>
      <c r="Y2" s="21">
        <f>IF(COUNT(Y3:Y157)&gt;0,"Y","X")</f>
        <v>0</v>
      </c>
      <c r="Z2" s="21" t="s">
        <v>1064</v>
      </c>
      <c r="AA2" s="21">
        <f>IF(COUNT(AA3:AA157)&gt;0,"Y","X")</f>
        <v>0</v>
      </c>
      <c r="AB2" s="21" t="s">
        <v>1064</v>
      </c>
      <c r="AC2" s="21">
        <f>IF(COUNT(AC3:AC157)&gt;0,"Y","X")</f>
        <v>0</v>
      </c>
      <c r="AD2" s="21" t="s">
        <v>1064</v>
      </c>
      <c r="AE2" s="21">
        <f>IF(COUNT(AE3:AE157)&gt;0,"Y","X")</f>
        <v>0</v>
      </c>
      <c r="AF2" s="21" t="s">
        <v>1064</v>
      </c>
      <c r="AG2" s="21">
        <f>IF(COUNT(AG3:AG157)&gt;0,"Y","X")</f>
        <v>0</v>
      </c>
      <c r="AH2" s="21" t="s">
        <v>1064</v>
      </c>
      <c r="AI2" s="21">
        <f>IF(COUNT(AI3:AI157)&gt;0,"Y","X")</f>
        <v>0</v>
      </c>
      <c r="AJ2" s="21" t="s">
        <v>1064</v>
      </c>
      <c r="AK2" s="21">
        <f>IF(COUNT(AK3:AK157)&gt;0,"Y","X")</f>
        <v>0</v>
      </c>
      <c r="AL2" s="21" t="s">
        <v>1064</v>
      </c>
      <c r="AM2" s="21">
        <f>IF(COUNT(AM3:AM157)&gt;0,"Y","X")</f>
        <v>0</v>
      </c>
      <c r="AN2" s="21" t="s">
        <v>1064</v>
      </c>
      <c r="AO2" s="21">
        <f>IF(COUNT(AO3:AO157)&gt;0,"Y","X")</f>
        <v>0</v>
      </c>
      <c r="AP2" s="21" t="s">
        <v>1064</v>
      </c>
      <c r="AQ2" s="21">
        <f>IF(COUNT(AQ3:AQ157)&gt;0,"Y","X")</f>
        <v>0</v>
      </c>
      <c r="AR2" s="21" t="s">
        <v>1064</v>
      </c>
      <c r="AS2" s="21">
        <f>IF(COUNT(AS3:AS157)&gt;0,"Y","X")</f>
        <v>0</v>
      </c>
      <c r="AT2" s="21" t="s">
        <v>1064</v>
      </c>
      <c r="AU2" s="21">
        <f>IF(COUNT(AU3:AU157)&gt;0,"Y","X")</f>
        <v>0</v>
      </c>
      <c r="AV2" s="21" t="s">
        <v>1064</v>
      </c>
      <c r="AW2" s="21">
        <f>IF(COUNT(AW3:AW157)&gt;0,"Y","X")</f>
        <v>0</v>
      </c>
      <c r="AX2" s="21" t="s">
        <v>1064</v>
      </c>
      <c r="AY2" s="21">
        <f>IF(COUNT(AY3:AY157)&gt;0,"Y","X")</f>
        <v>0</v>
      </c>
      <c r="AZ2" s="21" t="s">
        <v>1064</v>
      </c>
      <c r="BA2" s="21">
        <f>IF(COUNT(BA3:BA157)&gt;0,"Y","X")</f>
        <v>0</v>
      </c>
      <c r="BB2" s="21" t="s">
        <v>1064</v>
      </c>
      <c r="BC2" s="21">
        <f>IF(COUNT(BC3:BC157)&gt;0,"Y","X")</f>
        <v>0</v>
      </c>
      <c r="BD2" s="21" t="s">
        <v>1064</v>
      </c>
      <c r="BE2" s="21">
        <f>IF(COUNT(BE3:BE157)&gt;0,"Y","X")</f>
        <v>0</v>
      </c>
      <c r="BF2" s="21" t="s">
        <v>1064</v>
      </c>
      <c r="BG2" s="21">
        <f>IF(COUNT(BG3:BG157)&gt;0,"Y","X")</f>
        <v>0</v>
      </c>
      <c r="BH2" s="21" t="s">
        <v>1064</v>
      </c>
      <c r="BI2" s="21">
        <f>IF(COUNT(BI3:BI157)&gt;0,"Y","X")</f>
        <v>0</v>
      </c>
      <c r="BJ2" s="21" t="s">
        <v>1064</v>
      </c>
      <c r="BK2" s="21">
        <f>IF(COUNT(BK3:BK157)&gt;0,"Y","X")</f>
        <v>0</v>
      </c>
      <c r="BL2" s="21" t="s">
        <v>1064</v>
      </c>
      <c r="BM2" s="21">
        <f>IF(COUNT(BM3:BM157)&gt;0,"Y","X")</f>
        <v>0</v>
      </c>
      <c r="BN2" s="21" t="s">
        <v>1064</v>
      </c>
      <c r="BO2" s="21">
        <f>IF(COUNT(BO3:BO157)&gt;0,"Y","X")</f>
        <v>0</v>
      </c>
      <c r="BP2" s="21" t="s">
        <v>1064</v>
      </c>
      <c r="BQ2" s="21">
        <f>IF(COUNT(BQ3:BQ157)&gt;0,"Y","X")</f>
        <v>0</v>
      </c>
      <c r="BR2" s="21" t="s">
        <v>1064</v>
      </c>
      <c r="BS2" s="21">
        <f>IF(COUNT(BS3:BS157)&gt;0,"Y","X")</f>
        <v>0</v>
      </c>
      <c r="BT2" s="21" t="s">
        <v>1064</v>
      </c>
      <c r="BU2" s="21">
        <f>IF(COUNT(BU3:BU157)&gt;0,"Y","X")</f>
        <v>0</v>
      </c>
      <c r="BV2" s="21" t="s">
        <v>1064</v>
      </c>
      <c r="BW2" s="21">
        <f>IF(COUNT(BW3:BW157)&gt;0,"Y","X")</f>
        <v>0</v>
      </c>
      <c r="BX2" s="21" t="s">
        <v>1064</v>
      </c>
      <c r="BY2" s="21">
        <f>IF(COUNT(BY3:BY157)&gt;0,"Y","X")</f>
        <v>0</v>
      </c>
      <c r="BZ2" s="21" t="s">
        <v>1064</v>
      </c>
      <c r="CA2" s="21">
        <f>IF(COUNT(CA3:CA157)&gt;0,"Y","X")</f>
        <v>0</v>
      </c>
      <c r="CB2" s="21" t="s">
        <v>1064</v>
      </c>
      <c r="CC2" s="21">
        <f>IF(COUNT(CC3:CC157)&gt;0,"Y","X")</f>
        <v>0</v>
      </c>
      <c r="CD2" s="21" t="s">
        <v>1064</v>
      </c>
      <c r="CE2" s="21">
        <f>IF(COUNT(CE3:CE157)&gt;0,"Y","X")</f>
        <v>0</v>
      </c>
      <c r="CF2" s="21" t="s">
        <v>1064</v>
      </c>
      <c r="CG2" s="21">
        <f>IF(COUNT(CG3:CG157)&gt;0,"Y","X")</f>
        <v>0</v>
      </c>
      <c r="CH2" s="21" t="s">
        <v>1064</v>
      </c>
      <c r="CI2" s="21">
        <f>IF(COUNT(CI3:CI157)&gt;0,"Y","X")</f>
        <v>0</v>
      </c>
      <c r="CJ2" s="21" t="s">
        <v>1064</v>
      </c>
      <c r="CK2" s="21">
        <f>IF(COUNT(CK3:CK157)&gt;0,"Y","X")</f>
        <v>0</v>
      </c>
      <c r="CL2" s="21" t="s">
        <v>1064</v>
      </c>
      <c r="CM2" s="21">
        <f>IF(COUNT(CM3:CM157)&gt;0,"Y","X")</f>
        <v>0</v>
      </c>
      <c r="CN2" s="21" t="s">
        <v>1064</v>
      </c>
      <c r="CO2" s="21">
        <f>IF(COUNT(CO3:CO157)&gt;0,"Y","X")</f>
        <v>0</v>
      </c>
      <c r="CP2" s="21" t="s">
        <v>1064</v>
      </c>
      <c r="CQ2" s="21">
        <f>IF(COUNT(CQ3:CQ157)&gt;0,"Y","X")</f>
        <v>0</v>
      </c>
      <c r="CR2" s="21" t="s">
        <v>1064</v>
      </c>
      <c r="CS2" s="21">
        <f>IF(COUNT(CS3:CS157)&gt;0,"Y","X")</f>
        <v>0</v>
      </c>
      <c r="CT2" s="21" t="s">
        <v>1064</v>
      </c>
      <c r="CU2" s="21">
        <f>IF(COUNT(CU3:CU157)&gt;0,"Y","X")</f>
        <v>0</v>
      </c>
      <c r="CV2" s="21" t="s">
        <v>1064</v>
      </c>
      <c r="CW2" s="21">
        <f>IF(COUNT(CW3:CW157)&gt;0,"Y","X")</f>
        <v>0</v>
      </c>
      <c r="CX2" s="21" t="s">
        <v>1064</v>
      </c>
      <c r="CY2" s="21">
        <f>IF(COUNT(CY3:CY157)&gt;0,"Y","X")</f>
        <v>0</v>
      </c>
      <c r="CZ2" s="21" t="s">
        <v>1064</v>
      </c>
      <c r="DA2" s="21">
        <f>IF(COUNT(DA3:DA157)&gt;0,"Y","X")</f>
        <v>0</v>
      </c>
      <c r="DB2" s="21" t="s">
        <v>1064</v>
      </c>
      <c r="DC2" s="21">
        <f>IF(COUNT(DC3:DC157)&gt;0,"Y","X")</f>
        <v>0</v>
      </c>
      <c r="DD2" s="21" t="s">
        <v>1064</v>
      </c>
      <c r="DE2" s="21">
        <f>IF(COUNT(DE3:DE157)&gt;0,"Y","X")</f>
        <v>0</v>
      </c>
      <c r="DF2" s="21" t="s">
        <v>1064</v>
      </c>
      <c r="DG2" s="21">
        <f>IF(COUNT(DG3:DG157)&gt;0,"Y","X")</f>
        <v>0</v>
      </c>
      <c r="DH2" s="21" t="s">
        <v>1064</v>
      </c>
      <c r="DI2" s="21">
        <f>IF(COUNT(DI3:DI157)&gt;0,"Y","X")</f>
        <v>0</v>
      </c>
      <c r="DJ2" s="21" t="s">
        <v>1064</v>
      </c>
      <c r="DK2" s="21">
        <f>IF(COUNT(DK3:DK157)&gt;0,"Y","X")</f>
        <v>0</v>
      </c>
      <c r="DL2" s="21" t="s">
        <v>1064</v>
      </c>
      <c r="DM2" s="21">
        <f>IF(COUNT(DM3:DM157)&gt;0,"Y","X")</f>
        <v>0</v>
      </c>
      <c r="DN2" s="21" t="s">
        <v>1064</v>
      </c>
      <c r="DO2" s="21">
        <f>IF(COUNT(DO3:DO157)&gt;0,"Y","X")</f>
        <v>0</v>
      </c>
      <c r="DP2" s="21" t="s">
        <v>1064</v>
      </c>
      <c r="DQ2" s="21">
        <f>IF(COUNT(DQ3:DQ157)&gt;0,"Y","X")</f>
        <v>0</v>
      </c>
      <c r="DR2" s="21" t="s">
        <v>1064</v>
      </c>
      <c r="DS2" s="21">
        <f>IF(COUNT(DS3:DS157)&gt;0,"Y","X")</f>
        <v>0</v>
      </c>
      <c r="DT2" s="21" t="s">
        <v>1064</v>
      </c>
      <c r="DU2" s="21">
        <f>IF(COUNT(DU3:DU157)&gt;0,"Y","X")</f>
        <v>0</v>
      </c>
      <c r="DV2" s="21" t="s">
        <v>1064</v>
      </c>
      <c r="DW2" s="21">
        <f>IF(COUNT(DW3:DW157)&gt;0,"Y","X")</f>
        <v>0</v>
      </c>
      <c r="DX2" s="21" t="s">
        <v>1064</v>
      </c>
      <c r="DY2" s="21">
        <f>IF(COUNT(DY3:DY157)&gt;0,"Y","X")</f>
        <v>0</v>
      </c>
      <c r="DZ2" s="21" t="s">
        <v>1064</v>
      </c>
      <c r="EA2" s="21">
        <f>IF(COUNT(EA3:EA157)&gt;0,"Y","X")</f>
        <v>0</v>
      </c>
      <c r="EB2" s="21" t="s">
        <v>1064</v>
      </c>
      <c r="EC2" s="21">
        <f>IF(COUNT(EC3:EC157)&gt;0,"Y","X")</f>
        <v>0</v>
      </c>
      <c r="ED2" s="21" t="s">
        <v>1064</v>
      </c>
      <c r="EE2" s="21">
        <f>IF(COUNT(EE3:EE157)&gt;0,"Y","X")</f>
        <v>0</v>
      </c>
      <c r="EF2" s="21" t="s">
        <v>1064</v>
      </c>
      <c r="EG2" s="21">
        <f>IF(COUNT(EG3:EG157)&gt;0,"Y","X")</f>
        <v>0</v>
      </c>
      <c r="EH2" s="21" t="s">
        <v>1064</v>
      </c>
      <c r="EI2" s="21">
        <f>IF(COUNT(EI3:EI157)&gt;0,"Y","X")</f>
        <v>0</v>
      </c>
      <c r="EJ2" s="21" t="s">
        <v>1064</v>
      </c>
      <c r="EK2" s="21">
        <f>IF(COUNT(EK3:EK157)&gt;0,"Y","X")</f>
        <v>0</v>
      </c>
      <c r="EL2" s="21" t="s">
        <v>1064</v>
      </c>
      <c r="EM2" s="21">
        <f>IF(COUNT(EM3:EM157)&gt;0,"Y","X")</f>
        <v>0</v>
      </c>
      <c r="EN2" s="21" t="s">
        <v>1064</v>
      </c>
      <c r="EO2" s="21">
        <f>IF(COUNT(EO3:EO157)&gt;0,"Y","X")</f>
        <v>0</v>
      </c>
      <c r="EP2" s="21" t="s">
        <v>1064</v>
      </c>
      <c r="EQ2" s="21">
        <f>IF(COUNT(EQ3:EQ157)&gt;0,"Y","X")</f>
        <v>0</v>
      </c>
      <c r="ER2" s="21" t="s">
        <v>1064</v>
      </c>
      <c r="ES2" s="21">
        <f>IF(COUNT(ES3:ES157)&gt;0,"Y","X")</f>
        <v>0</v>
      </c>
      <c r="ET2" s="21" t="s">
        <v>1064</v>
      </c>
      <c r="EU2" s="21">
        <f>IF(COUNT(EU3:EU157)&gt;0,"Y","X")</f>
        <v>0</v>
      </c>
      <c r="EV2" s="21" t="s">
        <v>1064</v>
      </c>
      <c r="EW2" s="21">
        <f>IF(COUNT(EW3:EW157)&gt;0,"Y","X")</f>
        <v>0</v>
      </c>
      <c r="EX2" s="21" t="s">
        <v>1064</v>
      </c>
      <c r="EY2" s="21">
        <f>IF(COUNT(EY3:EY157)&gt;0,"Y","X")</f>
        <v>0</v>
      </c>
      <c r="EZ2" s="21" t="s">
        <v>1064</v>
      </c>
      <c r="FA2" s="21">
        <f>IF(COUNT(FA3:FA157)&gt;0,"Y","X")</f>
        <v>0</v>
      </c>
      <c r="FB2" s="21" t="s">
        <v>1064</v>
      </c>
      <c r="FC2" s="21">
        <f>IF(COUNT(FC3:FC157)&gt;0,"Y","X")</f>
        <v>0</v>
      </c>
      <c r="FD2" s="21" t="s">
        <v>1064</v>
      </c>
      <c r="FE2" s="21">
        <f>IF(COUNT(FE3:FE157)&gt;0,"Y","X")</f>
        <v>0</v>
      </c>
      <c r="FF2" s="21" t="s">
        <v>1064</v>
      </c>
      <c r="FG2" s="21">
        <f>IF(COUNT(FG3:FG157)&gt;0,"Y","X")</f>
        <v>0</v>
      </c>
      <c r="FH2" s="21" t="s">
        <v>1064</v>
      </c>
      <c r="FI2" s="21">
        <f>IF(COUNT(FI3:FI157)&gt;0,"Y","X")</f>
        <v>0</v>
      </c>
      <c r="FJ2" s="21" t="s">
        <v>1064</v>
      </c>
      <c r="FK2" s="21">
        <f>IF(COUNT(FK3:FK157)&gt;0,"Y","X")</f>
        <v>0</v>
      </c>
      <c r="FL2" s="21" t="s">
        <v>1064</v>
      </c>
      <c r="FM2" s="21">
        <f>IF(COUNT(FM3:FM157)&gt;0,"Y","X")</f>
        <v>0</v>
      </c>
      <c r="FN2" s="21" t="s">
        <v>1064</v>
      </c>
      <c r="FO2" s="21">
        <f>IF(COUNT(FO3:FO157)&gt;0,"Y","X")</f>
        <v>0</v>
      </c>
      <c r="FP2" s="21" t="s">
        <v>1064</v>
      </c>
      <c r="FQ2" s="21">
        <f>IF(COUNT(FQ3:FQ157)&gt;0,"Y","X")</f>
        <v>0</v>
      </c>
      <c r="FR2" s="21" t="s">
        <v>1064</v>
      </c>
      <c r="FS2" s="21">
        <f>IF(COUNT(FS3:FS157)&gt;0,"Y","X")</f>
        <v>0</v>
      </c>
      <c r="FT2" s="21" t="s">
        <v>1064</v>
      </c>
      <c r="FU2" s="21">
        <f>IF(COUNT(FU3:FU157)&gt;0,"Y","X")</f>
        <v>0</v>
      </c>
      <c r="FV2" s="21" t="s">
        <v>1064</v>
      </c>
      <c r="FW2" s="21">
        <f>IF(COUNT(FW3:FW157)&gt;0,"Y","X")</f>
        <v>0</v>
      </c>
      <c r="FX2" s="21" t="s">
        <v>1064</v>
      </c>
      <c r="FY2" s="21">
        <f>IF(COUNT(FY3:FY157)&gt;0,"Y","X")</f>
        <v>0</v>
      </c>
      <c r="FZ2" s="21" t="s">
        <v>1064</v>
      </c>
      <c r="GA2" s="21">
        <f>IF(COUNT(GA3:GA157)&gt;0,"Y","X")</f>
        <v>0</v>
      </c>
      <c r="GB2" s="21" t="s">
        <v>1064</v>
      </c>
      <c r="GC2" s="21">
        <f>IF(COUNT(GC3:GC157)&gt;0,"Y","X")</f>
        <v>0</v>
      </c>
      <c r="GD2" s="21" t="s">
        <v>1064</v>
      </c>
      <c r="GE2" s="21">
        <f>IF(COUNT(GE3:GE157)&gt;0,"Y","X")</f>
        <v>0</v>
      </c>
      <c r="GF2" s="21" t="s">
        <v>1064</v>
      </c>
      <c r="GG2" s="21">
        <f>IF(COUNT(GG3:GG157)&gt;0,"Y","X")</f>
        <v>0</v>
      </c>
      <c r="GH2" s="21" t="s">
        <v>1064</v>
      </c>
      <c r="GI2" s="21">
        <f>IF(COUNT(GI3:GI157)&gt;0,"Y","X")</f>
        <v>0</v>
      </c>
      <c r="GJ2" s="21" t="s">
        <v>1064</v>
      </c>
      <c r="GK2" s="21">
        <f>IF(COUNT(GK3:GK157)&gt;0,"Y","X")</f>
        <v>0</v>
      </c>
      <c r="GL2" s="21" t="s">
        <v>1064</v>
      </c>
      <c r="GM2" s="21">
        <f>IF(COUNT(GM3:GM157)&gt;0,"Y","X")</f>
        <v>0</v>
      </c>
      <c r="GN2" s="21" t="s">
        <v>1064</v>
      </c>
      <c r="GO2" s="21">
        <f>IF(COUNT(GO3:GO157)&gt;0,"Y","X")</f>
        <v>0</v>
      </c>
      <c r="GP2" s="21" t="s">
        <v>1064</v>
      </c>
      <c r="GQ2" s="21">
        <f>IF(COUNT(GQ3:GQ157)&gt;0,"Y","X")</f>
        <v>0</v>
      </c>
      <c r="GR2" s="21" t="s">
        <v>1064</v>
      </c>
      <c r="GS2" s="21">
        <f>IF(COUNT(GS3:GS157)&gt;0,"Y","X")</f>
        <v>0</v>
      </c>
      <c r="GT2" s="21" t="s">
        <v>1064</v>
      </c>
      <c r="GU2" s="21">
        <f>IF(COUNT(GU3:GU157)&gt;0,"Y","X")</f>
        <v>0</v>
      </c>
      <c r="GV2" s="21" t="s">
        <v>1064</v>
      </c>
      <c r="GW2" s="21">
        <f>IF(COUNT(GW3:GW157)&gt;0,"Y","X")</f>
        <v>0</v>
      </c>
      <c r="GX2" s="21" t="s">
        <v>1064</v>
      </c>
      <c r="GY2" s="21">
        <f>IF(COUNT(GY3:GY157)&gt;0,"Y","X")</f>
        <v>0</v>
      </c>
      <c r="GZ2" s="21" t="s">
        <v>1064</v>
      </c>
      <c r="HA2" s="21">
        <f>IF(COUNT(HA3:HA157)&gt;0,"Y","X")</f>
        <v>0</v>
      </c>
      <c r="HB2" s="21" t="s">
        <v>1064</v>
      </c>
      <c r="HC2" s="21">
        <f>IF(COUNT(HC3:HC157)&gt;0,"Y","X")</f>
        <v>0</v>
      </c>
      <c r="HD2" s="21" t="s">
        <v>1064</v>
      </c>
      <c r="HE2" s="21">
        <f>IF(COUNT(HE3:HE157)&gt;0,"Y","X")</f>
        <v>0</v>
      </c>
      <c r="HF2" s="21" t="s">
        <v>1064</v>
      </c>
      <c r="HG2" s="21">
        <f>IF(COUNT(HG3:HG157)&gt;0,"Y","X")</f>
        <v>0</v>
      </c>
      <c r="HH2" s="21" t="s">
        <v>1064</v>
      </c>
      <c r="HI2" s="21">
        <f>IF(COUNT(HI3:HI157)&gt;0,"Y","X")</f>
        <v>0</v>
      </c>
      <c r="HJ2" s="21" t="s">
        <v>1064</v>
      </c>
      <c r="HK2" s="21">
        <f>IF(COUNT(HK3:HK157)&gt;0,"Y","X")</f>
        <v>0</v>
      </c>
      <c r="HL2" s="21" t="s">
        <v>1064</v>
      </c>
      <c r="HM2" s="21">
        <f>IF(COUNT(HM3:HM157)&gt;0,"Y","X")</f>
        <v>0</v>
      </c>
      <c r="HN2" s="21" t="s">
        <v>1064</v>
      </c>
      <c r="HO2" s="21">
        <f>IF(COUNT(HO3:HO157)&gt;0,"Y","X")</f>
        <v>0</v>
      </c>
      <c r="HP2" s="21" t="s">
        <v>1064</v>
      </c>
      <c r="HQ2" s="21">
        <f>IF(COUNT(HQ3:HQ157)&gt;0,"Y","X")</f>
        <v>0</v>
      </c>
      <c r="HR2" s="21" t="s">
        <v>1064</v>
      </c>
      <c r="HS2" s="21">
        <f>IF(COUNT(HS3:HS157)&gt;0,"Y","X")</f>
        <v>0</v>
      </c>
      <c r="HT2" s="21" t="s">
        <v>1064</v>
      </c>
      <c r="HU2" s="21">
        <f>IF(COUNT(HU3:HU157)&gt;0,"Y","X")</f>
        <v>0</v>
      </c>
      <c r="HV2" s="21" t="s">
        <v>1064</v>
      </c>
      <c r="HW2" s="21">
        <f>IF(COUNT(HW3:HW157)&gt;0,"Y","X")</f>
        <v>0</v>
      </c>
      <c r="HX2" s="21" t="s">
        <v>1064</v>
      </c>
      <c r="HY2" s="21">
        <f>IF(COUNT(HY3:HY157)&gt;0,"Y","X")</f>
        <v>0</v>
      </c>
      <c r="HZ2" s="21" t="s">
        <v>1064</v>
      </c>
      <c r="IA2" s="21">
        <f>IF(COUNT(IA3:IA157)&gt;0,"Y","X")</f>
        <v>0</v>
      </c>
      <c r="IB2" s="21" t="s">
        <v>1064</v>
      </c>
      <c r="IC2" s="21">
        <f>IF(COUNT(IC3:IC157)&gt;0,"Y","X")</f>
        <v>0</v>
      </c>
      <c r="ID2" s="21" t="s">
        <v>1064</v>
      </c>
      <c r="IE2" s="21">
        <f>IF(COUNT(IE3:IE157)&gt;0,"Y","X")</f>
        <v>0</v>
      </c>
      <c r="IF2" s="21" t="s">
        <v>1064</v>
      </c>
      <c r="IG2" s="21">
        <f>IF(COUNT(IG3:IG157)&gt;0,"Y","X")</f>
        <v>0</v>
      </c>
      <c r="IH2" s="21" t="s">
        <v>1064</v>
      </c>
      <c r="II2" s="21">
        <f>IF(COUNT(II3:II157)&gt;0,"Y","X")</f>
        <v>0</v>
      </c>
      <c r="IJ2" s="21" t="s">
        <v>1064</v>
      </c>
      <c r="IK2" s="21">
        <f>IF(COUNT(IK3:IK157)&gt;0,"Y","X")</f>
        <v>0</v>
      </c>
      <c r="IL2" s="21" t="s">
        <v>1064</v>
      </c>
      <c r="IM2" s="21">
        <f>IF(COUNT(IM3:IM157)&gt;0,"Y","X")</f>
        <v>0</v>
      </c>
      <c r="IN2" s="21" t="s">
        <v>1064</v>
      </c>
      <c r="IO2" s="21">
        <f>IF(COUNT(IO3:IO157)&gt;0,"Y","X")</f>
        <v>0</v>
      </c>
      <c r="IP2" s="21" t="s">
        <v>1064</v>
      </c>
      <c r="IQ2" s="21">
        <f>IF(COUNT(IQ3:IQ157)&gt;0,"Y","X")</f>
        <v>0</v>
      </c>
      <c r="IR2" s="21" t="s">
        <v>1064</v>
      </c>
      <c r="IS2" s="21">
        <f>IF(COUNT(IS3:IS157)&gt;0,"Y","X")</f>
        <v>0</v>
      </c>
      <c r="IT2" s="21" t="s">
        <v>1064</v>
      </c>
      <c r="IU2" s="21">
        <f>IF(COUNT(IU3:IU157)&gt;0,"Y","X")</f>
        <v>0</v>
      </c>
      <c r="IV2" s="21" t="s">
        <v>1064</v>
      </c>
      <c r="IW2" s="21">
        <f>IF(COUNT(IW3:IW157)&gt;0,"Y","X")</f>
        <v>0</v>
      </c>
      <c r="IX2" s="21" t="s">
        <v>1064</v>
      </c>
      <c r="IY2" s="21">
        <f>IF(COUNT(IY3:IY157)&gt;0,"Y","X")</f>
        <v>0</v>
      </c>
      <c r="IZ2" s="21" t="s">
        <v>1064</v>
      </c>
      <c r="JA2" s="21">
        <f>IF(COUNT(JA3:JA157)&gt;0,"Y","X")</f>
        <v>0</v>
      </c>
      <c r="JB2" s="21" t="s">
        <v>1064</v>
      </c>
      <c r="JC2" s="21">
        <f>IF(COUNT(JC3:JC157)&gt;0,"Y","X")</f>
        <v>0</v>
      </c>
      <c r="JD2" s="21" t="s">
        <v>1064</v>
      </c>
      <c r="JE2" s="21">
        <f>IF(COUNT(JE3:JE157)&gt;0,"Y","X")</f>
        <v>0</v>
      </c>
      <c r="JF2" s="21" t="s">
        <v>1064</v>
      </c>
      <c r="JG2" s="21">
        <f>IF(COUNT(JG3:JG157)&gt;0,"Y","X")</f>
        <v>0</v>
      </c>
      <c r="JH2" s="21" t="s">
        <v>1064</v>
      </c>
      <c r="JI2" s="21">
        <f>IF(COUNT(JI3:JI157)&gt;0,"Y","X")</f>
        <v>0</v>
      </c>
      <c r="JJ2" s="21" t="s">
        <v>1064</v>
      </c>
      <c r="JK2" s="21">
        <f>IF(COUNT(JK3:JK157)&gt;0,"Y","X")</f>
        <v>0</v>
      </c>
      <c r="JL2" s="21" t="s">
        <v>1064</v>
      </c>
      <c r="JM2" s="21">
        <f>IF(COUNT(JM3:JM157)&gt;0,"Y","X")</f>
        <v>0</v>
      </c>
      <c r="JN2" s="21" t="s">
        <v>1064</v>
      </c>
      <c r="JO2" s="21">
        <f>IF(COUNT(JO3:JO157)&gt;0,"Y","X")</f>
        <v>0</v>
      </c>
      <c r="JP2" s="21" t="s">
        <v>1064</v>
      </c>
      <c r="JQ2" s="21">
        <f>IF(COUNT(JQ3:JQ157)&gt;0,"Y","X")</f>
        <v>0</v>
      </c>
      <c r="JR2" s="21" t="s">
        <v>1064</v>
      </c>
      <c r="JS2" s="21">
        <f>IF(COUNT(JS3:JS157)&gt;0,"Y","X")</f>
        <v>0</v>
      </c>
      <c r="JT2" s="21" t="s">
        <v>1064</v>
      </c>
      <c r="JU2" s="21">
        <f>IF(COUNT(JU3:JU157)&gt;0,"Y","X")</f>
        <v>0</v>
      </c>
      <c r="JV2" s="21" t="s">
        <v>1064</v>
      </c>
      <c r="JW2" s="21">
        <f>IF(COUNT(JW3:JW157)&gt;0,"Y","X")</f>
        <v>0</v>
      </c>
      <c r="JX2" s="21" t="s">
        <v>1064</v>
      </c>
      <c r="JY2" s="21">
        <f>IF(COUNT(JY3:JY157)&gt;0,"Y","X")</f>
        <v>0</v>
      </c>
      <c r="JZ2" s="21" t="s">
        <v>1064</v>
      </c>
      <c r="KA2" s="21">
        <f>IF(COUNT(KA3:KA157)&gt;0,"Y","X")</f>
        <v>0</v>
      </c>
      <c r="KB2" s="21" t="s">
        <v>1064</v>
      </c>
      <c r="KC2" s="21">
        <f>IF(COUNT(KC3:KC157)&gt;0,"Y","X")</f>
        <v>0</v>
      </c>
      <c r="KD2" s="21" t="s">
        <v>1064</v>
      </c>
      <c r="KE2" s="21">
        <f>IF(COUNT(KE3:KE157)&gt;0,"Y","X")</f>
        <v>0</v>
      </c>
      <c r="KF2" s="21" t="s">
        <v>1064</v>
      </c>
      <c r="KG2" s="21">
        <f>IF(COUNT(KG3:KG157)&gt;0,"Y","X")</f>
        <v>0</v>
      </c>
      <c r="KH2" s="21" t="s">
        <v>1064</v>
      </c>
      <c r="KI2" s="21">
        <f>IF(COUNT(KI3:KI157)&gt;0,"Y","X")</f>
        <v>0</v>
      </c>
      <c r="KJ2" s="21" t="s">
        <v>1064</v>
      </c>
      <c r="KK2" s="21">
        <f>IF(COUNT(KK3:KK157)&gt;0,"Y","X")</f>
        <v>0</v>
      </c>
      <c r="KL2" s="21" t="s">
        <v>1064</v>
      </c>
      <c r="KM2" s="21">
        <f>IF(COUNT(KM3:KM157)&gt;0,"Y","X")</f>
        <v>0</v>
      </c>
      <c r="KN2" s="21" t="s">
        <v>1064</v>
      </c>
      <c r="KO2" s="21">
        <f>IF(COUNT(KO3:KO157)&gt;0,"Y","X")</f>
        <v>0</v>
      </c>
      <c r="KP2" s="21" t="s">
        <v>1064</v>
      </c>
      <c r="KQ2" s="21">
        <f>IF(COUNT(KQ3:KQ157)&gt;0,"Y","X")</f>
        <v>0</v>
      </c>
      <c r="KR2" s="21" t="s">
        <v>1064</v>
      </c>
      <c r="KS2" s="21">
        <f>IF(COUNT(KS3:KS157)&gt;0,"Y","X")</f>
        <v>0</v>
      </c>
      <c r="KT2" s="21" t="s">
        <v>1064</v>
      </c>
      <c r="KU2" s="21">
        <f>IF(COUNT(KU3:KU157)&gt;0,"Y","X")</f>
        <v>0</v>
      </c>
      <c r="KV2" s="21" t="s">
        <v>1064</v>
      </c>
      <c r="KW2" s="21">
        <f>IF(COUNT(KW3:KW157)&gt;0,"Y","X")</f>
        <v>0</v>
      </c>
      <c r="KX2" s="21" t="s">
        <v>1064</v>
      </c>
      <c r="KY2" s="21">
        <f>IF(COUNT(KY3:KY157)&gt;0,"Y","X")</f>
        <v>0</v>
      </c>
      <c r="KZ2" s="21" t="s">
        <v>1064</v>
      </c>
      <c r="LA2" s="21">
        <f>IF(COUNT(LA3:LA157)&gt;0,"Y","X")</f>
        <v>0</v>
      </c>
      <c r="LB2" s="21" t="s">
        <v>1064</v>
      </c>
      <c r="LC2" s="21">
        <f>IF(COUNT(LC3:LC157)&gt;0,"Y","X")</f>
        <v>0</v>
      </c>
      <c r="LD2" s="21" t="s">
        <v>1064</v>
      </c>
      <c r="LE2" s="21">
        <f>IF(COUNT(LE3:LE157)&gt;0,"Y","X")</f>
        <v>0</v>
      </c>
      <c r="LF2" s="21" t="s">
        <v>1064</v>
      </c>
      <c r="LG2" s="21">
        <f>IF(COUNT(LG3:LG157)&gt;0,"Y","X")</f>
        <v>0</v>
      </c>
      <c r="LH2" s="21" t="s">
        <v>1064</v>
      </c>
    </row>
    <row r="3" spans="1:322" ht="53" customHeight="1" collapsed="1">
      <c r="A3" s="22" t="s">
        <v>693</v>
      </c>
      <c r="B3" s="23" t="s">
        <v>1066</v>
      </c>
      <c r="C3" s="24" t="s">
        <v>694</v>
      </c>
      <c r="D3" s="24"/>
      <c r="E3" s="25" t="s">
        <v>1067</v>
      </c>
      <c r="F3" s="26"/>
      <c r="G3" s="26"/>
      <c r="H3" s="26" t="s">
        <v>1068</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696</v>
      </c>
      <c r="E4" s="32" t="s">
        <v>1069</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701</v>
      </c>
      <c r="E5" s="32" t="s">
        <v>1045</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703</v>
      </c>
      <c r="E6" s="32" t="s">
        <v>1033</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705</v>
      </c>
      <c r="E7" s="32" t="s">
        <v>1044</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1070</v>
      </c>
    </row>
    <row r="8" spans="1:322" hidden="1" outlineLevel="1">
      <c r="B8" s="23"/>
      <c r="D8" s="31" t="s">
        <v>707</v>
      </c>
      <c r="E8" s="32" t="s">
        <v>1040</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709</v>
      </c>
      <c r="E9" s="32" t="s">
        <v>1038</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711</v>
      </c>
      <c r="E10" s="32" t="s">
        <v>1046</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1071</v>
      </c>
    </row>
    <row r="11" spans="1:322" hidden="1" outlineLevel="1">
      <c r="A11" s="36" t="s">
        <v>713</v>
      </c>
      <c r="B11" s="23"/>
      <c r="C11" s="37" t="s">
        <v>714</v>
      </c>
      <c r="E11" s="32" t="s">
        <v>1067</v>
      </c>
      <c r="F11" s="38">
        <f>MIN(F15:F21)</f>
        <v>45689.0</v>
      </c>
      <c r="H11" s="38" t="s">
        <v>1068</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1064</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1072</v>
      </c>
    </row>
    <row r="12" spans="1:322" hidden="1" outlineLevel="1">
      <c r="B12" s="23"/>
    </row>
    <row r="13" spans="1:322" hidden="1" outlineLevel="1">
      <c r="B13" s="23"/>
    </row>
    <row r="14" spans="1:322" hidden="1" outlineLevel="1">
      <c r="B14" s="23"/>
    </row>
    <row r="15" spans="1:322" hidden="1" outlineLevel="1">
      <c r="B15" s="23"/>
      <c r="D15" s="31" t="s">
        <v>696</v>
      </c>
      <c r="E15" s="32" t="s">
        <v>1069</v>
      </c>
      <c r="F15" s="38" t="s">
        <v>1073</v>
      </c>
      <c r="I15" s="40" t="s">
        <v>1074</v>
      </c>
      <c r="J15" s="34">
        <f>IF(AND(ISNUMBER(K15),ISNUMBER(I15)),K15-I15,"")</f>
        <v>0</v>
      </c>
      <c r="K15" s="33">
        <v>5</v>
      </c>
      <c r="L15" s="34">
        <f>IF(AND(ISNUMBER(M15),ISNUMBER(K15)),M15-K15,"")</f>
        <v>0</v>
      </c>
      <c r="M15" s="40" t="s">
        <v>1074</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701</v>
      </c>
      <c r="E16" s="32" t="s">
        <v>1045</v>
      </c>
      <c r="F16" s="38">
        <v>45689</v>
      </c>
      <c r="I16" s="40" t="s">
        <v>1074</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703</v>
      </c>
      <c r="E17" s="32" t="s">
        <v>1033</v>
      </c>
      <c r="I17" s="40" t="s">
        <v>1074</v>
      </c>
      <c r="J17" s="34">
        <f>IF(AND(ISNUMBER(K17),ISNUMBER(I17)),K17-I17,"")</f>
        <v>0</v>
      </c>
      <c r="K17" s="40" t="s">
        <v>1074</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1074</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705</v>
      </c>
      <c r="E18" s="32" t="s">
        <v>1044</v>
      </c>
      <c r="I18" s="40" t="s">
        <v>1074</v>
      </c>
      <c r="J18" s="34">
        <f>IF(AND(ISNUMBER(K18),ISNUMBER(I18)),K18-I18,"")</f>
        <v>0</v>
      </c>
      <c r="K18" s="40" t="s">
        <v>1074</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1074</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1070</v>
      </c>
    </row>
    <row r="19" spans="1:322" hidden="1" outlineLevel="1">
      <c r="B19" s="23"/>
      <c r="D19" s="31" t="s">
        <v>707</v>
      </c>
      <c r="E19" s="32" t="s">
        <v>1040</v>
      </c>
      <c r="F19" s="38">
        <v>45689</v>
      </c>
      <c r="I19" s="40" t="s">
        <v>1074</v>
      </c>
      <c r="J19" s="34">
        <f>IF(AND(ISNUMBER(K19),ISNUMBER(I19)),K19-I19,"")</f>
        <v>0</v>
      </c>
      <c r="K19" s="40" t="s">
        <v>1074</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709</v>
      </c>
      <c r="E20" s="32" t="s">
        <v>1038</v>
      </c>
      <c r="F20" s="38">
        <v>45689</v>
      </c>
      <c r="I20" s="33">
        <v>2</v>
      </c>
      <c r="J20" s="34">
        <f>IF(AND(ISNUMBER(K20),ISNUMBER(I20)),K20-I20,"")</f>
        <v>0</v>
      </c>
      <c r="K20" s="33">
        <v>0</v>
      </c>
      <c r="L20" s="34">
        <f>IF(AND(ISNUMBER(M20),ISNUMBER(K20)),M20-K20,"")</f>
        <v>0</v>
      </c>
      <c r="M20" s="33">
        <v>0</v>
      </c>
      <c r="N20" s="34">
        <f>IF(AND(ISNUMBER(O20),ISNUMBER(M20)),O20-M20,"")</f>
        <v>0</v>
      </c>
      <c r="O20" s="40" t="s">
        <v>1074</v>
      </c>
      <c r="P20" s="34">
        <f>IF(AND(ISNUMBER(Q20),ISNUMBER(O20)),Q20-O20,"")</f>
        <v>0</v>
      </c>
      <c r="Q20" s="33">
        <v>0</v>
      </c>
      <c r="R20" s="34">
        <f>IF(AND(ISNUMBER(S20),ISNUMBER(Q20)),S20-Q20,"")</f>
        <v>0</v>
      </c>
      <c r="S20" s="33">
        <v>8</v>
      </c>
      <c r="T20" s="34">
        <f>IF(AND(ISNUMBER(U20),ISNUMBER(S20)),U20-S20,"")</f>
        <v>0</v>
      </c>
      <c r="U20" s="40" t="s">
        <v>1074</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711</v>
      </c>
      <c r="E21" s="32" t="s">
        <v>1046</v>
      </c>
      <c r="F21" s="38">
        <v>45689</v>
      </c>
      <c r="I21" s="40" t="s">
        <v>1074</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1074</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1074</v>
      </c>
      <c r="AP21" s="34">
        <f>IF(AND(ISNUMBER(AQ21),ISNUMBER(AO21)),AQ21-AO21,"")</f>
        <v>0</v>
      </c>
      <c r="AQ21" s="40" t="s">
        <v>1074</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1071</v>
      </c>
    </row>
    <row r="22" spans="1:322" hidden="1" outlineLevel="1"/>
    <row r="23" spans="1:322" ht="40.25" customHeight="1" collapsed="1">
      <c r="A23" s="22" t="s">
        <v>723</v>
      </c>
      <c r="B23" s="23" t="s">
        <v>1075</v>
      </c>
      <c r="C23" s="24" t="s">
        <v>694</v>
      </c>
      <c r="D23" s="24"/>
      <c r="E23" s="25" t="s">
        <v>1067</v>
      </c>
      <c r="F23" s="26"/>
      <c r="G23" s="26"/>
      <c r="H23" s="26" t="s">
        <v>1068</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1072</v>
      </c>
    </row>
    <row r="24" spans="1:322" hidden="1" outlineLevel="1">
      <c r="B24" s="23"/>
      <c r="D24" s="31" t="s">
        <v>696</v>
      </c>
      <c r="E24" s="32" t="s">
        <v>1069</v>
      </c>
      <c r="F24" s="38" t="s">
        <v>1076</v>
      </c>
      <c r="I24" s="40" t="s">
        <v>1074</v>
      </c>
      <c r="J24" s="34">
        <f>IF(AND(ISNUMBER(K24),ISNUMBER(I24)),K24-I24,"")</f>
        <v>0</v>
      </c>
      <c r="K24" s="40" t="s">
        <v>1074</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1074</v>
      </c>
      <c r="Z24" s="34">
        <f>IF(AND(ISNUMBER(AA24),ISNUMBER(Y24)),AA24-Y24,"")</f>
        <v>0</v>
      </c>
      <c r="AA24" s="40" t="s">
        <v>1074</v>
      </c>
      <c r="AB24" s="34">
        <f>IF(AND(ISNUMBER(AC24),ISNUMBER(AA24)),AC24-AA24,"")</f>
        <v>0</v>
      </c>
      <c r="AC24" s="40" t="s">
        <v>1074</v>
      </c>
      <c r="AD24" s="34">
        <f>IF(AND(ISNUMBER(AE24),ISNUMBER(AC24)),AE24-AC24,"")</f>
        <v>0</v>
      </c>
      <c r="AE24" s="40" t="s">
        <v>1074</v>
      </c>
      <c r="AF24" s="34">
        <f>IF(AND(ISNUMBER(AG24),ISNUMBER(AE24)),AG24-AE24,"")</f>
        <v>0</v>
      </c>
      <c r="AG24" s="40" t="s">
        <v>1074</v>
      </c>
      <c r="AH24" s="34">
        <f>IF(AND(ISNUMBER(AI24),ISNUMBER(AG24)),AI24-AG24,"")</f>
        <v>0</v>
      </c>
      <c r="AI24" s="40" t="s">
        <v>1074</v>
      </c>
      <c r="AJ24" s="34">
        <f>IF(AND(ISNUMBER(AK24),ISNUMBER(AI24)),AK24-AI24,"")</f>
        <v>0</v>
      </c>
      <c r="AK24" s="33">
        <v>0</v>
      </c>
      <c r="AL24" s="34">
        <f>IF(AND(ISNUMBER(AM24),ISNUMBER(AK24)),AM24-AK24,"")</f>
        <v>0</v>
      </c>
      <c r="AM24" s="40" t="s">
        <v>1074</v>
      </c>
      <c r="AN24" s="34">
        <f>IF(AND(ISNUMBER(AO24),ISNUMBER(AM24)),AO24-AM24,"")</f>
        <v>0</v>
      </c>
      <c r="AO24" s="40" t="s">
        <v>1074</v>
      </c>
      <c r="AP24" s="34">
        <f>IF(AND(ISNUMBER(AQ24),ISNUMBER(AO24)),AQ24-AO24,"")</f>
        <v>0</v>
      </c>
      <c r="AQ24" s="40" t="s">
        <v>1074</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701</v>
      </c>
      <c r="E25" s="32" t="s">
        <v>1045</v>
      </c>
      <c r="I25" s="40" t="s">
        <v>1074</v>
      </c>
      <c r="J25" s="34">
        <f>IF(AND(ISNUMBER(K25),ISNUMBER(I25)),K25-I25,"")</f>
        <v>0</v>
      </c>
      <c r="K25" s="33">
        <v>5</v>
      </c>
      <c r="L25" s="34">
        <f>IF(AND(ISNUMBER(M25),ISNUMBER(K25)),M25-K25,"")</f>
        <v>0</v>
      </c>
      <c r="M25" s="33">
        <v>0</v>
      </c>
      <c r="N25" s="34">
        <f>IF(AND(ISNUMBER(O25),ISNUMBER(M25)),O25-M25,"")</f>
        <v>0</v>
      </c>
      <c r="O25" s="40" t="s">
        <v>1074</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1074</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703</v>
      </c>
      <c r="E26" s="32" t="s">
        <v>1033</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705</v>
      </c>
      <c r="E27" s="32" t="s">
        <v>1044</v>
      </c>
      <c r="I27" s="40" t="s">
        <v>1074</v>
      </c>
      <c r="J27" s="34">
        <f>IF(AND(ISNUMBER(K27),ISNUMBER(I27)),K27-I27,"")</f>
        <v>0</v>
      </c>
      <c r="K27" s="40" t="s">
        <v>1074</v>
      </c>
      <c r="L27" s="34">
        <f>IF(AND(ISNUMBER(M27),ISNUMBER(K27)),M27-K27,"")</f>
        <v>0</v>
      </c>
      <c r="M27" s="33">
        <v>0</v>
      </c>
      <c r="N27" s="34">
        <f>IF(AND(ISNUMBER(O27),ISNUMBER(M27)),O27-M27,"")</f>
        <v>0</v>
      </c>
      <c r="O27" s="40" t="s">
        <v>1074</v>
      </c>
      <c r="P27" s="34">
        <f>IF(AND(ISNUMBER(Q27),ISNUMBER(O27)),Q27-O27,"")</f>
        <v>0</v>
      </c>
      <c r="Q27" s="40" t="s">
        <v>1074</v>
      </c>
      <c r="R27" s="34">
        <f>IF(AND(ISNUMBER(S27),ISNUMBER(Q27)),S27-Q27,"")</f>
        <v>0</v>
      </c>
      <c r="S27" s="33">
        <v>12</v>
      </c>
      <c r="T27" s="34">
        <f>IF(AND(ISNUMBER(U27),ISNUMBER(S27)),U27-S27,"")</f>
        <v>0</v>
      </c>
      <c r="U27" s="40" t="s">
        <v>1074</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1074</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1077</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1078</v>
      </c>
    </row>
    <row r="28" spans="1:322" hidden="1" outlineLevel="1">
      <c r="B28" s="23"/>
      <c r="D28" s="31" t="s">
        <v>707</v>
      </c>
      <c r="E28" s="32" t="s">
        <v>1040</v>
      </c>
      <c r="I28" s="40" t="s">
        <v>1074</v>
      </c>
      <c r="J28" s="34">
        <f>IF(AND(ISNUMBER(K28),ISNUMBER(I28)),K28-I28,"")</f>
        <v>0</v>
      </c>
      <c r="K28" s="40" t="s">
        <v>1074</v>
      </c>
      <c r="L28" s="34">
        <f>IF(AND(ISNUMBER(M28),ISNUMBER(K28)),M28-K28,"")</f>
        <v>0</v>
      </c>
      <c r="M28" s="40" t="s">
        <v>1074</v>
      </c>
      <c r="N28" s="34">
        <f>IF(AND(ISNUMBER(O28),ISNUMBER(M28)),O28-M28,"")</f>
        <v>0</v>
      </c>
      <c r="O28" s="40" t="s">
        <v>1074</v>
      </c>
      <c r="P28" s="34">
        <f>IF(AND(ISNUMBER(Q28),ISNUMBER(O28)),Q28-O28,"")</f>
        <v>0</v>
      </c>
      <c r="Q28" s="40" t="s">
        <v>1074</v>
      </c>
      <c r="R28" s="34">
        <f>IF(AND(ISNUMBER(S28),ISNUMBER(Q28)),S28-Q28,"")</f>
        <v>0</v>
      </c>
      <c r="S28" s="40" t="s">
        <v>1074</v>
      </c>
      <c r="T28" s="34">
        <f>IF(AND(ISNUMBER(U28),ISNUMBER(S28)),U28-S28,"")</f>
        <v>0</v>
      </c>
      <c r="U28" s="40" t="s">
        <v>1074</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709</v>
      </c>
      <c r="E29" s="32" t="s">
        <v>1038</v>
      </c>
      <c r="I29" s="40" t="s">
        <v>1074</v>
      </c>
      <c r="J29" s="34">
        <f>IF(AND(ISNUMBER(K29),ISNUMBER(I29)),K29-I29,"")</f>
        <v>0</v>
      </c>
      <c r="K29" s="40" t="s">
        <v>1074</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1074</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711</v>
      </c>
      <c r="E30" s="32" t="s">
        <v>1046</v>
      </c>
      <c r="I30" s="40" t="s">
        <v>1074</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1074</v>
      </c>
      <c r="AP30" s="34">
        <f>IF(AND(ISNUMBER(AQ30),ISNUMBER(AO30)),AQ30-AO30,"")</f>
        <v>0</v>
      </c>
      <c r="AQ30" s="40" t="s">
        <v>1074</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1071</v>
      </c>
    </row>
    <row r="31" spans="1:322" hidden="1" outlineLevel="1">
      <c r="A31" s="36" t="s">
        <v>731</v>
      </c>
      <c r="B31" s="23"/>
      <c r="C31" s="37" t="s">
        <v>714</v>
      </c>
      <c r="E31" s="32" t="s">
        <v>1067</v>
      </c>
      <c r="F31" s="38">
        <f>MIN(F32:F38)</f>
        <v>45689.0</v>
      </c>
      <c r="H31" s="38" t="s">
        <v>1068</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1064</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1072</v>
      </c>
    </row>
    <row r="32" spans="1:322" hidden="1" outlineLevel="1">
      <c r="B32" s="23"/>
      <c r="D32" s="31" t="s">
        <v>696</v>
      </c>
      <c r="E32" s="32" t="s">
        <v>1069</v>
      </c>
      <c r="F32" s="38" t="s">
        <v>1079</v>
      </c>
      <c r="I32" s="40" t="s">
        <v>1074</v>
      </c>
      <c r="J32" s="34">
        <f>IF(AND(ISNUMBER(K32),ISNUMBER(I32)),K32-I32,"")</f>
        <v>0</v>
      </c>
      <c r="K32" s="40" t="s">
        <v>1074</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1074</v>
      </c>
      <c r="Z32" s="34">
        <f>IF(AND(ISNUMBER(AA32),ISNUMBER(Y32)),AA32-Y32,"")</f>
        <v>0</v>
      </c>
      <c r="AA32" s="40" t="s">
        <v>1074</v>
      </c>
      <c r="AB32" s="34">
        <f>IF(AND(ISNUMBER(AC32),ISNUMBER(AA32)),AC32-AA32,"")</f>
        <v>0</v>
      </c>
      <c r="AC32" s="40" t="s">
        <v>1074</v>
      </c>
      <c r="AD32" s="34">
        <f>IF(AND(ISNUMBER(AE32),ISNUMBER(AC32)),AE32-AC32,"")</f>
        <v>0</v>
      </c>
      <c r="AE32" s="40" t="s">
        <v>1074</v>
      </c>
      <c r="AF32" s="34">
        <f>IF(AND(ISNUMBER(AG32),ISNUMBER(AE32)),AG32-AE32,"")</f>
        <v>0</v>
      </c>
      <c r="AG32" s="40" t="s">
        <v>1074</v>
      </c>
      <c r="AH32" s="34">
        <f>IF(AND(ISNUMBER(AI32),ISNUMBER(AG32)),AI32-AG32,"")</f>
        <v>0</v>
      </c>
      <c r="AI32" s="40" t="s">
        <v>1074</v>
      </c>
      <c r="AJ32" s="34">
        <f>IF(AND(ISNUMBER(AK32),ISNUMBER(AI32)),AK32-AI32,"")</f>
        <v>0</v>
      </c>
      <c r="AK32" s="33">
        <v>0</v>
      </c>
      <c r="AL32" s="34">
        <f>IF(AND(ISNUMBER(AM32),ISNUMBER(AK32)),AM32-AK32,"")</f>
        <v>0</v>
      </c>
      <c r="AM32" s="40" t="s">
        <v>1074</v>
      </c>
      <c r="AN32" s="34">
        <f>IF(AND(ISNUMBER(AO32),ISNUMBER(AM32)),AO32-AM32,"")</f>
        <v>0</v>
      </c>
      <c r="AO32" s="40" t="s">
        <v>1074</v>
      </c>
      <c r="AP32" s="34">
        <f>IF(AND(ISNUMBER(AQ32),ISNUMBER(AO32)),AQ32-AO32,"")</f>
        <v>0</v>
      </c>
      <c r="AQ32" s="40" t="s">
        <v>1074</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701</v>
      </c>
      <c r="E33" s="32" t="s">
        <v>1045</v>
      </c>
      <c r="F33" s="38">
        <v>45689</v>
      </c>
      <c r="I33" s="40" t="s">
        <v>1074</v>
      </c>
      <c r="J33" s="34">
        <f>IF(AND(ISNUMBER(K33),ISNUMBER(I33)),K33-I33,"")</f>
        <v>0</v>
      </c>
      <c r="K33" s="33">
        <v>5</v>
      </c>
      <c r="L33" s="34">
        <f>IF(AND(ISNUMBER(M33),ISNUMBER(K33)),M33-K33,"")</f>
        <v>0</v>
      </c>
      <c r="M33" s="33">
        <v>0</v>
      </c>
      <c r="N33" s="34">
        <f>IF(AND(ISNUMBER(O33),ISNUMBER(M33)),O33-M33,"")</f>
        <v>0</v>
      </c>
      <c r="O33" s="40" t="s">
        <v>1074</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1074</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703</v>
      </c>
      <c r="E34" s="32" t="s">
        <v>1033</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705</v>
      </c>
      <c r="E35" s="32" t="s">
        <v>1044</v>
      </c>
      <c r="F35" s="38">
        <v>45689</v>
      </c>
      <c r="I35" s="33">
        <v>3</v>
      </c>
      <c r="J35" s="34">
        <f>IF(AND(ISNUMBER(K35),ISNUMBER(I35)),K35-I35,"")</f>
        <v>0</v>
      </c>
      <c r="K35" s="33">
        <v>2</v>
      </c>
      <c r="L35" s="34">
        <f>IF(AND(ISNUMBER(M35),ISNUMBER(K35)),M35-K35,"")</f>
        <v>0</v>
      </c>
      <c r="M35" s="33">
        <v>0</v>
      </c>
      <c r="N35" s="34">
        <f>IF(AND(ISNUMBER(O35),ISNUMBER(M35)),O35-M35,"")</f>
        <v>0</v>
      </c>
      <c r="O35" s="40" t="s">
        <v>1074</v>
      </c>
      <c r="P35" s="34">
        <f>IF(AND(ISNUMBER(Q35),ISNUMBER(O35)),Q35-O35,"")</f>
        <v>0</v>
      </c>
      <c r="Q35" s="40" t="s">
        <v>1074</v>
      </c>
      <c r="R35" s="34">
        <f>IF(AND(ISNUMBER(S35),ISNUMBER(Q35)),S35-Q35,"")</f>
        <v>0</v>
      </c>
      <c r="S35" s="33">
        <v>12</v>
      </c>
      <c r="T35" s="34">
        <f>IF(AND(ISNUMBER(U35),ISNUMBER(S35)),U35-S35,"")</f>
        <v>0</v>
      </c>
      <c r="U35" s="40" t="s">
        <v>1074</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1074</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1080</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1078</v>
      </c>
    </row>
    <row r="36" spans="1:322" hidden="1" outlineLevel="1">
      <c r="B36" s="23"/>
      <c r="D36" s="31" t="s">
        <v>707</v>
      </c>
      <c r="E36" s="32" t="s">
        <v>1040</v>
      </c>
      <c r="F36" s="38">
        <v>45689</v>
      </c>
      <c r="I36" s="40" t="s">
        <v>1074</v>
      </c>
      <c r="J36" s="34">
        <f>IF(AND(ISNUMBER(K36),ISNUMBER(I36)),K36-I36,"")</f>
        <v>0</v>
      </c>
      <c r="K36" s="40" t="s">
        <v>1074</v>
      </c>
      <c r="L36" s="34">
        <f>IF(AND(ISNUMBER(M36),ISNUMBER(K36)),M36-K36,"")</f>
        <v>0</v>
      </c>
      <c r="M36" s="40" t="s">
        <v>1074</v>
      </c>
      <c r="N36" s="34">
        <f>IF(AND(ISNUMBER(O36),ISNUMBER(M36)),O36-M36,"")</f>
        <v>0</v>
      </c>
      <c r="O36" s="40" t="s">
        <v>1074</v>
      </c>
      <c r="P36" s="34">
        <f>IF(AND(ISNUMBER(Q36),ISNUMBER(O36)),Q36-O36,"")</f>
        <v>0</v>
      </c>
      <c r="Q36" s="40" t="s">
        <v>1074</v>
      </c>
      <c r="R36" s="34">
        <f>IF(AND(ISNUMBER(S36),ISNUMBER(Q36)),S36-Q36,"")</f>
        <v>0</v>
      </c>
      <c r="S36" s="40" t="s">
        <v>1074</v>
      </c>
      <c r="T36" s="34">
        <f>IF(AND(ISNUMBER(U36),ISNUMBER(S36)),U36-S36,"")</f>
        <v>0</v>
      </c>
      <c r="U36" s="40" t="s">
        <v>1074</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709</v>
      </c>
      <c r="E37" s="32" t="s">
        <v>1038</v>
      </c>
      <c r="F37" s="38">
        <v>45689</v>
      </c>
      <c r="I37" s="40" t="s">
        <v>1074</v>
      </c>
      <c r="J37" s="34">
        <f>IF(AND(ISNUMBER(K37),ISNUMBER(I37)),K37-I37,"")</f>
        <v>0</v>
      </c>
      <c r="K37" s="40" t="s">
        <v>1074</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1074</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711</v>
      </c>
      <c r="E38" s="32" t="s">
        <v>1046</v>
      </c>
      <c r="F38" s="38">
        <v>45689</v>
      </c>
      <c r="I38" s="40" t="s">
        <v>1074</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1074</v>
      </c>
      <c r="AP38" s="34">
        <f>IF(AND(ISNUMBER(AQ38),ISNUMBER(AO38)),AQ38-AO38,"")</f>
        <v>0</v>
      </c>
      <c r="AQ38" s="40" t="s">
        <v>1074</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1071</v>
      </c>
    </row>
    <row r="39" spans="1:322" ht="27.5" customHeight="1" collapsed="1">
      <c r="A39" s="22">
        <v>3</v>
      </c>
      <c r="B39" s="23" t="s">
        <v>1081</v>
      </c>
      <c r="C39" s="24" t="s">
        <v>714</v>
      </c>
      <c r="D39" s="24"/>
      <c r="E39" s="25" t="s">
        <v>1067</v>
      </c>
      <c r="F39" s="26"/>
      <c r="G39" s="26"/>
      <c r="H39" s="26" t="s">
        <v>1082</v>
      </c>
      <c r="I39" s="27">
        <v>375</v>
      </c>
      <c r="J39" s="28">
        <f>IF(AND(ISNUMBER(K39),ISNUMBER(I39)),K39-I39,"")</f>
        <v>0</v>
      </c>
      <c r="K39" s="42" t="s">
        <v>1074</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1074</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1074</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1064</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1072</v>
      </c>
    </row>
    <row r="40" spans="1:322" hidden="1" outlineLevel="1">
      <c r="B40" s="23"/>
      <c r="D40" s="31" t="s">
        <v>696</v>
      </c>
      <c r="E40" s="32" t="s">
        <v>1069</v>
      </c>
      <c r="F40" s="38" t="s">
        <v>1083</v>
      </c>
      <c r="I40" s="40" t="s">
        <v>1064</v>
      </c>
      <c r="J40" s="34">
        <f>IF(AND(ISNUMBER(K40),ISNUMBER(I40)),K40-I40,"")</f>
        <v>0</v>
      </c>
      <c r="K40" s="40" t="s">
        <v>1064</v>
      </c>
      <c r="L40" s="34">
        <f>IF(AND(ISNUMBER(M40),ISNUMBER(K40)),M40-K40,"")</f>
        <v>0</v>
      </c>
      <c r="M40" s="40" t="s">
        <v>1064</v>
      </c>
      <c r="N40" s="34">
        <f>IF(AND(ISNUMBER(O40),ISNUMBER(M40)),O40-M40,"")</f>
        <v>0</v>
      </c>
      <c r="O40" s="40" t="s">
        <v>1064</v>
      </c>
      <c r="P40" s="34">
        <f>IF(AND(ISNUMBER(Q40),ISNUMBER(O40)),Q40-O40,"")</f>
        <v>0</v>
      </c>
      <c r="Q40" s="40" t="s">
        <v>1064</v>
      </c>
      <c r="R40" s="34">
        <f>IF(AND(ISNUMBER(S40),ISNUMBER(Q40)),S40-Q40,"")</f>
        <v>0</v>
      </c>
      <c r="S40" s="40" t="s">
        <v>1064</v>
      </c>
      <c r="T40" s="34">
        <f>IF(AND(ISNUMBER(U40),ISNUMBER(S40)),U40-S40,"")</f>
        <v>0</v>
      </c>
      <c r="U40" s="40" t="s">
        <v>1064</v>
      </c>
      <c r="V40" s="34">
        <f>IF(AND(ISNUMBER(W40),ISNUMBER(U40)),W40-U40,"")</f>
        <v>0</v>
      </c>
      <c r="W40" s="40" t="s">
        <v>1064</v>
      </c>
      <c r="X40" s="34">
        <f>IF(AND(ISNUMBER(Y40),ISNUMBER(W40)),Y40-W40,"")</f>
        <v>0</v>
      </c>
      <c r="Y40" s="40" t="s">
        <v>1064</v>
      </c>
      <c r="Z40" s="34">
        <f>IF(AND(ISNUMBER(AA40),ISNUMBER(Y40)),AA40-Y40,"")</f>
        <v>0</v>
      </c>
      <c r="AA40" s="40" t="s">
        <v>1064</v>
      </c>
      <c r="AB40" s="34">
        <f>IF(AND(ISNUMBER(AC40),ISNUMBER(AA40)),AC40-AA40,"")</f>
        <v>0</v>
      </c>
      <c r="AC40" s="40" t="s">
        <v>1064</v>
      </c>
      <c r="AD40" s="34">
        <f>IF(AND(ISNUMBER(AE40),ISNUMBER(AC40)),AE40-AC40,"")</f>
        <v>0</v>
      </c>
      <c r="AE40" s="40" t="s">
        <v>1064</v>
      </c>
      <c r="AF40" s="34">
        <f>IF(AND(ISNUMBER(AG40),ISNUMBER(AE40)),AG40-AE40,"")</f>
        <v>0</v>
      </c>
      <c r="AG40" s="40" t="s">
        <v>1064</v>
      </c>
      <c r="AH40" s="34">
        <f>IF(AND(ISNUMBER(AI40),ISNUMBER(AG40)),AI40-AG40,"")</f>
        <v>0</v>
      </c>
      <c r="AI40" s="40" t="s">
        <v>1064</v>
      </c>
      <c r="AJ40" s="34">
        <f>IF(AND(ISNUMBER(AK40),ISNUMBER(AI40)),AK40-AI40,"")</f>
        <v>0</v>
      </c>
      <c r="AK40" s="40" t="s">
        <v>1064</v>
      </c>
      <c r="AL40" s="34">
        <f>IF(AND(ISNUMBER(AM40),ISNUMBER(AK40)),AM40-AK40,"")</f>
        <v>0</v>
      </c>
      <c r="AM40" s="40" t="s">
        <v>1064</v>
      </c>
      <c r="AN40" s="34">
        <f>IF(AND(ISNUMBER(AO40),ISNUMBER(AM40)),AO40-AM40,"")</f>
        <v>0</v>
      </c>
      <c r="AO40" s="40" t="s">
        <v>1064</v>
      </c>
      <c r="AP40" s="34">
        <f>IF(AND(ISNUMBER(AQ40),ISNUMBER(AO40)),AQ40-AO40,"")</f>
        <v>0</v>
      </c>
      <c r="AQ40" s="40" t="s">
        <v>1064</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701</v>
      </c>
      <c r="E41" s="32" t="s">
        <v>1045</v>
      </c>
      <c r="I41" s="40" t="s">
        <v>1064</v>
      </c>
      <c r="J41" s="34">
        <f>IF(AND(ISNUMBER(K41),ISNUMBER(I41)),K41-I41,"")</f>
        <v>0</v>
      </c>
      <c r="K41" s="40" t="s">
        <v>1064</v>
      </c>
      <c r="L41" s="34">
        <f>IF(AND(ISNUMBER(M41),ISNUMBER(K41)),M41-K41,"")</f>
        <v>0</v>
      </c>
      <c r="M41" s="40" t="s">
        <v>1064</v>
      </c>
      <c r="N41" s="34">
        <f>IF(AND(ISNUMBER(O41),ISNUMBER(M41)),O41-M41,"")</f>
        <v>0</v>
      </c>
      <c r="O41" s="40" t="s">
        <v>1064</v>
      </c>
      <c r="P41" s="34">
        <f>IF(AND(ISNUMBER(Q41),ISNUMBER(O41)),Q41-O41,"")</f>
        <v>0</v>
      </c>
      <c r="Q41" s="40" t="s">
        <v>1064</v>
      </c>
      <c r="R41" s="34">
        <f>IF(AND(ISNUMBER(S41),ISNUMBER(Q41)),S41-Q41,"")</f>
        <v>0</v>
      </c>
      <c r="S41" s="40" t="s">
        <v>1064</v>
      </c>
      <c r="T41" s="34">
        <f>IF(AND(ISNUMBER(U41),ISNUMBER(S41)),U41-S41,"")</f>
        <v>0</v>
      </c>
      <c r="U41" s="40" t="s">
        <v>1064</v>
      </c>
      <c r="V41" s="34">
        <f>IF(AND(ISNUMBER(W41),ISNUMBER(U41)),W41-U41,"")</f>
        <v>0</v>
      </c>
      <c r="W41" s="40" t="s">
        <v>1064</v>
      </c>
      <c r="X41" s="34">
        <f>IF(AND(ISNUMBER(Y41),ISNUMBER(W41)),Y41-W41,"")</f>
        <v>0</v>
      </c>
      <c r="Y41" s="40" t="s">
        <v>1064</v>
      </c>
      <c r="Z41" s="34">
        <f>IF(AND(ISNUMBER(AA41),ISNUMBER(Y41)),AA41-Y41,"")</f>
        <v>0</v>
      </c>
      <c r="AA41" s="40" t="s">
        <v>1064</v>
      </c>
      <c r="AB41" s="34">
        <f>IF(AND(ISNUMBER(AC41),ISNUMBER(AA41)),AC41-AA41,"")</f>
        <v>0</v>
      </c>
      <c r="AC41" s="40" t="s">
        <v>1064</v>
      </c>
      <c r="AD41" s="34">
        <f>IF(AND(ISNUMBER(AE41),ISNUMBER(AC41)),AE41-AC41,"")</f>
        <v>0</v>
      </c>
      <c r="AE41" s="40" t="s">
        <v>1064</v>
      </c>
      <c r="AF41" s="34">
        <f>IF(AND(ISNUMBER(AG41),ISNUMBER(AE41)),AG41-AE41,"")</f>
        <v>0</v>
      </c>
      <c r="AG41" s="40" t="s">
        <v>1064</v>
      </c>
      <c r="AH41" s="34">
        <f>IF(AND(ISNUMBER(AI41),ISNUMBER(AG41)),AI41-AG41,"")</f>
        <v>0</v>
      </c>
      <c r="AI41" s="40" t="s">
        <v>1064</v>
      </c>
      <c r="AJ41" s="34">
        <f>IF(AND(ISNUMBER(AK41),ISNUMBER(AI41)),AK41-AI41,"")</f>
        <v>0</v>
      </c>
      <c r="AK41" s="40" t="s">
        <v>1064</v>
      </c>
      <c r="AL41" s="34">
        <f>IF(AND(ISNUMBER(AM41),ISNUMBER(AK41)),AM41-AK41,"")</f>
        <v>0</v>
      </c>
      <c r="AM41" s="40" t="s">
        <v>1064</v>
      </c>
      <c r="AN41" s="34">
        <f>IF(AND(ISNUMBER(AO41),ISNUMBER(AM41)),AO41-AM41,"")</f>
        <v>0</v>
      </c>
      <c r="AO41" s="40" t="s">
        <v>1064</v>
      </c>
      <c r="AP41" s="34">
        <f>IF(AND(ISNUMBER(AQ41),ISNUMBER(AO41)),AQ41-AO41,"")</f>
        <v>0</v>
      </c>
      <c r="AQ41" s="40" t="s">
        <v>1064</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703</v>
      </c>
      <c r="E42" s="32" t="s">
        <v>1033</v>
      </c>
      <c r="I42" s="40" t="s">
        <v>1064</v>
      </c>
      <c r="J42" s="34">
        <f>IF(AND(ISNUMBER(K42),ISNUMBER(I42)),K42-I42,"")</f>
        <v>0</v>
      </c>
      <c r="K42" s="40" t="s">
        <v>1064</v>
      </c>
      <c r="L42" s="34">
        <f>IF(AND(ISNUMBER(M42),ISNUMBER(K42)),M42-K42,"")</f>
        <v>0</v>
      </c>
      <c r="M42" s="40" t="s">
        <v>1064</v>
      </c>
      <c r="N42" s="34">
        <f>IF(AND(ISNUMBER(O42),ISNUMBER(M42)),O42-M42,"")</f>
        <v>0</v>
      </c>
      <c r="O42" s="40" t="s">
        <v>1064</v>
      </c>
      <c r="P42" s="34">
        <f>IF(AND(ISNUMBER(Q42),ISNUMBER(O42)),Q42-O42,"")</f>
        <v>0</v>
      </c>
      <c r="Q42" s="40" t="s">
        <v>1064</v>
      </c>
      <c r="R42" s="34">
        <f>IF(AND(ISNUMBER(S42),ISNUMBER(Q42)),S42-Q42,"")</f>
        <v>0</v>
      </c>
      <c r="S42" s="40" t="s">
        <v>1064</v>
      </c>
      <c r="T42" s="34">
        <f>IF(AND(ISNUMBER(U42),ISNUMBER(S42)),U42-S42,"")</f>
        <v>0</v>
      </c>
      <c r="U42" s="40" t="s">
        <v>1064</v>
      </c>
      <c r="V42" s="34">
        <f>IF(AND(ISNUMBER(W42),ISNUMBER(U42)),W42-U42,"")</f>
        <v>0</v>
      </c>
      <c r="W42" s="40" t="s">
        <v>1064</v>
      </c>
      <c r="X42" s="34">
        <f>IF(AND(ISNUMBER(Y42),ISNUMBER(W42)),Y42-W42,"")</f>
        <v>0</v>
      </c>
      <c r="Y42" s="40" t="s">
        <v>1064</v>
      </c>
      <c r="Z42" s="34">
        <f>IF(AND(ISNUMBER(AA42),ISNUMBER(Y42)),AA42-Y42,"")</f>
        <v>0</v>
      </c>
      <c r="AA42" s="40" t="s">
        <v>1064</v>
      </c>
      <c r="AB42" s="34">
        <f>IF(AND(ISNUMBER(AC42),ISNUMBER(AA42)),AC42-AA42,"")</f>
        <v>0</v>
      </c>
      <c r="AC42" s="40" t="s">
        <v>1064</v>
      </c>
      <c r="AD42" s="34">
        <f>IF(AND(ISNUMBER(AE42),ISNUMBER(AC42)),AE42-AC42,"")</f>
        <v>0</v>
      </c>
      <c r="AE42" s="40" t="s">
        <v>1064</v>
      </c>
      <c r="AF42" s="34">
        <f>IF(AND(ISNUMBER(AG42),ISNUMBER(AE42)),AG42-AE42,"")</f>
        <v>0</v>
      </c>
      <c r="AG42" s="40" t="s">
        <v>1064</v>
      </c>
      <c r="AH42" s="34">
        <f>IF(AND(ISNUMBER(AI42),ISNUMBER(AG42)),AI42-AG42,"")</f>
        <v>0</v>
      </c>
      <c r="AI42" s="40" t="s">
        <v>1064</v>
      </c>
      <c r="AJ42" s="34">
        <f>IF(AND(ISNUMBER(AK42),ISNUMBER(AI42)),AK42-AI42,"")</f>
        <v>0</v>
      </c>
      <c r="AK42" s="40" t="s">
        <v>1064</v>
      </c>
      <c r="AL42" s="34">
        <f>IF(AND(ISNUMBER(AM42),ISNUMBER(AK42)),AM42-AK42,"")</f>
        <v>0</v>
      </c>
      <c r="AM42" s="40" t="s">
        <v>1064</v>
      </c>
      <c r="AN42" s="34">
        <f>IF(AND(ISNUMBER(AO42),ISNUMBER(AM42)),AO42-AM42,"")</f>
        <v>0</v>
      </c>
      <c r="AO42" s="40" t="s">
        <v>1064</v>
      </c>
      <c r="AP42" s="34">
        <f>IF(AND(ISNUMBER(AQ42),ISNUMBER(AO42)),AQ42-AO42,"")</f>
        <v>0</v>
      </c>
      <c r="AQ42" s="40" t="s">
        <v>1064</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705</v>
      </c>
      <c r="E43" s="32" t="s">
        <v>1044</v>
      </c>
      <c r="I43" s="40" t="s">
        <v>1064</v>
      </c>
      <c r="J43" s="34">
        <f>IF(AND(ISNUMBER(K43),ISNUMBER(I43)),K43-I43,"")</f>
        <v>0</v>
      </c>
      <c r="K43" s="40" t="s">
        <v>1064</v>
      </c>
      <c r="L43" s="34">
        <f>IF(AND(ISNUMBER(M43),ISNUMBER(K43)),M43-K43,"")</f>
        <v>0</v>
      </c>
      <c r="M43" s="33">
        <v>2</v>
      </c>
      <c r="N43" s="34">
        <f>IF(AND(ISNUMBER(O43),ISNUMBER(M43)),O43-M43,"")</f>
        <v>0</v>
      </c>
      <c r="O43" s="40" t="s">
        <v>1064</v>
      </c>
      <c r="P43" s="34">
        <f>IF(AND(ISNUMBER(Q43),ISNUMBER(O43)),Q43-O43,"")</f>
        <v>0</v>
      </c>
      <c r="Q43" s="40" t="s">
        <v>1064</v>
      </c>
      <c r="R43" s="34">
        <f>IF(AND(ISNUMBER(S43),ISNUMBER(Q43)),S43-Q43,"")</f>
        <v>0</v>
      </c>
      <c r="S43" s="40" t="s">
        <v>1064</v>
      </c>
      <c r="T43" s="34">
        <f>IF(AND(ISNUMBER(U43),ISNUMBER(S43)),U43-S43,"")</f>
        <v>0</v>
      </c>
      <c r="U43" s="40" t="s">
        <v>1064</v>
      </c>
      <c r="V43" s="34">
        <f>IF(AND(ISNUMBER(W43),ISNUMBER(U43)),W43-U43,"")</f>
        <v>0</v>
      </c>
      <c r="W43" s="40" t="s">
        <v>1064</v>
      </c>
      <c r="X43" s="34">
        <f>IF(AND(ISNUMBER(Y43),ISNUMBER(W43)),Y43-W43,"")</f>
        <v>0</v>
      </c>
      <c r="Y43" s="40" t="s">
        <v>1064</v>
      </c>
      <c r="Z43" s="34">
        <f>IF(AND(ISNUMBER(AA43),ISNUMBER(Y43)),AA43-Y43,"")</f>
        <v>0</v>
      </c>
      <c r="AA43" s="40" t="s">
        <v>1064</v>
      </c>
      <c r="AB43" s="34">
        <f>IF(AND(ISNUMBER(AC43),ISNUMBER(AA43)),AC43-AA43,"")</f>
        <v>0</v>
      </c>
      <c r="AC43" s="40" t="s">
        <v>1064</v>
      </c>
      <c r="AD43" s="34">
        <f>IF(AND(ISNUMBER(AE43),ISNUMBER(AC43)),AE43-AC43,"")</f>
        <v>0</v>
      </c>
      <c r="AE43" s="40" t="s">
        <v>1064</v>
      </c>
      <c r="AF43" s="34">
        <f>IF(AND(ISNUMBER(AG43),ISNUMBER(AE43)),AG43-AE43,"")</f>
        <v>0</v>
      </c>
      <c r="AG43" s="40" t="s">
        <v>1064</v>
      </c>
      <c r="AH43" s="34">
        <f>IF(AND(ISNUMBER(AI43),ISNUMBER(AG43)),AI43-AG43,"")</f>
        <v>0</v>
      </c>
      <c r="AI43" s="40" t="s">
        <v>1064</v>
      </c>
      <c r="AJ43" s="34">
        <f>IF(AND(ISNUMBER(AK43),ISNUMBER(AI43)),AK43-AI43,"")</f>
        <v>0</v>
      </c>
      <c r="AK43" s="40" t="s">
        <v>1064</v>
      </c>
      <c r="AL43" s="34">
        <f>IF(AND(ISNUMBER(AM43),ISNUMBER(AK43)),AM43-AK43,"")</f>
        <v>0</v>
      </c>
      <c r="AM43" s="40" t="s">
        <v>1064</v>
      </c>
      <c r="AN43" s="34">
        <f>IF(AND(ISNUMBER(AO43),ISNUMBER(AM43)),AO43-AM43,"")</f>
        <v>0</v>
      </c>
      <c r="AO43" s="40" t="s">
        <v>1064</v>
      </c>
      <c r="AP43" s="34">
        <f>IF(AND(ISNUMBER(AQ43),ISNUMBER(AO43)),AQ43-AO43,"")</f>
        <v>0</v>
      </c>
      <c r="AQ43" s="40" t="s">
        <v>1064</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707</v>
      </c>
      <c r="E44" s="32" t="s">
        <v>1040</v>
      </c>
      <c r="I44" s="40" t="s">
        <v>1064</v>
      </c>
      <c r="J44" s="34">
        <f>IF(AND(ISNUMBER(K44),ISNUMBER(I44)),K44-I44,"")</f>
        <v>0</v>
      </c>
      <c r="K44" s="40" t="s">
        <v>1064</v>
      </c>
      <c r="L44" s="34">
        <f>IF(AND(ISNUMBER(M44),ISNUMBER(K44)),M44-K44,"")</f>
        <v>0</v>
      </c>
      <c r="M44" s="40" t="s">
        <v>1064</v>
      </c>
      <c r="N44" s="34">
        <f>IF(AND(ISNUMBER(O44),ISNUMBER(M44)),O44-M44,"")</f>
        <v>0</v>
      </c>
      <c r="O44" s="40" t="s">
        <v>1064</v>
      </c>
      <c r="P44" s="34">
        <f>IF(AND(ISNUMBER(Q44),ISNUMBER(O44)),Q44-O44,"")</f>
        <v>0</v>
      </c>
      <c r="Q44" s="40" t="s">
        <v>1064</v>
      </c>
      <c r="R44" s="34">
        <f>IF(AND(ISNUMBER(S44),ISNUMBER(Q44)),S44-Q44,"")</f>
        <v>0</v>
      </c>
      <c r="S44" s="40" t="s">
        <v>1064</v>
      </c>
      <c r="T44" s="34">
        <f>IF(AND(ISNUMBER(U44),ISNUMBER(S44)),U44-S44,"")</f>
        <v>0</v>
      </c>
      <c r="U44" s="40" t="s">
        <v>1064</v>
      </c>
      <c r="V44" s="34">
        <f>IF(AND(ISNUMBER(W44),ISNUMBER(U44)),W44-U44,"")</f>
        <v>0</v>
      </c>
      <c r="W44" s="40" t="s">
        <v>1064</v>
      </c>
      <c r="X44" s="34">
        <f>IF(AND(ISNUMBER(Y44),ISNUMBER(W44)),Y44-W44,"")</f>
        <v>0</v>
      </c>
      <c r="Y44" s="40" t="s">
        <v>1064</v>
      </c>
      <c r="Z44" s="34">
        <f>IF(AND(ISNUMBER(AA44),ISNUMBER(Y44)),AA44-Y44,"")</f>
        <v>0</v>
      </c>
      <c r="AA44" s="40" t="s">
        <v>1064</v>
      </c>
      <c r="AB44" s="34">
        <f>IF(AND(ISNUMBER(AC44),ISNUMBER(AA44)),AC44-AA44,"")</f>
        <v>0</v>
      </c>
      <c r="AC44" s="33">
        <v>3</v>
      </c>
      <c r="AD44" s="34">
        <f>IF(AND(ISNUMBER(AE44),ISNUMBER(AC44)),AE44-AC44,"")</f>
        <v>0</v>
      </c>
      <c r="AE44" s="40" t="s">
        <v>1064</v>
      </c>
      <c r="AF44" s="34">
        <f>IF(AND(ISNUMBER(AG44),ISNUMBER(AE44)),AG44-AE44,"")</f>
        <v>0</v>
      </c>
      <c r="AG44" s="40" t="s">
        <v>1064</v>
      </c>
      <c r="AH44" s="34">
        <f>IF(AND(ISNUMBER(AI44),ISNUMBER(AG44)),AI44-AG44,"")</f>
        <v>0</v>
      </c>
      <c r="AI44" s="40" t="s">
        <v>1064</v>
      </c>
      <c r="AJ44" s="34">
        <f>IF(AND(ISNUMBER(AK44),ISNUMBER(AI44)),AK44-AI44,"")</f>
        <v>0</v>
      </c>
      <c r="AK44" s="40" t="s">
        <v>1064</v>
      </c>
      <c r="AL44" s="34">
        <f>IF(AND(ISNUMBER(AM44),ISNUMBER(AK44)),AM44-AK44,"")</f>
        <v>0</v>
      </c>
      <c r="AM44" s="40" t="s">
        <v>1064</v>
      </c>
      <c r="AN44" s="34">
        <f>IF(AND(ISNUMBER(AO44),ISNUMBER(AM44)),AO44-AM44,"")</f>
        <v>0</v>
      </c>
      <c r="AO44" s="40" t="s">
        <v>1064</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709</v>
      </c>
      <c r="E45" s="32" t="s">
        <v>1038</v>
      </c>
      <c r="I45" s="40" t="s">
        <v>1064</v>
      </c>
      <c r="J45" s="34">
        <f>IF(AND(ISNUMBER(K45),ISNUMBER(I45)),K45-I45,"")</f>
        <v>0</v>
      </c>
      <c r="K45" s="40" t="s">
        <v>1064</v>
      </c>
      <c r="L45" s="34">
        <f>IF(AND(ISNUMBER(M45),ISNUMBER(K45)),M45-K45,"")</f>
        <v>0</v>
      </c>
      <c r="M45" s="40" t="s">
        <v>1064</v>
      </c>
      <c r="N45" s="34">
        <f>IF(AND(ISNUMBER(O45),ISNUMBER(M45)),O45-M45,"")</f>
        <v>0</v>
      </c>
      <c r="O45" s="40" t="s">
        <v>1064</v>
      </c>
      <c r="P45" s="34">
        <f>IF(AND(ISNUMBER(Q45),ISNUMBER(O45)),Q45-O45,"")</f>
        <v>0</v>
      </c>
      <c r="Q45" s="40" t="s">
        <v>1064</v>
      </c>
      <c r="R45" s="34">
        <f>IF(AND(ISNUMBER(S45),ISNUMBER(Q45)),S45-Q45,"")</f>
        <v>0</v>
      </c>
      <c r="S45" s="40" t="s">
        <v>1064</v>
      </c>
      <c r="T45" s="34">
        <f>IF(AND(ISNUMBER(U45),ISNUMBER(S45)),U45-S45,"")</f>
        <v>0</v>
      </c>
      <c r="U45" s="40" t="s">
        <v>1064</v>
      </c>
      <c r="V45" s="34">
        <f>IF(AND(ISNUMBER(W45),ISNUMBER(U45)),W45-U45,"")</f>
        <v>0</v>
      </c>
      <c r="W45" s="40" t="s">
        <v>1064</v>
      </c>
      <c r="X45" s="34">
        <f>IF(AND(ISNUMBER(Y45),ISNUMBER(W45)),Y45-W45,"")</f>
        <v>0</v>
      </c>
      <c r="Y45" s="40" t="s">
        <v>1064</v>
      </c>
      <c r="Z45" s="34">
        <f>IF(AND(ISNUMBER(AA45),ISNUMBER(Y45)),AA45-Y45,"")</f>
        <v>0</v>
      </c>
      <c r="AA45" s="40" t="s">
        <v>1064</v>
      </c>
      <c r="AB45" s="34">
        <f>IF(AND(ISNUMBER(AC45),ISNUMBER(AA45)),AC45-AA45,"")</f>
        <v>0</v>
      </c>
      <c r="AC45" s="33">
        <v>1</v>
      </c>
      <c r="AD45" s="34">
        <f>IF(AND(ISNUMBER(AE45),ISNUMBER(AC45)),AE45-AC45,"")</f>
        <v>0</v>
      </c>
      <c r="AE45" s="40" t="s">
        <v>1064</v>
      </c>
      <c r="AF45" s="34">
        <f>IF(AND(ISNUMBER(AG45),ISNUMBER(AE45)),AG45-AE45,"")</f>
        <v>0</v>
      </c>
      <c r="AG45" s="40" t="s">
        <v>1064</v>
      </c>
      <c r="AH45" s="34">
        <f>IF(AND(ISNUMBER(AI45),ISNUMBER(AG45)),AI45-AG45,"")</f>
        <v>0</v>
      </c>
      <c r="AI45" s="40" t="s">
        <v>1064</v>
      </c>
      <c r="AJ45" s="34">
        <f>IF(AND(ISNUMBER(AK45),ISNUMBER(AI45)),AK45-AI45,"")</f>
        <v>0</v>
      </c>
      <c r="AK45" s="40" t="s">
        <v>1064</v>
      </c>
      <c r="AL45" s="34">
        <f>IF(AND(ISNUMBER(AM45),ISNUMBER(AK45)),AM45-AK45,"")</f>
        <v>0</v>
      </c>
      <c r="AM45" s="40" t="s">
        <v>1064</v>
      </c>
      <c r="AN45" s="34">
        <f>IF(AND(ISNUMBER(AO45),ISNUMBER(AM45)),AO45-AM45,"")</f>
        <v>0</v>
      </c>
      <c r="AO45" s="40" t="s">
        <v>1064</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711</v>
      </c>
      <c r="E46" s="32" t="s">
        <v>1046</v>
      </c>
      <c r="I46" s="40" t="s">
        <v>1064</v>
      </c>
      <c r="J46" s="34">
        <f>IF(AND(ISNUMBER(K46),ISNUMBER(I46)),K46-I46,"")</f>
        <v>0</v>
      </c>
      <c r="K46" s="40" t="s">
        <v>1064</v>
      </c>
      <c r="L46" s="34">
        <f>IF(AND(ISNUMBER(M46),ISNUMBER(K46)),M46-K46,"")</f>
        <v>0</v>
      </c>
      <c r="M46" s="40" t="s">
        <v>1064</v>
      </c>
      <c r="N46" s="34">
        <f>IF(AND(ISNUMBER(O46),ISNUMBER(M46)),O46-M46,"")</f>
        <v>0</v>
      </c>
      <c r="O46" s="40" t="s">
        <v>1064</v>
      </c>
      <c r="P46" s="34">
        <f>IF(AND(ISNUMBER(Q46),ISNUMBER(O46)),Q46-O46,"")</f>
        <v>0</v>
      </c>
      <c r="Q46" s="40" t="s">
        <v>1064</v>
      </c>
      <c r="R46" s="34">
        <f>IF(AND(ISNUMBER(S46),ISNUMBER(Q46)),S46-Q46,"")</f>
        <v>0</v>
      </c>
      <c r="S46" s="40" t="s">
        <v>1064</v>
      </c>
      <c r="T46" s="34">
        <f>IF(AND(ISNUMBER(U46),ISNUMBER(S46)),U46-S46,"")</f>
        <v>0</v>
      </c>
      <c r="U46" s="40" t="s">
        <v>1064</v>
      </c>
      <c r="V46" s="34">
        <f>IF(AND(ISNUMBER(W46),ISNUMBER(U46)),W46-U46,"")</f>
        <v>0</v>
      </c>
      <c r="W46" s="40" t="s">
        <v>1064</v>
      </c>
      <c r="X46" s="34">
        <f>IF(AND(ISNUMBER(Y46),ISNUMBER(W46)),Y46-W46,"")</f>
        <v>0</v>
      </c>
      <c r="Y46" s="40" t="s">
        <v>1064</v>
      </c>
      <c r="Z46" s="34">
        <f>IF(AND(ISNUMBER(AA46),ISNUMBER(Y46)),AA46-Y46,"")</f>
        <v>0</v>
      </c>
      <c r="AA46" s="40" t="s">
        <v>1064</v>
      </c>
      <c r="AB46" s="34">
        <f>IF(AND(ISNUMBER(AC46),ISNUMBER(AA46)),AC46-AA46,"")</f>
        <v>0</v>
      </c>
      <c r="AC46" s="40" t="s">
        <v>1064</v>
      </c>
      <c r="AD46" s="34">
        <f>IF(AND(ISNUMBER(AE46),ISNUMBER(AC46)),AE46-AC46,"")</f>
        <v>0</v>
      </c>
      <c r="AE46" s="40" t="s">
        <v>1064</v>
      </c>
      <c r="AF46" s="34">
        <f>IF(AND(ISNUMBER(AG46),ISNUMBER(AE46)),AG46-AE46,"")</f>
        <v>0</v>
      </c>
      <c r="AG46" s="40" t="s">
        <v>1064</v>
      </c>
      <c r="AH46" s="34">
        <f>IF(AND(ISNUMBER(AI46),ISNUMBER(AG46)),AI46-AG46,"")</f>
        <v>0</v>
      </c>
      <c r="AI46" s="40" t="s">
        <v>1064</v>
      </c>
      <c r="AJ46" s="34">
        <f>IF(AND(ISNUMBER(AK46),ISNUMBER(AI46)),AK46-AI46,"")</f>
        <v>0</v>
      </c>
      <c r="AK46" s="40" t="s">
        <v>1064</v>
      </c>
      <c r="AL46" s="34">
        <f>IF(AND(ISNUMBER(AM46),ISNUMBER(AK46)),AM46-AK46,"")</f>
        <v>0</v>
      </c>
      <c r="AM46" s="40" t="s">
        <v>1064</v>
      </c>
      <c r="AN46" s="34">
        <f>IF(AND(ISNUMBER(AO46),ISNUMBER(AM46)),AO46-AM46,"")</f>
        <v>0</v>
      </c>
      <c r="AO46" s="40" t="s">
        <v>1064</v>
      </c>
      <c r="AP46" s="34">
        <f>IF(AND(ISNUMBER(AQ46),ISNUMBER(AO46)),AQ46-AO46,"")</f>
        <v>0</v>
      </c>
      <c r="AQ46" s="40" t="s">
        <v>1064</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1071</v>
      </c>
    </row>
    <row r="47" spans="1:322" ht="27.5" customHeight="1" collapsed="1">
      <c r="A47" s="22" t="s">
        <v>748</v>
      </c>
      <c r="B47" s="23" t="s">
        <v>1084</v>
      </c>
      <c r="C47" s="24" t="s">
        <v>694</v>
      </c>
      <c r="D47" s="24"/>
      <c r="E47" s="25" t="s">
        <v>1067</v>
      </c>
      <c r="F47" s="26"/>
      <c r="G47" s="26"/>
      <c r="H47" s="26" t="s">
        <v>1068</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1072</v>
      </c>
    </row>
    <row r="48" spans="1:322" hidden="1" outlineLevel="1">
      <c r="B48" s="23"/>
      <c r="D48" s="31" t="s">
        <v>696</v>
      </c>
      <c r="E48" s="32" t="s">
        <v>1085</v>
      </c>
      <c r="I48" s="40" t="s">
        <v>1064</v>
      </c>
      <c r="J48" s="34">
        <f>IF(AND(ISNUMBER(K48),ISNUMBER(I48)),K48-I48,"")</f>
        <v>0</v>
      </c>
      <c r="K48" s="40" t="s">
        <v>1064</v>
      </c>
      <c r="L48" s="34">
        <f>IF(AND(ISNUMBER(M48),ISNUMBER(K48)),M48-K48,"")</f>
        <v>0</v>
      </c>
      <c r="M48" s="40" t="s">
        <v>1064</v>
      </c>
      <c r="N48" s="34">
        <f>IF(AND(ISNUMBER(O48),ISNUMBER(M48)),O48-M48,"")</f>
        <v>0</v>
      </c>
      <c r="O48" s="40" t="s">
        <v>1064</v>
      </c>
      <c r="P48" s="34">
        <f>IF(AND(ISNUMBER(Q48),ISNUMBER(O48)),Q48-O48,"")</f>
        <v>0</v>
      </c>
      <c r="Q48" s="40" t="s">
        <v>1064</v>
      </c>
      <c r="R48" s="34">
        <f>IF(AND(ISNUMBER(S48),ISNUMBER(Q48)),S48-Q48,"")</f>
        <v>0</v>
      </c>
      <c r="S48" s="40" t="s">
        <v>1064</v>
      </c>
      <c r="T48" s="34">
        <f>IF(AND(ISNUMBER(U48),ISNUMBER(S48)),U48-S48,"")</f>
        <v>0</v>
      </c>
      <c r="U48" s="40" t="s">
        <v>1064</v>
      </c>
      <c r="V48" s="34">
        <f>IF(AND(ISNUMBER(W48),ISNUMBER(U48)),W48-U48,"")</f>
        <v>0</v>
      </c>
      <c r="W48" s="40" t="s">
        <v>1064</v>
      </c>
      <c r="X48" s="34">
        <f>IF(AND(ISNUMBER(Y48),ISNUMBER(W48)),Y48-W48,"")</f>
        <v>0</v>
      </c>
      <c r="Y48" s="40" t="s">
        <v>1064</v>
      </c>
      <c r="Z48" s="34">
        <f>IF(AND(ISNUMBER(AA48),ISNUMBER(Y48)),AA48-Y48,"")</f>
        <v>0</v>
      </c>
      <c r="AA48" s="40" t="s">
        <v>1064</v>
      </c>
      <c r="AB48" s="34">
        <f>IF(AND(ISNUMBER(AC48),ISNUMBER(AA48)),AC48-AA48,"")</f>
        <v>0</v>
      </c>
      <c r="AC48" s="40" t="s">
        <v>1064</v>
      </c>
      <c r="AD48" s="34">
        <f>IF(AND(ISNUMBER(AE48),ISNUMBER(AC48)),AE48-AC48,"")</f>
        <v>0</v>
      </c>
      <c r="AE48" s="40" t="s">
        <v>1064</v>
      </c>
      <c r="AF48" s="34">
        <f>IF(AND(ISNUMBER(AG48),ISNUMBER(AE48)),AG48-AE48,"")</f>
        <v>0</v>
      </c>
      <c r="AG48" s="40" t="s">
        <v>1064</v>
      </c>
      <c r="AH48" s="34">
        <f>IF(AND(ISNUMBER(AI48),ISNUMBER(AG48)),AI48-AG48,"")</f>
        <v>0</v>
      </c>
      <c r="AI48" s="40" t="s">
        <v>1064</v>
      </c>
      <c r="AJ48" s="34">
        <f>IF(AND(ISNUMBER(AK48),ISNUMBER(AI48)),AK48-AI48,"")</f>
        <v>0</v>
      </c>
      <c r="AK48" s="40" t="s">
        <v>1064</v>
      </c>
      <c r="AL48" s="34">
        <f>IF(AND(ISNUMBER(AM48),ISNUMBER(AK48)),AM48-AK48,"")</f>
        <v>0</v>
      </c>
      <c r="AM48" s="40" t="s">
        <v>1064</v>
      </c>
      <c r="AN48" s="34">
        <f>IF(AND(ISNUMBER(AO48),ISNUMBER(AM48)),AO48-AM48,"")</f>
        <v>0</v>
      </c>
      <c r="AO48" s="40" t="s">
        <v>1064</v>
      </c>
      <c r="AP48" s="34">
        <f>IF(AND(ISNUMBER(AQ48),ISNUMBER(AO48)),AQ48-AO48,"")</f>
        <v>0</v>
      </c>
      <c r="AQ48" s="40" t="s">
        <v>1064</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701</v>
      </c>
      <c r="E49" s="32" t="s">
        <v>1045</v>
      </c>
      <c r="I49" s="40" t="s">
        <v>1064</v>
      </c>
      <c r="J49" s="34">
        <f>IF(AND(ISNUMBER(K49),ISNUMBER(I49)),K49-I49,"")</f>
        <v>0</v>
      </c>
      <c r="K49" s="40" t="s">
        <v>1064</v>
      </c>
      <c r="L49" s="34">
        <f>IF(AND(ISNUMBER(M49),ISNUMBER(K49)),M49-K49,"")</f>
        <v>0</v>
      </c>
      <c r="M49" s="40" t="s">
        <v>1064</v>
      </c>
      <c r="N49" s="34">
        <f>IF(AND(ISNUMBER(O49),ISNUMBER(M49)),O49-M49,"")</f>
        <v>0</v>
      </c>
      <c r="O49" s="40" t="s">
        <v>1064</v>
      </c>
      <c r="P49" s="34">
        <f>IF(AND(ISNUMBER(Q49),ISNUMBER(O49)),Q49-O49,"")</f>
        <v>0</v>
      </c>
      <c r="Q49" s="40" t="s">
        <v>1064</v>
      </c>
      <c r="R49" s="34">
        <f>IF(AND(ISNUMBER(S49),ISNUMBER(Q49)),S49-Q49,"")</f>
        <v>0</v>
      </c>
      <c r="S49" s="40" t="s">
        <v>1064</v>
      </c>
      <c r="T49" s="34">
        <f>IF(AND(ISNUMBER(U49),ISNUMBER(S49)),U49-S49,"")</f>
        <v>0</v>
      </c>
      <c r="U49" s="40" t="s">
        <v>1064</v>
      </c>
      <c r="V49" s="34">
        <f>IF(AND(ISNUMBER(W49),ISNUMBER(U49)),W49-U49,"")</f>
        <v>0</v>
      </c>
      <c r="W49" s="40" t="s">
        <v>1064</v>
      </c>
      <c r="X49" s="34">
        <f>IF(AND(ISNUMBER(Y49),ISNUMBER(W49)),Y49-W49,"")</f>
        <v>0</v>
      </c>
      <c r="Y49" s="40" t="s">
        <v>1064</v>
      </c>
      <c r="Z49" s="34">
        <f>IF(AND(ISNUMBER(AA49),ISNUMBER(Y49)),AA49-Y49,"")</f>
        <v>0</v>
      </c>
      <c r="AA49" s="40" t="s">
        <v>1064</v>
      </c>
      <c r="AB49" s="34">
        <f>IF(AND(ISNUMBER(AC49),ISNUMBER(AA49)),AC49-AA49,"")</f>
        <v>0</v>
      </c>
      <c r="AC49" s="40" t="s">
        <v>1064</v>
      </c>
      <c r="AD49" s="34">
        <f>IF(AND(ISNUMBER(AE49),ISNUMBER(AC49)),AE49-AC49,"")</f>
        <v>0</v>
      </c>
      <c r="AE49" s="40" t="s">
        <v>1064</v>
      </c>
      <c r="AF49" s="34">
        <f>IF(AND(ISNUMBER(AG49),ISNUMBER(AE49)),AG49-AE49,"")</f>
        <v>0</v>
      </c>
      <c r="AG49" s="40" t="s">
        <v>1064</v>
      </c>
      <c r="AH49" s="34">
        <f>IF(AND(ISNUMBER(AI49),ISNUMBER(AG49)),AI49-AG49,"")</f>
        <v>0</v>
      </c>
      <c r="AI49" s="40" t="s">
        <v>1064</v>
      </c>
      <c r="AJ49" s="34">
        <f>IF(AND(ISNUMBER(AK49),ISNUMBER(AI49)),AK49-AI49,"")</f>
        <v>0</v>
      </c>
      <c r="AK49" s="40" t="s">
        <v>1064</v>
      </c>
      <c r="AL49" s="34">
        <f>IF(AND(ISNUMBER(AM49),ISNUMBER(AK49)),AM49-AK49,"")</f>
        <v>0</v>
      </c>
      <c r="AM49" s="40" t="s">
        <v>1064</v>
      </c>
      <c r="AN49" s="34">
        <f>IF(AND(ISNUMBER(AO49),ISNUMBER(AM49)),AO49-AM49,"")</f>
        <v>0</v>
      </c>
      <c r="AO49" s="40" t="s">
        <v>1064</v>
      </c>
      <c r="AP49" s="34">
        <f>IF(AND(ISNUMBER(AQ49),ISNUMBER(AO49)),AQ49-AO49,"")</f>
        <v>0</v>
      </c>
      <c r="AQ49" s="40" t="s">
        <v>1064</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703</v>
      </c>
      <c r="E50" s="32" t="s">
        <v>1033</v>
      </c>
      <c r="I50" s="40" t="s">
        <v>1064</v>
      </c>
      <c r="J50" s="34">
        <f>IF(AND(ISNUMBER(K50),ISNUMBER(I50)),K50-I50,"")</f>
        <v>0</v>
      </c>
      <c r="K50" s="40" t="s">
        <v>1064</v>
      </c>
      <c r="L50" s="34">
        <f>IF(AND(ISNUMBER(M50),ISNUMBER(K50)),M50-K50,"")</f>
        <v>0</v>
      </c>
      <c r="M50" s="40" t="s">
        <v>1064</v>
      </c>
      <c r="N50" s="34">
        <f>IF(AND(ISNUMBER(O50),ISNUMBER(M50)),O50-M50,"")</f>
        <v>0</v>
      </c>
      <c r="O50" s="40" t="s">
        <v>1064</v>
      </c>
      <c r="P50" s="34">
        <f>IF(AND(ISNUMBER(Q50),ISNUMBER(O50)),Q50-O50,"")</f>
        <v>0</v>
      </c>
      <c r="Q50" s="40" t="s">
        <v>1064</v>
      </c>
      <c r="R50" s="34">
        <f>IF(AND(ISNUMBER(S50),ISNUMBER(Q50)),S50-Q50,"")</f>
        <v>0</v>
      </c>
      <c r="S50" s="40" t="s">
        <v>1064</v>
      </c>
      <c r="T50" s="34">
        <f>IF(AND(ISNUMBER(U50),ISNUMBER(S50)),U50-S50,"")</f>
        <v>0</v>
      </c>
      <c r="U50" s="40" t="s">
        <v>1064</v>
      </c>
      <c r="V50" s="34">
        <f>IF(AND(ISNUMBER(W50),ISNUMBER(U50)),W50-U50,"")</f>
        <v>0</v>
      </c>
      <c r="W50" s="40" t="s">
        <v>1064</v>
      </c>
      <c r="X50" s="34">
        <f>IF(AND(ISNUMBER(Y50),ISNUMBER(W50)),Y50-W50,"")</f>
        <v>0</v>
      </c>
      <c r="Y50" s="40" t="s">
        <v>1064</v>
      </c>
      <c r="Z50" s="34">
        <f>IF(AND(ISNUMBER(AA50),ISNUMBER(Y50)),AA50-Y50,"")</f>
        <v>0</v>
      </c>
      <c r="AA50" s="40" t="s">
        <v>1064</v>
      </c>
      <c r="AB50" s="34">
        <f>IF(AND(ISNUMBER(AC50),ISNUMBER(AA50)),AC50-AA50,"")</f>
        <v>0</v>
      </c>
      <c r="AC50" s="40" t="s">
        <v>1064</v>
      </c>
      <c r="AD50" s="34">
        <f>IF(AND(ISNUMBER(AE50),ISNUMBER(AC50)),AE50-AC50,"")</f>
        <v>0</v>
      </c>
      <c r="AE50" s="40" t="s">
        <v>1064</v>
      </c>
      <c r="AF50" s="34">
        <f>IF(AND(ISNUMBER(AG50),ISNUMBER(AE50)),AG50-AE50,"")</f>
        <v>0</v>
      </c>
      <c r="AG50" s="40" t="s">
        <v>1064</v>
      </c>
      <c r="AH50" s="34">
        <f>IF(AND(ISNUMBER(AI50),ISNUMBER(AG50)),AI50-AG50,"")</f>
        <v>0</v>
      </c>
      <c r="AI50" s="40" t="s">
        <v>1064</v>
      </c>
      <c r="AJ50" s="34">
        <f>IF(AND(ISNUMBER(AK50),ISNUMBER(AI50)),AK50-AI50,"")</f>
        <v>0</v>
      </c>
      <c r="AK50" s="40" t="s">
        <v>1064</v>
      </c>
      <c r="AL50" s="34">
        <f>IF(AND(ISNUMBER(AM50),ISNUMBER(AK50)),AM50-AK50,"")</f>
        <v>0</v>
      </c>
      <c r="AM50" s="40" t="s">
        <v>1064</v>
      </c>
      <c r="AN50" s="34">
        <f>IF(AND(ISNUMBER(AO50),ISNUMBER(AM50)),AO50-AM50,"")</f>
        <v>0</v>
      </c>
      <c r="AO50" s="40" t="s">
        <v>1064</v>
      </c>
      <c r="AP50" s="34">
        <f>IF(AND(ISNUMBER(AQ50),ISNUMBER(AO50)),AQ50-AO50,"")</f>
        <v>0</v>
      </c>
      <c r="AQ50" s="40" t="s">
        <v>1064</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705</v>
      </c>
      <c r="E51" s="32" t="s">
        <v>1044</v>
      </c>
      <c r="I51" s="40" t="s">
        <v>1064</v>
      </c>
      <c r="J51" s="34">
        <f>IF(AND(ISNUMBER(K51),ISNUMBER(I51)),K51-I51,"")</f>
        <v>0</v>
      </c>
      <c r="K51" s="40" t="s">
        <v>1064</v>
      </c>
      <c r="L51" s="34">
        <f>IF(AND(ISNUMBER(M51),ISNUMBER(K51)),M51-K51,"")</f>
        <v>0</v>
      </c>
      <c r="M51" s="40" t="s">
        <v>1064</v>
      </c>
      <c r="N51" s="34">
        <f>IF(AND(ISNUMBER(O51),ISNUMBER(M51)),O51-M51,"")</f>
        <v>0</v>
      </c>
      <c r="O51" s="40" t="s">
        <v>1064</v>
      </c>
      <c r="P51" s="34">
        <f>IF(AND(ISNUMBER(Q51),ISNUMBER(O51)),Q51-O51,"")</f>
        <v>0</v>
      </c>
      <c r="Q51" s="40" t="s">
        <v>1064</v>
      </c>
      <c r="R51" s="34">
        <f>IF(AND(ISNUMBER(S51),ISNUMBER(Q51)),S51-Q51,"")</f>
        <v>0</v>
      </c>
      <c r="S51" s="40" t="s">
        <v>1064</v>
      </c>
      <c r="T51" s="34">
        <f>IF(AND(ISNUMBER(U51),ISNUMBER(S51)),U51-S51,"")</f>
        <v>0</v>
      </c>
      <c r="U51" s="40" t="s">
        <v>1064</v>
      </c>
      <c r="V51" s="34">
        <f>IF(AND(ISNUMBER(W51),ISNUMBER(U51)),W51-U51,"")</f>
        <v>0</v>
      </c>
      <c r="W51" s="40" t="s">
        <v>1064</v>
      </c>
      <c r="X51" s="34">
        <f>IF(AND(ISNUMBER(Y51),ISNUMBER(W51)),Y51-W51,"")</f>
        <v>0</v>
      </c>
      <c r="Y51" s="40" t="s">
        <v>1064</v>
      </c>
      <c r="Z51" s="34">
        <f>IF(AND(ISNUMBER(AA51),ISNUMBER(Y51)),AA51-Y51,"")</f>
        <v>0</v>
      </c>
      <c r="AA51" s="40" t="s">
        <v>1064</v>
      </c>
      <c r="AB51" s="34">
        <f>IF(AND(ISNUMBER(AC51),ISNUMBER(AA51)),AC51-AA51,"")</f>
        <v>0</v>
      </c>
      <c r="AC51" s="40" t="s">
        <v>1064</v>
      </c>
      <c r="AD51" s="34">
        <f>IF(AND(ISNUMBER(AE51),ISNUMBER(AC51)),AE51-AC51,"")</f>
        <v>0</v>
      </c>
      <c r="AE51" s="40" t="s">
        <v>1064</v>
      </c>
      <c r="AF51" s="34">
        <f>IF(AND(ISNUMBER(AG51),ISNUMBER(AE51)),AG51-AE51,"")</f>
        <v>0</v>
      </c>
      <c r="AG51" s="40" t="s">
        <v>1064</v>
      </c>
      <c r="AH51" s="34">
        <f>IF(AND(ISNUMBER(AI51),ISNUMBER(AG51)),AI51-AG51,"")</f>
        <v>0</v>
      </c>
      <c r="AI51" s="40" t="s">
        <v>1064</v>
      </c>
      <c r="AJ51" s="34">
        <f>IF(AND(ISNUMBER(AK51),ISNUMBER(AI51)),AK51-AI51,"")</f>
        <v>0</v>
      </c>
      <c r="AK51" s="40" t="s">
        <v>1064</v>
      </c>
      <c r="AL51" s="34">
        <f>IF(AND(ISNUMBER(AM51),ISNUMBER(AK51)),AM51-AK51,"")</f>
        <v>0</v>
      </c>
      <c r="AM51" s="40" t="s">
        <v>1064</v>
      </c>
      <c r="AN51" s="34">
        <f>IF(AND(ISNUMBER(AO51),ISNUMBER(AM51)),AO51-AM51,"")</f>
        <v>0</v>
      </c>
      <c r="AO51" s="40" t="s">
        <v>1064</v>
      </c>
      <c r="AP51" s="34">
        <f>IF(AND(ISNUMBER(AQ51),ISNUMBER(AO51)),AQ51-AO51,"")</f>
        <v>0</v>
      </c>
      <c r="AQ51" s="40" t="s">
        <v>1064</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1086</v>
      </c>
    </row>
    <row r="52" spans="1:322" hidden="1" outlineLevel="1">
      <c r="B52" s="23"/>
      <c r="D52" s="31" t="s">
        <v>707</v>
      </c>
      <c r="E52" s="32" t="s">
        <v>1040</v>
      </c>
      <c r="I52" s="40" t="s">
        <v>1064</v>
      </c>
      <c r="J52" s="34">
        <f>IF(AND(ISNUMBER(K52),ISNUMBER(I52)),K52-I52,"")</f>
        <v>0</v>
      </c>
      <c r="K52" s="40" t="s">
        <v>1064</v>
      </c>
      <c r="L52" s="34">
        <f>IF(AND(ISNUMBER(M52),ISNUMBER(K52)),M52-K52,"")</f>
        <v>0</v>
      </c>
      <c r="M52" s="40" t="s">
        <v>1064</v>
      </c>
      <c r="N52" s="34">
        <f>IF(AND(ISNUMBER(O52),ISNUMBER(M52)),O52-M52,"")</f>
        <v>0</v>
      </c>
      <c r="O52" s="40" t="s">
        <v>1064</v>
      </c>
      <c r="P52" s="34">
        <f>IF(AND(ISNUMBER(Q52),ISNUMBER(O52)),Q52-O52,"")</f>
        <v>0</v>
      </c>
      <c r="Q52" s="40" t="s">
        <v>1064</v>
      </c>
      <c r="R52" s="34">
        <f>IF(AND(ISNUMBER(S52),ISNUMBER(Q52)),S52-Q52,"")</f>
        <v>0</v>
      </c>
      <c r="S52" s="40" t="s">
        <v>1064</v>
      </c>
      <c r="T52" s="34">
        <f>IF(AND(ISNUMBER(U52),ISNUMBER(S52)),U52-S52,"")</f>
        <v>0</v>
      </c>
      <c r="U52" s="40" t="s">
        <v>1064</v>
      </c>
      <c r="V52" s="34">
        <f>IF(AND(ISNUMBER(W52),ISNUMBER(U52)),W52-U52,"")</f>
        <v>0</v>
      </c>
      <c r="W52" s="40" t="s">
        <v>1064</v>
      </c>
      <c r="X52" s="34">
        <f>IF(AND(ISNUMBER(Y52),ISNUMBER(W52)),Y52-W52,"")</f>
        <v>0</v>
      </c>
      <c r="Y52" s="40" t="s">
        <v>1064</v>
      </c>
      <c r="Z52" s="34">
        <f>IF(AND(ISNUMBER(AA52),ISNUMBER(Y52)),AA52-Y52,"")</f>
        <v>0</v>
      </c>
      <c r="AA52" s="40" t="s">
        <v>1064</v>
      </c>
      <c r="AB52" s="34">
        <f>IF(AND(ISNUMBER(AC52),ISNUMBER(AA52)),AC52-AA52,"")</f>
        <v>0</v>
      </c>
      <c r="AC52" s="40" t="s">
        <v>1064</v>
      </c>
      <c r="AD52" s="34">
        <f>IF(AND(ISNUMBER(AE52),ISNUMBER(AC52)),AE52-AC52,"")</f>
        <v>0</v>
      </c>
      <c r="AE52" s="40" t="s">
        <v>1064</v>
      </c>
      <c r="AF52" s="34">
        <f>IF(AND(ISNUMBER(AG52),ISNUMBER(AE52)),AG52-AE52,"")</f>
        <v>0</v>
      </c>
      <c r="AG52" s="40" t="s">
        <v>1064</v>
      </c>
      <c r="AH52" s="34">
        <f>IF(AND(ISNUMBER(AI52),ISNUMBER(AG52)),AI52-AG52,"")</f>
        <v>0</v>
      </c>
      <c r="AI52" s="40" t="s">
        <v>1064</v>
      </c>
      <c r="AJ52" s="34">
        <f>IF(AND(ISNUMBER(AK52),ISNUMBER(AI52)),AK52-AI52,"")</f>
        <v>0</v>
      </c>
      <c r="AK52" s="40" t="s">
        <v>1064</v>
      </c>
      <c r="AL52" s="34">
        <f>IF(AND(ISNUMBER(AM52),ISNUMBER(AK52)),AM52-AK52,"")</f>
        <v>0</v>
      </c>
      <c r="AM52" s="40" t="s">
        <v>1064</v>
      </c>
      <c r="AN52" s="34">
        <f>IF(AND(ISNUMBER(AO52),ISNUMBER(AM52)),AO52-AM52,"")</f>
        <v>0</v>
      </c>
      <c r="AO52" s="40" t="s">
        <v>1064</v>
      </c>
      <c r="AP52" s="34">
        <f>IF(AND(ISNUMBER(AQ52),ISNUMBER(AO52)),AQ52-AO52,"")</f>
        <v>0</v>
      </c>
      <c r="AQ52" s="40" t="s">
        <v>1064</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709</v>
      </c>
      <c r="E53" s="32" t="s">
        <v>1038</v>
      </c>
      <c r="I53" s="40" t="s">
        <v>1064</v>
      </c>
      <c r="J53" s="34">
        <f>IF(AND(ISNUMBER(K53),ISNUMBER(I53)),K53-I53,"")</f>
        <v>0</v>
      </c>
      <c r="K53" s="40" t="s">
        <v>1064</v>
      </c>
      <c r="L53" s="34">
        <f>IF(AND(ISNUMBER(M53),ISNUMBER(K53)),M53-K53,"")</f>
        <v>0</v>
      </c>
      <c r="M53" s="40" t="s">
        <v>1064</v>
      </c>
      <c r="N53" s="34">
        <f>IF(AND(ISNUMBER(O53),ISNUMBER(M53)),O53-M53,"")</f>
        <v>0</v>
      </c>
      <c r="O53" s="40" t="s">
        <v>1064</v>
      </c>
      <c r="P53" s="34">
        <f>IF(AND(ISNUMBER(Q53),ISNUMBER(O53)),Q53-O53,"")</f>
        <v>0</v>
      </c>
      <c r="Q53" s="40" t="s">
        <v>1064</v>
      </c>
      <c r="R53" s="34">
        <f>IF(AND(ISNUMBER(S53),ISNUMBER(Q53)),S53-Q53,"")</f>
        <v>0</v>
      </c>
      <c r="S53" s="40" t="s">
        <v>1064</v>
      </c>
      <c r="T53" s="34">
        <f>IF(AND(ISNUMBER(U53),ISNUMBER(S53)),U53-S53,"")</f>
        <v>0</v>
      </c>
      <c r="U53" s="40" t="s">
        <v>1064</v>
      </c>
      <c r="V53" s="34">
        <f>IF(AND(ISNUMBER(W53),ISNUMBER(U53)),W53-U53,"")</f>
        <v>0</v>
      </c>
      <c r="W53" s="40" t="s">
        <v>1064</v>
      </c>
      <c r="X53" s="34">
        <f>IF(AND(ISNUMBER(Y53),ISNUMBER(W53)),Y53-W53,"")</f>
        <v>0</v>
      </c>
      <c r="Y53" s="40" t="s">
        <v>1064</v>
      </c>
      <c r="Z53" s="34">
        <f>IF(AND(ISNUMBER(AA53),ISNUMBER(Y53)),AA53-Y53,"")</f>
        <v>0</v>
      </c>
      <c r="AA53" s="40" t="s">
        <v>1064</v>
      </c>
      <c r="AB53" s="34">
        <f>IF(AND(ISNUMBER(AC53),ISNUMBER(AA53)),AC53-AA53,"")</f>
        <v>0</v>
      </c>
      <c r="AC53" s="40" t="s">
        <v>1064</v>
      </c>
      <c r="AD53" s="34">
        <f>IF(AND(ISNUMBER(AE53),ISNUMBER(AC53)),AE53-AC53,"")</f>
        <v>0</v>
      </c>
      <c r="AE53" s="40" t="s">
        <v>1064</v>
      </c>
      <c r="AF53" s="34">
        <f>IF(AND(ISNUMBER(AG53),ISNUMBER(AE53)),AG53-AE53,"")</f>
        <v>0</v>
      </c>
      <c r="AG53" s="40" t="s">
        <v>1064</v>
      </c>
      <c r="AH53" s="34">
        <f>IF(AND(ISNUMBER(AI53),ISNUMBER(AG53)),AI53-AG53,"")</f>
        <v>0</v>
      </c>
      <c r="AI53" s="40" t="s">
        <v>1064</v>
      </c>
      <c r="AJ53" s="34">
        <f>IF(AND(ISNUMBER(AK53),ISNUMBER(AI53)),AK53-AI53,"")</f>
        <v>0</v>
      </c>
      <c r="AK53" s="40" t="s">
        <v>1064</v>
      </c>
      <c r="AL53" s="34">
        <f>IF(AND(ISNUMBER(AM53),ISNUMBER(AK53)),AM53-AK53,"")</f>
        <v>0</v>
      </c>
      <c r="AM53" s="40" t="s">
        <v>1064</v>
      </c>
      <c r="AN53" s="34">
        <f>IF(AND(ISNUMBER(AO53),ISNUMBER(AM53)),AO53-AM53,"")</f>
        <v>0</v>
      </c>
      <c r="AO53" s="40" t="s">
        <v>1064</v>
      </c>
      <c r="AP53" s="34">
        <f>IF(AND(ISNUMBER(AQ53),ISNUMBER(AO53)),AQ53-AO53,"")</f>
        <v>0</v>
      </c>
      <c r="AQ53" s="40" t="s">
        <v>1064</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711</v>
      </c>
      <c r="E54" s="32" t="s">
        <v>1046</v>
      </c>
      <c r="I54" s="40" t="s">
        <v>1064</v>
      </c>
      <c r="J54" s="34">
        <f>IF(AND(ISNUMBER(K54),ISNUMBER(I54)),K54-I54,"")</f>
        <v>0</v>
      </c>
      <c r="K54" s="40" t="s">
        <v>1064</v>
      </c>
      <c r="L54" s="34">
        <f>IF(AND(ISNUMBER(M54),ISNUMBER(K54)),M54-K54,"")</f>
        <v>0</v>
      </c>
      <c r="M54" s="40" t="s">
        <v>1064</v>
      </c>
      <c r="N54" s="34">
        <f>IF(AND(ISNUMBER(O54),ISNUMBER(M54)),O54-M54,"")</f>
        <v>0</v>
      </c>
      <c r="O54" s="40" t="s">
        <v>1064</v>
      </c>
      <c r="P54" s="34">
        <f>IF(AND(ISNUMBER(Q54),ISNUMBER(O54)),Q54-O54,"")</f>
        <v>0</v>
      </c>
      <c r="Q54" s="40" t="s">
        <v>1064</v>
      </c>
      <c r="R54" s="34">
        <f>IF(AND(ISNUMBER(S54),ISNUMBER(Q54)),S54-Q54,"")</f>
        <v>0</v>
      </c>
      <c r="S54" s="40" t="s">
        <v>1064</v>
      </c>
      <c r="T54" s="34">
        <f>IF(AND(ISNUMBER(U54),ISNUMBER(S54)),U54-S54,"")</f>
        <v>0</v>
      </c>
      <c r="U54" s="40" t="s">
        <v>1064</v>
      </c>
      <c r="V54" s="34">
        <f>IF(AND(ISNUMBER(W54),ISNUMBER(U54)),W54-U54,"")</f>
        <v>0</v>
      </c>
      <c r="W54" s="40" t="s">
        <v>1064</v>
      </c>
      <c r="X54" s="34">
        <f>IF(AND(ISNUMBER(Y54),ISNUMBER(W54)),Y54-W54,"")</f>
        <v>0</v>
      </c>
      <c r="Y54" s="40" t="s">
        <v>1064</v>
      </c>
      <c r="Z54" s="34">
        <f>IF(AND(ISNUMBER(AA54),ISNUMBER(Y54)),AA54-Y54,"")</f>
        <v>0</v>
      </c>
      <c r="AA54" s="40" t="s">
        <v>1064</v>
      </c>
      <c r="AB54" s="34">
        <f>IF(AND(ISNUMBER(AC54),ISNUMBER(AA54)),AC54-AA54,"")</f>
        <v>0</v>
      </c>
      <c r="AC54" s="40" t="s">
        <v>1064</v>
      </c>
      <c r="AD54" s="34">
        <f>IF(AND(ISNUMBER(AE54),ISNUMBER(AC54)),AE54-AC54,"")</f>
        <v>0</v>
      </c>
      <c r="AE54" s="40" t="s">
        <v>1064</v>
      </c>
      <c r="AF54" s="34">
        <f>IF(AND(ISNUMBER(AG54),ISNUMBER(AE54)),AG54-AE54,"")</f>
        <v>0</v>
      </c>
      <c r="AG54" s="40" t="s">
        <v>1064</v>
      </c>
      <c r="AH54" s="34">
        <f>IF(AND(ISNUMBER(AI54),ISNUMBER(AG54)),AI54-AG54,"")</f>
        <v>0</v>
      </c>
      <c r="AI54" s="40" t="s">
        <v>1064</v>
      </c>
      <c r="AJ54" s="34">
        <f>IF(AND(ISNUMBER(AK54),ISNUMBER(AI54)),AK54-AI54,"")</f>
        <v>0</v>
      </c>
      <c r="AK54" s="40" t="s">
        <v>1064</v>
      </c>
      <c r="AL54" s="34">
        <f>IF(AND(ISNUMBER(AM54),ISNUMBER(AK54)),AM54-AK54,"")</f>
        <v>0</v>
      </c>
      <c r="AM54" s="40" t="s">
        <v>1064</v>
      </c>
      <c r="AN54" s="34">
        <f>IF(AND(ISNUMBER(AO54),ISNUMBER(AM54)),AO54-AM54,"")</f>
        <v>0</v>
      </c>
      <c r="AO54" s="40" t="s">
        <v>1064</v>
      </c>
      <c r="AP54" s="34">
        <f>IF(AND(ISNUMBER(AQ54),ISNUMBER(AO54)),AQ54-AO54,"")</f>
        <v>0</v>
      </c>
      <c r="AQ54" s="40" t="s">
        <v>1064</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1071</v>
      </c>
    </row>
    <row r="55" spans="1:322" hidden="1" outlineLevel="1">
      <c r="A55" s="36" t="s">
        <v>756</v>
      </c>
      <c r="B55" s="23"/>
      <c r="C55" s="37" t="s">
        <v>714</v>
      </c>
      <c r="E55" s="32" t="s">
        <v>1067</v>
      </c>
      <c r="F55" s="38">
        <f>MIN(F56:F62)</f>
        <v>45689.0</v>
      </c>
      <c r="H55" s="38" t="s">
        <v>1068</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1074</v>
      </c>
      <c r="Z55" s="34">
        <f>IF(AND(ISNUMBER(AA55),ISNUMBER(Y55)),AA55-Y55,"")</f>
        <v>0</v>
      </c>
      <c r="AA55" s="40" t="s">
        <v>1074</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1064</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1072</v>
      </c>
    </row>
    <row r="56" spans="1:322" hidden="1" outlineLevel="1">
      <c r="B56" s="23"/>
      <c r="D56" s="31" t="s">
        <v>696</v>
      </c>
      <c r="E56" s="32" t="s">
        <v>1069</v>
      </c>
      <c r="F56" s="38" t="s">
        <v>1087</v>
      </c>
      <c r="I56" s="40" t="s">
        <v>1064</v>
      </c>
      <c r="J56" s="34">
        <f>IF(AND(ISNUMBER(K56),ISNUMBER(I56)),K56-I56,"")</f>
        <v>0</v>
      </c>
      <c r="K56" s="40" t="s">
        <v>1064</v>
      </c>
      <c r="L56" s="34">
        <f>IF(AND(ISNUMBER(M56),ISNUMBER(K56)),M56-K56,"")</f>
        <v>0</v>
      </c>
      <c r="M56" s="40" t="s">
        <v>1064</v>
      </c>
      <c r="N56" s="34">
        <f>IF(AND(ISNUMBER(O56),ISNUMBER(M56)),O56-M56,"")</f>
        <v>0</v>
      </c>
      <c r="O56" s="40" t="s">
        <v>1064</v>
      </c>
      <c r="P56" s="34">
        <f>IF(AND(ISNUMBER(Q56),ISNUMBER(O56)),Q56-O56,"")</f>
        <v>0</v>
      </c>
      <c r="Q56" s="40" t="s">
        <v>1064</v>
      </c>
      <c r="R56" s="34">
        <f>IF(AND(ISNUMBER(S56),ISNUMBER(Q56)),S56-Q56,"")</f>
        <v>0</v>
      </c>
      <c r="S56" s="40" t="s">
        <v>1064</v>
      </c>
      <c r="T56" s="34">
        <f>IF(AND(ISNUMBER(U56),ISNUMBER(S56)),U56-S56,"")</f>
        <v>0</v>
      </c>
      <c r="U56" s="40" t="s">
        <v>1064</v>
      </c>
      <c r="V56" s="34">
        <f>IF(AND(ISNUMBER(W56),ISNUMBER(U56)),W56-U56,"")</f>
        <v>0</v>
      </c>
      <c r="W56" s="40" t="s">
        <v>1064</v>
      </c>
      <c r="X56" s="34">
        <f>IF(AND(ISNUMBER(Y56),ISNUMBER(W56)),Y56-W56,"")</f>
        <v>0</v>
      </c>
      <c r="Y56" s="40" t="s">
        <v>1064</v>
      </c>
      <c r="Z56" s="34">
        <f>IF(AND(ISNUMBER(AA56),ISNUMBER(Y56)),AA56-Y56,"")</f>
        <v>0</v>
      </c>
      <c r="AA56" s="40" t="s">
        <v>1064</v>
      </c>
      <c r="AB56" s="34">
        <f>IF(AND(ISNUMBER(AC56),ISNUMBER(AA56)),AC56-AA56,"")</f>
        <v>0</v>
      </c>
      <c r="AC56" s="40" t="s">
        <v>1064</v>
      </c>
      <c r="AD56" s="34">
        <f>IF(AND(ISNUMBER(AE56),ISNUMBER(AC56)),AE56-AC56,"")</f>
        <v>0</v>
      </c>
      <c r="AE56" s="40" t="s">
        <v>1064</v>
      </c>
      <c r="AF56" s="34">
        <f>IF(AND(ISNUMBER(AG56),ISNUMBER(AE56)),AG56-AE56,"")</f>
        <v>0</v>
      </c>
      <c r="AG56" s="40" t="s">
        <v>1064</v>
      </c>
      <c r="AH56" s="34">
        <f>IF(AND(ISNUMBER(AI56),ISNUMBER(AG56)),AI56-AG56,"")</f>
        <v>0</v>
      </c>
      <c r="AI56" s="40" t="s">
        <v>1064</v>
      </c>
      <c r="AJ56" s="34">
        <f>IF(AND(ISNUMBER(AK56),ISNUMBER(AI56)),AK56-AI56,"")</f>
        <v>0</v>
      </c>
      <c r="AK56" s="40" t="s">
        <v>1064</v>
      </c>
      <c r="AL56" s="34">
        <f>IF(AND(ISNUMBER(AM56),ISNUMBER(AK56)),AM56-AK56,"")</f>
        <v>0</v>
      </c>
      <c r="AM56" s="40" t="s">
        <v>1064</v>
      </c>
      <c r="AN56" s="34">
        <f>IF(AND(ISNUMBER(AO56),ISNUMBER(AM56)),AO56-AM56,"")</f>
        <v>0</v>
      </c>
      <c r="AO56" s="40" t="s">
        <v>1064</v>
      </c>
      <c r="AP56" s="34">
        <f>IF(AND(ISNUMBER(AQ56),ISNUMBER(AO56)),AQ56-AO56,"")</f>
        <v>0</v>
      </c>
      <c r="AQ56" s="40" t="s">
        <v>1064</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701</v>
      </c>
      <c r="E57" s="32" t="s">
        <v>1045</v>
      </c>
      <c r="F57" s="38">
        <v>45689</v>
      </c>
      <c r="I57" s="40" t="s">
        <v>1064</v>
      </c>
      <c r="J57" s="34">
        <f>IF(AND(ISNUMBER(K57),ISNUMBER(I57)),K57-I57,"")</f>
        <v>0</v>
      </c>
      <c r="K57" s="40" t="s">
        <v>1064</v>
      </c>
      <c r="L57" s="34">
        <f>IF(AND(ISNUMBER(M57),ISNUMBER(K57)),M57-K57,"")</f>
        <v>0</v>
      </c>
      <c r="M57" s="40" t="s">
        <v>1064</v>
      </c>
      <c r="N57" s="34">
        <f>IF(AND(ISNUMBER(O57),ISNUMBER(M57)),O57-M57,"")</f>
        <v>0</v>
      </c>
      <c r="O57" s="40" t="s">
        <v>1064</v>
      </c>
      <c r="P57" s="34">
        <f>IF(AND(ISNUMBER(Q57),ISNUMBER(O57)),Q57-O57,"")</f>
        <v>0</v>
      </c>
      <c r="Q57" s="40" t="s">
        <v>1064</v>
      </c>
      <c r="R57" s="34">
        <f>IF(AND(ISNUMBER(S57),ISNUMBER(Q57)),S57-Q57,"")</f>
        <v>0</v>
      </c>
      <c r="S57" s="40" t="s">
        <v>1064</v>
      </c>
      <c r="T57" s="34">
        <f>IF(AND(ISNUMBER(U57),ISNUMBER(S57)),U57-S57,"")</f>
        <v>0</v>
      </c>
      <c r="U57" s="40" t="s">
        <v>1064</v>
      </c>
      <c r="V57" s="34">
        <f>IF(AND(ISNUMBER(W57),ISNUMBER(U57)),W57-U57,"")</f>
        <v>0</v>
      </c>
      <c r="W57" s="40" t="s">
        <v>1064</v>
      </c>
      <c r="X57" s="34">
        <f>IF(AND(ISNUMBER(Y57),ISNUMBER(W57)),Y57-W57,"")</f>
        <v>0</v>
      </c>
      <c r="Y57" s="40" t="s">
        <v>1064</v>
      </c>
      <c r="Z57" s="34">
        <f>IF(AND(ISNUMBER(AA57),ISNUMBER(Y57)),AA57-Y57,"")</f>
        <v>0</v>
      </c>
      <c r="AA57" s="40" t="s">
        <v>1064</v>
      </c>
      <c r="AB57" s="34">
        <f>IF(AND(ISNUMBER(AC57),ISNUMBER(AA57)),AC57-AA57,"")</f>
        <v>0</v>
      </c>
      <c r="AC57" s="40" t="s">
        <v>1064</v>
      </c>
      <c r="AD57" s="34">
        <f>IF(AND(ISNUMBER(AE57),ISNUMBER(AC57)),AE57-AC57,"")</f>
        <v>0</v>
      </c>
      <c r="AE57" s="40" t="s">
        <v>1064</v>
      </c>
      <c r="AF57" s="34">
        <f>IF(AND(ISNUMBER(AG57),ISNUMBER(AE57)),AG57-AE57,"")</f>
        <v>0</v>
      </c>
      <c r="AG57" s="40" t="s">
        <v>1064</v>
      </c>
      <c r="AH57" s="34">
        <f>IF(AND(ISNUMBER(AI57),ISNUMBER(AG57)),AI57-AG57,"")</f>
        <v>0</v>
      </c>
      <c r="AI57" s="40" t="s">
        <v>1064</v>
      </c>
      <c r="AJ57" s="34">
        <f>IF(AND(ISNUMBER(AK57),ISNUMBER(AI57)),AK57-AI57,"")</f>
        <v>0</v>
      </c>
      <c r="AK57" s="40" t="s">
        <v>1064</v>
      </c>
      <c r="AL57" s="34">
        <f>IF(AND(ISNUMBER(AM57),ISNUMBER(AK57)),AM57-AK57,"")</f>
        <v>0</v>
      </c>
      <c r="AM57" s="40" t="s">
        <v>1064</v>
      </c>
      <c r="AN57" s="34">
        <f>IF(AND(ISNUMBER(AO57),ISNUMBER(AM57)),AO57-AM57,"")</f>
        <v>0</v>
      </c>
      <c r="AO57" s="40" t="s">
        <v>1064</v>
      </c>
      <c r="AP57" s="34">
        <f>IF(AND(ISNUMBER(AQ57),ISNUMBER(AO57)),AQ57-AO57,"")</f>
        <v>0</v>
      </c>
      <c r="AQ57" s="40" t="s">
        <v>1064</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703</v>
      </c>
      <c r="E58" s="32" t="s">
        <v>1033</v>
      </c>
      <c r="I58" s="40" t="s">
        <v>1064</v>
      </c>
      <c r="J58" s="34">
        <f>IF(AND(ISNUMBER(K58),ISNUMBER(I58)),K58-I58,"")</f>
        <v>0</v>
      </c>
      <c r="K58" s="40" t="s">
        <v>1064</v>
      </c>
      <c r="L58" s="34">
        <f>IF(AND(ISNUMBER(M58),ISNUMBER(K58)),M58-K58,"")</f>
        <v>0</v>
      </c>
      <c r="M58" s="40" t="s">
        <v>1064</v>
      </c>
      <c r="N58" s="34">
        <f>IF(AND(ISNUMBER(O58),ISNUMBER(M58)),O58-M58,"")</f>
        <v>0</v>
      </c>
      <c r="O58" s="40" t="s">
        <v>1064</v>
      </c>
      <c r="P58" s="34">
        <f>IF(AND(ISNUMBER(Q58),ISNUMBER(O58)),Q58-O58,"")</f>
        <v>0</v>
      </c>
      <c r="Q58" s="40" t="s">
        <v>1064</v>
      </c>
      <c r="R58" s="34">
        <f>IF(AND(ISNUMBER(S58),ISNUMBER(Q58)),S58-Q58,"")</f>
        <v>0</v>
      </c>
      <c r="S58" s="40" t="s">
        <v>1064</v>
      </c>
      <c r="T58" s="34">
        <f>IF(AND(ISNUMBER(U58),ISNUMBER(S58)),U58-S58,"")</f>
        <v>0</v>
      </c>
      <c r="U58" s="40" t="s">
        <v>1064</v>
      </c>
      <c r="V58" s="34">
        <f>IF(AND(ISNUMBER(W58),ISNUMBER(U58)),W58-U58,"")</f>
        <v>0</v>
      </c>
      <c r="W58" s="40" t="s">
        <v>1064</v>
      </c>
      <c r="X58" s="34">
        <f>IF(AND(ISNUMBER(Y58),ISNUMBER(W58)),Y58-W58,"")</f>
        <v>0</v>
      </c>
      <c r="Y58" s="40" t="s">
        <v>1064</v>
      </c>
      <c r="Z58" s="34">
        <f>IF(AND(ISNUMBER(AA58),ISNUMBER(Y58)),AA58-Y58,"")</f>
        <v>0</v>
      </c>
      <c r="AA58" s="40" t="s">
        <v>1064</v>
      </c>
      <c r="AB58" s="34">
        <f>IF(AND(ISNUMBER(AC58),ISNUMBER(AA58)),AC58-AA58,"")</f>
        <v>0</v>
      </c>
      <c r="AC58" s="40" t="s">
        <v>1064</v>
      </c>
      <c r="AD58" s="34">
        <f>IF(AND(ISNUMBER(AE58),ISNUMBER(AC58)),AE58-AC58,"")</f>
        <v>0</v>
      </c>
      <c r="AE58" s="40" t="s">
        <v>1064</v>
      </c>
      <c r="AF58" s="34">
        <f>IF(AND(ISNUMBER(AG58),ISNUMBER(AE58)),AG58-AE58,"")</f>
        <v>0</v>
      </c>
      <c r="AG58" s="40" t="s">
        <v>1064</v>
      </c>
      <c r="AH58" s="34">
        <f>IF(AND(ISNUMBER(AI58),ISNUMBER(AG58)),AI58-AG58,"")</f>
        <v>0</v>
      </c>
      <c r="AI58" s="40" t="s">
        <v>1064</v>
      </c>
      <c r="AJ58" s="34">
        <f>IF(AND(ISNUMBER(AK58),ISNUMBER(AI58)),AK58-AI58,"")</f>
        <v>0</v>
      </c>
      <c r="AK58" s="40" t="s">
        <v>1064</v>
      </c>
      <c r="AL58" s="34">
        <f>IF(AND(ISNUMBER(AM58),ISNUMBER(AK58)),AM58-AK58,"")</f>
        <v>0</v>
      </c>
      <c r="AM58" s="40" t="s">
        <v>1064</v>
      </c>
      <c r="AN58" s="34">
        <f>IF(AND(ISNUMBER(AO58),ISNUMBER(AM58)),AO58-AM58,"")</f>
        <v>0</v>
      </c>
      <c r="AO58" s="40" t="s">
        <v>1064</v>
      </c>
      <c r="AP58" s="34">
        <f>IF(AND(ISNUMBER(AQ58),ISNUMBER(AO58)),AQ58-AO58,"")</f>
        <v>0</v>
      </c>
      <c r="AQ58" s="40" t="s">
        <v>1064</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705</v>
      </c>
      <c r="E59" s="32" t="s">
        <v>1044</v>
      </c>
      <c r="F59" s="38">
        <v>45689</v>
      </c>
      <c r="I59" s="40" t="s">
        <v>1064</v>
      </c>
      <c r="J59" s="34">
        <f>IF(AND(ISNUMBER(K59),ISNUMBER(I59)),K59-I59,"")</f>
        <v>0</v>
      </c>
      <c r="K59" s="40" t="s">
        <v>1064</v>
      </c>
      <c r="L59" s="34">
        <f>IF(AND(ISNUMBER(M59),ISNUMBER(K59)),M59-K59,"")</f>
        <v>0</v>
      </c>
      <c r="M59" s="40" t="s">
        <v>1064</v>
      </c>
      <c r="N59" s="34">
        <f>IF(AND(ISNUMBER(O59),ISNUMBER(M59)),O59-M59,"")</f>
        <v>0</v>
      </c>
      <c r="O59" s="40" t="s">
        <v>1064</v>
      </c>
      <c r="P59" s="34">
        <f>IF(AND(ISNUMBER(Q59),ISNUMBER(O59)),Q59-O59,"")</f>
        <v>0</v>
      </c>
      <c r="Q59" s="40" t="s">
        <v>1064</v>
      </c>
      <c r="R59" s="34">
        <f>IF(AND(ISNUMBER(S59),ISNUMBER(Q59)),S59-Q59,"")</f>
        <v>0</v>
      </c>
      <c r="S59" s="40" t="s">
        <v>1064</v>
      </c>
      <c r="T59" s="34">
        <f>IF(AND(ISNUMBER(U59),ISNUMBER(S59)),U59-S59,"")</f>
        <v>0</v>
      </c>
      <c r="U59" s="40" t="s">
        <v>1064</v>
      </c>
      <c r="V59" s="34">
        <f>IF(AND(ISNUMBER(W59),ISNUMBER(U59)),W59-U59,"")</f>
        <v>0</v>
      </c>
      <c r="W59" s="40" t="s">
        <v>1064</v>
      </c>
      <c r="X59" s="34">
        <f>IF(AND(ISNUMBER(Y59),ISNUMBER(W59)),Y59-W59,"")</f>
        <v>0</v>
      </c>
      <c r="Y59" s="40" t="s">
        <v>1064</v>
      </c>
      <c r="Z59" s="34">
        <f>IF(AND(ISNUMBER(AA59),ISNUMBER(Y59)),AA59-Y59,"")</f>
        <v>0</v>
      </c>
      <c r="AA59" s="40" t="s">
        <v>1064</v>
      </c>
      <c r="AB59" s="34">
        <f>IF(AND(ISNUMBER(AC59),ISNUMBER(AA59)),AC59-AA59,"")</f>
        <v>0</v>
      </c>
      <c r="AC59" s="40" t="s">
        <v>1064</v>
      </c>
      <c r="AD59" s="34">
        <f>IF(AND(ISNUMBER(AE59),ISNUMBER(AC59)),AE59-AC59,"")</f>
        <v>0</v>
      </c>
      <c r="AE59" s="40" t="s">
        <v>1064</v>
      </c>
      <c r="AF59" s="34">
        <f>IF(AND(ISNUMBER(AG59),ISNUMBER(AE59)),AG59-AE59,"")</f>
        <v>0</v>
      </c>
      <c r="AG59" s="40" t="s">
        <v>1064</v>
      </c>
      <c r="AH59" s="34">
        <f>IF(AND(ISNUMBER(AI59),ISNUMBER(AG59)),AI59-AG59,"")</f>
        <v>0</v>
      </c>
      <c r="AI59" s="40" t="s">
        <v>1064</v>
      </c>
      <c r="AJ59" s="34">
        <f>IF(AND(ISNUMBER(AK59),ISNUMBER(AI59)),AK59-AI59,"")</f>
        <v>0</v>
      </c>
      <c r="AK59" s="40" t="s">
        <v>1064</v>
      </c>
      <c r="AL59" s="34">
        <f>IF(AND(ISNUMBER(AM59),ISNUMBER(AK59)),AM59-AK59,"")</f>
        <v>0</v>
      </c>
      <c r="AM59" s="40" t="s">
        <v>1064</v>
      </c>
      <c r="AN59" s="34">
        <f>IF(AND(ISNUMBER(AO59),ISNUMBER(AM59)),AO59-AM59,"")</f>
        <v>0</v>
      </c>
      <c r="AO59" s="40" t="s">
        <v>1064</v>
      </c>
      <c r="AP59" s="34">
        <f>IF(AND(ISNUMBER(AQ59),ISNUMBER(AO59)),AQ59-AO59,"")</f>
        <v>0</v>
      </c>
      <c r="AQ59" s="40" t="s">
        <v>1064</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1086</v>
      </c>
    </row>
    <row r="60" spans="1:322" hidden="1" outlineLevel="1">
      <c r="B60" s="23"/>
      <c r="D60" s="31" t="s">
        <v>707</v>
      </c>
      <c r="E60" s="32" t="s">
        <v>1040</v>
      </c>
      <c r="F60" s="38">
        <v>45689</v>
      </c>
      <c r="I60" s="40" t="s">
        <v>1064</v>
      </c>
      <c r="J60" s="34">
        <f>IF(AND(ISNUMBER(K60),ISNUMBER(I60)),K60-I60,"")</f>
        <v>0</v>
      </c>
      <c r="K60" s="40" t="s">
        <v>1064</v>
      </c>
      <c r="L60" s="34">
        <f>IF(AND(ISNUMBER(M60),ISNUMBER(K60)),M60-K60,"")</f>
        <v>0</v>
      </c>
      <c r="M60" s="40" t="s">
        <v>1064</v>
      </c>
      <c r="N60" s="34">
        <f>IF(AND(ISNUMBER(O60),ISNUMBER(M60)),O60-M60,"")</f>
        <v>0</v>
      </c>
      <c r="O60" s="40" t="s">
        <v>1064</v>
      </c>
      <c r="P60" s="34">
        <f>IF(AND(ISNUMBER(Q60),ISNUMBER(O60)),Q60-O60,"")</f>
        <v>0</v>
      </c>
      <c r="Q60" s="40" t="s">
        <v>1064</v>
      </c>
      <c r="R60" s="34">
        <f>IF(AND(ISNUMBER(S60),ISNUMBER(Q60)),S60-Q60,"")</f>
        <v>0</v>
      </c>
      <c r="S60" s="40" t="s">
        <v>1064</v>
      </c>
      <c r="T60" s="34">
        <f>IF(AND(ISNUMBER(U60),ISNUMBER(S60)),U60-S60,"")</f>
        <v>0</v>
      </c>
      <c r="U60" s="40" t="s">
        <v>1064</v>
      </c>
      <c r="V60" s="34">
        <f>IF(AND(ISNUMBER(W60),ISNUMBER(U60)),W60-U60,"")</f>
        <v>0</v>
      </c>
      <c r="W60" s="40" t="s">
        <v>1064</v>
      </c>
      <c r="X60" s="34">
        <f>IF(AND(ISNUMBER(Y60),ISNUMBER(W60)),Y60-W60,"")</f>
        <v>0</v>
      </c>
      <c r="Y60" s="40" t="s">
        <v>1064</v>
      </c>
      <c r="Z60" s="34">
        <f>IF(AND(ISNUMBER(AA60),ISNUMBER(Y60)),AA60-Y60,"")</f>
        <v>0</v>
      </c>
      <c r="AA60" s="40" t="s">
        <v>1064</v>
      </c>
      <c r="AB60" s="34">
        <f>IF(AND(ISNUMBER(AC60),ISNUMBER(AA60)),AC60-AA60,"")</f>
        <v>0</v>
      </c>
      <c r="AC60" s="33">
        <v>4</v>
      </c>
      <c r="AD60" s="34">
        <f>IF(AND(ISNUMBER(AE60),ISNUMBER(AC60)),AE60-AC60,"")</f>
        <v>0</v>
      </c>
      <c r="AE60" s="40" t="s">
        <v>1064</v>
      </c>
      <c r="AF60" s="34">
        <f>IF(AND(ISNUMBER(AG60),ISNUMBER(AE60)),AG60-AE60,"")</f>
        <v>0</v>
      </c>
      <c r="AG60" s="40" t="s">
        <v>1064</v>
      </c>
      <c r="AH60" s="34">
        <f>IF(AND(ISNUMBER(AI60),ISNUMBER(AG60)),AI60-AG60,"")</f>
        <v>0</v>
      </c>
      <c r="AI60" s="40" t="s">
        <v>1064</v>
      </c>
      <c r="AJ60" s="34">
        <f>IF(AND(ISNUMBER(AK60),ISNUMBER(AI60)),AK60-AI60,"")</f>
        <v>0</v>
      </c>
      <c r="AK60" s="40" t="s">
        <v>1064</v>
      </c>
      <c r="AL60" s="34">
        <f>IF(AND(ISNUMBER(AM60),ISNUMBER(AK60)),AM60-AK60,"")</f>
        <v>0</v>
      </c>
      <c r="AM60" s="40" t="s">
        <v>1064</v>
      </c>
      <c r="AN60" s="34">
        <f>IF(AND(ISNUMBER(AO60),ISNUMBER(AM60)),AO60-AM60,"")</f>
        <v>0</v>
      </c>
      <c r="AO60" s="40" t="s">
        <v>1064</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709</v>
      </c>
      <c r="E61" s="32" t="s">
        <v>1038</v>
      </c>
      <c r="F61" s="38">
        <v>45689</v>
      </c>
      <c r="I61" s="40" t="s">
        <v>1064</v>
      </c>
      <c r="J61" s="34">
        <f>IF(AND(ISNUMBER(K61),ISNUMBER(I61)),K61-I61,"")</f>
        <v>0</v>
      </c>
      <c r="K61" s="40" t="s">
        <v>1064</v>
      </c>
      <c r="L61" s="34">
        <f>IF(AND(ISNUMBER(M61),ISNUMBER(K61)),M61-K61,"")</f>
        <v>0</v>
      </c>
      <c r="M61" s="40" t="s">
        <v>1064</v>
      </c>
      <c r="N61" s="34">
        <f>IF(AND(ISNUMBER(O61),ISNUMBER(M61)),O61-M61,"")</f>
        <v>0</v>
      </c>
      <c r="O61" s="40" t="s">
        <v>1064</v>
      </c>
      <c r="P61" s="34">
        <f>IF(AND(ISNUMBER(Q61),ISNUMBER(O61)),Q61-O61,"")</f>
        <v>0</v>
      </c>
      <c r="Q61" s="40" t="s">
        <v>1064</v>
      </c>
      <c r="R61" s="34">
        <f>IF(AND(ISNUMBER(S61),ISNUMBER(Q61)),S61-Q61,"")</f>
        <v>0</v>
      </c>
      <c r="S61" s="40" t="s">
        <v>1064</v>
      </c>
      <c r="T61" s="34">
        <f>IF(AND(ISNUMBER(U61),ISNUMBER(S61)),U61-S61,"")</f>
        <v>0</v>
      </c>
      <c r="U61" s="40" t="s">
        <v>1064</v>
      </c>
      <c r="V61" s="34">
        <f>IF(AND(ISNUMBER(W61),ISNUMBER(U61)),W61-U61,"")</f>
        <v>0</v>
      </c>
      <c r="W61" s="40" t="s">
        <v>1064</v>
      </c>
      <c r="X61" s="34">
        <f>IF(AND(ISNUMBER(Y61),ISNUMBER(W61)),Y61-W61,"")</f>
        <v>0</v>
      </c>
      <c r="Y61" s="40" t="s">
        <v>1064</v>
      </c>
      <c r="Z61" s="34">
        <f>IF(AND(ISNUMBER(AA61),ISNUMBER(Y61)),AA61-Y61,"")</f>
        <v>0</v>
      </c>
      <c r="AA61" s="40" t="s">
        <v>1064</v>
      </c>
      <c r="AB61" s="34">
        <f>IF(AND(ISNUMBER(AC61),ISNUMBER(AA61)),AC61-AA61,"")</f>
        <v>0</v>
      </c>
      <c r="AC61" s="33">
        <v>0</v>
      </c>
      <c r="AD61" s="34">
        <f>IF(AND(ISNUMBER(AE61),ISNUMBER(AC61)),AE61-AC61,"")</f>
        <v>0</v>
      </c>
      <c r="AE61" s="40" t="s">
        <v>1064</v>
      </c>
      <c r="AF61" s="34">
        <f>IF(AND(ISNUMBER(AG61),ISNUMBER(AE61)),AG61-AE61,"")</f>
        <v>0</v>
      </c>
      <c r="AG61" s="40" t="s">
        <v>1064</v>
      </c>
      <c r="AH61" s="34">
        <f>IF(AND(ISNUMBER(AI61),ISNUMBER(AG61)),AI61-AG61,"")</f>
        <v>0</v>
      </c>
      <c r="AI61" s="40" t="s">
        <v>1064</v>
      </c>
      <c r="AJ61" s="34">
        <f>IF(AND(ISNUMBER(AK61),ISNUMBER(AI61)),AK61-AI61,"")</f>
        <v>0</v>
      </c>
      <c r="AK61" s="40" t="s">
        <v>1064</v>
      </c>
      <c r="AL61" s="34">
        <f>IF(AND(ISNUMBER(AM61),ISNUMBER(AK61)),AM61-AK61,"")</f>
        <v>0</v>
      </c>
      <c r="AM61" s="40" t="s">
        <v>1064</v>
      </c>
      <c r="AN61" s="34">
        <f>IF(AND(ISNUMBER(AO61),ISNUMBER(AM61)),AO61-AM61,"")</f>
        <v>0</v>
      </c>
      <c r="AO61" s="40" t="s">
        <v>1064</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711</v>
      </c>
      <c r="E62" s="32" t="s">
        <v>1046</v>
      </c>
      <c r="F62" s="38">
        <v>45689</v>
      </c>
      <c r="I62" s="40" t="s">
        <v>1064</v>
      </c>
      <c r="J62" s="34">
        <f>IF(AND(ISNUMBER(K62),ISNUMBER(I62)),K62-I62,"")</f>
        <v>0</v>
      </c>
      <c r="K62" s="40" t="s">
        <v>1064</v>
      </c>
      <c r="L62" s="34">
        <f>IF(AND(ISNUMBER(M62),ISNUMBER(K62)),M62-K62,"")</f>
        <v>0</v>
      </c>
      <c r="M62" s="40" t="s">
        <v>1064</v>
      </c>
      <c r="N62" s="34">
        <f>IF(AND(ISNUMBER(O62),ISNUMBER(M62)),O62-M62,"")</f>
        <v>0</v>
      </c>
      <c r="O62" s="40" t="s">
        <v>1064</v>
      </c>
      <c r="P62" s="34">
        <f>IF(AND(ISNUMBER(Q62),ISNUMBER(O62)),Q62-O62,"")</f>
        <v>0</v>
      </c>
      <c r="Q62" s="40" t="s">
        <v>1064</v>
      </c>
      <c r="R62" s="34">
        <f>IF(AND(ISNUMBER(S62),ISNUMBER(Q62)),S62-Q62,"")</f>
        <v>0</v>
      </c>
      <c r="S62" s="40" t="s">
        <v>1064</v>
      </c>
      <c r="T62" s="34">
        <f>IF(AND(ISNUMBER(U62),ISNUMBER(S62)),U62-S62,"")</f>
        <v>0</v>
      </c>
      <c r="U62" s="40" t="s">
        <v>1064</v>
      </c>
      <c r="V62" s="34">
        <f>IF(AND(ISNUMBER(W62),ISNUMBER(U62)),W62-U62,"")</f>
        <v>0</v>
      </c>
      <c r="W62" s="40" t="s">
        <v>1064</v>
      </c>
      <c r="X62" s="34">
        <f>IF(AND(ISNUMBER(Y62),ISNUMBER(W62)),Y62-W62,"")</f>
        <v>0</v>
      </c>
      <c r="Y62" s="40" t="s">
        <v>1064</v>
      </c>
      <c r="Z62" s="34">
        <f>IF(AND(ISNUMBER(AA62),ISNUMBER(Y62)),AA62-Y62,"")</f>
        <v>0</v>
      </c>
      <c r="AA62" s="40" t="s">
        <v>1064</v>
      </c>
      <c r="AB62" s="34">
        <f>IF(AND(ISNUMBER(AC62),ISNUMBER(AA62)),AC62-AA62,"")</f>
        <v>0</v>
      </c>
      <c r="AC62" s="40" t="s">
        <v>1064</v>
      </c>
      <c r="AD62" s="34">
        <f>IF(AND(ISNUMBER(AE62),ISNUMBER(AC62)),AE62-AC62,"")</f>
        <v>0</v>
      </c>
      <c r="AE62" s="40" t="s">
        <v>1064</v>
      </c>
      <c r="AF62" s="34">
        <f>IF(AND(ISNUMBER(AG62),ISNUMBER(AE62)),AG62-AE62,"")</f>
        <v>0</v>
      </c>
      <c r="AG62" s="40" t="s">
        <v>1064</v>
      </c>
      <c r="AH62" s="34">
        <f>IF(AND(ISNUMBER(AI62),ISNUMBER(AG62)),AI62-AG62,"")</f>
        <v>0</v>
      </c>
      <c r="AI62" s="40" t="s">
        <v>1064</v>
      </c>
      <c r="AJ62" s="34">
        <f>IF(AND(ISNUMBER(AK62),ISNUMBER(AI62)),AK62-AI62,"")</f>
        <v>0</v>
      </c>
      <c r="AK62" s="40" t="s">
        <v>1064</v>
      </c>
      <c r="AL62" s="34">
        <f>IF(AND(ISNUMBER(AM62),ISNUMBER(AK62)),AM62-AK62,"")</f>
        <v>0</v>
      </c>
      <c r="AM62" s="40" t="s">
        <v>1064</v>
      </c>
      <c r="AN62" s="34">
        <f>IF(AND(ISNUMBER(AO62),ISNUMBER(AM62)),AO62-AM62,"")</f>
        <v>0</v>
      </c>
      <c r="AO62" s="40" t="s">
        <v>1064</v>
      </c>
      <c r="AP62" s="34">
        <f>IF(AND(ISNUMBER(AQ62),ISNUMBER(AO62)),AQ62-AO62,"")</f>
        <v>0</v>
      </c>
      <c r="AQ62" s="40" t="s">
        <v>1064</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1071</v>
      </c>
    </row>
    <row r="63" spans="1:322">
      <c r="A63" s="22">
        <v>5</v>
      </c>
      <c r="B63" s="23" t="s">
        <v>1088</v>
      </c>
      <c r="C63" s="43" t="s">
        <v>714</v>
      </c>
      <c r="D63" s="43"/>
      <c r="E63" s="25" t="s">
        <v>1027</v>
      </c>
      <c r="F63" s="26"/>
      <c r="G63" s="26"/>
      <c r="H63" s="26" t="s">
        <v>1082</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1074</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1089</v>
      </c>
      <c r="C64" s="43" t="s">
        <v>714</v>
      </c>
      <c r="D64" s="43"/>
      <c r="E64" s="25" t="s">
        <v>1090</v>
      </c>
      <c r="F64" s="26"/>
      <c r="G64" s="26"/>
      <c r="H64" s="26" t="s">
        <v>1091</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1074</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v>2518</v>
      </c>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1092</v>
      </c>
    </row>
    <row r="65" spans="1:322" collapsed="1">
      <c r="A65" s="36" t="s">
        <v>771</v>
      </c>
      <c r="B65" s="23"/>
      <c r="C65" s="31" t="s">
        <v>769</v>
      </c>
      <c r="H65" s="38" t="s">
        <v>1091</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1074</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1092</v>
      </c>
    </row>
    <row r="66" spans="1:322" hidden="1" outlineLevel="1">
      <c r="A66" s="36" t="s">
        <v>774</v>
      </c>
      <c r="B66" s="23"/>
      <c r="C66" s="31" t="s">
        <v>772</v>
      </c>
      <c r="E66" s="32" t="s">
        <v>1090</v>
      </c>
      <c r="H66" s="38" t="s">
        <v>1091</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1074</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1092</v>
      </c>
    </row>
    <row r="67" spans="1:322">
      <c r="A67" s="22" t="s">
        <v>145</v>
      </c>
      <c r="B67" s="23" t="s">
        <v>1093</v>
      </c>
      <c r="C67" s="43" t="s">
        <v>1094</v>
      </c>
      <c r="D67" s="43" t="s">
        <v>1095</v>
      </c>
      <c r="E67" s="25"/>
      <c r="F67" s="26"/>
      <c r="G67" s="26"/>
      <c r="H67" s="26" t="s">
        <v>1068</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714</v>
      </c>
      <c r="D68" s="31" t="s">
        <v>779</v>
      </c>
      <c r="E68" s="32" t="s">
        <v>1022</v>
      </c>
      <c r="H68" s="38" t="s">
        <v>1068</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714</v>
      </c>
      <c r="D69" s="31" t="s">
        <v>781</v>
      </c>
      <c r="E69" s="32" t="s">
        <v>1022</v>
      </c>
      <c r="H69" s="38" t="s">
        <v>1068</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714</v>
      </c>
      <c r="D70" s="31" t="s">
        <v>783</v>
      </c>
      <c r="E70" s="32" t="s">
        <v>1022</v>
      </c>
      <c r="H70" s="38" t="s">
        <v>1068</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787</v>
      </c>
      <c r="B71" s="23"/>
      <c r="C71" s="31" t="s">
        <v>1096</v>
      </c>
      <c r="D71" s="31" t="s">
        <v>1095</v>
      </c>
      <c r="H71" s="38" t="s">
        <v>1068</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769</v>
      </c>
      <c r="D72" s="31" t="s">
        <v>779</v>
      </c>
      <c r="E72" s="32" t="s">
        <v>1022</v>
      </c>
      <c r="H72" s="38" t="s">
        <v>1068</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769</v>
      </c>
      <c r="D73" s="31" t="s">
        <v>781</v>
      </c>
      <c r="E73" s="32" t="s">
        <v>1022</v>
      </c>
      <c r="H73" s="38" t="s">
        <v>1068</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769</v>
      </c>
      <c r="D74" s="31" t="s">
        <v>783</v>
      </c>
      <c r="E74" s="32" t="s">
        <v>1022</v>
      </c>
      <c r="H74" s="38" t="s">
        <v>1068</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793</v>
      </c>
      <c r="B75" s="23"/>
      <c r="C75" s="31" t="s">
        <v>1097</v>
      </c>
      <c r="D75" s="31" t="s">
        <v>1095</v>
      </c>
      <c r="H75" s="38" t="s">
        <v>1068</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772</v>
      </c>
      <c r="D76" s="31" t="s">
        <v>779</v>
      </c>
      <c r="E76" s="32" t="s">
        <v>1022</v>
      </c>
      <c r="H76" s="38" t="s">
        <v>1068</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772</v>
      </c>
      <c r="D77" s="31" t="s">
        <v>781</v>
      </c>
      <c r="E77" s="32" t="s">
        <v>1022</v>
      </c>
      <c r="H77" s="38" t="s">
        <v>1068</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772</v>
      </c>
      <c r="D78" s="31" t="s">
        <v>783</v>
      </c>
      <c r="E78" s="32" t="s">
        <v>1022</v>
      </c>
      <c r="H78" s="38" t="s">
        <v>1068</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243</v>
      </c>
      <c r="B79" s="23"/>
      <c r="C79" s="31" t="s">
        <v>1098</v>
      </c>
      <c r="D79" s="31" t="s">
        <v>1099</v>
      </c>
      <c r="H79" s="38" t="s">
        <v>1068</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245</v>
      </c>
      <c r="B80" s="23"/>
      <c r="C80" s="31" t="s">
        <v>799</v>
      </c>
      <c r="D80" s="31" t="s">
        <v>800</v>
      </c>
      <c r="E80" s="32" t="s">
        <v>1022</v>
      </c>
      <c r="H80" s="38" t="s">
        <v>1068</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247</v>
      </c>
      <c r="B81" s="23"/>
      <c r="C81" s="31" t="s">
        <v>799</v>
      </c>
      <c r="D81" s="31" t="s">
        <v>802</v>
      </c>
      <c r="E81" s="32" t="s">
        <v>1022</v>
      </c>
      <c r="H81" s="38" t="s">
        <v>1068</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249</v>
      </c>
      <c r="B82" s="23"/>
      <c r="C82" s="31" t="s">
        <v>799</v>
      </c>
      <c r="D82" s="31" t="s">
        <v>804</v>
      </c>
      <c r="E82" s="32" t="s">
        <v>1022</v>
      </c>
      <c r="H82" s="38" t="s">
        <v>1068</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808</v>
      </c>
      <c r="B83" s="23"/>
      <c r="C83" s="31" t="s">
        <v>1096</v>
      </c>
      <c r="D83" s="31" t="s">
        <v>1099</v>
      </c>
      <c r="H83" s="38" t="s">
        <v>1068</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251</v>
      </c>
      <c r="B84" s="23"/>
      <c r="C84" s="31" t="s">
        <v>769</v>
      </c>
      <c r="D84" s="31" t="s">
        <v>800</v>
      </c>
      <c r="E84" s="32" t="s">
        <v>1022</v>
      </c>
      <c r="H84" s="38" t="s">
        <v>1068</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255</v>
      </c>
      <c r="B85" s="23"/>
      <c r="C85" s="31" t="s">
        <v>769</v>
      </c>
      <c r="D85" s="31" t="s">
        <v>802</v>
      </c>
      <c r="E85" s="32" t="s">
        <v>1022</v>
      </c>
      <c r="H85" s="38" t="s">
        <v>1068</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259</v>
      </c>
      <c r="B86" s="23"/>
      <c r="C86" s="31" t="s">
        <v>769</v>
      </c>
      <c r="D86" s="31" t="s">
        <v>804</v>
      </c>
      <c r="E86" s="32" t="s">
        <v>1022</v>
      </c>
      <c r="H86" s="38" t="s">
        <v>1068</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814</v>
      </c>
      <c r="B87" s="23"/>
      <c r="C87" s="31" t="s">
        <v>1097</v>
      </c>
      <c r="D87" s="31" t="s">
        <v>1099</v>
      </c>
      <c r="H87" s="38" t="s">
        <v>1068</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253</v>
      </c>
      <c r="B88" s="23"/>
      <c r="C88" s="31" t="s">
        <v>772</v>
      </c>
      <c r="D88" s="31" t="s">
        <v>800</v>
      </c>
      <c r="E88" s="32" t="s">
        <v>1022</v>
      </c>
      <c r="H88" s="38" t="s">
        <v>1068</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257</v>
      </c>
      <c r="B89" s="23"/>
      <c r="C89" s="31" t="s">
        <v>772</v>
      </c>
      <c r="D89" s="31" t="s">
        <v>802</v>
      </c>
      <c r="E89" s="32" t="s">
        <v>1022</v>
      </c>
      <c r="H89" s="38" t="s">
        <v>1068</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261</v>
      </c>
      <c r="B90" s="23"/>
      <c r="C90" s="31" t="s">
        <v>772</v>
      </c>
      <c r="D90" s="31" t="s">
        <v>804</v>
      </c>
      <c r="E90" s="32" t="s">
        <v>1022</v>
      </c>
      <c r="H90" s="38" t="s">
        <v>1068</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820</v>
      </c>
      <c r="B91" s="23" t="s">
        <v>1093</v>
      </c>
      <c r="C91" s="24" t="s">
        <v>714</v>
      </c>
      <c r="D91" s="24" t="s">
        <v>818</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823</v>
      </c>
      <c r="B92" s="23"/>
      <c r="C92" s="31" t="s">
        <v>714</v>
      </c>
      <c r="D92" s="31" t="s">
        <v>1100</v>
      </c>
      <c r="E92" s="32" t="s">
        <v>1022</v>
      </c>
      <c r="F92" s="38">
        <v>45597</v>
      </c>
      <c r="H92" s="38" t="s">
        <v>1068</v>
      </c>
      <c r="I92" s="33">
        <v>8918</v>
      </c>
      <c r="J92" s="34">
        <f>IF(AND(ISNUMBER(K92),ISNUMBER(I92)),K92-I92,"")</f>
        <v>0</v>
      </c>
      <c r="K92" s="40" t="s">
        <v>1074</v>
      </c>
      <c r="L92" s="34">
        <f>IF(AND(ISNUMBER(M92),ISNUMBER(K92)),M92-K92,"")</f>
        <v>0</v>
      </c>
      <c r="M92" s="40" t="s">
        <v>1074</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1101</v>
      </c>
    </row>
    <row r="93" spans="1:322" hidden="1">
      <c r="A93" s="36" t="s">
        <v>826</v>
      </c>
      <c r="B93" s="23"/>
      <c r="C93" s="31" t="s">
        <v>714</v>
      </c>
      <c r="D93" s="31" t="s">
        <v>824</v>
      </c>
      <c r="E93" s="32" t="s">
        <v>1022</v>
      </c>
      <c r="F93" s="38">
        <v>45627</v>
      </c>
      <c r="H93" s="38" t="s">
        <v>1068</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1102</v>
      </c>
      <c r="AZ93" s="34">
        <f>IF(AND(ISNUMBER(BA93),ISNUMBER(AY93)),BA93-AY93,"")</f>
        <v>0</v>
      </c>
      <c r="BA93" s="40" t="s">
        <v>1102</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1064</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1103</v>
      </c>
    </row>
    <row r="94" spans="1:322" hidden="1">
      <c r="A94" s="36" t="s">
        <v>829</v>
      </c>
      <c r="B94" s="23"/>
      <c r="C94" s="31" t="s">
        <v>714</v>
      </c>
      <c r="D94" s="31" t="s">
        <v>827</v>
      </c>
      <c r="E94" s="32" t="s">
        <v>1104</v>
      </c>
      <c r="H94" s="38" t="s">
        <v>1068</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832</v>
      </c>
      <c r="B95" s="23"/>
      <c r="C95" s="37" t="s">
        <v>1096</v>
      </c>
      <c r="D95" s="37" t="s">
        <v>818</v>
      </c>
      <c r="H95" s="38" t="s">
        <v>1068</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769</v>
      </c>
      <c r="D96" s="31" t="s">
        <v>821</v>
      </c>
      <c r="E96" s="32" t="s">
        <v>1022</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769</v>
      </c>
      <c r="D97" s="31" t="s">
        <v>1105</v>
      </c>
      <c r="E97" s="32" t="s">
        <v>1022</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1106</v>
      </c>
      <c r="IT97" s="34">
        <f>IF(AND(ISNUMBER(IU97),ISNUMBER(IS97)),IU97-IS97,"")</f>
        <v>0</v>
      </c>
      <c r="IU97" s="33">
        <v>2535</v>
      </c>
      <c r="IV97" s="34">
        <f>IF(AND(ISNUMBER(IW97),ISNUMBER(IU97)),IW97-IU97,"")</f>
        <v>0</v>
      </c>
      <c r="IW97" s="40" t="s">
        <v>1107</v>
      </c>
      <c r="IX97" s="34">
        <f>IF(AND(ISNUMBER(IY97),ISNUMBER(IW97)),IY97-IW97,"")</f>
        <v>0</v>
      </c>
      <c r="IY97" s="40" t="s">
        <v>1107</v>
      </c>
      <c r="IZ97" s="34">
        <f>IF(AND(ISNUMBER(JA97),ISNUMBER(IY97)),JA97-IY97,"")</f>
        <v>0</v>
      </c>
      <c r="JA97" s="40" t="s">
        <v>1107</v>
      </c>
      <c r="JB97" s="34">
        <f>IF(AND(ISNUMBER(JC97),ISNUMBER(JA97)),JC97-JA97,"")</f>
        <v>0</v>
      </c>
      <c r="JC97" s="40" t="s">
        <v>1107</v>
      </c>
      <c r="JD97" s="34">
        <f>IF(AND(ISNUMBER(JE97),ISNUMBER(JC97)),JE97-JC97,"")</f>
        <v>0</v>
      </c>
      <c r="JE97" s="40" t="s">
        <v>1107</v>
      </c>
      <c r="JF97" s="34">
        <f>IF(AND(ISNUMBER(JG97),ISNUMBER(JE97)),JG97-JE97,"")</f>
        <v>0</v>
      </c>
      <c r="JG97" s="40" t="s">
        <v>1107</v>
      </c>
      <c r="JH97" s="34">
        <f>IF(AND(ISNUMBER(JI97),ISNUMBER(JG97)),JI97-JG97,"")</f>
        <v>0</v>
      </c>
      <c r="JI97" s="40" t="s">
        <v>1107</v>
      </c>
      <c r="JJ97" s="34">
        <f>IF(AND(ISNUMBER(JK97),ISNUMBER(JI97)),JK97-JI97,"")</f>
        <v>0</v>
      </c>
      <c r="JK97" s="40" t="s">
        <v>1107</v>
      </c>
      <c r="JL97" s="34">
        <f>IF(AND(ISNUMBER(JM97),ISNUMBER(JK97)),JM97-JK97,"")</f>
        <v>0</v>
      </c>
      <c r="JM97" s="40" t="s">
        <v>1107</v>
      </c>
      <c r="JN97" s="34">
        <f>IF(AND(ISNUMBER(JO97),ISNUMBER(JM97)),JO97-JM97,"")</f>
        <v>0</v>
      </c>
      <c r="JO97" s="40" t="s">
        <v>1107</v>
      </c>
      <c r="JP97" s="34">
        <f>IF(AND(ISNUMBER(JQ97),ISNUMBER(JO97)),JQ97-JO97,"")</f>
        <v>0</v>
      </c>
      <c r="JQ97" s="40" t="s">
        <v>1107</v>
      </c>
      <c r="JR97" s="34">
        <f>IF(AND(ISNUMBER(JS97),ISNUMBER(JQ97)),JS97-JQ97,"")</f>
        <v>0</v>
      </c>
      <c r="JS97" s="40" t="s">
        <v>1107</v>
      </c>
      <c r="JT97" s="34">
        <f>IF(AND(ISNUMBER(JU97),ISNUMBER(JS97)),JU97-JS97,"")</f>
        <v>0</v>
      </c>
      <c r="JU97" s="40" t="s">
        <v>1107</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769</v>
      </c>
      <c r="D98" s="31" t="s">
        <v>836</v>
      </c>
      <c r="E98" s="32" t="s">
        <v>1104</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840</v>
      </c>
      <c r="B99" s="23"/>
      <c r="C99" s="37" t="s">
        <v>1097</v>
      </c>
      <c r="D99" s="37" t="s">
        <v>818</v>
      </c>
      <c r="H99" s="38" t="s">
        <v>1068</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772</v>
      </c>
      <c r="D100" s="31" t="s">
        <v>1100</v>
      </c>
      <c r="E100" s="32" t="s">
        <v>1022</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772</v>
      </c>
      <c r="D101" s="31" t="s">
        <v>1105</v>
      </c>
      <c r="E101" s="32" t="s">
        <v>1022</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1106</v>
      </c>
      <c r="IT101" s="34">
        <f>IF(AND(ISNUMBER(IU101),ISNUMBER(IS101)),IU101-IS101,"")</f>
        <v>0</v>
      </c>
      <c r="IU101" s="33">
        <v>2441</v>
      </c>
      <c r="IV101" s="34">
        <f>IF(AND(ISNUMBER(IW101),ISNUMBER(IU101)),IW101-IU101,"")</f>
        <v>0</v>
      </c>
      <c r="IW101" s="40" t="s">
        <v>1107</v>
      </c>
      <c r="IX101" s="34">
        <f>IF(AND(ISNUMBER(IY101),ISNUMBER(IW101)),IY101-IW101,"")</f>
        <v>0</v>
      </c>
      <c r="IY101" s="40" t="s">
        <v>1107</v>
      </c>
      <c r="IZ101" s="34">
        <f>IF(AND(ISNUMBER(JA101),ISNUMBER(IY101)),JA101-IY101,"")</f>
        <v>0</v>
      </c>
      <c r="JA101" s="40" t="s">
        <v>1107</v>
      </c>
      <c r="JB101" s="34">
        <f>IF(AND(ISNUMBER(JC101),ISNUMBER(JA101)),JC101-JA101,"")</f>
        <v>0</v>
      </c>
      <c r="JC101" s="40" t="s">
        <v>1107</v>
      </c>
      <c r="JD101" s="34">
        <f>IF(AND(ISNUMBER(JE101),ISNUMBER(JC101)),JE101-JC101,"")</f>
        <v>0</v>
      </c>
      <c r="JE101" s="40" t="s">
        <v>1107</v>
      </c>
      <c r="JF101" s="34">
        <f>IF(AND(ISNUMBER(JG101),ISNUMBER(JE101)),JG101-JE101,"")</f>
        <v>0</v>
      </c>
      <c r="JG101" s="40" t="s">
        <v>1107</v>
      </c>
      <c r="JH101" s="34">
        <f>IF(AND(ISNUMBER(JI101),ISNUMBER(JG101)),JI101-JG101,"")</f>
        <v>0</v>
      </c>
      <c r="JI101" s="40" t="s">
        <v>1107</v>
      </c>
      <c r="JJ101" s="34">
        <f>IF(AND(ISNUMBER(JK101),ISNUMBER(JI101)),JK101-JI101,"")</f>
        <v>0</v>
      </c>
      <c r="JK101" s="40" t="s">
        <v>1107</v>
      </c>
      <c r="JL101" s="34">
        <f>IF(AND(ISNUMBER(JM101),ISNUMBER(JK101)),JM101-JK101,"")</f>
        <v>0</v>
      </c>
      <c r="JM101" s="40" t="s">
        <v>1107</v>
      </c>
      <c r="JN101" s="34">
        <f>IF(AND(ISNUMBER(JO101),ISNUMBER(JM101)),JO101-JM101,"")</f>
        <v>0</v>
      </c>
      <c r="JO101" s="40" t="s">
        <v>1107</v>
      </c>
      <c r="JP101" s="34">
        <f>IF(AND(ISNUMBER(JQ101),ISNUMBER(JO101)),JQ101-JO101,"")</f>
        <v>0</v>
      </c>
      <c r="JQ101" s="40" t="s">
        <v>1107</v>
      </c>
      <c r="JR101" s="34">
        <f>IF(AND(ISNUMBER(JS101),ISNUMBER(JQ101)),JS101-JQ101,"")</f>
        <v>0</v>
      </c>
      <c r="JS101" s="40" t="s">
        <v>1107</v>
      </c>
      <c r="JT101" s="34">
        <f>IF(AND(ISNUMBER(JU101),ISNUMBER(JS101)),JU101-JS101,"")</f>
        <v>0</v>
      </c>
      <c r="JU101" s="40" t="s">
        <v>1107</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772</v>
      </c>
      <c r="D102" s="31" t="s">
        <v>836</v>
      </c>
      <c r="E102" s="32" t="s">
        <v>1104</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1108</v>
      </c>
      <c r="C103" s="43" t="s">
        <v>714</v>
      </c>
      <c r="D103" s="43" t="s">
        <v>845</v>
      </c>
      <c r="E103" s="25" t="s">
        <v>1109</v>
      </c>
      <c r="F103" s="26">
        <v>45388</v>
      </c>
      <c r="G103" s="26"/>
      <c r="H103" s="26" t="s">
        <v>1091</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v>0</v>
      </c>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1110</v>
      </c>
    </row>
    <row r="104" spans="1:322">
      <c r="B104" s="23"/>
      <c r="C104" s="31" t="s">
        <v>714</v>
      </c>
      <c r="D104" s="31" t="s">
        <v>847</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v>71</v>
      </c>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714</v>
      </c>
      <c r="D105" s="37" t="s">
        <v>818</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769</v>
      </c>
      <c r="D106" s="31" t="s">
        <v>845</v>
      </c>
      <c r="E106" s="25"/>
      <c r="H106" s="38" t="s">
        <v>1091</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v>0</v>
      </c>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769</v>
      </c>
      <c r="D107" s="31" t="s">
        <v>847</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v>49</v>
      </c>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769</v>
      </c>
      <c r="D108" s="37" t="s">
        <v>818</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772</v>
      </c>
      <c r="D109" s="37" t="s">
        <v>845</v>
      </c>
      <c r="E109" s="25"/>
      <c r="H109" s="38" t="s">
        <v>1091</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v>0</v>
      </c>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772</v>
      </c>
      <c r="D110" s="37" t="s">
        <v>847</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772</v>
      </c>
      <c r="D111" s="37" t="s">
        <v>818</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858</v>
      </c>
      <c r="B112" s="23"/>
      <c r="C112" s="31" t="s">
        <v>714</v>
      </c>
      <c r="D112" s="31" t="s">
        <v>1111</v>
      </c>
      <c r="E112" s="32" t="s">
        <v>1109</v>
      </c>
      <c r="F112" s="38">
        <v>45300</v>
      </c>
      <c r="H112" s="38" t="s">
        <v>1091</v>
      </c>
      <c r="I112" s="40" t="s">
        <v>1074</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1074</v>
      </c>
      <c r="V112" s="34">
        <f>IF(AND(ISNUMBER(W112),ISNUMBER(U112)),W112-U112,"")</f>
        <v>0</v>
      </c>
      <c r="W112" s="33">
        <v>3078</v>
      </c>
      <c r="X112" s="34">
        <f>IF(AND(ISNUMBER(Y112),ISNUMBER(W112)),Y112-W112,"")</f>
        <v>0</v>
      </c>
      <c r="Y112" s="40" t="s">
        <v>1074</v>
      </c>
      <c r="Z112" s="34">
        <f>IF(AND(ISNUMBER(AA112),ISNUMBER(Y112)),AA112-Y112,"")</f>
        <v>0</v>
      </c>
      <c r="AA112" s="40" t="s">
        <v>1074</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1074</v>
      </c>
      <c r="AP112" s="34">
        <f>IF(AND(ISNUMBER(AQ112),ISNUMBER(AO112)),AQ112-AO112,"")</f>
        <v>0</v>
      </c>
      <c r="AQ112" s="40" t="s">
        <v>1074</v>
      </c>
      <c r="AR112" s="34">
        <f>IF(AND(ISNUMBER(AS112),ISNUMBER(AQ112)),AS112-AQ112,"")</f>
        <v>0</v>
      </c>
      <c r="AS112" s="40" t="s">
        <v>1074</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v>0</v>
      </c>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1112</v>
      </c>
    </row>
    <row r="113" spans="1:322">
      <c r="A113" s="22" t="s">
        <v>108</v>
      </c>
      <c r="B113" s="23" t="s">
        <v>1113</v>
      </c>
      <c r="C113" s="43" t="s">
        <v>714</v>
      </c>
      <c r="D113" s="43"/>
      <c r="E113" s="25" t="s">
        <v>1114</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v>389</v>
      </c>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1115</v>
      </c>
      <c r="C114" s="43" t="s">
        <v>714</v>
      </c>
      <c r="D114" s="43"/>
      <c r="E114" s="25" t="s">
        <v>1116</v>
      </c>
      <c r="F114" s="26"/>
      <c r="G114" s="26"/>
      <c r="H114" s="26" t="s">
        <v>1082</v>
      </c>
      <c r="I114" s="42" t="s">
        <v>1064</v>
      </c>
      <c r="J114" s="28">
        <f>IF(AND(ISNUMBER(K114),ISNUMBER(I114)),K114-I114,"")</f>
        <v>0</v>
      </c>
      <c r="K114" s="42" t="s">
        <v>1064</v>
      </c>
      <c r="L114" s="28">
        <f>IF(AND(ISNUMBER(M114),ISNUMBER(K114)),M114-K114,"")</f>
        <v>0</v>
      </c>
      <c r="M114" s="42" t="s">
        <v>1064</v>
      </c>
      <c r="N114" s="28">
        <f>IF(AND(ISNUMBER(O114),ISNUMBER(M114)),O114-M114,"")</f>
        <v>0</v>
      </c>
      <c r="O114" s="42" t="s">
        <v>1064</v>
      </c>
      <c r="P114" s="28">
        <f>IF(AND(ISNUMBER(Q114),ISNUMBER(O114)),Q114-O114,"")</f>
        <v>0</v>
      </c>
      <c r="Q114" s="42" t="s">
        <v>1064</v>
      </c>
      <c r="R114" s="28">
        <f>IF(AND(ISNUMBER(S114),ISNUMBER(Q114)),S114-Q114,"")</f>
        <v>0</v>
      </c>
      <c r="S114" s="42" t="s">
        <v>1064</v>
      </c>
      <c r="T114" s="28">
        <f>IF(AND(ISNUMBER(U114),ISNUMBER(S114)),U114-S114,"")</f>
        <v>0</v>
      </c>
      <c r="U114" s="42" t="s">
        <v>1064</v>
      </c>
      <c r="V114" s="28">
        <f>IF(AND(ISNUMBER(W114),ISNUMBER(U114)),W114-U114,"")</f>
        <v>0</v>
      </c>
      <c r="W114" s="42" t="s">
        <v>1064</v>
      </c>
      <c r="X114" s="28">
        <f>IF(AND(ISNUMBER(Y114),ISNUMBER(W114)),Y114-W114,"")</f>
        <v>0</v>
      </c>
      <c r="Y114" s="42" t="s">
        <v>1064</v>
      </c>
      <c r="Z114" s="28">
        <f>IF(AND(ISNUMBER(AA114),ISNUMBER(Y114)),AA114-Y114,"")</f>
        <v>0</v>
      </c>
      <c r="AA114" s="42" t="s">
        <v>1064</v>
      </c>
      <c r="AB114" s="28">
        <f>IF(AND(ISNUMBER(AC114),ISNUMBER(AA114)),AC114-AA114,"")</f>
        <v>0</v>
      </c>
      <c r="AC114" s="27">
        <v>27</v>
      </c>
      <c r="AD114" s="28">
        <f>IF(AND(ISNUMBER(AE114),ISNUMBER(AC114)),AE114-AC114,"")</f>
        <v>0</v>
      </c>
      <c r="AE114" s="42" t="s">
        <v>1064</v>
      </c>
      <c r="AF114" s="28">
        <f>IF(AND(ISNUMBER(AG114),ISNUMBER(AE114)),AG114-AE114,"")</f>
        <v>0</v>
      </c>
      <c r="AG114" s="42" t="s">
        <v>1064</v>
      </c>
      <c r="AH114" s="28">
        <f>IF(AND(ISNUMBER(AI114),ISNUMBER(AG114)),AI114-AG114,"")</f>
        <v>0</v>
      </c>
      <c r="AI114" s="42" t="s">
        <v>1064</v>
      </c>
      <c r="AJ114" s="28">
        <f>IF(AND(ISNUMBER(AK114),ISNUMBER(AI114)),AK114-AI114,"")</f>
        <v>0</v>
      </c>
      <c r="AK114" s="42" t="s">
        <v>1064</v>
      </c>
      <c r="AL114" s="28">
        <f>IF(AND(ISNUMBER(AM114),ISNUMBER(AK114)),AM114-AK114,"")</f>
        <v>0</v>
      </c>
      <c r="AM114" s="42" t="s">
        <v>1064</v>
      </c>
      <c r="AN114" s="28">
        <f>IF(AND(ISNUMBER(AO114),ISNUMBER(AM114)),AO114-AM114,"")</f>
        <v>0</v>
      </c>
      <c r="AO114" s="42" t="s">
        <v>1064</v>
      </c>
      <c r="AP114" s="28">
        <f>IF(AND(ISNUMBER(AQ114),ISNUMBER(AO114)),AQ114-AO114,"")</f>
        <v>0</v>
      </c>
      <c r="AQ114" s="27">
        <v>45</v>
      </c>
      <c r="AR114" s="28">
        <f>IF(AND(ISNUMBER(AS114),ISNUMBER(AQ114)),AS114-AQ114,"")</f>
        <v>0</v>
      </c>
      <c r="AS114" s="42" t="s">
        <v>1064</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1117</v>
      </c>
    </row>
    <row r="115" spans="1:322">
      <c r="A115" s="22" t="s">
        <v>865</v>
      </c>
      <c r="B115" s="23" t="s">
        <v>1118</v>
      </c>
      <c r="C115" s="43" t="s">
        <v>714</v>
      </c>
      <c r="D115" s="43"/>
      <c r="E115" s="25" t="s">
        <v>1119</v>
      </c>
      <c r="F115" s="26"/>
      <c r="G115" s="26"/>
      <c r="H115" s="26" t="s">
        <v>1120</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1121</v>
      </c>
      <c r="BR115" s="28">
        <f>IF(AND(ISNUMBER(BS115),ISNUMBER(BQ115)),BS115-BQ115,"")</f>
        <v>0</v>
      </c>
      <c r="BS115" s="42" t="s">
        <v>1121</v>
      </c>
      <c r="BT115" s="28">
        <f>IF(AND(ISNUMBER(BU115),ISNUMBER(BS115)),BU115-BS115,"")</f>
        <v>0</v>
      </c>
      <c r="BU115" s="42" t="s">
        <v>1121</v>
      </c>
      <c r="BV115" s="28">
        <f>IF(AND(ISNUMBER(BW115),ISNUMBER(BU115)),BW115-BU115,"")</f>
        <v>0</v>
      </c>
      <c r="BW115" s="42" t="s">
        <v>1121</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1122</v>
      </c>
    </row>
    <row r="116" spans="1:322">
      <c r="A116" s="22" t="s">
        <v>104</v>
      </c>
      <c r="B116" s="23" t="s">
        <v>1123</v>
      </c>
      <c r="C116" s="43" t="s">
        <v>714</v>
      </c>
      <c r="D116" s="43"/>
      <c r="E116" s="25" t="s">
        <v>1119</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v>26</v>
      </c>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1124</v>
      </c>
      <c r="C117" s="24" t="s">
        <v>714</v>
      </c>
      <c r="D117" s="24"/>
      <c r="E117" s="25" t="s">
        <v>1125</v>
      </c>
      <c r="F117" s="26"/>
      <c r="G117" s="26"/>
      <c r="H117" s="26" t="s">
        <v>1091</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870</v>
      </c>
      <c r="E118" s="32" t="s">
        <v>1125</v>
      </c>
      <c r="H118" s="38" t="s">
        <v>1091</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v>0</v>
      </c>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872</v>
      </c>
      <c r="E119" s="32" t="s">
        <v>1125</v>
      </c>
      <c r="H119" s="38" t="s">
        <v>1091</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v>28</v>
      </c>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874</v>
      </c>
      <c r="E120" s="32" t="s">
        <v>1125</v>
      </c>
      <c r="H120" s="38" t="s">
        <v>1091</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v>25</v>
      </c>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769</v>
      </c>
      <c r="E121" s="32" t="s">
        <v>1125</v>
      </c>
      <c r="H121" s="38" t="s">
        <v>1091</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877</v>
      </c>
      <c r="E122" s="32" t="s">
        <v>1125</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v>0</v>
      </c>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879</v>
      </c>
      <c r="E123" s="32" t="s">
        <v>1125</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v>1</v>
      </c>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881</v>
      </c>
      <c r="E124" s="32" t="s">
        <v>1125</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v>0</v>
      </c>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772</v>
      </c>
      <c r="E125" s="32" t="s">
        <v>1125</v>
      </c>
      <c r="H125" s="38" t="s">
        <v>1091</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884</v>
      </c>
      <c r="E126" s="32" t="s">
        <v>1125</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v>0</v>
      </c>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886</v>
      </c>
      <c r="E127" s="32" t="s">
        <v>1125</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v>0</v>
      </c>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888</v>
      </c>
      <c r="E128" s="32" t="s">
        <v>1125</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v>0</v>
      </c>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1126</v>
      </c>
      <c r="C129" s="24" t="s">
        <v>891</v>
      </c>
      <c r="D129" s="24"/>
      <c r="E129" s="25" t="s">
        <v>1125</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893</v>
      </c>
      <c r="E130" s="32" t="s">
        <v>1125</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v>0</v>
      </c>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895</v>
      </c>
      <c r="E131" s="32" t="s">
        <v>1125</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v>67</v>
      </c>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897</v>
      </c>
      <c r="E132" s="32" t="s">
        <v>1125</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v>26</v>
      </c>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899</v>
      </c>
      <c r="E133" s="32" t="s">
        <v>1125</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901</v>
      </c>
      <c r="E134" s="32" t="s">
        <v>1125</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v>0</v>
      </c>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903</v>
      </c>
      <c r="E135" s="32" t="s">
        <v>1125</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v>1</v>
      </c>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905</v>
      </c>
      <c r="E136" s="32" t="s">
        <v>1125</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v>0</v>
      </c>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907</v>
      </c>
      <c r="E137" s="32" t="s">
        <v>1125</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909</v>
      </c>
      <c r="E138" s="32" t="s">
        <v>1125</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v>0</v>
      </c>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911</v>
      </c>
      <c r="E139" s="32" t="s">
        <v>1125</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v>0</v>
      </c>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913</v>
      </c>
      <c r="E140" s="32" t="s">
        <v>1125</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v>0</v>
      </c>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1127</v>
      </c>
      <c r="C141" s="43" t="s">
        <v>916</v>
      </c>
      <c r="D141" s="43"/>
      <c r="E141" s="25" t="s">
        <v>1125</v>
      </c>
      <c r="F141" s="26"/>
      <c r="G141" s="26"/>
      <c r="H141" s="26" t="s">
        <v>1120</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1128</v>
      </c>
      <c r="BR141" s="28">
        <f>IF(AND(ISNUMBER(BS141),ISNUMBER(BQ141)),BS141-BQ141,"")</f>
        <v>0</v>
      </c>
      <c r="BS141" s="42" t="s">
        <v>1128</v>
      </c>
      <c r="BT141" s="28">
        <f>IF(AND(ISNUMBER(BU141),ISNUMBER(BS141)),BU141-BS141,"")</f>
        <v>0</v>
      </c>
      <c r="BU141" s="42" t="s">
        <v>1128</v>
      </c>
      <c r="BV141" s="28">
        <f>IF(AND(ISNUMBER(BW141),ISNUMBER(BU141)),BW141-BU141,"")</f>
        <v>0</v>
      </c>
      <c r="BW141" s="42" t="s">
        <v>1128</v>
      </c>
      <c r="BX141" s="28">
        <f>IF(AND(ISNUMBER(BY141),ISNUMBER(BW141)),BY141-BW141,"")</f>
        <v>0</v>
      </c>
      <c r="BY141" s="42" t="s">
        <v>1128</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1129</v>
      </c>
    </row>
    <row r="142" spans="1:322">
      <c r="A142" s="22" t="s">
        <v>112</v>
      </c>
      <c r="B142" s="23" t="s">
        <v>1130</v>
      </c>
      <c r="C142" s="43" t="s">
        <v>920</v>
      </c>
      <c r="D142" s="43"/>
      <c r="E142" s="25" t="s">
        <v>1125</v>
      </c>
      <c r="F142" s="26"/>
      <c r="G142" s="26"/>
      <c r="H142" s="26" t="s">
        <v>1091</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v>53897</v>
      </c>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1130</v>
      </c>
      <c r="C143" s="43" t="s">
        <v>922</v>
      </c>
      <c r="D143" s="43"/>
      <c r="E143" s="25" t="s">
        <v>1125</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v>3479</v>
      </c>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1130</v>
      </c>
      <c r="C144" s="43" t="s">
        <v>924</v>
      </c>
      <c r="D144" s="43"/>
      <c r="E144" s="25" t="s">
        <v>1125</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v>826</v>
      </c>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1130</v>
      </c>
      <c r="C145" s="43" t="s">
        <v>926</v>
      </c>
      <c r="D145" s="43"/>
      <c r="E145" s="25" t="s">
        <v>1125</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v>2653</v>
      </c>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1131</v>
      </c>
      <c r="C146" s="43" t="s">
        <v>714</v>
      </c>
      <c r="D146" s="43"/>
      <c r="E146" s="25" t="s">
        <v>1132</v>
      </c>
      <c r="F146" s="26"/>
      <c r="G146" s="26"/>
      <c r="H146" s="26" t="s">
        <v>1091</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v>23</v>
      </c>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1133</v>
      </c>
    </row>
    <row r="147" spans="1:322" ht="40.25" customHeight="1" collapsed="1">
      <c r="A147" s="22">
        <v>15</v>
      </c>
      <c r="B147" s="23" t="s">
        <v>1134</v>
      </c>
      <c r="C147" s="43" t="s">
        <v>714</v>
      </c>
      <c r="D147" s="43"/>
      <c r="E147" s="25" t="s">
        <v>1042</v>
      </c>
      <c r="F147" s="26"/>
      <c r="G147" s="26" t="s">
        <v>1135</v>
      </c>
      <c r="H147" s="26" t="s">
        <v>1136</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1137</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1138</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1091</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940</v>
      </c>
      <c r="B150" s="23" t="s">
        <v>1139</v>
      </c>
      <c r="C150" s="43" t="s">
        <v>938</v>
      </c>
      <c r="D150" s="43"/>
      <c r="E150" s="25" t="s">
        <v>1140</v>
      </c>
      <c r="F150" s="26"/>
      <c r="G150" s="26"/>
      <c r="H150" s="26" t="s">
        <v>1091</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v>20</v>
      </c>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942</v>
      </c>
      <c r="B151" s="23"/>
      <c r="C151" s="31" t="s">
        <v>714</v>
      </c>
      <c r="E151" s="32" t="s">
        <v>1140</v>
      </c>
      <c r="F151" s="38">
        <v>45658</v>
      </c>
      <c r="H151" s="38" t="s">
        <v>1091</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943</v>
      </c>
      <c r="E152" s="32" t="s">
        <v>1140</v>
      </c>
      <c r="H152" s="38" t="s">
        <v>1091</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27</v>
      </c>
      <c r="JR152" s="34">
        <f>IF(AND(ISNUMBER(JS152),ISNUMBER(JQ152)),JS152-JQ152,"")</f>
        <v>0</v>
      </c>
      <c r="JS152" s="33">
        <v>20</v>
      </c>
      <c r="JT152" s="34">
        <f>IF(AND(ISNUMBER(JU152),ISNUMBER(JS152)),JU152-JS152,"")</f>
        <v>0</v>
      </c>
      <c r="JU152" s="33">
        <v>15</v>
      </c>
      <c r="JV152" s="34">
        <f>IF(AND(ISNUMBER(JW152),ISNUMBER(JU152)),JW152-JU152,"")</f>
        <v>0</v>
      </c>
      <c r="JW152" s="33">
        <v>20</v>
      </c>
      <c r="JX152" s="34">
        <f>IF(AND(ISNUMBER(JY152),ISNUMBER(JW152)),JY152-JW152,"")</f>
        <v>0</v>
      </c>
      <c r="JY152" s="33">
        <v>5</v>
      </c>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946</v>
      </c>
      <c r="B153" s="23"/>
      <c r="H153" s="38" t="s">
        <v>1091</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949</v>
      </c>
      <c r="B154" s="23"/>
      <c r="C154" s="31" t="s">
        <v>947</v>
      </c>
      <c r="E154" s="32" t="s">
        <v>1140</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952</v>
      </c>
      <c r="B155" s="23"/>
      <c r="C155" s="31" t="s">
        <v>950</v>
      </c>
      <c r="E155" s="32" t="s">
        <v>1140</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1141</v>
      </c>
      <c r="C156" s="43" t="s">
        <v>714</v>
      </c>
      <c r="D156" s="43"/>
      <c r="E156" s="25" t="s">
        <v>1142</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v>25</v>
      </c>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1143</v>
      </c>
      <c r="C157" s="43" t="s">
        <v>714</v>
      </c>
      <c r="D157" s="43"/>
      <c r="E157" s="25" t="s">
        <v>1144</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v>83</v>
      </c>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row r="159" spans="1:322" ht="30" customHeight="1">
      <c r="A159" s="44" t="s">
        <v>1145</v>
      </c>
      <c r="B159" s="44" t="s">
        <v>1146</v>
      </c>
      <c r="C159" s="44"/>
      <c r="D159" s="44"/>
      <c r="E159" s="44"/>
      <c r="F159" s="45" t="s">
        <v>1147</v>
      </c>
      <c r="JA159" s="46">
        <v>45870</v>
      </c>
      <c r="JB159" s="20" t="s">
        <v>1063</v>
      </c>
      <c r="JC159" s="46">
        <v>45901</v>
      </c>
      <c r="JD159" s="20" t="s">
        <v>1063</v>
      </c>
      <c r="JE159" s="46">
        <v>45931</v>
      </c>
      <c r="JF159" s="20" t="s">
        <v>1063</v>
      </c>
      <c r="JG159" s="46">
        <v>45962</v>
      </c>
      <c r="JH159" s="20" t="s">
        <v>1063</v>
      </c>
      <c r="JI159" s="46">
        <v>45992</v>
      </c>
      <c r="JJ159" s="20" t="s">
        <v>1063</v>
      </c>
      <c r="JK159" s="46">
        <v>46023</v>
      </c>
      <c r="JL159" s="20" t="s">
        <v>1063</v>
      </c>
      <c r="JM159" s="46">
        <v>46054</v>
      </c>
      <c r="JN159" s="20" t="s">
        <v>1063</v>
      </c>
      <c r="JO159" s="46">
        <v>46082</v>
      </c>
      <c r="JP159" s="20" t="s">
        <v>1063</v>
      </c>
      <c r="JQ159" s="46">
        <v>46113</v>
      </c>
      <c r="JR159" s="20" t="s">
        <v>1063</v>
      </c>
      <c r="JS159" s="46">
        <v>46143</v>
      </c>
      <c r="JT159" s="20" t="s">
        <v>1063</v>
      </c>
      <c r="JU159" s="46">
        <v>46174</v>
      </c>
      <c r="JV159" s="20" t="s">
        <v>1063</v>
      </c>
      <c r="JW159" s="46">
        <v>46204</v>
      </c>
      <c r="JX159" s="20" t="s">
        <v>1063</v>
      </c>
      <c r="JY159" s="46">
        <v>46235</v>
      </c>
      <c r="JZ159" s="20" t="s">
        <v>1063</v>
      </c>
      <c r="KA159" s="46">
        <v>46266</v>
      </c>
      <c r="KB159" s="20" t="s">
        <v>1063</v>
      </c>
      <c r="KC159" s="46">
        <v>46296</v>
      </c>
      <c r="KD159" s="20" t="s">
        <v>1063</v>
      </c>
      <c r="KE159" s="46">
        <v>46327</v>
      </c>
      <c r="KF159" s="20" t="s">
        <v>1063</v>
      </c>
      <c r="KG159" s="46">
        <v>46357</v>
      </c>
      <c r="KH159" s="20" t="s">
        <v>1063</v>
      </c>
      <c r="KI159" s="46">
        <v>46388</v>
      </c>
      <c r="KJ159" s="20" t="s">
        <v>1063</v>
      </c>
      <c r="KK159" s="46">
        <v>46419</v>
      </c>
      <c r="KL159" s="20" t="s">
        <v>1063</v>
      </c>
      <c r="KM159" s="46">
        <v>46447</v>
      </c>
      <c r="KN159" s="20" t="s">
        <v>1063</v>
      </c>
      <c r="KO159" s="46">
        <v>46478</v>
      </c>
      <c r="KP159" s="20" t="s">
        <v>1063</v>
      </c>
      <c r="KQ159" s="46">
        <v>46508</v>
      </c>
      <c r="KR159" s="20" t="s">
        <v>1063</v>
      </c>
      <c r="KS159" s="46">
        <v>46539</v>
      </c>
      <c r="KT159" s="20" t="s">
        <v>1063</v>
      </c>
      <c r="KU159" s="46">
        <v>46569</v>
      </c>
      <c r="KV159" s="20" t="s">
        <v>1063</v>
      </c>
      <c r="KW159" s="46">
        <v>46600</v>
      </c>
      <c r="KX159" s="20" t="s">
        <v>1063</v>
      </c>
      <c r="KY159" s="46">
        <v>46631</v>
      </c>
      <c r="KZ159" s="20" t="s">
        <v>1063</v>
      </c>
      <c r="LA159" s="46">
        <v>46661</v>
      </c>
      <c r="LB159" s="20" t="s">
        <v>1063</v>
      </c>
      <c r="LC159" s="46">
        <v>46692</v>
      </c>
      <c r="LD159" s="20" t="s">
        <v>1063</v>
      </c>
      <c r="LE159" s="46">
        <v>46722</v>
      </c>
      <c r="LF159" s="20" t="s">
        <v>1063</v>
      </c>
      <c r="LG159" s="46">
        <v>46753</v>
      </c>
    </row>
    <row r="160" spans="1:322" ht="12" customHeight="1">
      <c r="JA160" s="21">
        <f>IF(COUNT(JA161:JA163)&gt;0,"Y","X")</f>
        <v>0</v>
      </c>
      <c r="JC160" s="21">
        <f>IF(COUNT(JC161:JC163)&gt;0,"Y","X")</f>
        <v>0</v>
      </c>
      <c r="JE160" s="21">
        <f>IF(COUNT(JE161:JE163)&gt;0,"Y","X")</f>
        <v>0</v>
      </c>
      <c r="JG160" s="21">
        <f>IF(COUNT(JG161:JG163)&gt;0,"Y","X")</f>
        <v>0</v>
      </c>
      <c r="JI160" s="21">
        <f>IF(COUNT(JI161:JI163)&gt;0,"Y","X")</f>
        <v>0</v>
      </c>
      <c r="JK160" s="21">
        <f>IF(COUNT(JK161:JK163)&gt;0,"Y","X")</f>
        <v>0</v>
      </c>
      <c r="JM160" s="21">
        <f>IF(COUNT(JM161:JM163)&gt;0,"Y","X")</f>
        <v>0</v>
      </c>
      <c r="JO160" s="21">
        <f>IF(COUNT(JO161:JO163)&gt;0,"Y","X")</f>
        <v>0</v>
      </c>
      <c r="JQ160" s="21">
        <f>IF(COUNT(JQ161:JQ163)&gt;0,"Y","X")</f>
        <v>0</v>
      </c>
      <c r="JS160" s="21">
        <f>IF(COUNT(JS161:JS163)&gt;0,"Y","X")</f>
        <v>0</v>
      </c>
      <c r="JU160" s="21">
        <f>IF(COUNT(JU161:JU163)&gt;0,"Y","X")</f>
        <v>0</v>
      </c>
      <c r="JW160" s="21">
        <f>IF(COUNT(JW161:JW163)&gt;0,"Y","X")</f>
        <v>0</v>
      </c>
      <c r="JY160" s="21">
        <f>IF(COUNT(JY161:JY163)&gt;0,"Y","X")</f>
        <v>0</v>
      </c>
      <c r="KA160" s="21">
        <f>IF(COUNT(KA161:KA163)&gt;0,"Y","X")</f>
        <v>0</v>
      </c>
      <c r="KC160" s="21">
        <f>IF(COUNT(KC161:KC163)&gt;0,"Y","X")</f>
        <v>0</v>
      </c>
      <c r="KE160" s="21">
        <f>IF(COUNT(KE161:KE163)&gt;0,"Y","X")</f>
        <v>0</v>
      </c>
      <c r="KG160" s="21">
        <f>IF(COUNT(KG161:KG163)&gt;0,"Y","X")</f>
        <v>0</v>
      </c>
      <c r="KI160" s="21">
        <f>IF(COUNT(KI161:KI163)&gt;0,"Y","X")</f>
        <v>0</v>
      </c>
      <c r="KK160" s="21">
        <f>IF(COUNT(KK161:KK163)&gt;0,"Y","X")</f>
        <v>0</v>
      </c>
      <c r="KM160" s="21">
        <f>IF(COUNT(KM161:KM163)&gt;0,"Y","X")</f>
        <v>0</v>
      </c>
      <c r="KO160" s="21">
        <f>IF(COUNT(KO161:KO163)&gt;0,"Y","X")</f>
        <v>0</v>
      </c>
      <c r="KQ160" s="21">
        <f>IF(COUNT(KQ161:KQ163)&gt;0,"Y","X")</f>
        <v>0</v>
      </c>
      <c r="KS160" s="21">
        <f>IF(COUNT(KS161:KS163)&gt;0,"Y","X")</f>
        <v>0</v>
      </c>
      <c r="KU160" s="21">
        <f>IF(COUNT(KU161:KU163)&gt;0,"Y","X")</f>
        <v>0</v>
      </c>
      <c r="KW160" s="21">
        <f>IF(COUNT(KW161:KW163)&gt;0,"Y","X")</f>
        <v>0</v>
      </c>
      <c r="KY160" s="21">
        <f>IF(COUNT(KY161:KY163)&gt;0,"Y","X")</f>
        <v>0</v>
      </c>
      <c r="LA160" s="21">
        <f>IF(COUNT(LA161:LA163)&gt;0,"Y","X")</f>
        <v>0</v>
      </c>
      <c r="LC160" s="21">
        <f>IF(COUNT(LC161:LC163)&gt;0,"Y","X")</f>
        <v>0</v>
      </c>
      <c r="LE160" s="21">
        <f>IF(COUNT(LE161:LE163)&gt;0,"Y","X")</f>
        <v>0</v>
      </c>
      <c r="LG160" s="21">
        <f>IF(COUNT(LG161:LG163)&gt;0,"Y","X")</f>
        <v>0</v>
      </c>
    </row>
    <row r="161" spans="1:319">
      <c r="A161" s="24" t="s">
        <v>961</v>
      </c>
      <c r="B161" s="23" t="s">
        <v>1148</v>
      </c>
      <c r="C161" s="43" t="s">
        <v>1149</v>
      </c>
      <c r="D161" s="43" t="s">
        <v>1150</v>
      </c>
      <c r="E161" s="47" t="s">
        <v>1026</v>
      </c>
      <c r="JA161" s="48"/>
      <c r="JB161" s="28">
        <f>IF(AND(ISNUMBER(JC161),ISNUMBER(JA161)),JC161-JA161,"")</f>
        <v>0</v>
      </c>
      <c r="JC161" s="48"/>
      <c r="JD161" s="28">
        <f>IF(AND(ISNUMBER(JE161),ISNUMBER(JC161)),JE161-JC161,"")</f>
        <v>0</v>
      </c>
      <c r="JE161" s="48"/>
      <c r="JF161" s="28">
        <f>IF(AND(ISNUMBER(JG161),ISNUMBER(JE161)),JG161-JE161,"")</f>
        <v>0</v>
      </c>
      <c r="JG161" s="48"/>
      <c r="JH161" s="28">
        <f>IF(AND(ISNUMBER(JI161),ISNUMBER(JG161)),JI161-JG161,"")</f>
        <v>0</v>
      </c>
      <c r="JI161" s="48"/>
      <c r="JJ161" s="28">
        <f>IF(AND(ISNUMBER(JK161),ISNUMBER(JI161)),JK161-JI161,"")</f>
        <v>0</v>
      </c>
      <c r="JK161" s="48"/>
      <c r="JL161" s="28">
        <f>IF(AND(ISNUMBER(JM161),ISNUMBER(JK161)),JM161-JK161,"")</f>
        <v>0</v>
      </c>
      <c r="JM161" s="48"/>
      <c r="JN161" s="28">
        <f>IF(AND(ISNUMBER(JO161),ISNUMBER(JM161)),JO161-JM161,"")</f>
        <v>0</v>
      </c>
      <c r="JO161" s="48"/>
      <c r="JP161" s="28">
        <f>IF(AND(ISNUMBER(JQ161),ISNUMBER(JO161)),JQ161-JO161,"")</f>
        <v>0</v>
      </c>
      <c r="JQ161" s="48"/>
      <c r="JR161" s="28">
        <f>IF(AND(ISNUMBER(JS161),ISNUMBER(JQ161)),JS161-JQ161,"")</f>
        <v>0</v>
      </c>
      <c r="JS161" s="48"/>
      <c r="JT161" s="28">
        <f>IF(AND(ISNUMBER(JU161),ISNUMBER(JS161)),JU161-JS161,"")</f>
        <v>0</v>
      </c>
      <c r="JU161" s="48"/>
      <c r="JV161" s="28">
        <f>IF(AND(ISNUMBER(JW161),ISNUMBER(JU161)),JW161-JU161,"")</f>
        <v>0</v>
      </c>
      <c r="JW161" s="48"/>
      <c r="JX161" s="28">
        <f>IF(AND(ISNUMBER(JY161),ISNUMBER(JW161)),JY161-JW161,"")</f>
        <v>0</v>
      </c>
      <c r="JY161" s="48"/>
      <c r="JZ161" s="28">
        <f>IF(AND(ISNUMBER(KA161),ISNUMBER(JY161)),KA161-JY161,"")</f>
        <v>0</v>
      </c>
      <c r="KA161" s="48"/>
      <c r="KB161" s="28">
        <f>IF(AND(ISNUMBER(KC161),ISNUMBER(KA161)),KC161-KA161,"")</f>
        <v>0</v>
      </c>
      <c r="KC161" s="48"/>
      <c r="KD161" s="28">
        <f>IF(AND(ISNUMBER(KE161),ISNUMBER(KC161)),KE161-KC161,"")</f>
        <v>0</v>
      </c>
      <c r="KE161" s="48"/>
      <c r="KF161" s="28">
        <f>IF(AND(ISNUMBER(KG161),ISNUMBER(KE161)),KG161-KE161,"")</f>
        <v>0</v>
      </c>
      <c r="KG161" s="48"/>
      <c r="KH161" s="28">
        <f>IF(AND(ISNUMBER(KI161),ISNUMBER(KG161)),KI161-KG161,"")</f>
        <v>0</v>
      </c>
      <c r="KI161" s="48"/>
      <c r="KJ161" s="28">
        <f>IF(AND(ISNUMBER(KK161),ISNUMBER(KI161)),KK161-KI161,"")</f>
        <v>0</v>
      </c>
      <c r="KK161" s="48"/>
      <c r="KL161" s="28">
        <f>IF(AND(ISNUMBER(KM161),ISNUMBER(KK161)),KM161-KK161,"")</f>
        <v>0</v>
      </c>
      <c r="KM161" s="48"/>
      <c r="KN161" s="28">
        <f>IF(AND(ISNUMBER(KO161),ISNUMBER(KM161)),KO161-KM161,"")</f>
        <v>0</v>
      </c>
      <c r="KO161" s="48"/>
      <c r="KP161" s="28">
        <f>IF(AND(ISNUMBER(KQ161),ISNUMBER(KO161)),KQ161-KO161,"")</f>
        <v>0</v>
      </c>
      <c r="KQ161" s="48"/>
      <c r="KR161" s="28">
        <f>IF(AND(ISNUMBER(KS161),ISNUMBER(KQ161)),KS161-KQ161,"")</f>
        <v>0</v>
      </c>
      <c r="KS161" s="48"/>
      <c r="KT161" s="28">
        <f>IF(AND(ISNUMBER(KU161),ISNUMBER(KS161)),KU161-KS161,"")</f>
        <v>0</v>
      </c>
      <c r="KU161" s="48"/>
      <c r="KV161" s="28">
        <f>IF(AND(ISNUMBER(KW161),ISNUMBER(KU161)),KW161-KU161,"")</f>
        <v>0</v>
      </c>
      <c r="KW161" s="48"/>
      <c r="KX161" s="28">
        <f>IF(AND(ISNUMBER(KY161),ISNUMBER(KW161)),KY161-KW161,"")</f>
        <v>0</v>
      </c>
      <c r="KY161" s="48"/>
      <c r="KZ161" s="28">
        <f>IF(AND(ISNUMBER(LA161),ISNUMBER(KY161)),LA161-KY161,"")</f>
        <v>0</v>
      </c>
      <c r="LA161" s="48"/>
      <c r="LB161" s="28">
        <f>IF(AND(ISNUMBER(LC161),ISNUMBER(LA161)),LC161-LA161,"")</f>
        <v>0</v>
      </c>
      <c r="LC161" s="48"/>
      <c r="LD161" s="28">
        <f>IF(AND(ISNUMBER(LE161),ISNUMBER(LC161)),LE161-LC161,"")</f>
        <v>0</v>
      </c>
      <c r="LE161" s="48"/>
      <c r="LF161" s="28">
        <f>IF(AND(ISNUMBER(LG161),ISNUMBER(LE161)),LG161-LE161,"")</f>
        <v>0</v>
      </c>
      <c r="LG161" s="48"/>
    </row>
    <row r="162" spans="1:319">
      <c r="A162" s="37" t="s">
        <v>375</v>
      </c>
      <c r="B162" s="23"/>
      <c r="C162" s="31" t="s">
        <v>1151</v>
      </c>
      <c r="D162" s="31" t="s">
        <v>1150</v>
      </c>
      <c r="E162" s="49" t="s">
        <v>1026</v>
      </c>
      <c r="JA162" s="50">
        <f>[1]Dashboard!$I$4</f>
        <v>290</v>
      </c>
      <c r="JB162" s="34">
        <f>IF(AND(ISNUMBER(JC162),ISNUMBER(JA162)),JC162-JA162,"")</f>
        <v>0</v>
      </c>
      <c r="JC162" s="50">
        <f>[1]Dashboard!$J$4</f>
        <v>290</v>
      </c>
      <c r="JD162" s="34">
        <f>IF(AND(ISNUMBER(JE162),ISNUMBER(JC162)),JE162-JC162,"")</f>
        <v>0</v>
      </c>
      <c r="JE162" s="50">
        <f>[1]Dashboard!$K$4</f>
        <v>280</v>
      </c>
      <c r="JF162" s="34">
        <f>IF(AND(ISNUMBER(JG162),ISNUMBER(JE162)),JG162-JE162,"")</f>
        <v>0</v>
      </c>
      <c r="JG162" s="50">
        <f>[1]Dashboard!$L$4</f>
        <v>280</v>
      </c>
      <c r="JH162" s="34">
        <f>IF(AND(ISNUMBER(JI162),ISNUMBER(JG162)),JI162-JG162,"")</f>
        <v>0</v>
      </c>
      <c r="JI162" s="50">
        <f>[1]Dashboard!$M$4</f>
        <v>270</v>
      </c>
      <c r="JJ162" s="34">
        <f>IF(AND(ISNUMBER(JK162),ISNUMBER(JI162)),JK162-JI162,"")</f>
        <v>0</v>
      </c>
      <c r="JK162" s="50">
        <f>[1]Dashboard!$N$4</f>
        <v>250</v>
      </c>
      <c r="JL162" s="34">
        <f>IF(AND(ISNUMBER(JM162),ISNUMBER(JK162)),JM162-JK162,"")</f>
        <v>0</v>
      </c>
      <c r="JM162" s="50">
        <f>[1]Dashboard!$O$4</f>
        <v>245</v>
      </c>
      <c r="JN162" s="34">
        <f>IF(AND(ISNUMBER(JO162),ISNUMBER(JM162)),JO162-JM162,"")</f>
        <v>0</v>
      </c>
      <c r="JO162" s="50">
        <f>[1]Dashboard!$P$4</f>
        <v>240</v>
      </c>
      <c r="JP162" s="34">
        <f>IF(AND(ISNUMBER(JQ162),ISNUMBER(JO162)),JQ162-JO162,"")</f>
        <v>0</v>
      </c>
      <c r="JQ162" s="50">
        <f>[1]Dashboard!$Q$4</f>
        <v>235</v>
      </c>
      <c r="JR162" s="34">
        <f>IF(AND(ISNUMBER(JS162),ISNUMBER(JQ162)),JS162-JQ162,"")</f>
        <v>0</v>
      </c>
      <c r="JS162" s="50">
        <f>[1]Dashboard!$R$4</f>
        <v>230</v>
      </c>
      <c r="JT162" s="34">
        <f>IF(AND(ISNUMBER(JU162),ISNUMBER(JS162)),JU162-JS162,"")</f>
        <v>0</v>
      </c>
      <c r="JU162" s="50">
        <f>[1]Dashboard!$S$4</f>
        <v>230</v>
      </c>
      <c r="JV162" s="34">
        <f>IF(AND(ISNUMBER(JW162),ISNUMBER(JU162)),JW162-JU162,"")</f>
        <v>0</v>
      </c>
      <c r="JW162" s="50">
        <f>[1]Dashboard!$T$4</f>
        <v>225</v>
      </c>
      <c r="JX162" s="34">
        <f>IF(AND(ISNUMBER(JY162),ISNUMBER(JW162)),JY162-JW162,"")</f>
        <v>0</v>
      </c>
      <c r="JY162" s="50">
        <f>[1]Dashboard!$U$4</f>
        <v>225</v>
      </c>
      <c r="JZ162" s="34">
        <f>IF(AND(ISNUMBER(KA162),ISNUMBER(JY162)),KA162-JY162,"")</f>
        <v>0</v>
      </c>
      <c r="KA162" s="50">
        <f>[1]Dashboard!$V$4</f>
        <v>225</v>
      </c>
      <c r="KB162" s="34">
        <f>IF(AND(ISNUMBER(KC162),ISNUMBER(KA162)),KC162-KA162,"")</f>
        <v>0</v>
      </c>
      <c r="KC162" s="50">
        <f>[1]Dashboard!$W$4</f>
        <v>225</v>
      </c>
      <c r="KD162" s="34">
        <f>IF(AND(ISNUMBER(KE162),ISNUMBER(KC162)),KE162-KC162,"")</f>
        <v>0</v>
      </c>
      <c r="KE162" s="50">
        <f>[1]Dashboard!$X$4</f>
        <v>220</v>
      </c>
      <c r="KF162" s="34">
        <f>IF(AND(ISNUMBER(KG162),ISNUMBER(KE162)),KG162-KE162,"")</f>
        <v>0</v>
      </c>
      <c r="KG162" s="50">
        <f>[1]Dashboard!$Y$4</f>
        <v>200</v>
      </c>
      <c r="KH162" s="34">
        <f>IF(AND(ISNUMBER(KI162),ISNUMBER(KG162)),KI162-KG162,"")</f>
        <v>0</v>
      </c>
      <c r="KI162" s="50">
        <f>[1]Dashboard!$Z$4</f>
        <v>192.52</v>
      </c>
      <c r="KJ162" s="34">
        <f>IF(AND(ISNUMBER(KK162),ISNUMBER(KI162)),KK162-KI162,"")</f>
        <v>0</v>
      </c>
      <c r="KK162" s="51"/>
      <c r="KL162" s="34">
        <f>IF(AND(ISNUMBER(KM162),ISNUMBER(KK162)),KM162-KK162,"")</f>
        <v>0</v>
      </c>
      <c r="KM162" s="51"/>
      <c r="KN162" s="34">
        <f>IF(AND(ISNUMBER(KO162),ISNUMBER(KM162)),KO162-KM162,"")</f>
        <v>0</v>
      </c>
      <c r="KO162" s="51"/>
      <c r="KP162" s="34">
        <f>IF(AND(ISNUMBER(KQ162),ISNUMBER(KO162)),KQ162-KO162,"")</f>
        <v>0</v>
      </c>
      <c r="KQ162" s="51"/>
      <c r="KR162" s="34">
        <f>IF(AND(ISNUMBER(KS162),ISNUMBER(KQ162)),KS162-KQ162,"")</f>
        <v>0</v>
      </c>
      <c r="KS162" s="51"/>
      <c r="KT162" s="34">
        <f>IF(AND(ISNUMBER(KU162),ISNUMBER(KS162)),KU162-KS162,"")</f>
        <v>0</v>
      </c>
      <c r="KU162" s="51"/>
      <c r="KV162" s="34">
        <f>IF(AND(ISNUMBER(KW162),ISNUMBER(KU162)),KW162-KU162,"")</f>
        <v>0</v>
      </c>
      <c r="KW162" s="51"/>
      <c r="KX162" s="34">
        <f>IF(AND(ISNUMBER(KY162),ISNUMBER(KW162)),KY162-KW162,"")</f>
        <v>0</v>
      </c>
      <c r="KY162" s="51"/>
      <c r="KZ162" s="34">
        <f>IF(AND(ISNUMBER(LA162),ISNUMBER(KY162)),LA162-KY162,"")</f>
        <v>0</v>
      </c>
      <c r="LA162" s="51"/>
      <c r="LB162" s="34">
        <f>IF(AND(ISNUMBER(LC162),ISNUMBER(LA162)),LC162-LA162,"")</f>
        <v>0</v>
      </c>
      <c r="LC162" s="51"/>
      <c r="LD162" s="34">
        <f>IF(AND(ISNUMBER(LE162),ISNUMBER(LC162)),LE162-LC162,"")</f>
        <v>0</v>
      </c>
      <c r="LE162" s="51"/>
      <c r="LF162" s="34">
        <f>IF(AND(ISNUMBER(LG162),ISNUMBER(LE162)),LG162-LE162,"")</f>
        <v>0</v>
      </c>
      <c r="LG162" s="50">
        <f>[1]Dashboard!$AA$4</f>
        <v>192.52</v>
      </c>
    </row>
    <row r="163" spans="1:319">
      <c r="A163" s="37" t="s">
        <v>377</v>
      </c>
      <c r="B163" s="23"/>
      <c r="C163" s="31" t="s">
        <v>1152</v>
      </c>
      <c r="D163" s="31" t="s">
        <v>1150</v>
      </c>
      <c r="E163" s="49" t="s">
        <v>1026</v>
      </c>
      <c r="JA163" s="50">
        <f>[1]Dashboard!$I$5</f>
        <v>264.95</v>
      </c>
      <c r="JB163" s="34">
        <f>IF(AND(ISNUMBER(JC163),ISNUMBER(JA163)),JC163-JA163,"")</f>
        <v>0</v>
      </c>
      <c r="JC163" s="50">
        <f>[1]Dashboard!$J$5</f>
        <v>265.01</v>
      </c>
      <c r="JD163" s="34">
        <f>IF(AND(ISNUMBER(JE163),ISNUMBER(JC163)),JE163-JC163,"")</f>
        <v>0</v>
      </c>
      <c r="JE163" s="50">
        <f>[1]Dashboard!$K$5</f>
        <v>261.19</v>
      </c>
      <c r="JF163" s="34">
        <f>IF(AND(ISNUMBER(JG163),ISNUMBER(JE163)),JG163-JE163,"")</f>
        <v>0</v>
      </c>
      <c r="JG163" s="50">
        <f>[1]Dashboard!$L$5</f>
        <v>258.6299999999998</v>
      </c>
      <c r="JH163" s="34">
        <f>IF(AND(ISNUMBER(JI163),ISNUMBER(JG163)),JI163-JG163,"")</f>
        <v>0</v>
      </c>
      <c r="JI163" s="50">
        <f>[1]Dashboard!$M$5</f>
        <v>258.6299999999998</v>
      </c>
      <c r="JJ163" s="34">
        <f>IF(AND(ISNUMBER(JK163),ISNUMBER(JI163)),JK163-JI163,"")</f>
        <v>0</v>
      </c>
      <c r="JK163" s="50">
        <f>[1]Dashboard!$N$5</f>
        <v>248.28999999999994</v>
      </c>
      <c r="JL163" s="34">
        <f>IF(AND(ISNUMBER(JM163),ISNUMBER(JK163)),JM163-JK163,"")</f>
        <v>0</v>
      </c>
      <c r="JM163" s="50">
        <f>[1]Dashboard!$O$5</f>
        <v>248.28999999999994</v>
      </c>
      <c r="JN163" s="34">
        <f>IF(AND(ISNUMBER(JO163),ISNUMBER(JM163)),JO163-JM163,"")</f>
        <v>0</v>
      </c>
      <c r="JO163" s="50">
        <f>[1]Dashboard!$P$5</f>
        <v>248.28999999999994</v>
      </c>
      <c r="JP163" s="34">
        <f>IF(AND(ISNUMBER(JQ163),ISNUMBER(JO163)),JQ163-JO163,"")</f>
        <v>0</v>
      </c>
      <c r="JQ163" s="50">
        <f>[1]Dashboard!$Q$5</f>
        <v>243.9699999999999</v>
      </c>
      <c r="JR163" s="34">
        <f>IF(AND(ISNUMBER(JS163),ISNUMBER(JQ163)),JS163-JQ163,"")</f>
        <v>0</v>
      </c>
      <c r="JS163" s="50">
        <f>[1]Dashboard!$R$5</f>
        <v>242.9699999999999</v>
      </c>
      <c r="JT163" s="34">
        <f>IF(AND(ISNUMBER(JU163),ISNUMBER(JS163)),JU163-JS163,"")</f>
        <v>0</v>
      </c>
      <c r="JU163" s="50">
        <f>[1]Dashboard!$S$5</f>
        <v>241.30999999999992</v>
      </c>
      <c r="JV163" s="34">
        <f>IF(AND(ISNUMBER(JW163),ISNUMBER(JU163)),JW163-JU163,"")</f>
        <v>0</v>
      </c>
      <c r="JW163" s="50">
        <f>[1]Dashboard!$T$5</f>
        <v>226.57999999999993</v>
      </c>
      <c r="JX163" s="34">
        <f>IF(AND(ISNUMBER(JY163),ISNUMBER(JW163)),JY163-JW163,"")</f>
        <v>0</v>
      </c>
      <c r="JY163" s="50">
        <f>[1]Dashboard!$U$5</f>
        <v>225.07999999999993</v>
      </c>
      <c r="JZ163" s="34">
        <f>IF(AND(ISNUMBER(KA163),ISNUMBER(JY163)),KA163-JY163,"")</f>
        <v>0</v>
      </c>
      <c r="KA163" s="50">
        <f>[1]Dashboard!$V$5</f>
        <v>224.01999999999992</v>
      </c>
      <c r="KB163" s="34">
        <f>IF(AND(ISNUMBER(KC163),ISNUMBER(KA163)),KC163-KA163,"")</f>
        <v>0</v>
      </c>
      <c r="KC163" s="50">
        <f>[1]Dashboard!$W$5</f>
        <v>221.22999999999993</v>
      </c>
      <c r="KD163" s="34">
        <f>IF(AND(ISNUMBER(KE163),ISNUMBER(KC163)),KE163-KC163,"")</f>
        <v>0</v>
      </c>
      <c r="KE163" s="50">
        <f>[1]Dashboard!$X$5</f>
        <v>220.80999999999992</v>
      </c>
      <c r="KF163" s="34">
        <f>IF(AND(ISNUMBER(KG163),ISNUMBER(KE163)),KG163-KE163,"")</f>
        <v>0</v>
      </c>
      <c r="KG163" s="50">
        <f>[1]Dashboard!$Y$5</f>
        <v>218.95999999999992</v>
      </c>
      <c r="KH163" s="34">
        <f>IF(AND(ISNUMBER(KI163),ISNUMBER(KG163)),KI163-KG163,"")</f>
        <v>0</v>
      </c>
      <c r="KI163" s="50">
        <f>[1]Dashboard!$Z$5</f>
        <v>205.05999999999995</v>
      </c>
      <c r="KJ163" s="34">
        <f>IF(AND(ISNUMBER(KK163),ISNUMBER(KI163)),KK163-KI163,"")</f>
        <v>0</v>
      </c>
      <c r="KK163" s="51"/>
      <c r="KL163" s="34">
        <f>IF(AND(ISNUMBER(KM163),ISNUMBER(KK163)),KM163-KK163,"")</f>
        <v>0</v>
      </c>
      <c r="KM163" s="51"/>
      <c r="KN163" s="34">
        <f>IF(AND(ISNUMBER(KO163),ISNUMBER(KM163)),KO163-KM163,"")</f>
        <v>0</v>
      </c>
      <c r="KO163" s="51"/>
      <c r="KP163" s="34">
        <f>IF(AND(ISNUMBER(KQ163),ISNUMBER(KO163)),KQ163-KO163,"")</f>
        <v>0</v>
      </c>
      <c r="KQ163" s="51"/>
      <c r="KR163" s="34">
        <f>IF(AND(ISNUMBER(KS163),ISNUMBER(KQ163)),KS163-KQ163,"")</f>
        <v>0</v>
      </c>
      <c r="KS163" s="51"/>
      <c r="KT163" s="34">
        <f>IF(AND(ISNUMBER(KU163),ISNUMBER(KS163)),KU163-KS163,"")</f>
        <v>0</v>
      </c>
      <c r="KU163" s="51"/>
      <c r="KV163" s="34">
        <f>IF(AND(ISNUMBER(KW163),ISNUMBER(KU163)),KW163-KU163,"")</f>
        <v>0</v>
      </c>
      <c r="KW163" s="51"/>
      <c r="KX163" s="34">
        <f>IF(AND(ISNUMBER(KY163),ISNUMBER(KW163)),KY163-KW163,"")</f>
        <v>0</v>
      </c>
      <c r="KY163" s="51"/>
      <c r="KZ163" s="34">
        <f>IF(AND(ISNUMBER(LA163),ISNUMBER(KY163)),LA163-KY163,"")</f>
        <v>0</v>
      </c>
      <c r="LA163" s="51"/>
      <c r="LB163" s="34">
        <f>IF(AND(ISNUMBER(LC163),ISNUMBER(LA163)),LC163-LA163,"")</f>
        <v>0</v>
      </c>
      <c r="LC163" s="51"/>
      <c r="LD163" s="34">
        <f>IF(AND(ISNUMBER(LE163),ISNUMBER(LC163)),LE163-LC163,"")</f>
        <v>0</v>
      </c>
      <c r="LE163" s="51"/>
      <c r="LF163" s="34">
        <f>IF(AND(ISNUMBER(LG163),ISNUMBER(LE163)),LG163-LE163,"")</f>
        <v>0</v>
      </c>
      <c r="LG163" s="50">
        <f>[1]Dashboard!$AA$5</f>
        <v>197.26999999999995</v>
      </c>
    </row>
    <row r="165" spans="1:319" ht="30" customHeight="1">
      <c r="A165" s="44" t="s">
        <v>1145</v>
      </c>
      <c r="B165" s="44" t="s">
        <v>1153</v>
      </c>
      <c r="C165" s="44"/>
      <c r="D165" s="44"/>
      <c r="E165" s="44"/>
      <c r="F165" s="45" t="s">
        <v>1154</v>
      </c>
      <c r="JA165" s="46">
        <v>45870</v>
      </c>
      <c r="JB165" s="20" t="s">
        <v>1063</v>
      </c>
      <c r="JC165" s="46">
        <v>45901</v>
      </c>
      <c r="JD165" s="20" t="s">
        <v>1063</v>
      </c>
      <c r="JE165" s="46">
        <v>45931</v>
      </c>
      <c r="JF165" s="20" t="s">
        <v>1063</v>
      </c>
      <c r="JG165" s="46">
        <v>45962</v>
      </c>
      <c r="JH165" s="20" t="s">
        <v>1063</v>
      </c>
      <c r="JI165" s="46">
        <v>45992</v>
      </c>
      <c r="JJ165" s="20" t="s">
        <v>1063</v>
      </c>
      <c r="JK165" s="46">
        <v>46023</v>
      </c>
      <c r="JL165" s="20" t="s">
        <v>1063</v>
      </c>
      <c r="JM165" s="46">
        <v>46054</v>
      </c>
      <c r="JN165" s="20" t="s">
        <v>1063</v>
      </c>
      <c r="JO165" s="46">
        <v>46082</v>
      </c>
      <c r="JP165" s="20" t="s">
        <v>1063</v>
      </c>
      <c r="JQ165" s="46">
        <v>46113</v>
      </c>
      <c r="JR165" s="20" t="s">
        <v>1063</v>
      </c>
      <c r="JS165" s="46">
        <v>46143</v>
      </c>
      <c r="JT165" s="20" t="s">
        <v>1063</v>
      </c>
      <c r="JU165" s="46">
        <v>46174</v>
      </c>
      <c r="JV165" s="20" t="s">
        <v>1063</v>
      </c>
      <c r="JW165" s="46">
        <v>46204</v>
      </c>
      <c r="JX165" s="20" t="s">
        <v>1063</v>
      </c>
      <c r="JY165" s="46">
        <v>46235</v>
      </c>
      <c r="JZ165" s="20" t="s">
        <v>1063</v>
      </c>
      <c r="KA165" s="46">
        <v>46266</v>
      </c>
      <c r="KB165" s="20" t="s">
        <v>1063</v>
      </c>
      <c r="KC165" s="46">
        <v>46296</v>
      </c>
      <c r="KD165" s="20" t="s">
        <v>1063</v>
      </c>
      <c r="KE165" s="46">
        <v>46327</v>
      </c>
      <c r="KF165" s="20" t="s">
        <v>1063</v>
      </c>
      <c r="KG165" s="46">
        <v>46357</v>
      </c>
      <c r="KH165" s="20" t="s">
        <v>1063</v>
      </c>
      <c r="KI165" s="46">
        <v>46388</v>
      </c>
      <c r="KJ165" s="20" t="s">
        <v>1063</v>
      </c>
      <c r="KK165" s="46">
        <v>46419</v>
      </c>
      <c r="KL165" s="20" t="s">
        <v>1063</v>
      </c>
      <c r="KM165" s="46">
        <v>46447</v>
      </c>
      <c r="KN165" s="20" t="s">
        <v>1063</v>
      </c>
      <c r="KO165" s="46">
        <v>46478</v>
      </c>
      <c r="KP165" s="20" t="s">
        <v>1063</v>
      </c>
      <c r="KQ165" s="46">
        <v>46508</v>
      </c>
      <c r="KR165" s="20" t="s">
        <v>1063</v>
      </c>
      <c r="KS165" s="46">
        <v>46539</v>
      </c>
      <c r="KT165" s="20" t="s">
        <v>1063</v>
      </c>
      <c r="KU165" s="46">
        <v>46569</v>
      </c>
      <c r="KV165" s="20" t="s">
        <v>1063</v>
      </c>
      <c r="KW165" s="46">
        <v>46600</v>
      </c>
      <c r="KX165" s="20" t="s">
        <v>1063</v>
      </c>
      <c r="KY165" s="46">
        <v>46631</v>
      </c>
      <c r="KZ165" s="20" t="s">
        <v>1063</v>
      </c>
      <c r="LA165" s="46">
        <v>46661</v>
      </c>
      <c r="LB165" s="20" t="s">
        <v>1063</v>
      </c>
      <c r="LC165" s="46">
        <v>46692</v>
      </c>
      <c r="LD165" s="20" t="s">
        <v>1063</v>
      </c>
      <c r="LE165" s="46">
        <v>46722</v>
      </c>
      <c r="LF165" s="20" t="s">
        <v>1063</v>
      </c>
      <c r="LG165" s="46">
        <v>46753</v>
      </c>
    </row>
    <row r="166" spans="1:319" ht="12" customHeight="1">
      <c r="JA166" s="21">
        <f>IF(COUNT(JA167:JA171)&gt;0,"Y","X")</f>
        <v>0</v>
      </c>
      <c r="JC166" s="21">
        <f>IF(COUNT(JC167:JC171)&gt;0,"Y","X")</f>
        <v>0</v>
      </c>
      <c r="JE166" s="21">
        <f>IF(COUNT(JE167:JE171)&gt;0,"Y","X")</f>
        <v>0</v>
      </c>
      <c r="JG166" s="21">
        <f>IF(COUNT(JG167:JG171)&gt;0,"Y","X")</f>
        <v>0</v>
      </c>
      <c r="JI166" s="21">
        <f>IF(COUNT(JI167:JI171)&gt;0,"Y","X")</f>
        <v>0</v>
      </c>
      <c r="JK166" s="21">
        <f>IF(COUNT(JK167:JK171)&gt;0,"Y","X")</f>
        <v>0</v>
      </c>
      <c r="JM166" s="21">
        <f>IF(COUNT(JM167:JM171)&gt;0,"Y","X")</f>
        <v>0</v>
      </c>
      <c r="JO166" s="21">
        <f>IF(COUNT(JO167:JO171)&gt;0,"Y","X")</f>
        <v>0</v>
      </c>
      <c r="JQ166" s="21">
        <f>IF(COUNT(JQ167:JQ171)&gt;0,"Y","X")</f>
        <v>0</v>
      </c>
      <c r="JS166" s="21">
        <f>IF(COUNT(JS167:JS171)&gt;0,"Y","X")</f>
        <v>0</v>
      </c>
      <c r="JU166" s="21">
        <f>IF(COUNT(JU167:JU171)&gt;0,"Y","X")</f>
        <v>0</v>
      </c>
      <c r="JW166" s="21">
        <f>IF(COUNT(JW167:JW171)&gt;0,"Y","X")</f>
        <v>0</v>
      </c>
      <c r="JY166" s="21">
        <f>IF(COUNT(JY167:JY171)&gt;0,"Y","X")</f>
        <v>0</v>
      </c>
      <c r="KA166" s="21">
        <f>IF(COUNT(KA167:KA171)&gt;0,"Y","X")</f>
        <v>0</v>
      </c>
      <c r="KC166" s="21">
        <f>IF(COUNT(KC167:KC171)&gt;0,"Y","X")</f>
        <v>0</v>
      </c>
      <c r="KE166" s="21">
        <f>IF(COUNT(KE167:KE171)&gt;0,"Y","X")</f>
        <v>0</v>
      </c>
      <c r="KG166" s="21">
        <f>IF(COUNT(KG167:KG171)&gt;0,"Y","X")</f>
        <v>0</v>
      </c>
      <c r="KI166" s="21">
        <f>IF(COUNT(KI167:KI171)&gt;0,"Y","X")</f>
        <v>0</v>
      </c>
      <c r="KK166" s="21">
        <f>IF(COUNT(KK167:KK171)&gt;0,"Y","X")</f>
        <v>0</v>
      </c>
      <c r="KM166" s="21">
        <f>IF(COUNT(KM167:KM171)&gt;0,"Y","X")</f>
        <v>0</v>
      </c>
      <c r="KO166" s="21">
        <f>IF(COUNT(KO167:KO171)&gt;0,"Y","X")</f>
        <v>0</v>
      </c>
      <c r="KQ166" s="21">
        <f>IF(COUNT(KQ167:KQ171)&gt;0,"Y","X")</f>
        <v>0</v>
      </c>
      <c r="KS166" s="21">
        <f>IF(COUNT(KS167:KS171)&gt;0,"Y","X")</f>
        <v>0</v>
      </c>
      <c r="KU166" s="21">
        <f>IF(COUNT(KU167:KU171)&gt;0,"Y","X")</f>
        <v>0</v>
      </c>
      <c r="KW166" s="21">
        <f>IF(COUNT(KW167:KW171)&gt;0,"Y","X")</f>
        <v>0</v>
      </c>
      <c r="KY166" s="21">
        <f>IF(COUNT(KY167:KY171)&gt;0,"Y","X")</f>
        <v>0</v>
      </c>
      <c r="LA166" s="21">
        <f>IF(COUNT(LA167:LA171)&gt;0,"Y","X")</f>
        <v>0</v>
      </c>
      <c r="LC166" s="21">
        <f>IF(COUNT(LC167:LC171)&gt;0,"Y","X")</f>
        <v>0</v>
      </c>
      <c r="LE166" s="21">
        <f>IF(COUNT(LE167:LE171)&gt;0,"Y","X")</f>
        <v>0</v>
      </c>
      <c r="LG166" s="21">
        <f>IF(COUNT(LG167:LG171)&gt;0,"Y","X")</f>
        <v>0</v>
      </c>
    </row>
    <row r="167" spans="1:319">
      <c r="A167" s="24" t="s">
        <v>363</v>
      </c>
      <c r="B167" s="23" t="s">
        <v>1155</v>
      </c>
      <c r="C167" s="43" t="s">
        <v>1156</v>
      </c>
      <c r="D167" s="43" t="s">
        <v>1157</v>
      </c>
      <c r="E167" s="47" t="s">
        <v>1140</v>
      </c>
      <c r="JA167" s="48"/>
      <c r="JB167" s="28">
        <f>IF(AND(ISNUMBER(JC167),ISNUMBER(JA167)),JC167-JA167,"")</f>
        <v>0</v>
      </c>
      <c r="JC167" s="48">
        <v>67</v>
      </c>
      <c r="JD167" s="28">
        <f>IF(AND(ISNUMBER(JE167),ISNUMBER(JC167)),JE167-JC167,"")</f>
        <v>0</v>
      </c>
      <c r="JE167" s="48">
        <v>25</v>
      </c>
      <c r="JF167" s="28">
        <f>IF(AND(ISNUMBER(JG167),ISNUMBER(JE167)),JG167-JE167,"")</f>
        <v>0</v>
      </c>
      <c r="JG167" s="48">
        <v>44</v>
      </c>
      <c r="JH167" s="28">
        <f>IF(AND(ISNUMBER(JI167),ISNUMBER(JG167)),JI167-JG167,"")</f>
        <v>0</v>
      </c>
      <c r="JI167" s="48">
        <v>14</v>
      </c>
      <c r="JJ167" s="28">
        <f>IF(AND(ISNUMBER(JK167),ISNUMBER(JI167)),JK167-JI167,"")</f>
        <v>0</v>
      </c>
      <c r="JK167" s="48">
        <v>121</v>
      </c>
      <c r="JL167" s="28">
        <f>IF(AND(ISNUMBER(JM167),ISNUMBER(JK167)),JM167-JK167,"")</f>
        <v>0</v>
      </c>
      <c r="JM167" s="48">
        <v>31</v>
      </c>
      <c r="JN167" s="28">
        <f>IF(AND(ISNUMBER(JO167),ISNUMBER(JM167)),JO167-JM167,"")</f>
        <v>0</v>
      </c>
      <c r="JO167" s="48">
        <v>55</v>
      </c>
      <c r="JP167" s="28">
        <f>IF(AND(ISNUMBER(JQ167),ISNUMBER(JO167)),JQ167-JO167,"")</f>
        <v>0</v>
      </c>
      <c r="JQ167" s="48">
        <v>48</v>
      </c>
      <c r="JR167" s="28">
        <f>IF(AND(ISNUMBER(JS167),ISNUMBER(JQ167)),JS167-JQ167,"")</f>
        <v>0</v>
      </c>
      <c r="JS167" s="48">
        <v>75</v>
      </c>
      <c r="JT167" s="28">
        <f>IF(AND(ISNUMBER(JU167),ISNUMBER(JS167)),JU167-JS167,"")</f>
        <v>0</v>
      </c>
      <c r="JU167" s="48">
        <v>55</v>
      </c>
      <c r="JV167" s="28">
        <f>IF(AND(ISNUMBER(JW167),ISNUMBER(JU167)),JW167-JU167,"")</f>
        <v>0</v>
      </c>
      <c r="JW167" s="48">
        <v>104</v>
      </c>
      <c r="JX167" s="28">
        <f>IF(AND(ISNUMBER(JY167),ISNUMBER(JW167)),JY167-JW167,"")</f>
        <v>0</v>
      </c>
      <c r="JY167" s="48">
        <v>124</v>
      </c>
      <c r="JZ167" s="28">
        <f>IF(AND(ISNUMBER(KA167),ISNUMBER(JY167)),KA167-JY167,"")</f>
        <v>0</v>
      </c>
      <c r="KA167" s="48">
        <v>161</v>
      </c>
      <c r="KB167" s="28">
        <f>IF(AND(ISNUMBER(KC167),ISNUMBER(KA167)),KC167-KA167,"")</f>
        <v>0</v>
      </c>
      <c r="KC167" s="48"/>
      <c r="KD167" s="28">
        <f>IF(AND(ISNUMBER(KE167),ISNUMBER(KC167)),KE167-KC167,"")</f>
        <v>0</v>
      </c>
      <c r="KE167" s="48"/>
      <c r="KF167" s="28">
        <f>IF(AND(ISNUMBER(KG167),ISNUMBER(KE167)),KG167-KE167,"")</f>
        <v>0</v>
      </c>
      <c r="KG167" s="48"/>
      <c r="KH167" s="28">
        <f>IF(AND(ISNUMBER(KI167),ISNUMBER(KG167)),KI167-KG167,"")</f>
        <v>0</v>
      </c>
      <c r="KI167" s="48"/>
      <c r="KJ167" s="28">
        <f>IF(AND(ISNUMBER(KK167),ISNUMBER(KI167)),KK167-KI167,"")</f>
        <v>0</v>
      </c>
      <c r="KK167" s="48"/>
      <c r="KL167" s="28">
        <f>IF(AND(ISNUMBER(KM167),ISNUMBER(KK167)),KM167-KK167,"")</f>
        <v>0</v>
      </c>
      <c r="KM167" s="48"/>
      <c r="KN167" s="28">
        <f>IF(AND(ISNUMBER(KO167),ISNUMBER(KM167)),KO167-KM167,"")</f>
        <v>0</v>
      </c>
      <c r="KO167" s="48"/>
      <c r="KP167" s="28">
        <f>IF(AND(ISNUMBER(KQ167),ISNUMBER(KO167)),KQ167-KO167,"")</f>
        <v>0</v>
      </c>
      <c r="KQ167" s="48"/>
      <c r="KR167" s="28">
        <f>IF(AND(ISNUMBER(KS167),ISNUMBER(KQ167)),KS167-KQ167,"")</f>
        <v>0</v>
      </c>
      <c r="KS167" s="48"/>
      <c r="KT167" s="28">
        <f>IF(AND(ISNUMBER(KU167),ISNUMBER(KS167)),KU167-KS167,"")</f>
        <v>0</v>
      </c>
      <c r="KU167" s="48"/>
      <c r="KV167" s="28">
        <f>IF(AND(ISNUMBER(KW167),ISNUMBER(KU167)),KW167-KU167,"")</f>
        <v>0</v>
      </c>
      <c r="KW167" s="48"/>
      <c r="KX167" s="28">
        <f>IF(AND(ISNUMBER(KY167),ISNUMBER(KW167)),KY167-KW167,"")</f>
        <v>0</v>
      </c>
      <c r="KY167" s="48"/>
      <c r="KZ167" s="28">
        <f>IF(AND(ISNUMBER(LA167),ISNUMBER(KY167)),LA167-KY167,"")</f>
        <v>0</v>
      </c>
      <c r="LA167" s="48"/>
      <c r="LB167" s="28">
        <f>IF(AND(ISNUMBER(LC167),ISNUMBER(LA167)),LC167-LA167,"")</f>
        <v>0</v>
      </c>
      <c r="LC167" s="48"/>
      <c r="LD167" s="28">
        <f>IF(AND(ISNUMBER(LE167),ISNUMBER(LC167)),LE167-LC167,"")</f>
        <v>0</v>
      </c>
      <c r="LE167" s="48"/>
      <c r="LF167" s="28">
        <f>IF(AND(ISNUMBER(LG167),ISNUMBER(LE167)),LG167-LE167,"")</f>
        <v>0</v>
      </c>
      <c r="LG167" s="48"/>
    </row>
    <row r="168" spans="1:319">
      <c r="B168" s="23"/>
      <c r="C168" s="31" t="s">
        <v>1158</v>
      </c>
      <c r="D168" s="31" t="s">
        <v>1157</v>
      </c>
      <c r="E168" s="49" t="s">
        <v>1140</v>
      </c>
      <c r="JA168" s="51"/>
      <c r="JB168" s="34">
        <f>IF(AND(ISNUMBER(JC168),ISNUMBER(JA168)),JC168-JA168,"")</f>
        <v>0</v>
      </c>
      <c r="JC168" s="51">
        <v>67</v>
      </c>
      <c r="JD168" s="34">
        <f>IF(AND(ISNUMBER(JE168),ISNUMBER(JC168)),JE168-JC168,"")</f>
        <v>0</v>
      </c>
      <c r="JE168" s="51">
        <v>24</v>
      </c>
      <c r="JF168" s="34">
        <f>IF(AND(ISNUMBER(JG168),ISNUMBER(JE168)),JG168-JE168,"")</f>
        <v>0</v>
      </c>
      <c r="JG168" s="51">
        <v>44</v>
      </c>
      <c r="JH168" s="34">
        <f>IF(AND(ISNUMBER(JI168),ISNUMBER(JG168)),JI168-JG168,"")</f>
        <v>0</v>
      </c>
      <c r="JI168" s="51">
        <v>14</v>
      </c>
      <c r="JJ168" s="34">
        <f>IF(AND(ISNUMBER(JK168),ISNUMBER(JI168)),JK168-JI168,"")</f>
        <v>0</v>
      </c>
      <c r="JK168" s="51">
        <v>120</v>
      </c>
      <c r="JL168" s="34">
        <f>IF(AND(ISNUMBER(JM168),ISNUMBER(JK168)),JM168-JK168,"")</f>
        <v>0</v>
      </c>
      <c r="JM168" s="51">
        <v>31</v>
      </c>
      <c r="JN168" s="34">
        <f>IF(AND(ISNUMBER(JO168),ISNUMBER(JM168)),JO168-JM168,"")</f>
        <v>0</v>
      </c>
      <c r="JO168" s="51">
        <v>54</v>
      </c>
      <c r="JP168" s="34">
        <f>IF(AND(ISNUMBER(JQ168),ISNUMBER(JO168)),JQ168-JO168,"")</f>
        <v>0</v>
      </c>
      <c r="JQ168" s="51">
        <v>48</v>
      </c>
      <c r="JR168" s="34">
        <f>IF(AND(ISNUMBER(JS168),ISNUMBER(JQ168)),JS168-JQ168,"")</f>
        <v>0</v>
      </c>
      <c r="JS168" s="51">
        <v>73</v>
      </c>
      <c r="JT168" s="34">
        <f>IF(AND(ISNUMBER(JU168),ISNUMBER(JS168)),JU168-JS168,"")</f>
        <v>0</v>
      </c>
      <c r="JU168" s="51">
        <v>53</v>
      </c>
      <c r="JV168" s="34">
        <f>IF(AND(ISNUMBER(JW168),ISNUMBER(JU168)),JW168-JU168,"")</f>
        <v>0</v>
      </c>
      <c r="JW168" s="51">
        <v>102</v>
      </c>
      <c r="JX168" s="34">
        <f>IF(AND(ISNUMBER(JY168),ISNUMBER(JW168)),JY168-JW168,"")</f>
        <v>0</v>
      </c>
      <c r="JY168" s="51">
        <v>122</v>
      </c>
      <c r="JZ168" s="34">
        <f>IF(AND(ISNUMBER(KA168),ISNUMBER(JY168)),KA168-JY168,"")</f>
        <v>0</v>
      </c>
      <c r="KA168" s="52">
        <f>KA167-KA171</f>
        <v>151</v>
      </c>
      <c r="KB168" s="34">
        <f>IF(AND(ISNUMBER(KC168),ISNUMBER(KA168)),KC168-KA168,"")</f>
        <v>0</v>
      </c>
      <c r="KC168" s="51"/>
      <c r="KD168" s="34">
        <f>IF(AND(ISNUMBER(KE168),ISNUMBER(KC168)),KE168-KC168,"")</f>
        <v>0</v>
      </c>
      <c r="KE168" s="51"/>
      <c r="KF168" s="34">
        <f>IF(AND(ISNUMBER(KG168),ISNUMBER(KE168)),KG168-KE168,"")</f>
        <v>0</v>
      </c>
      <c r="KG168" s="51"/>
      <c r="KH168" s="34">
        <f>IF(AND(ISNUMBER(KI168),ISNUMBER(KG168)),KI168-KG168,"")</f>
        <v>0</v>
      </c>
      <c r="KI168" s="51"/>
      <c r="KJ168" s="34">
        <f>IF(AND(ISNUMBER(KK168),ISNUMBER(KI168)),KK168-KI168,"")</f>
        <v>0</v>
      </c>
      <c r="KK168" s="51"/>
      <c r="KL168" s="34">
        <f>IF(AND(ISNUMBER(KM168),ISNUMBER(KK168)),KM168-KK168,"")</f>
        <v>0</v>
      </c>
      <c r="KM168" s="51"/>
      <c r="KN168" s="34">
        <f>IF(AND(ISNUMBER(KO168),ISNUMBER(KM168)),KO168-KM168,"")</f>
        <v>0</v>
      </c>
      <c r="KO168" s="51"/>
      <c r="KP168" s="34">
        <f>IF(AND(ISNUMBER(KQ168),ISNUMBER(KO168)),KQ168-KO168,"")</f>
        <v>0</v>
      </c>
      <c r="KQ168" s="51"/>
      <c r="KR168" s="34">
        <f>IF(AND(ISNUMBER(KS168),ISNUMBER(KQ168)),KS168-KQ168,"")</f>
        <v>0</v>
      </c>
      <c r="KS168" s="51"/>
      <c r="KT168" s="34">
        <f>IF(AND(ISNUMBER(KU168),ISNUMBER(KS168)),KU168-KS168,"")</f>
        <v>0</v>
      </c>
      <c r="KU168" s="51"/>
      <c r="KV168" s="34">
        <f>IF(AND(ISNUMBER(KW168),ISNUMBER(KU168)),KW168-KU168,"")</f>
        <v>0</v>
      </c>
      <c r="KW168" s="51"/>
      <c r="KX168" s="34">
        <f>IF(AND(ISNUMBER(KY168),ISNUMBER(KW168)),KY168-KW168,"")</f>
        <v>0</v>
      </c>
      <c r="KY168" s="51"/>
      <c r="KZ168" s="34">
        <f>IF(AND(ISNUMBER(LA168),ISNUMBER(KY168)),LA168-KY168,"")</f>
        <v>0</v>
      </c>
      <c r="LA168" s="51"/>
      <c r="LB168" s="34">
        <f>IF(AND(ISNUMBER(LC168),ISNUMBER(LA168)),LC168-LA168,"")</f>
        <v>0</v>
      </c>
      <c r="LC168" s="51"/>
      <c r="LD168" s="34">
        <f>IF(AND(ISNUMBER(LE168),ISNUMBER(LC168)),LE168-LC168,"")</f>
        <v>0</v>
      </c>
      <c r="LE168" s="51"/>
      <c r="LF168" s="34">
        <f>IF(AND(ISNUMBER(LG168),ISNUMBER(LE168)),LG168-LE168,"")</f>
        <v>0</v>
      </c>
      <c r="LG168" s="51"/>
    </row>
    <row r="169" spans="1:319">
      <c r="A169" s="37" t="s">
        <v>371</v>
      </c>
      <c r="B169" s="23"/>
      <c r="C169" s="31" t="s">
        <v>1159</v>
      </c>
      <c r="D169" s="31" t="s">
        <v>1157</v>
      </c>
      <c r="E169" s="49" t="s">
        <v>1140</v>
      </c>
      <c r="JA169" s="53">
        <f>IF(AND(ISNUMBER(JA167),ISNUMBER(JA168),N(JA167)&lt;&gt;0),JA168/JA167,"")</f>
        <v>0</v>
      </c>
      <c r="JB169" s="54">
        <f>IF(AND(ISNUMBER(JC169),ISNUMBER(JA169)),JC169-JA169,"")</f>
        <v>0</v>
      </c>
      <c r="JC169" s="53">
        <f>IF(AND(ISNUMBER(JC167),ISNUMBER(JC168),N(JC167)&lt;&gt;0),JC168/JC167,"")</f>
        <v>0</v>
      </c>
      <c r="JD169" s="54">
        <f>IF(AND(ISNUMBER(JE169),ISNUMBER(JC169)),JE169-JC169,"")</f>
        <v>0</v>
      </c>
      <c r="JE169" s="53">
        <f>IF(AND(ISNUMBER(JE167),ISNUMBER(JE168),N(JE167)&lt;&gt;0),JE168/JE167,"")</f>
        <v>0</v>
      </c>
      <c r="JF169" s="54">
        <f>IF(AND(ISNUMBER(JG169),ISNUMBER(JE169)),JG169-JE169,"")</f>
        <v>0</v>
      </c>
      <c r="JG169" s="53">
        <f>IF(AND(ISNUMBER(JG167),ISNUMBER(JG168),N(JG167)&lt;&gt;0),JG168/JG167,"")</f>
        <v>0</v>
      </c>
      <c r="JH169" s="54">
        <f>IF(AND(ISNUMBER(JI169),ISNUMBER(JG169)),JI169-JG169,"")</f>
        <v>0</v>
      </c>
      <c r="JI169" s="53">
        <f>IF(AND(ISNUMBER(JI167),ISNUMBER(JI168),N(JI167)&lt;&gt;0),JI168/JI167,"")</f>
        <v>0</v>
      </c>
      <c r="JJ169" s="54">
        <f>IF(AND(ISNUMBER(JK169),ISNUMBER(JI169)),JK169-JI169,"")</f>
        <v>0</v>
      </c>
      <c r="JK169" s="53">
        <f>IF(AND(ISNUMBER(JK167),ISNUMBER(JK168),N(JK167)&lt;&gt;0),JK168/JK167,"")</f>
        <v>0</v>
      </c>
      <c r="JL169" s="54">
        <f>IF(AND(ISNUMBER(JM169),ISNUMBER(JK169)),JM169-JK169,"")</f>
        <v>0</v>
      </c>
      <c r="JM169" s="53">
        <f>IF(AND(ISNUMBER(JM167),ISNUMBER(JM168),N(JM167)&lt;&gt;0),JM168/JM167,"")</f>
        <v>0</v>
      </c>
      <c r="JN169" s="54">
        <f>IF(AND(ISNUMBER(JO169),ISNUMBER(JM169)),JO169-JM169,"")</f>
        <v>0</v>
      </c>
      <c r="JO169" s="53">
        <f>IF(AND(ISNUMBER(JO167),ISNUMBER(JO168),N(JO167)&lt;&gt;0),JO168/JO167,"")</f>
        <v>0</v>
      </c>
      <c r="JP169" s="54">
        <f>IF(AND(ISNUMBER(JQ169),ISNUMBER(JO169)),JQ169-JO169,"")</f>
        <v>0</v>
      </c>
      <c r="JQ169" s="53">
        <f>IF(AND(ISNUMBER(JQ167),ISNUMBER(JQ168),N(JQ167)&lt;&gt;0),JQ168/JQ167,"")</f>
        <v>0</v>
      </c>
      <c r="JR169" s="54">
        <f>IF(AND(ISNUMBER(JS169),ISNUMBER(JQ169)),JS169-JQ169,"")</f>
        <v>0</v>
      </c>
      <c r="JS169" s="53">
        <f>IF(AND(ISNUMBER(JS167),ISNUMBER(JS168),N(JS167)&lt;&gt;0),JS168/JS167,"")</f>
        <v>0</v>
      </c>
      <c r="JT169" s="54">
        <f>IF(AND(ISNUMBER(JU169),ISNUMBER(JS169)),JU169-JS169,"")</f>
        <v>0</v>
      </c>
      <c r="JU169" s="53">
        <f>IF(AND(ISNUMBER(JU167),ISNUMBER(JU168),N(JU167)&lt;&gt;0),JU168/JU167,"")</f>
        <v>0</v>
      </c>
      <c r="JV169" s="54">
        <f>IF(AND(ISNUMBER(JW169),ISNUMBER(JU169)),JW169-JU169,"")</f>
        <v>0</v>
      </c>
      <c r="JW169" s="53">
        <f>IF(AND(ISNUMBER(JW167),ISNUMBER(JW168),N(JW167)&lt;&gt;0),JW168/JW167,"")</f>
        <v>0</v>
      </c>
      <c r="JX169" s="54">
        <f>IF(AND(ISNUMBER(JY169),ISNUMBER(JW169)),JY169-JW169,"")</f>
        <v>0</v>
      </c>
      <c r="JY169" s="53">
        <f>IF(AND(ISNUMBER(JY167),ISNUMBER(JY168),N(JY167)&lt;&gt;0),JY168/JY167,"")</f>
        <v>0</v>
      </c>
      <c r="JZ169" s="54">
        <f>IF(AND(ISNUMBER(KA169),ISNUMBER(JY169)),KA169-JY169,"")</f>
        <v>0</v>
      </c>
      <c r="KA169" s="53">
        <f>IF(AND(ISNUMBER(KA167),ISNUMBER(KA168),N(KA167)&lt;&gt;0),KA168/KA167,"")</f>
        <v>0</v>
      </c>
      <c r="KB169" s="54">
        <f>IF(AND(ISNUMBER(KC169),ISNUMBER(KA169)),KC169-KA169,"")</f>
        <v>0</v>
      </c>
      <c r="KC169" s="53">
        <f>IF(AND(ISNUMBER(KC167),ISNUMBER(KC168),N(KC167)&lt;&gt;0),KC168/KC167,"")</f>
        <v>0</v>
      </c>
      <c r="KD169" s="54">
        <f>IF(AND(ISNUMBER(KE169),ISNUMBER(KC169)),KE169-KC169,"")</f>
        <v>0</v>
      </c>
      <c r="KE169" s="53">
        <f>IF(AND(ISNUMBER(KE167),ISNUMBER(KE168),N(KE167)&lt;&gt;0),KE168/KE167,"")</f>
        <v>0</v>
      </c>
      <c r="KF169" s="54">
        <f>IF(AND(ISNUMBER(KG169),ISNUMBER(KE169)),KG169-KE169,"")</f>
        <v>0</v>
      </c>
      <c r="KG169" s="53">
        <f>IF(AND(ISNUMBER(KG167),ISNUMBER(KG168),N(KG167)&lt;&gt;0),KG168/KG167,"")</f>
        <v>0</v>
      </c>
      <c r="KH169" s="54">
        <f>IF(AND(ISNUMBER(KI169),ISNUMBER(KG169)),KI169-KG169,"")</f>
        <v>0</v>
      </c>
      <c r="KI169" s="53">
        <f>IF(AND(ISNUMBER(KI167),ISNUMBER(KI168),N(KI167)&lt;&gt;0),KI168/KI167,"")</f>
        <v>0</v>
      </c>
      <c r="KJ169" s="54">
        <f>IF(AND(ISNUMBER(KK169),ISNUMBER(KI169)),KK169-KI169,"")</f>
        <v>0</v>
      </c>
      <c r="KK169" s="53">
        <f>IF(AND(ISNUMBER(KK167),ISNUMBER(KK168),N(KK167)&lt;&gt;0),KK168/KK167,"")</f>
        <v>0</v>
      </c>
      <c r="KL169" s="54">
        <f>IF(AND(ISNUMBER(KM169),ISNUMBER(KK169)),KM169-KK169,"")</f>
        <v>0</v>
      </c>
      <c r="KM169" s="53">
        <f>IF(AND(ISNUMBER(KM167),ISNUMBER(KM168),N(KM167)&lt;&gt;0),KM168/KM167,"")</f>
        <v>0</v>
      </c>
      <c r="KN169" s="54">
        <f>IF(AND(ISNUMBER(KO169),ISNUMBER(KM169)),KO169-KM169,"")</f>
        <v>0</v>
      </c>
      <c r="KO169" s="53">
        <f>IF(AND(ISNUMBER(KO167),ISNUMBER(KO168),N(KO167)&lt;&gt;0),KO168/KO167,"")</f>
        <v>0</v>
      </c>
      <c r="KP169" s="54">
        <f>IF(AND(ISNUMBER(KQ169),ISNUMBER(KO169)),KQ169-KO169,"")</f>
        <v>0</v>
      </c>
      <c r="KQ169" s="53">
        <f>IF(AND(ISNUMBER(KQ167),ISNUMBER(KQ168),N(KQ167)&lt;&gt;0),KQ168/KQ167,"")</f>
        <v>0</v>
      </c>
      <c r="KR169" s="54">
        <f>IF(AND(ISNUMBER(KS169),ISNUMBER(KQ169)),KS169-KQ169,"")</f>
        <v>0</v>
      </c>
      <c r="KS169" s="53">
        <f>IF(AND(ISNUMBER(KS167),ISNUMBER(KS168),N(KS167)&lt;&gt;0),KS168/KS167,"")</f>
        <v>0</v>
      </c>
      <c r="KT169" s="54">
        <f>IF(AND(ISNUMBER(KU169),ISNUMBER(KS169)),KU169-KS169,"")</f>
        <v>0</v>
      </c>
      <c r="KU169" s="53">
        <f>IF(AND(ISNUMBER(KU167),ISNUMBER(KU168),N(KU167)&lt;&gt;0),KU168/KU167,"")</f>
        <v>0</v>
      </c>
      <c r="KV169" s="54">
        <f>IF(AND(ISNUMBER(KW169),ISNUMBER(KU169)),KW169-KU169,"")</f>
        <v>0</v>
      </c>
      <c r="KW169" s="53">
        <f>IF(AND(ISNUMBER(KW167),ISNUMBER(KW168),N(KW167)&lt;&gt;0),KW168/KW167,"")</f>
        <v>0</v>
      </c>
      <c r="KX169" s="54">
        <f>IF(AND(ISNUMBER(KY169),ISNUMBER(KW169)),KY169-KW169,"")</f>
        <v>0</v>
      </c>
      <c r="KY169" s="53">
        <f>IF(AND(ISNUMBER(KY167),ISNUMBER(KY168),N(KY167)&lt;&gt;0),KY168/KY167,"")</f>
        <v>0</v>
      </c>
      <c r="KZ169" s="54">
        <f>IF(AND(ISNUMBER(LA169),ISNUMBER(KY169)),LA169-KY169,"")</f>
        <v>0</v>
      </c>
      <c r="LA169" s="53">
        <f>IF(AND(ISNUMBER(LA167),ISNUMBER(LA168),N(LA167)&lt;&gt;0),LA168/LA167,"")</f>
        <v>0</v>
      </c>
      <c r="LB169" s="54">
        <f>IF(AND(ISNUMBER(LC169),ISNUMBER(LA169)),LC169-LA169,"")</f>
        <v>0</v>
      </c>
      <c r="LC169" s="53">
        <f>IF(AND(ISNUMBER(LC167),ISNUMBER(LC168),N(LC167)&lt;&gt;0),LC168/LC167,"")</f>
        <v>0</v>
      </c>
      <c r="LD169" s="54">
        <f>IF(AND(ISNUMBER(LE169),ISNUMBER(LC169)),LE169-LC169,"")</f>
        <v>0</v>
      </c>
      <c r="LE169" s="53">
        <f>IF(AND(ISNUMBER(LE167),ISNUMBER(LE168),N(LE167)&lt;&gt;0),LE168/LE167,"")</f>
        <v>0</v>
      </c>
      <c r="LF169" s="54">
        <f>IF(AND(ISNUMBER(LG169),ISNUMBER(LE169)),LG169-LE169,"")</f>
        <v>0</v>
      </c>
      <c r="LG169" s="53">
        <f>IF(AND(ISNUMBER(LG167),ISNUMBER(LG168),N(LG167)&lt;&gt;0),LG168/LG167,"")</f>
        <v>0</v>
      </c>
    </row>
    <row r="170" spans="1:319">
      <c r="B170" s="23"/>
      <c r="C170" s="31" t="s">
        <v>1160</v>
      </c>
      <c r="D170" s="31" t="s">
        <v>1157</v>
      </c>
      <c r="E170" s="49" t="s">
        <v>1140</v>
      </c>
      <c r="JA170" s="51"/>
      <c r="JB170" s="34">
        <f>IF(AND(ISNUMBER(JC170),ISNUMBER(JA170)),JC170-JA170,"")</f>
        <v>0</v>
      </c>
      <c r="JC170" s="51"/>
      <c r="JD170" s="34">
        <f>IF(AND(ISNUMBER(JE170),ISNUMBER(JC170)),JE170-JC170,"")</f>
        <v>0</v>
      </c>
      <c r="JE170" s="51"/>
      <c r="JF170" s="34">
        <f>IF(AND(ISNUMBER(JG170),ISNUMBER(JE170)),JG170-JE170,"")</f>
        <v>0</v>
      </c>
      <c r="JG170" s="51"/>
      <c r="JH170" s="34">
        <f>IF(AND(ISNUMBER(JI170),ISNUMBER(JG170)),JI170-JG170,"")</f>
        <v>0</v>
      </c>
      <c r="JI170" s="51"/>
      <c r="JJ170" s="34">
        <f>IF(AND(ISNUMBER(JK170),ISNUMBER(JI170)),JK170-JI170,"")</f>
        <v>0</v>
      </c>
      <c r="JK170" s="51">
        <v>0</v>
      </c>
      <c r="JL170" s="34">
        <f>IF(AND(ISNUMBER(JM170),ISNUMBER(JK170)),JM170-JK170,"")</f>
        <v>0</v>
      </c>
      <c r="JM170" s="51">
        <v>0</v>
      </c>
      <c r="JN170" s="34">
        <f>IF(AND(ISNUMBER(JO170),ISNUMBER(JM170)),JO170-JM170,"")</f>
        <v>0</v>
      </c>
      <c r="JO170" s="51">
        <v>0</v>
      </c>
      <c r="JP170" s="34">
        <f>IF(AND(ISNUMBER(JQ170),ISNUMBER(JO170)),JQ170-JO170,"")</f>
        <v>0</v>
      </c>
      <c r="JQ170" s="51">
        <v>0</v>
      </c>
      <c r="JR170" s="34">
        <f>IF(AND(ISNUMBER(JS170),ISNUMBER(JQ170)),JS170-JQ170,"")</f>
        <v>0</v>
      </c>
      <c r="JS170" s="51">
        <v>0</v>
      </c>
      <c r="JT170" s="34">
        <f>IF(AND(ISNUMBER(JU170),ISNUMBER(JS170)),JU170-JS170,"")</f>
        <v>0</v>
      </c>
      <c r="JU170" s="51">
        <v>0</v>
      </c>
      <c r="JV170" s="34">
        <f>IF(AND(ISNUMBER(JW170),ISNUMBER(JU170)),JW170-JU170,"")</f>
        <v>0</v>
      </c>
      <c r="JW170" s="51">
        <v>0</v>
      </c>
      <c r="JX170" s="34">
        <f>IF(AND(ISNUMBER(JY170),ISNUMBER(JW170)),JY170-JW170,"")</f>
        <v>0</v>
      </c>
      <c r="JY170" s="51">
        <v>0</v>
      </c>
      <c r="JZ170" s="34">
        <f>IF(AND(ISNUMBER(KA170),ISNUMBER(JY170)),KA170-JY170,"")</f>
        <v>0</v>
      </c>
      <c r="KA170" s="51">
        <v>0</v>
      </c>
      <c r="KB170" s="34">
        <f>IF(AND(ISNUMBER(KC170),ISNUMBER(KA170)),KC170-KA170,"")</f>
        <v>0</v>
      </c>
      <c r="KC170" s="51"/>
      <c r="KD170" s="34">
        <f>IF(AND(ISNUMBER(KE170),ISNUMBER(KC170)),KE170-KC170,"")</f>
        <v>0</v>
      </c>
      <c r="KE170" s="51"/>
      <c r="KF170" s="34">
        <f>IF(AND(ISNUMBER(KG170),ISNUMBER(KE170)),KG170-KE170,"")</f>
        <v>0</v>
      </c>
      <c r="KG170" s="51"/>
      <c r="KH170" s="34">
        <f>IF(AND(ISNUMBER(KI170),ISNUMBER(KG170)),KI170-KG170,"")</f>
        <v>0</v>
      </c>
      <c r="KI170" s="51"/>
      <c r="KJ170" s="34">
        <f>IF(AND(ISNUMBER(KK170),ISNUMBER(KI170)),KK170-KI170,"")</f>
        <v>0</v>
      </c>
      <c r="KK170" s="51"/>
      <c r="KL170" s="34">
        <f>IF(AND(ISNUMBER(KM170),ISNUMBER(KK170)),KM170-KK170,"")</f>
        <v>0</v>
      </c>
      <c r="KM170" s="51"/>
      <c r="KN170" s="34">
        <f>IF(AND(ISNUMBER(KO170),ISNUMBER(KM170)),KO170-KM170,"")</f>
        <v>0</v>
      </c>
      <c r="KO170" s="51"/>
      <c r="KP170" s="34">
        <f>IF(AND(ISNUMBER(KQ170),ISNUMBER(KO170)),KQ170-KO170,"")</f>
        <v>0</v>
      </c>
      <c r="KQ170" s="51"/>
      <c r="KR170" s="34">
        <f>IF(AND(ISNUMBER(KS170),ISNUMBER(KQ170)),KS170-KQ170,"")</f>
        <v>0</v>
      </c>
      <c r="KS170" s="51"/>
      <c r="KT170" s="34">
        <f>IF(AND(ISNUMBER(KU170),ISNUMBER(KS170)),KU170-KS170,"")</f>
        <v>0</v>
      </c>
      <c r="KU170" s="51"/>
      <c r="KV170" s="34">
        <f>IF(AND(ISNUMBER(KW170),ISNUMBER(KU170)),KW170-KU170,"")</f>
        <v>0</v>
      </c>
      <c r="KW170" s="51"/>
      <c r="KX170" s="34">
        <f>IF(AND(ISNUMBER(KY170),ISNUMBER(KW170)),KY170-KW170,"")</f>
        <v>0</v>
      </c>
      <c r="KY170" s="51"/>
      <c r="KZ170" s="34">
        <f>IF(AND(ISNUMBER(LA170),ISNUMBER(KY170)),LA170-KY170,"")</f>
        <v>0</v>
      </c>
      <c r="LA170" s="51"/>
      <c r="LB170" s="34">
        <f>IF(AND(ISNUMBER(LC170),ISNUMBER(LA170)),LC170-LA170,"")</f>
        <v>0</v>
      </c>
      <c r="LC170" s="51"/>
      <c r="LD170" s="34">
        <f>IF(AND(ISNUMBER(LE170),ISNUMBER(LC170)),LE170-LC170,"")</f>
        <v>0</v>
      </c>
      <c r="LE170" s="51"/>
      <c r="LF170" s="34">
        <f>IF(AND(ISNUMBER(LG170),ISNUMBER(LE170)),LG170-LE170,"")</f>
        <v>0</v>
      </c>
      <c r="LG170" s="51"/>
    </row>
    <row r="171" spans="1:319">
      <c r="B171" s="23"/>
      <c r="C171" s="31" t="s">
        <v>1161</v>
      </c>
      <c r="D171" s="31" t="s">
        <v>1157</v>
      </c>
      <c r="E171" s="49" t="s">
        <v>1140</v>
      </c>
      <c r="JA171" s="51"/>
      <c r="JB171" s="34">
        <f>IF(AND(ISNUMBER(JC171),ISNUMBER(JA171)),JC171-JA171,"")</f>
        <v>0</v>
      </c>
      <c r="JC171" s="51"/>
      <c r="JD171" s="34">
        <f>IF(AND(ISNUMBER(JE171),ISNUMBER(JC171)),JE171-JC171,"")</f>
        <v>0</v>
      </c>
      <c r="JE171" s="51"/>
      <c r="JF171" s="34">
        <f>IF(AND(ISNUMBER(JG171),ISNUMBER(JE171)),JG171-JE171,"")</f>
        <v>0</v>
      </c>
      <c r="JG171" s="51"/>
      <c r="JH171" s="34">
        <f>IF(AND(ISNUMBER(JI171),ISNUMBER(JG171)),JI171-JG171,"")</f>
        <v>0</v>
      </c>
      <c r="JI171" s="51"/>
      <c r="JJ171" s="34">
        <f>IF(AND(ISNUMBER(JK171),ISNUMBER(JI171)),JK171-JI171,"")</f>
        <v>0</v>
      </c>
      <c r="JK171" s="51">
        <v>1</v>
      </c>
      <c r="JL171" s="34">
        <f>IF(AND(ISNUMBER(JM171),ISNUMBER(JK171)),JM171-JK171,"")</f>
        <v>0</v>
      </c>
      <c r="JM171" s="51">
        <v>0</v>
      </c>
      <c r="JN171" s="34">
        <f>IF(AND(ISNUMBER(JO171),ISNUMBER(JM171)),JO171-JM171,"")</f>
        <v>0</v>
      </c>
      <c r="JO171" s="51">
        <v>1</v>
      </c>
      <c r="JP171" s="34">
        <f>IF(AND(ISNUMBER(JQ171),ISNUMBER(JO171)),JQ171-JO171,"")</f>
        <v>0</v>
      </c>
      <c r="JQ171" s="51">
        <v>0</v>
      </c>
      <c r="JR171" s="34">
        <f>IF(AND(ISNUMBER(JS171),ISNUMBER(JQ171)),JS171-JQ171,"")</f>
        <v>0</v>
      </c>
      <c r="JS171" s="51">
        <v>2</v>
      </c>
      <c r="JT171" s="34">
        <f>IF(AND(ISNUMBER(JU171),ISNUMBER(JS171)),JU171-JS171,"")</f>
        <v>0</v>
      </c>
      <c r="JU171" s="51">
        <v>2</v>
      </c>
      <c r="JV171" s="34">
        <f>IF(AND(ISNUMBER(JW171),ISNUMBER(JU171)),JW171-JU171,"")</f>
        <v>0</v>
      </c>
      <c r="JW171" s="51">
        <v>2</v>
      </c>
      <c r="JX171" s="34">
        <f>IF(AND(ISNUMBER(JY171),ISNUMBER(JW171)),JY171-JW171,"")</f>
        <v>0</v>
      </c>
      <c r="JY171" s="51">
        <v>2</v>
      </c>
      <c r="JZ171" s="34">
        <f>IF(AND(ISNUMBER(KA171),ISNUMBER(JY171)),KA171-JY171,"")</f>
        <v>0</v>
      </c>
      <c r="KA171" s="51">
        <v>10</v>
      </c>
      <c r="KB171" s="34">
        <f>IF(AND(ISNUMBER(KC171),ISNUMBER(KA171)),KC171-KA171,"")</f>
        <v>0</v>
      </c>
      <c r="KC171" s="51"/>
      <c r="KD171" s="34">
        <f>IF(AND(ISNUMBER(KE171),ISNUMBER(KC171)),KE171-KC171,"")</f>
        <v>0</v>
      </c>
      <c r="KE171" s="51"/>
      <c r="KF171" s="34">
        <f>IF(AND(ISNUMBER(KG171),ISNUMBER(KE171)),KG171-KE171,"")</f>
        <v>0</v>
      </c>
      <c r="KG171" s="51"/>
      <c r="KH171" s="34">
        <f>IF(AND(ISNUMBER(KI171),ISNUMBER(KG171)),KI171-KG171,"")</f>
        <v>0</v>
      </c>
      <c r="KI171" s="51"/>
      <c r="KJ171" s="34">
        <f>IF(AND(ISNUMBER(KK171),ISNUMBER(KI171)),KK171-KI171,"")</f>
        <v>0</v>
      </c>
      <c r="KK171" s="51"/>
      <c r="KL171" s="34">
        <f>IF(AND(ISNUMBER(KM171),ISNUMBER(KK171)),KM171-KK171,"")</f>
        <v>0</v>
      </c>
      <c r="KM171" s="51"/>
      <c r="KN171" s="34">
        <f>IF(AND(ISNUMBER(KO171),ISNUMBER(KM171)),KO171-KM171,"")</f>
        <v>0</v>
      </c>
      <c r="KO171" s="51"/>
      <c r="KP171" s="34">
        <f>IF(AND(ISNUMBER(KQ171),ISNUMBER(KO171)),KQ171-KO171,"")</f>
        <v>0</v>
      </c>
      <c r="KQ171" s="51"/>
      <c r="KR171" s="34">
        <f>IF(AND(ISNUMBER(KS171),ISNUMBER(KQ171)),KS171-KQ171,"")</f>
        <v>0</v>
      </c>
      <c r="KS171" s="51"/>
      <c r="KT171" s="34">
        <f>IF(AND(ISNUMBER(KU171),ISNUMBER(KS171)),KU171-KS171,"")</f>
        <v>0</v>
      </c>
      <c r="KU171" s="51"/>
      <c r="KV171" s="34">
        <f>IF(AND(ISNUMBER(KW171),ISNUMBER(KU171)),KW171-KU171,"")</f>
        <v>0</v>
      </c>
      <c r="KW171" s="51"/>
      <c r="KX171" s="34">
        <f>IF(AND(ISNUMBER(KY171),ISNUMBER(KW171)),KY171-KW171,"")</f>
        <v>0</v>
      </c>
      <c r="KY171" s="51"/>
      <c r="KZ171" s="34">
        <f>IF(AND(ISNUMBER(LA171),ISNUMBER(KY171)),LA171-KY171,"")</f>
        <v>0</v>
      </c>
      <c r="LA171" s="51"/>
      <c r="LB171" s="34">
        <f>IF(AND(ISNUMBER(LC171),ISNUMBER(LA171)),LC171-LA171,"")</f>
        <v>0</v>
      </c>
      <c r="LC171" s="51"/>
      <c r="LD171" s="34">
        <f>IF(AND(ISNUMBER(LE171),ISNUMBER(LC171)),LE171-LC171,"")</f>
        <v>0</v>
      </c>
      <c r="LE171" s="51"/>
      <c r="LF171" s="34">
        <f>IF(AND(ISNUMBER(LG171),ISNUMBER(LE171)),LG171-LE171,"")</f>
        <v>0</v>
      </c>
      <c r="LG171" s="51"/>
    </row>
  </sheetData>
  <mergeCells count="16">
    <mergeCell ref="B3:B21"/>
    <mergeCell ref="B23:B38"/>
    <mergeCell ref="B39:B46"/>
    <mergeCell ref="B47:B62"/>
    <mergeCell ref="B64:B66"/>
    <mergeCell ref="B67:B90"/>
    <mergeCell ref="B91:B102"/>
    <mergeCell ref="B103:B112"/>
    <mergeCell ref="E103:E111"/>
    <mergeCell ref="B117:B128"/>
    <mergeCell ref="B129:B140"/>
    <mergeCell ref="B150:B155"/>
    <mergeCell ref="B159:E159"/>
    <mergeCell ref="B161:B163"/>
    <mergeCell ref="B165:E165"/>
    <mergeCell ref="B167:B171"/>
  </mergeCells>
  <conditionalFormatting sqref="I1:LG1">
    <cfRule type="expression" dxfId="10" priority="1">
      <formula>AND(ISNUMBER(I$1),I$1=Stichtag)</formula>
    </cfRule>
  </conditionalFormatting>
  <conditionalFormatting sqref="I3:LG157">
    <cfRule type="expression" dxfId="11" priority="2">
      <formula>AND(ISNUMBER(I$1),I$1=Stichtag)</formula>
    </cfRule>
  </conditionalFormatting>
  <conditionalFormatting sqref="JA159:LG159">
    <cfRule type="expression" dxfId="10" priority="3">
      <formula>AND(ISNUMBER(JA$159),JA$159=DATE(YEAR(Berichtstag),MONTH(Berichtstag)-1,1))</formula>
    </cfRule>
  </conditionalFormatting>
  <conditionalFormatting sqref="JA161:LG163">
    <cfRule type="expression" dxfId="11" priority="4">
      <formula>AND(ISNUMBER(JA$159),JA$159=DATE(YEAR(Berichtstag),MONTH(Berichtstag)-1,1))</formula>
    </cfRule>
  </conditionalFormatting>
  <conditionalFormatting sqref="JA165:LG165">
    <cfRule type="expression" dxfId="10" priority="5">
      <formula>AND(ISNUMBER(JA$165),JA$165=DATE(YEAR(Berichtstag),MONTH(Berichtstag)-1,1))</formula>
    </cfRule>
  </conditionalFormatting>
  <conditionalFormatting sqref="JA167:LG171">
    <cfRule type="expression" dxfId="11" priority="6">
      <formula>AND(ISNUMBER(JA$165),JA$165=DATE(YEAR(Berichtstag),MONTH(Berichtstag)-1,1))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Kommentare">
    <tabColor rgb="FF0F94A7"/>
  </sheetPr>
  <dimension ref="A1:F17"/>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1163</v>
      </c>
    </row>
    <row r="2" spans="1:6">
      <c r="A2" s="8" t="s">
        <v>1164</v>
      </c>
    </row>
    <row r="4" spans="1:6" ht="28" customHeight="1">
      <c r="A4" s="9" t="s">
        <v>1008</v>
      </c>
      <c r="B4" s="9" t="s">
        <v>1165</v>
      </c>
      <c r="C4" s="9" t="s">
        <v>1166</v>
      </c>
      <c r="D4" s="9" t="s">
        <v>1167</v>
      </c>
      <c r="E4" s="9" t="s">
        <v>1168</v>
      </c>
      <c r="F4" s="9" t="s">
        <v>1169</v>
      </c>
    </row>
    <row r="5" spans="1:6" ht="184" customHeight="1">
      <c r="A5" s="55" t="s">
        <v>1014</v>
      </c>
      <c r="B5" s="55">
        <v>1</v>
      </c>
      <c r="C5" s="56" t="s">
        <v>1170</v>
      </c>
      <c r="D5" s="57" t="s">
        <v>1171</v>
      </c>
      <c r="E5" s="58" t="s">
        <v>1172</v>
      </c>
      <c r="F5" s="55" t="s">
        <v>1173</v>
      </c>
    </row>
    <row r="6" spans="1:6" ht="19" customHeight="1">
      <c r="A6" s="55" t="s">
        <v>1014</v>
      </c>
      <c r="B6" s="55">
        <v>2</v>
      </c>
      <c r="C6" s="56" t="s">
        <v>1080</v>
      </c>
      <c r="D6" s="57" t="s">
        <v>1174</v>
      </c>
      <c r="E6" s="58"/>
      <c r="F6" s="55" t="s">
        <v>1174</v>
      </c>
    </row>
    <row r="7" spans="1:6" ht="124" customHeight="1">
      <c r="A7" s="55" t="s">
        <v>1014</v>
      </c>
      <c r="B7" s="55">
        <v>3</v>
      </c>
      <c r="C7" s="56" t="s">
        <v>128</v>
      </c>
      <c r="D7" s="57" t="s">
        <v>1139</v>
      </c>
      <c r="E7" s="58" t="s">
        <v>1175</v>
      </c>
      <c r="F7" s="55" t="s">
        <v>1139</v>
      </c>
    </row>
    <row r="8" spans="1:6" ht="19" customHeight="1">
      <c r="A8" s="55" t="s">
        <v>1014</v>
      </c>
      <c r="B8" s="55">
        <v>4</v>
      </c>
      <c r="C8" s="56" t="s">
        <v>1176</v>
      </c>
      <c r="D8" s="57" t="s">
        <v>1177</v>
      </c>
      <c r="E8" s="58" t="s">
        <v>1178</v>
      </c>
      <c r="F8" s="55" t="s">
        <v>1108</v>
      </c>
    </row>
    <row r="9" spans="1:6" ht="19" customHeight="1">
      <c r="A9" s="55" t="s">
        <v>1014</v>
      </c>
      <c r="B9" s="55">
        <v>5</v>
      </c>
      <c r="C9" s="56" t="s">
        <v>129</v>
      </c>
      <c r="D9" s="57" t="s">
        <v>1113</v>
      </c>
      <c r="E9" s="58"/>
      <c r="F9" s="55" t="s">
        <v>1113</v>
      </c>
    </row>
    <row r="10" spans="1:6" ht="94" customHeight="1">
      <c r="A10" s="55" t="s">
        <v>1014</v>
      </c>
      <c r="B10" s="55">
        <v>6</v>
      </c>
      <c r="C10" s="56" t="s">
        <v>1179</v>
      </c>
      <c r="D10" s="57" t="s">
        <v>1141</v>
      </c>
      <c r="E10" s="58" t="s">
        <v>1180</v>
      </c>
      <c r="F10" s="55" t="s">
        <v>1141</v>
      </c>
    </row>
    <row r="11" spans="1:6" ht="49" customHeight="1">
      <c r="A11" s="55" t="s">
        <v>1014</v>
      </c>
      <c r="B11" s="55">
        <v>7</v>
      </c>
      <c r="C11" s="56" t="s">
        <v>1181</v>
      </c>
      <c r="D11" s="57" t="s">
        <v>1143</v>
      </c>
      <c r="E11" s="58" t="s">
        <v>1182</v>
      </c>
      <c r="F11" s="55" t="s">
        <v>1143</v>
      </c>
    </row>
    <row r="12" spans="1:6" ht="19" customHeight="1">
      <c r="A12" s="55" t="s">
        <v>1017</v>
      </c>
      <c r="B12" s="55">
        <v>1</v>
      </c>
      <c r="C12" s="56" t="s">
        <v>1183</v>
      </c>
      <c r="D12" s="57" t="s">
        <v>1089</v>
      </c>
      <c r="E12" s="58" t="s">
        <v>1184</v>
      </c>
      <c r="F12" s="55" t="s">
        <v>1089</v>
      </c>
    </row>
    <row r="13" spans="1:6" ht="19" customHeight="1">
      <c r="A13" s="55" t="s">
        <v>1017</v>
      </c>
      <c r="B13" s="55">
        <v>2</v>
      </c>
      <c r="C13" s="56" t="s">
        <v>1080</v>
      </c>
      <c r="D13" s="57" t="s">
        <v>1130</v>
      </c>
      <c r="E13" s="58" t="s">
        <v>1185</v>
      </c>
      <c r="F13" s="55" t="s">
        <v>1130</v>
      </c>
    </row>
    <row r="14" spans="1:6" ht="19" customHeight="1">
      <c r="A14" s="55" t="s">
        <v>1017</v>
      </c>
      <c r="B14" s="55">
        <v>3</v>
      </c>
      <c r="C14" s="56" t="s">
        <v>128</v>
      </c>
      <c r="D14" s="57" t="s">
        <v>1186</v>
      </c>
      <c r="E14" s="58" t="s">
        <v>1187</v>
      </c>
      <c r="F14" s="55" t="s">
        <v>1188</v>
      </c>
    </row>
    <row r="15" spans="1:6" ht="19" customHeight="1">
      <c r="A15" s="55" t="s">
        <v>1017</v>
      </c>
      <c r="B15" s="55">
        <v>4</v>
      </c>
      <c r="C15" s="56" t="s">
        <v>1189</v>
      </c>
      <c r="D15" s="57" t="s">
        <v>1190</v>
      </c>
      <c r="E15" s="58" t="s">
        <v>1191</v>
      </c>
      <c r="F15" s="55" t="s">
        <v>1190</v>
      </c>
    </row>
    <row r="16" spans="1:6" ht="49" customHeight="1">
      <c r="A16" s="55" t="s">
        <v>1017</v>
      </c>
      <c r="B16" s="55">
        <v>5</v>
      </c>
      <c r="C16" s="56" t="s">
        <v>129</v>
      </c>
      <c r="D16" s="57" t="s">
        <v>1192</v>
      </c>
      <c r="E16" s="58" t="s">
        <v>1193</v>
      </c>
      <c r="F16" s="55" t="s">
        <v>1192</v>
      </c>
    </row>
    <row r="17" spans="1:6" ht="19" customHeight="1">
      <c r="A17" s="55" t="s">
        <v>1017</v>
      </c>
      <c r="B17" s="55">
        <v>6</v>
      </c>
      <c r="C17" s="56" t="s">
        <v>1179</v>
      </c>
      <c r="D17" s="57" t="s">
        <v>1194</v>
      </c>
      <c r="E17" s="58"/>
      <c r="F17" s="55" t="s">
        <v>1194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Zustaendigkeiten">
    <tabColor rgb="FF0F94A7"/>
    <outlinePr summaryBelow="0"/>
  </sheetPr>
  <dimension ref="A1:AO19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3.28515625" customWidth="1"/>
    <col min="8" max="8" width="12.7109375" customWidth="1"/>
    <col min="9" max="38" width="4.28515625" customWidth="1"/>
    <col min="39" max="40" width="40.7109375" hidden="1" customWidth="1"/>
    <col min="41" max="41" width="6.7109375" hidden="1" customWidth="1"/>
  </cols>
  <sheetData>
    <row r="1" spans="1:41">
      <c r="A1" s="13" t="s">
        <v>677</v>
      </c>
    </row>
    <row r="2" spans="1:41">
      <c r="A2" s="8">
        <f>IF(ZuordnungOffen=1,"Bearbeiten aktiv: Klick in ein Personenfeld setzt oder entfernt den Punkt, Klick auf ja/nein schaltet die Pflicht, Klick auf den Zyklus wechselt ihn.  „Fertig · sperren“ schließt die Bearbeitung.","Gesperrt. Zum Ändern „Zuständigkeiten bearbeiten“ klicken.  Die Gliederung (+/− links) klappt Themen auf und zu.")</f>
        <v>0</v>
      </c>
    </row>
    <row r="3" spans="1:41">
      <c r="A3" s="8" t="s">
        <v>678</v>
      </c>
    </row>
    <row r="4" spans="1:41" ht="96" customHeight="1">
      <c r="A4" s="9" t="s">
        <v>679</v>
      </c>
      <c r="B4" s="9" t="s">
        <v>680</v>
      </c>
      <c r="C4" s="9" t="s">
        <v>681</v>
      </c>
      <c r="D4" s="9" t="s">
        <v>682</v>
      </c>
      <c r="E4" s="9" t="s">
        <v>683</v>
      </c>
      <c r="F4" s="9" t="s">
        <v>684</v>
      </c>
      <c r="G4" s="9" t="s">
        <v>685</v>
      </c>
      <c r="H4" s="9" t="s">
        <v>686</v>
      </c>
      <c r="I4" s="59" t="str">
        <f>IF(Konfiguration!$B$28="","",Konfiguration!$B$28)</f>
        <v>Amend</v>
      </c>
      <c r="J4" s="59" t="str">
        <f>IF(Konfiguration!$B$29="","",Konfiguration!$B$29)</f>
        <v>Bauer</v>
      </c>
      <c r="K4" s="59" t="str">
        <f>IF(Konfiguration!$B$30="","",Konfiguration!$B$30)</f>
        <v>Beizerov</v>
      </c>
      <c r="L4" s="59" t="str">
        <f>IF(Konfiguration!$B$31="","",Konfiguration!$B$31)</f>
        <v>Brückner</v>
      </c>
      <c r="M4" s="59" t="str">
        <f>IF(Konfiguration!$B$32="","",Konfiguration!$B$32)</f>
        <v>Buchkremer</v>
      </c>
      <c r="N4" s="59" t="str">
        <f>IF(Konfiguration!$B$33="","",Konfiguration!$B$33)</f>
        <v>Burnik</v>
      </c>
      <c r="O4" s="59" t="str">
        <f>IF(Konfiguration!$B$34="","",Konfiguration!$B$34)</f>
        <v>Förster</v>
      </c>
      <c r="P4" s="59" t="str">
        <f>IF(Konfiguration!$B$35="","",Konfiguration!$B$35)</f>
        <v>Freytag</v>
      </c>
      <c r="Q4" s="59" t="str">
        <f>IF(Konfiguration!$B$36="","",Konfiguration!$B$36)</f>
        <v>Fröhlich</v>
      </c>
      <c r="R4" s="59" t="str">
        <f>IF(Konfiguration!$B$37="","",Konfiguration!$B$37)</f>
        <v>Göddertz</v>
      </c>
      <c r="S4" s="59" t="str">
        <f>IF(Konfiguration!$B$38="","",Konfiguration!$B$38)</f>
        <v>Greß</v>
      </c>
      <c r="T4" s="59" t="str">
        <f>IF(Konfiguration!$B$39="","",Konfiguration!$B$39)</f>
        <v>Gress</v>
      </c>
      <c r="U4" s="59" t="str">
        <f>IF(Konfiguration!$B$40="","",Konfiguration!$B$40)</f>
        <v>Kinnert</v>
      </c>
      <c r="V4" s="59" t="str">
        <f>IF(Konfiguration!$B$41="","",Konfiguration!$B$41)</f>
        <v>Kirsten</v>
      </c>
      <c r="W4" s="59" t="str">
        <f>IF(Konfiguration!$B$42="","",Konfiguration!$B$42)</f>
        <v>Kneissler</v>
      </c>
      <c r="X4" s="59" t="str">
        <f>IF(Konfiguration!$B$43="","",Konfiguration!$B$43)</f>
        <v>Köster</v>
      </c>
      <c r="Y4" s="59" t="str">
        <f>IF(Konfiguration!$B$44="","",Konfiguration!$B$44)</f>
        <v>Kraus</v>
      </c>
      <c r="Z4" s="59" t="str">
        <f>IF(Konfiguration!$B$45="","",Konfiguration!$B$45)</f>
        <v>Kyriakidis</v>
      </c>
      <c r="AA4" s="59" t="str">
        <f>IF(Konfiguration!$B$46="","",Konfiguration!$B$46)</f>
        <v>Lürken</v>
      </c>
      <c r="AB4" s="59" t="str">
        <f>IF(Konfiguration!$B$47="","",Konfiguration!$B$47)</f>
        <v>Mey</v>
      </c>
      <c r="AC4" s="59" t="str">
        <f>IF(Konfiguration!$B$48="","",Konfiguration!$B$48)</f>
        <v>Müßigbrodt</v>
      </c>
      <c r="AD4" s="59" t="str">
        <f>IF(Konfiguration!$B$49="","",Konfiguration!$B$49)</f>
        <v>Richartz</v>
      </c>
      <c r="AE4" s="59" t="str">
        <f>IF(Konfiguration!$B$50="","",Konfiguration!$B$50)</f>
        <v>Schneider</v>
      </c>
      <c r="AF4" s="59" t="str">
        <f>IF(Konfiguration!$B$51="","",Konfiguration!$B$51)</f>
        <v>Streich</v>
      </c>
      <c r="AG4" s="59" t="str">
        <f>IF(Konfiguration!$B$52="","",Konfiguration!$B$52)</f>
        <v>Westrich</v>
      </c>
      <c r="AH4" s="59" t="str">
        <f>IF(Konfiguration!$B$53="","",Konfiguration!$B$53)</f>
        <v>Wielpütz</v>
      </c>
      <c r="AI4" s="59" t="str">
        <f>IF(Konfiguration!$B$54="","",Konfiguration!$B$54)</f>
        <v>Zeitz</v>
      </c>
      <c r="AJ4" s="59">
        <f>IF(Konfiguration!$B$55="","",Konfiguration!$B$55)</f>
        <v/>
      </c>
      <c r="AK4" s="59">
        <f>IF(Konfiguration!$B$56="","",Konfiguration!$B$56)</f>
        <v/>
      </c>
      <c r="AL4" s="59">
        <f>IF(Konfiguration!$B$57="","",Konfiguration!$B$57)</f>
        <v/>
      </c>
      <c r="AM4" s="9" t="s">
        <v>687</v>
      </c>
      <c r="AN4" s="9" t="s">
        <v>688</v>
      </c>
      <c r="AO4" s="9" t="s">
        <v>689</v>
      </c>
    </row>
    <row r="5" spans="1:41" ht="22" customHeight="1" collapsed="1">
      <c r="A5" s="60" t="s">
        <v>690</v>
      </c>
      <c r="B5" s="60"/>
      <c r="C5" s="60"/>
      <c r="D5" s="60"/>
      <c r="E5" s="60"/>
      <c r="F5" s="60"/>
      <c r="G5" s="60"/>
      <c r="H5" s="60"/>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O5" t="s">
        <v>691</v>
      </c>
    </row>
    <row r="6" spans="1:41" ht="18" hidden="1" customHeight="1" outlineLevel="1">
      <c r="A6" s="62"/>
      <c r="B6" s="62" t="s">
        <v>693</v>
      </c>
      <c r="C6" s="63" t="s">
        <v>694</v>
      </c>
      <c r="D6" s="63"/>
      <c r="E6" s="63"/>
      <c r="F6" s="63"/>
      <c r="G6" s="63"/>
      <c r="H6" s="63"/>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O6" t="s">
        <v>692</v>
      </c>
    </row>
    <row r="7" spans="1:41" ht="18" hidden="1" customHeight="1" outlineLevel="2">
      <c r="A7" s="65">
        <f>ROW(Rohdaten!$A$4)</f>
        <v>4</v>
      </c>
      <c r="B7" s="66">
        <f>IF(Rohdaten!$A$4="","",Rohdaten!$A$4)</f>
        <v/>
      </c>
      <c r="C7" s="67" t="s">
        <v>696</v>
      </c>
      <c r="D7" s="68" t="str">
        <f>IF(Rohdaten!$E$4="","",Rohdaten!$E$4)</f>
        <v>Förster / Greß</v>
      </c>
      <c r="E7" s="69" t="str">
        <f t="array" ref="E7">_xlfn.TEXTJOIN(" / ",TRUE,IF($I7:$AL7="●",$I$4:$AL$4,""))</f>
        <v>Förster / Greß</v>
      </c>
      <c r="F7" s="70" t="s">
        <v>697</v>
      </c>
      <c r="G7" s="71" t="s">
        <v>698</v>
      </c>
      <c r="H7" s="72" t="str">
        <f>IF($F7="automatisch",IF(ISNA(MATCH(Stichtag,RD_Kopf,0)),"automatisch",IF(SUMPRODUCT((RD_Kopf&gt;=IF($G7="monatlich",DATE(YEAR(Stichtag),MONTH(Stichtag),1),IF($G7="quartalsweise",DATE(YEAR(Stichtag),INT((MONTH(Stichtag)-1)/3)*3+1,1),Stichtag)))*(RD_Kopf&lt;=Stichtag)*ISNUMBER(Rohdaten!$A$4:$LJ$4))&gt;0,"erledigt","automatisch")),IF($F7&lt;&gt;"ja","nicht berichtet",IF(ISNA(MATCH(Stichtag,RD_Kopf,0)),"keine Spalte",IF(SUMPRODUCT((RD_Kopf&gt;=IF($G7="monatlich",DATE(YEAR(Stichtag),MONTH(Stichtag),1),IF($G7="quartalsweise",DATE(YEAR(Stichtag),INT((MONTH(Stichtag)-1)/3)*3+1,1),Stichtag)))*(RD_Kopf&lt;=Stichtag)*ISNUMBER(Rohdaten!$A$4:$LJ$4))&gt;0,"erledigt","offen"))))</f>
        <v>nicht berichtet</v>
      </c>
      <c r="I7" s="73"/>
      <c r="J7" s="73"/>
      <c r="K7" s="73"/>
      <c r="L7" s="73"/>
      <c r="M7" s="73"/>
      <c r="N7" s="73"/>
      <c r="O7" s="73" t="s">
        <v>700</v>
      </c>
      <c r="P7" s="73"/>
      <c r="Q7" s="73"/>
      <c r="R7" s="73"/>
      <c r="S7" s="73" t="s">
        <v>700</v>
      </c>
      <c r="T7" s="73"/>
      <c r="U7" s="73"/>
      <c r="V7" s="73"/>
      <c r="W7" s="73"/>
      <c r="X7" s="73"/>
      <c r="Y7" s="73"/>
      <c r="Z7" s="73"/>
      <c r="AA7" s="73"/>
      <c r="AB7" s="73"/>
      <c r="AC7" s="73"/>
      <c r="AD7" s="73"/>
      <c r="AE7" s="73"/>
      <c r="AF7" s="73"/>
      <c r="AG7" s="73"/>
      <c r="AH7" s="73"/>
      <c r="AI7" s="73"/>
      <c r="AJ7" s="73"/>
      <c r="AK7" s="73"/>
      <c r="AL7" s="73"/>
      <c r="AM7" t="s">
        <v>699</v>
      </c>
      <c r="AN7" t="s">
        <v>693</v>
      </c>
      <c r="AO7" t="s">
        <v>695</v>
      </c>
    </row>
    <row r="8" spans="1:41" ht="18" hidden="1" customHeight="1" outlineLevel="2">
      <c r="A8" s="65">
        <f>ROW(Rohdaten!$A$5)</f>
        <v>5</v>
      </c>
      <c r="B8" s="66">
        <f>IF(Rohdaten!$A$5="","",Rohdaten!$A$5)</f>
        <v/>
      </c>
      <c r="C8" s="67" t="s">
        <v>701</v>
      </c>
      <c r="D8" s="68" t="str">
        <f>IF(Rohdaten!$E$5="","",Rohdaten!$E$5)</f>
        <v>Streich</v>
      </c>
      <c r="E8" s="69" t="str">
        <f t="array" ref="E8">_xlfn.TEXTJOIN(" / ",TRUE,IF($I8:$AL8="●",$I$4:$AL$4,""))</f>
        <v>Streich</v>
      </c>
      <c r="F8" s="70" t="s">
        <v>697</v>
      </c>
      <c r="G8" s="71" t="s">
        <v>698</v>
      </c>
      <c r="H8" s="72" t="str">
        <f>IF($F8="automatisch",IF(ISNA(MATCH(Stichtag,RD_Kopf,0)),"automatisch",IF(SUMPRODUCT((RD_Kopf&gt;=IF($G8="monatlich",DATE(YEAR(Stichtag),MONTH(Stichtag),1),IF($G8="quartalsweise",DATE(YEAR(Stichtag),INT((MONTH(Stichtag)-1)/3)*3+1,1),Stichtag)))*(RD_Kopf&lt;=Stichtag)*ISNUMBER(Rohdaten!$A$5:$LJ$5))&gt;0,"erledigt","automatisch")),IF($F8&lt;&gt;"ja","nicht berichtet",IF(ISNA(MATCH(Stichtag,RD_Kopf,0)),"keine Spalte",IF(SUMPRODUCT((RD_Kopf&gt;=IF($G8="monatlich",DATE(YEAR(Stichtag),MONTH(Stichtag),1),IF($G8="quartalsweise",DATE(YEAR(Stichtag),INT((MONTH(Stichtag)-1)/3)*3+1,1),Stichtag)))*(RD_Kopf&lt;=Stichtag)*ISNUMBER(Rohdaten!$A$5:$LJ$5))&gt;0,"erledigt","offen"))))</f>
        <v>nicht berichtet</v>
      </c>
      <c r="I8" s="73"/>
      <c r="J8" s="73"/>
      <c r="K8" s="73"/>
      <c r="L8" s="73"/>
      <c r="M8" s="73"/>
      <c r="N8" s="73"/>
      <c r="O8" s="73"/>
      <c r="P8" s="73"/>
      <c r="Q8" s="73"/>
      <c r="R8" s="73"/>
      <c r="S8" s="73"/>
      <c r="T8" s="73"/>
      <c r="U8" s="73"/>
      <c r="V8" s="73"/>
      <c r="W8" s="73"/>
      <c r="X8" s="73"/>
      <c r="Y8" s="73"/>
      <c r="Z8" s="73"/>
      <c r="AA8" s="73"/>
      <c r="AB8" s="73"/>
      <c r="AC8" s="73"/>
      <c r="AD8" s="73"/>
      <c r="AE8" s="73"/>
      <c r="AF8" s="73" t="s">
        <v>700</v>
      </c>
      <c r="AG8" s="73"/>
      <c r="AH8" s="73"/>
      <c r="AI8" s="73"/>
      <c r="AJ8" s="73"/>
      <c r="AK8" s="73"/>
      <c r="AL8" s="73"/>
      <c r="AM8" t="s">
        <v>702</v>
      </c>
      <c r="AN8" t="s">
        <v>693</v>
      </c>
      <c r="AO8" t="s">
        <v>695</v>
      </c>
    </row>
    <row r="9" spans="1:41" ht="18" hidden="1" customHeight="1" outlineLevel="2">
      <c r="A9" s="65">
        <f>ROW(Rohdaten!$A$6)</f>
        <v>6</v>
      </c>
      <c r="B9" s="66">
        <f>IF(Rohdaten!$A$6="","",Rohdaten!$A$6)</f>
        <v/>
      </c>
      <c r="C9" s="67" t="s">
        <v>703</v>
      </c>
      <c r="D9" s="68" t="str">
        <f>IF(Rohdaten!$E$6="","",Rohdaten!$E$6)</f>
        <v>Gress</v>
      </c>
      <c r="E9" s="69" t="str">
        <f t="array" ref="E9">_xlfn.TEXTJOIN(" / ",TRUE,IF($I9:$AL9="●",$I$4:$AL$4,""))</f>
        <v>Gress</v>
      </c>
      <c r="F9" s="70" t="s">
        <v>697</v>
      </c>
      <c r="G9" s="71" t="s">
        <v>698</v>
      </c>
      <c r="H9" s="72" t="str">
        <f>IF($F9="automatisch",IF(ISNA(MATCH(Stichtag,RD_Kopf,0)),"automatisch",IF(SUMPRODUCT((RD_Kopf&gt;=IF($G9="monatlich",DATE(YEAR(Stichtag),MONTH(Stichtag),1),IF($G9="quartalsweise",DATE(YEAR(Stichtag),INT((MONTH(Stichtag)-1)/3)*3+1,1),Stichtag)))*(RD_Kopf&lt;=Stichtag)*ISNUMBER(Rohdaten!$A$6:$LJ$6))&gt;0,"erledigt","automatisch")),IF($F9&lt;&gt;"ja","nicht berichtet",IF(ISNA(MATCH(Stichtag,RD_Kopf,0)),"keine Spalte",IF(SUMPRODUCT((RD_Kopf&gt;=IF($G9="monatlich",DATE(YEAR(Stichtag),MONTH(Stichtag),1),IF($G9="quartalsweise",DATE(YEAR(Stichtag),INT((MONTH(Stichtag)-1)/3)*3+1,1),Stichtag)))*(RD_Kopf&lt;=Stichtag)*ISNUMBER(Rohdaten!$A$6:$LJ$6))&gt;0,"erledigt","offen"))))</f>
        <v>nicht berichtet</v>
      </c>
      <c r="I9" s="73"/>
      <c r="J9" s="73"/>
      <c r="K9" s="73"/>
      <c r="L9" s="73"/>
      <c r="M9" s="73"/>
      <c r="N9" s="73"/>
      <c r="O9" s="73"/>
      <c r="P9" s="73"/>
      <c r="Q9" s="73"/>
      <c r="R9" s="73"/>
      <c r="S9" s="73"/>
      <c r="T9" s="73" t="s">
        <v>700</v>
      </c>
      <c r="U9" s="73"/>
      <c r="V9" s="73"/>
      <c r="W9" s="73"/>
      <c r="X9" s="73"/>
      <c r="Y9" s="73"/>
      <c r="Z9" s="73"/>
      <c r="AA9" s="73"/>
      <c r="AB9" s="73"/>
      <c r="AC9" s="73"/>
      <c r="AD9" s="73"/>
      <c r="AE9" s="73"/>
      <c r="AF9" s="73"/>
      <c r="AG9" s="73"/>
      <c r="AH9" s="73"/>
      <c r="AI9" s="73"/>
      <c r="AJ9" s="73"/>
      <c r="AK9" s="73"/>
      <c r="AL9" s="73"/>
      <c r="AM9" t="s">
        <v>704</v>
      </c>
      <c r="AN9" t="s">
        <v>693</v>
      </c>
      <c r="AO9" t="s">
        <v>695</v>
      </c>
    </row>
    <row r="10" spans="1:41" ht="18" hidden="1" customHeight="1" outlineLevel="2">
      <c r="A10" s="65">
        <f>ROW(Rohdaten!$A$7)</f>
        <v>7</v>
      </c>
      <c r="B10" s="66">
        <f>IF(Rohdaten!$A$7="","",Rohdaten!$A$7)</f>
        <v/>
      </c>
      <c r="C10" s="67" t="s">
        <v>705</v>
      </c>
      <c r="D10" s="68" t="str">
        <f>IF(Rohdaten!$E$7="","",Rohdaten!$E$7)</f>
        <v>Schneider</v>
      </c>
      <c r="E10" s="69" t="str">
        <f t="array" ref="E10">_xlfn.TEXTJOIN(" / ",TRUE,IF($I10:$AL10="●",$I$4:$AL$4,""))</f>
        <v>Schneider</v>
      </c>
      <c r="F10" s="70" t="s">
        <v>697</v>
      </c>
      <c r="G10" s="71" t="s">
        <v>698</v>
      </c>
      <c r="H10" s="72" t="str">
        <f>IF($F10="automatisch",IF(ISNA(MATCH(Stichtag,RD_Kopf,0)),"automatisch",IF(SUMPRODUCT((RD_Kopf&gt;=IF($G10="monatlich",DATE(YEAR(Stichtag),MONTH(Stichtag),1),IF($G10="quartalsweise",DATE(YEAR(Stichtag),INT((MONTH(Stichtag)-1)/3)*3+1,1),Stichtag)))*(RD_Kopf&lt;=Stichtag)*ISNUMBER(Rohdaten!$A$7:$LJ$7))&gt;0,"erledigt","automatisch")),IF($F10&lt;&gt;"ja","nicht berichtet",IF(ISNA(MATCH(Stichtag,RD_Kopf,0)),"keine Spalte",IF(SUMPRODUCT((RD_Kopf&gt;=IF($G10="monatlich",DATE(YEAR(Stichtag),MONTH(Stichtag),1),IF($G10="quartalsweise",DATE(YEAR(Stichtag),INT((MONTH(Stichtag)-1)/3)*3+1,1),Stichtag)))*(RD_Kopf&lt;=Stichtag)*ISNUMBER(Rohdaten!$A$7:$LJ$7))&gt;0,"erledigt","offen"))))</f>
        <v>nicht berichtet</v>
      </c>
      <c r="I10" s="73"/>
      <c r="J10" s="73"/>
      <c r="K10" s="73"/>
      <c r="L10" s="73"/>
      <c r="M10" s="73"/>
      <c r="N10" s="73"/>
      <c r="O10" s="73"/>
      <c r="P10" s="73"/>
      <c r="Q10" s="73"/>
      <c r="R10" s="73"/>
      <c r="S10" s="73"/>
      <c r="T10" s="73"/>
      <c r="U10" s="73"/>
      <c r="V10" s="73"/>
      <c r="W10" s="73"/>
      <c r="X10" s="73"/>
      <c r="Y10" s="73"/>
      <c r="Z10" s="73"/>
      <c r="AA10" s="73"/>
      <c r="AB10" s="73"/>
      <c r="AC10" s="73"/>
      <c r="AD10" s="73"/>
      <c r="AE10" s="73" t="s">
        <v>700</v>
      </c>
      <c r="AF10" s="73"/>
      <c r="AG10" s="73"/>
      <c r="AH10" s="73"/>
      <c r="AI10" s="73"/>
      <c r="AJ10" s="73"/>
      <c r="AK10" s="73"/>
      <c r="AL10" s="73"/>
      <c r="AM10" t="s">
        <v>706</v>
      </c>
      <c r="AN10" t="s">
        <v>693</v>
      </c>
      <c r="AO10" t="s">
        <v>695</v>
      </c>
    </row>
    <row r="11" spans="1:41" ht="18" hidden="1" customHeight="1" outlineLevel="2">
      <c r="A11" s="65">
        <f>ROW(Rohdaten!$A$8)</f>
        <v>8</v>
      </c>
      <c r="B11" s="66">
        <f>IF(Rohdaten!$A$8="","",Rohdaten!$A$8)</f>
        <v/>
      </c>
      <c r="C11" s="67" t="s">
        <v>707</v>
      </c>
      <c r="D11" s="68" t="str">
        <f>IF(Rohdaten!$E$8="","",Rohdaten!$E$8)</f>
        <v>Lürken</v>
      </c>
      <c r="E11" s="69" t="str">
        <f t="array" ref="E11">_xlfn.TEXTJOIN(" / ",TRUE,IF($I11:$AL11="●",$I$4:$AL$4,""))</f>
        <v>Lürken</v>
      </c>
      <c r="F11" s="70" t="s">
        <v>697</v>
      </c>
      <c r="G11" s="71" t="s">
        <v>698</v>
      </c>
      <c r="H11" s="72" t="str">
        <f>IF($F11="automatisch",IF(ISNA(MATCH(Stichtag,RD_Kopf,0)),"automatisch",IF(SUMPRODUCT((RD_Kopf&gt;=IF($G11="monatlich",DATE(YEAR(Stichtag),MONTH(Stichtag),1),IF($G11="quartalsweise",DATE(YEAR(Stichtag),INT((MONTH(Stichtag)-1)/3)*3+1,1),Stichtag)))*(RD_Kopf&lt;=Stichtag)*ISNUMBER(Rohdaten!$A$8:$LJ$8))&gt;0,"erledigt","automatisch")),IF($F11&lt;&gt;"ja","nicht berichtet",IF(ISNA(MATCH(Stichtag,RD_Kopf,0)),"keine Spalte",IF(SUMPRODUCT((RD_Kopf&gt;=IF($G11="monatlich",DATE(YEAR(Stichtag),MONTH(Stichtag),1),IF($G11="quartalsweise",DATE(YEAR(Stichtag),INT((MONTH(Stichtag)-1)/3)*3+1,1),Stichtag)))*(RD_Kopf&lt;=Stichtag)*ISNUMBER(Rohdaten!$A$8:$LJ$8))&gt;0,"erledigt","offen"))))</f>
        <v>nicht berichtet</v>
      </c>
      <c r="I11" s="73"/>
      <c r="J11" s="73"/>
      <c r="K11" s="73"/>
      <c r="L11" s="73"/>
      <c r="M11" s="73"/>
      <c r="N11" s="73"/>
      <c r="O11" s="73"/>
      <c r="P11" s="73"/>
      <c r="Q11" s="73"/>
      <c r="R11" s="73"/>
      <c r="S11" s="73"/>
      <c r="T11" s="73"/>
      <c r="U11" s="73"/>
      <c r="V11" s="73"/>
      <c r="W11" s="73"/>
      <c r="X11" s="73"/>
      <c r="Y11" s="73"/>
      <c r="Z11" s="73"/>
      <c r="AA11" s="73" t="s">
        <v>700</v>
      </c>
      <c r="AB11" s="73"/>
      <c r="AC11" s="73"/>
      <c r="AD11" s="73"/>
      <c r="AE11" s="73"/>
      <c r="AF11" s="73"/>
      <c r="AG11" s="73"/>
      <c r="AH11" s="73"/>
      <c r="AI11" s="73"/>
      <c r="AJ11" s="73"/>
      <c r="AK11" s="73"/>
      <c r="AL11" s="73"/>
      <c r="AM11" t="s">
        <v>708</v>
      </c>
      <c r="AN11" t="s">
        <v>693</v>
      </c>
      <c r="AO11" t="s">
        <v>695</v>
      </c>
    </row>
    <row r="12" spans="1:41" ht="18" hidden="1" customHeight="1" outlineLevel="2">
      <c r="A12" s="65">
        <f>ROW(Rohdaten!$A$9)</f>
        <v>9</v>
      </c>
      <c r="B12" s="66">
        <f>IF(Rohdaten!$A$9="","",Rohdaten!$A$9)</f>
        <v/>
      </c>
      <c r="C12" s="67" t="s">
        <v>709</v>
      </c>
      <c r="D12" s="68" t="str">
        <f>IF(Rohdaten!$E$9="","",Rohdaten!$E$9)</f>
        <v>Kraus</v>
      </c>
      <c r="E12" s="69" t="str">
        <f t="array" ref="E12">_xlfn.TEXTJOIN(" / ",TRUE,IF($I12:$AL12="●",$I$4:$AL$4,""))</f>
        <v>Kraus</v>
      </c>
      <c r="F12" s="70" t="s">
        <v>697</v>
      </c>
      <c r="G12" s="71" t="s">
        <v>698</v>
      </c>
      <c r="H12" s="72" t="str">
        <f>IF($F12="automatisch",IF(ISNA(MATCH(Stichtag,RD_Kopf,0)),"automatisch",IF(SUMPRODUCT((RD_Kopf&gt;=IF($G12="monatlich",DATE(YEAR(Stichtag),MONTH(Stichtag),1),IF($G12="quartalsweise",DATE(YEAR(Stichtag),INT((MONTH(Stichtag)-1)/3)*3+1,1),Stichtag)))*(RD_Kopf&lt;=Stichtag)*ISNUMBER(Rohdaten!$A$9:$LJ$9))&gt;0,"erledigt","automatisch")),IF($F12&lt;&gt;"ja","nicht berichtet",IF(ISNA(MATCH(Stichtag,RD_Kopf,0)),"keine Spalte",IF(SUMPRODUCT((RD_Kopf&gt;=IF($G12="monatlich",DATE(YEAR(Stichtag),MONTH(Stichtag),1),IF($G12="quartalsweise",DATE(YEAR(Stichtag),INT((MONTH(Stichtag)-1)/3)*3+1,1),Stichtag)))*(RD_Kopf&lt;=Stichtag)*ISNUMBER(Rohdaten!$A$9:$LJ$9))&gt;0,"erledigt","offen"))))</f>
        <v>nicht berichtet</v>
      </c>
      <c r="I12" s="73"/>
      <c r="J12" s="73"/>
      <c r="K12" s="73"/>
      <c r="L12" s="73"/>
      <c r="M12" s="73"/>
      <c r="N12" s="73"/>
      <c r="O12" s="73"/>
      <c r="P12" s="73"/>
      <c r="Q12" s="73"/>
      <c r="R12" s="73"/>
      <c r="S12" s="73"/>
      <c r="T12" s="73"/>
      <c r="U12" s="73"/>
      <c r="V12" s="73"/>
      <c r="W12" s="73"/>
      <c r="X12" s="73"/>
      <c r="Y12" s="73" t="s">
        <v>700</v>
      </c>
      <c r="Z12" s="73"/>
      <c r="AA12" s="73"/>
      <c r="AB12" s="73"/>
      <c r="AC12" s="73"/>
      <c r="AD12" s="73"/>
      <c r="AE12" s="73"/>
      <c r="AF12" s="73"/>
      <c r="AG12" s="73"/>
      <c r="AH12" s="73"/>
      <c r="AI12" s="73"/>
      <c r="AJ12" s="73"/>
      <c r="AK12" s="73"/>
      <c r="AL12" s="73"/>
      <c r="AM12" t="s">
        <v>710</v>
      </c>
      <c r="AN12" t="s">
        <v>693</v>
      </c>
      <c r="AO12" t="s">
        <v>695</v>
      </c>
    </row>
    <row r="13" spans="1:41" ht="18" hidden="1" customHeight="1" outlineLevel="2">
      <c r="A13" s="65">
        <f>ROW(Rohdaten!$A$10)</f>
        <v>10</v>
      </c>
      <c r="B13" s="66">
        <f>IF(Rohdaten!$A$10="","",Rohdaten!$A$10)</f>
        <v/>
      </c>
      <c r="C13" s="67" t="s">
        <v>711</v>
      </c>
      <c r="D13" s="68" t="str">
        <f>IF(Rohdaten!$E$10="","",Rohdaten!$E$10)</f>
        <v>Westrich</v>
      </c>
      <c r="E13" s="69" t="str">
        <f t="array" ref="E13">_xlfn.TEXTJOIN(" / ",TRUE,IF($I13:$AL13="●",$I$4:$AL$4,""))</f>
        <v>Westrich</v>
      </c>
      <c r="F13" s="70" t="s">
        <v>697</v>
      </c>
      <c r="G13" s="71" t="s">
        <v>698</v>
      </c>
      <c r="H13" s="72" t="str">
        <f>IF($F13="automatisch",IF(ISNA(MATCH(Stichtag,RD_Kopf,0)),"automatisch",IF(SUMPRODUCT((RD_Kopf&gt;=IF($G13="monatlich",DATE(YEAR(Stichtag),MONTH(Stichtag),1),IF($G13="quartalsweise",DATE(YEAR(Stichtag),INT((MONTH(Stichtag)-1)/3)*3+1,1),Stichtag)))*(RD_Kopf&lt;=Stichtag)*ISNUMBER(Rohdaten!$A$10:$LJ$10))&gt;0,"erledigt","automatisch")),IF($F13&lt;&gt;"ja","nicht berichtet",IF(ISNA(MATCH(Stichtag,RD_Kopf,0)),"keine Spalte",IF(SUMPRODUCT((RD_Kopf&gt;=IF($G13="monatlich",DATE(YEAR(Stichtag),MONTH(Stichtag),1),IF($G13="quartalsweise",DATE(YEAR(Stichtag),INT((MONTH(Stichtag)-1)/3)*3+1,1),Stichtag)))*(RD_Kopf&lt;=Stichtag)*ISNUMBER(Rohdaten!$A$10:$LJ$10))&gt;0,"erledigt","offen"))))</f>
        <v>nicht berichtet</v>
      </c>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t="s">
        <v>700</v>
      </c>
      <c r="AH13" s="73"/>
      <c r="AI13" s="73"/>
      <c r="AJ13" s="73"/>
      <c r="AK13" s="73"/>
      <c r="AL13" s="73"/>
      <c r="AM13" t="s">
        <v>712</v>
      </c>
      <c r="AN13" t="s">
        <v>693</v>
      </c>
      <c r="AO13" t="s">
        <v>695</v>
      </c>
    </row>
    <row r="14" spans="1:41" ht="18" hidden="1" customHeight="1" outlineLevel="1">
      <c r="A14" s="62"/>
      <c r="B14" s="62" t="s">
        <v>713</v>
      </c>
      <c r="C14" s="63" t="s">
        <v>714</v>
      </c>
      <c r="D14" s="63"/>
      <c r="E14" s="63"/>
      <c r="F14" s="63"/>
      <c r="G14" s="63"/>
      <c r="H14" s="63"/>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O14" t="s">
        <v>692</v>
      </c>
    </row>
    <row r="15" spans="1:41" ht="18" hidden="1" customHeight="1" outlineLevel="2">
      <c r="A15" s="65">
        <f>ROW(Rohdaten!$A$15)</f>
        <v>15</v>
      </c>
      <c r="B15" s="66">
        <f>IF(Rohdaten!$A$15="","",Rohdaten!$A$15)</f>
        <v/>
      </c>
      <c r="C15" s="67" t="s">
        <v>696</v>
      </c>
      <c r="D15" s="68" t="str">
        <f>IF(Rohdaten!$E$15="","",Rohdaten!$E$15)</f>
        <v>Förster / Greß</v>
      </c>
      <c r="E15" s="69" t="str">
        <f t="array" ref="E15">_xlfn.TEXTJOIN(" / ",TRUE,IF($I15:$AL15="●",$I$4:$AL$4,""))</f>
        <v>Förster / Greß</v>
      </c>
      <c r="F15" s="70" t="s">
        <v>697</v>
      </c>
      <c r="G15" s="71" t="s">
        <v>698</v>
      </c>
      <c r="H15" s="72" t="str">
        <f>IF($F15="automatisch",IF(ISNA(MATCH(Stichtag,RD_Kopf,0)),"automatisch",IF(SUMPRODUCT((RD_Kopf&gt;=IF($G15="monatlich",DATE(YEAR(Stichtag),MONTH(Stichtag),1),IF($G15="quartalsweise",DATE(YEAR(Stichtag),INT((MONTH(Stichtag)-1)/3)*3+1,1),Stichtag)))*(RD_Kopf&lt;=Stichtag)*ISNUMBER(Rohdaten!$A$15:$LJ$15))&gt;0,"erledigt","automatisch")),IF($F15&lt;&gt;"ja","nicht berichtet",IF(ISNA(MATCH(Stichtag,RD_Kopf,0)),"keine Spalte",IF(SUMPRODUCT((RD_Kopf&gt;=IF($G15="monatlich",DATE(YEAR(Stichtag),MONTH(Stichtag),1),IF($G15="quartalsweise",DATE(YEAR(Stichtag),INT((MONTH(Stichtag)-1)/3)*3+1,1),Stichtag)))*(RD_Kopf&lt;=Stichtag)*ISNUMBER(Rohdaten!$A$15:$LJ$15))&gt;0,"erledigt","offen"))))</f>
        <v>nicht berichtet</v>
      </c>
      <c r="I15" s="73"/>
      <c r="J15" s="73"/>
      <c r="K15" s="73"/>
      <c r="L15" s="73"/>
      <c r="M15" s="73"/>
      <c r="N15" s="73"/>
      <c r="O15" s="73" t="s">
        <v>700</v>
      </c>
      <c r="P15" s="73"/>
      <c r="Q15" s="73"/>
      <c r="R15" s="73"/>
      <c r="S15" s="73" t="s">
        <v>700</v>
      </c>
      <c r="T15" s="73"/>
      <c r="U15" s="73"/>
      <c r="V15" s="73"/>
      <c r="W15" s="73"/>
      <c r="X15" s="73"/>
      <c r="Y15" s="73"/>
      <c r="Z15" s="73"/>
      <c r="AA15" s="73"/>
      <c r="AB15" s="73"/>
      <c r="AC15" s="73"/>
      <c r="AD15" s="73"/>
      <c r="AE15" s="73"/>
      <c r="AF15" s="73"/>
      <c r="AG15" s="73"/>
      <c r="AH15" s="73"/>
      <c r="AI15" s="73"/>
      <c r="AJ15" s="73"/>
      <c r="AK15" s="73"/>
      <c r="AL15" s="73"/>
      <c r="AM15" t="s">
        <v>715</v>
      </c>
      <c r="AN15" t="s">
        <v>713</v>
      </c>
      <c r="AO15" t="s">
        <v>695</v>
      </c>
    </row>
    <row r="16" spans="1:41" ht="18" hidden="1" customHeight="1" outlineLevel="2">
      <c r="A16" s="65">
        <f>ROW(Rohdaten!$A$16)</f>
        <v>16</v>
      </c>
      <c r="B16" s="66">
        <f>IF(Rohdaten!$A$16="","",Rohdaten!$A$16)</f>
        <v/>
      </c>
      <c r="C16" s="67" t="s">
        <v>701</v>
      </c>
      <c r="D16" s="68" t="str">
        <f>IF(Rohdaten!$E$16="","",Rohdaten!$E$16)</f>
        <v>Streich</v>
      </c>
      <c r="E16" s="69" t="str">
        <f t="array" ref="E16">_xlfn.TEXTJOIN(" / ",TRUE,IF($I16:$AL16="●",$I$4:$AL$4,""))</f>
        <v>Streich</v>
      </c>
      <c r="F16" s="70" t="s">
        <v>697</v>
      </c>
      <c r="G16" s="71" t="s">
        <v>698</v>
      </c>
      <c r="H16" s="72" t="str">
        <f>IF($F16="automatisch",IF(ISNA(MATCH(Stichtag,RD_Kopf,0)),"automatisch",IF(SUMPRODUCT((RD_Kopf&gt;=IF($G16="monatlich",DATE(YEAR(Stichtag),MONTH(Stichtag),1),IF($G16="quartalsweise",DATE(YEAR(Stichtag),INT((MONTH(Stichtag)-1)/3)*3+1,1),Stichtag)))*(RD_Kopf&lt;=Stichtag)*ISNUMBER(Rohdaten!$A$16:$LJ$16))&gt;0,"erledigt","automatisch")),IF($F16&lt;&gt;"ja","nicht berichtet",IF(ISNA(MATCH(Stichtag,RD_Kopf,0)),"keine Spalte",IF(SUMPRODUCT((RD_Kopf&gt;=IF($G16="monatlich",DATE(YEAR(Stichtag),MONTH(Stichtag),1),IF($G16="quartalsweise",DATE(YEAR(Stichtag),INT((MONTH(Stichtag)-1)/3)*3+1,1),Stichtag)))*(RD_Kopf&lt;=Stichtag)*ISNUMBER(Rohdaten!$A$16:$LJ$16))&gt;0,"erledigt","offen"))))</f>
        <v>nicht berichtet</v>
      </c>
      <c r="I16" s="73"/>
      <c r="J16" s="73"/>
      <c r="K16" s="73"/>
      <c r="L16" s="73"/>
      <c r="M16" s="73"/>
      <c r="N16" s="73"/>
      <c r="O16" s="73"/>
      <c r="P16" s="73"/>
      <c r="Q16" s="73"/>
      <c r="R16" s="73"/>
      <c r="S16" s="73"/>
      <c r="T16" s="73"/>
      <c r="U16" s="73"/>
      <c r="V16" s="73"/>
      <c r="W16" s="73"/>
      <c r="X16" s="73"/>
      <c r="Y16" s="73"/>
      <c r="Z16" s="73"/>
      <c r="AA16" s="73"/>
      <c r="AB16" s="73"/>
      <c r="AC16" s="73"/>
      <c r="AD16" s="73"/>
      <c r="AE16" s="73"/>
      <c r="AF16" s="73" t="s">
        <v>700</v>
      </c>
      <c r="AG16" s="73"/>
      <c r="AH16" s="73"/>
      <c r="AI16" s="73"/>
      <c r="AJ16" s="73"/>
      <c r="AK16" s="73"/>
      <c r="AL16" s="73"/>
      <c r="AM16" t="s">
        <v>716</v>
      </c>
      <c r="AN16" t="s">
        <v>713</v>
      </c>
      <c r="AO16" t="s">
        <v>695</v>
      </c>
    </row>
    <row r="17" spans="1:41" ht="18" hidden="1" customHeight="1" outlineLevel="2">
      <c r="A17" s="65">
        <f>ROW(Rohdaten!$A$17)</f>
        <v>17</v>
      </c>
      <c r="B17" s="66">
        <f>IF(Rohdaten!$A$17="","",Rohdaten!$A$17)</f>
        <v/>
      </c>
      <c r="C17" s="67" t="s">
        <v>703</v>
      </c>
      <c r="D17" s="68" t="str">
        <f>IF(Rohdaten!$E$17="","",Rohdaten!$E$17)</f>
        <v>Gress</v>
      </c>
      <c r="E17" s="69" t="str">
        <f t="array" ref="E17">_xlfn.TEXTJOIN(" / ",TRUE,IF($I17:$AL17="●",$I$4:$AL$4,""))</f>
        <v>Gress</v>
      </c>
      <c r="F17" s="70" t="s">
        <v>697</v>
      </c>
      <c r="G17" s="71" t="s">
        <v>698</v>
      </c>
      <c r="H17" s="72" t="str">
        <f>IF($F17="automatisch",IF(ISNA(MATCH(Stichtag,RD_Kopf,0)),"automatisch",IF(SUMPRODUCT((RD_Kopf&gt;=IF($G17="monatlich",DATE(YEAR(Stichtag),MONTH(Stichtag),1),IF($G17="quartalsweise",DATE(YEAR(Stichtag),INT((MONTH(Stichtag)-1)/3)*3+1,1),Stichtag)))*(RD_Kopf&lt;=Stichtag)*ISNUMBER(Rohdaten!$A$17:$LJ$17))&gt;0,"erledigt","automatisch")),IF($F17&lt;&gt;"ja","nicht berichtet",IF(ISNA(MATCH(Stichtag,RD_Kopf,0)),"keine Spalte",IF(SUMPRODUCT((RD_Kopf&gt;=IF($G17="monatlich",DATE(YEAR(Stichtag),MONTH(Stichtag),1),IF($G17="quartalsweise",DATE(YEAR(Stichtag),INT((MONTH(Stichtag)-1)/3)*3+1,1),Stichtag)))*(RD_Kopf&lt;=Stichtag)*ISNUMBER(Rohdaten!$A$17:$LJ$17))&gt;0,"erledigt","offen"))))</f>
        <v>nicht berichtet</v>
      </c>
      <c r="I17" s="73"/>
      <c r="J17" s="73"/>
      <c r="K17" s="73"/>
      <c r="L17" s="73"/>
      <c r="M17" s="73"/>
      <c r="N17" s="73"/>
      <c r="O17" s="73"/>
      <c r="P17" s="73"/>
      <c r="Q17" s="73"/>
      <c r="R17" s="73"/>
      <c r="S17" s="73"/>
      <c r="T17" s="73" t="s">
        <v>700</v>
      </c>
      <c r="U17" s="73"/>
      <c r="V17" s="73"/>
      <c r="W17" s="73"/>
      <c r="X17" s="73"/>
      <c r="Y17" s="73"/>
      <c r="Z17" s="73"/>
      <c r="AA17" s="73"/>
      <c r="AB17" s="73"/>
      <c r="AC17" s="73"/>
      <c r="AD17" s="73"/>
      <c r="AE17" s="73"/>
      <c r="AF17" s="73"/>
      <c r="AG17" s="73"/>
      <c r="AH17" s="73"/>
      <c r="AI17" s="73"/>
      <c r="AJ17" s="73"/>
      <c r="AK17" s="73"/>
      <c r="AL17" s="73"/>
      <c r="AM17" t="s">
        <v>717</v>
      </c>
      <c r="AN17" t="s">
        <v>713</v>
      </c>
      <c r="AO17" t="s">
        <v>695</v>
      </c>
    </row>
    <row r="18" spans="1:41" ht="18" hidden="1" customHeight="1" outlineLevel="2">
      <c r="A18" s="65">
        <f>ROW(Rohdaten!$A$18)</f>
        <v>18</v>
      </c>
      <c r="B18" s="66">
        <f>IF(Rohdaten!$A$18="","",Rohdaten!$A$18)</f>
        <v/>
      </c>
      <c r="C18" s="67" t="s">
        <v>705</v>
      </c>
      <c r="D18" s="68" t="str">
        <f>IF(Rohdaten!$E$18="","",Rohdaten!$E$18)</f>
        <v>Schneider</v>
      </c>
      <c r="E18" s="69" t="str">
        <f t="array" ref="E18">_xlfn.TEXTJOIN(" / ",TRUE,IF($I18:$AL18="●",$I$4:$AL$4,""))</f>
        <v>Schneider</v>
      </c>
      <c r="F18" s="70" t="s">
        <v>697</v>
      </c>
      <c r="G18" s="71" t="s">
        <v>698</v>
      </c>
      <c r="H18" s="72" t="str">
        <f>IF($F18="automatisch",IF(ISNA(MATCH(Stichtag,RD_Kopf,0)),"automatisch",IF(SUMPRODUCT((RD_Kopf&gt;=IF($G18="monatlich",DATE(YEAR(Stichtag),MONTH(Stichtag),1),IF($G18="quartalsweise",DATE(YEAR(Stichtag),INT((MONTH(Stichtag)-1)/3)*3+1,1),Stichtag)))*(RD_Kopf&lt;=Stichtag)*ISNUMBER(Rohdaten!$A$18:$LJ$18))&gt;0,"erledigt","automatisch")),IF($F18&lt;&gt;"ja","nicht berichtet",IF(ISNA(MATCH(Stichtag,RD_Kopf,0)),"keine Spalte",IF(SUMPRODUCT((RD_Kopf&gt;=IF($G18="monatlich",DATE(YEAR(Stichtag),MONTH(Stichtag),1),IF($G18="quartalsweise",DATE(YEAR(Stichtag),INT((MONTH(Stichtag)-1)/3)*3+1,1),Stichtag)))*(RD_Kopf&lt;=Stichtag)*ISNUMBER(Rohdaten!$A$18:$LJ$18))&gt;0,"erledigt","offen"))))</f>
        <v>nicht berichtet</v>
      </c>
      <c r="I18" s="73"/>
      <c r="J18" s="73"/>
      <c r="K18" s="73"/>
      <c r="L18" s="73"/>
      <c r="M18" s="73"/>
      <c r="N18" s="73"/>
      <c r="O18" s="73"/>
      <c r="P18" s="73"/>
      <c r="Q18" s="73"/>
      <c r="R18" s="73"/>
      <c r="S18" s="73"/>
      <c r="T18" s="73"/>
      <c r="U18" s="73"/>
      <c r="V18" s="73"/>
      <c r="W18" s="73"/>
      <c r="X18" s="73"/>
      <c r="Y18" s="73"/>
      <c r="Z18" s="73"/>
      <c r="AA18" s="73"/>
      <c r="AB18" s="73"/>
      <c r="AC18" s="73"/>
      <c r="AD18" s="73"/>
      <c r="AE18" s="73" t="s">
        <v>700</v>
      </c>
      <c r="AF18" s="73"/>
      <c r="AG18" s="73"/>
      <c r="AH18" s="73"/>
      <c r="AI18" s="73"/>
      <c r="AJ18" s="73"/>
      <c r="AK18" s="73"/>
      <c r="AL18" s="73"/>
      <c r="AM18" t="s">
        <v>718</v>
      </c>
      <c r="AN18" t="s">
        <v>713</v>
      </c>
      <c r="AO18" t="s">
        <v>695</v>
      </c>
    </row>
    <row r="19" spans="1:41" ht="18" hidden="1" customHeight="1" outlineLevel="2">
      <c r="A19" s="65">
        <f>ROW(Rohdaten!$A$19)</f>
        <v>19</v>
      </c>
      <c r="B19" s="66">
        <f>IF(Rohdaten!$A$19="","",Rohdaten!$A$19)</f>
        <v/>
      </c>
      <c r="C19" s="67" t="s">
        <v>707</v>
      </c>
      <c r="D19" s="68" t="str">
        <f>IF(Rohdaten!$E$19="","",Rohdaten!$E$19)</f>
        <v>Lürken</v>
      </c>
      <c r="E19" s="69" t="str">
        <f t="array" ref="E19">_xlfn.TEXTJOIN(" / ",TRUE,IF($I19:$AL19="●",$I$4:$AL$4,""))</f>
        <v>Lürken</v>
      </c>
      <c r="F19" s="70" t="s">
        <v>697</v>
      </c>
      <c r="G19" s="71" t="s">
        <v>698</v>
      </c>
      <c r="H19" s="72" t="str">
        <f>IF($F19="automatisch",IF(ISNA(MATCH(Stichtag,RD_Kopf,0)),"automatisch",IF(SUMPRODUCT((RD_Kopf&gt;=IF($G19="monatlich",DATE(YEAR(Stichtag),MONTH(Stichtag),1),IF($G19="quartalsweise",DATE(YEAR(Stichtag),INT((MONTH(Stichtag)-1)/3)*3+1,1),Stichtag)))*(RD_Kopf&lt;=Stichtag)*ISNUMBER(Rohdaten!$A$19:$LJ$19))&gt;0,"erledigt","automatisch")),IF($F19&lt;&gt;"ja","nicht berichtet",IF(ISNA(MATCH(Stichtag,RD_Kopf,0)),"keine Spalte",IF(SUMPRODUCT((RD_Kopf&gt;=IF($G19="monatlich",DATE(YEAR(Stichtag),MONTH(Stichtag),1),IF($G19="quartalsweise",DATE(YEAR(Stichtag),INT((MONTH(Stichtag)-1)/3)*3+1,1),Stichtag)))*(RD_Kopf&lt;=Stichtag)*ISNUMBER(Rohdaten!$A$19:$LJ$19))&gt;0,"erledigt","offen"))))</f>
        <v>nicht berichtet</v>
      </c>
      <c r="I19" s="73"/>
      <c r="J19" s="73"/>
      <c r="K19" s="73"/>
      <c r="L19" s="73"/>
      <c r="M19" s="73"/>
      <c r="N19" s="73"/>
      <c r="O19" s="73"/>
      <c r="P19" s="73"/>
      <c r="Q19" s="73"/>
      <c r="R19" s="73"/>
      <c r="S19" s="73"/>
      <c r="T19" s="73"/>
      <c r="U19" s="73"/>
      <c r="V19" s="73"/>
      <c r="W19" s="73"/>
      <c r="X19" s="73"/>
      <c r="Y19" s="73"/>
      <c r="Z19" s="73"/>
      <c r="AA19" s="73" t="s">
        <v>700</v>
      </c>
      <c r="AB19" s="73"/>
      <c r="AC19" s="73"/>
      <c r="AD19" s="73"/>
      <c r="AE19" s="73"/>
      <c r="AF19" s="73"/>
      <c r="AG19" s="73"/>
      <c r="AH19" s="73"/>
      <c r="AI19" s="73"/>
      <c r="AJ19" s="73"/>
      <c r="AK19" s="73"/>
      <c r="AL19" s="73"/>
      <c r="AM19" t="s">
        <v>719</v>
      </c>
      <c r="AN19" t="s">
        <v>713</v>
      </c>
      <c r="AO19" t="s">
        <v>695</v>
      </c>
    </row>
    <row r="20" spans="1:41" ht="18" hidden="1" customHeight="1" outlineLevel="2">
      <c r="A20" s="65">
        <f>ROW(Rohdaten!$A$20)</f>
        <v>20</v>
      </c>
      <c r="B20" s="66">
        <f>IF(Rohdaten!$A$20="","",Rohdaten!$A$20)</f>
        <v/>
      </c>
      <c r="C20" s="67" t="s">
        <v>709</v>
      </c>
      <c r="D20" s="68" t="str">
        <f>IF(Rohdaten!$E$20="","",Rohdaten!$E$20)</f>
        <v>Kraus</v>
      </c>
      <c r="E20" s="69" t="str">
        <f t="array" ref="E20">_xlfn.TEXTJOIN(" / ",TRUE,IF($I20:$AL20="●",$I$4:$AL$4,""))</f>
        <v>Kraus</v>
      </c>
      <c r="F20" s="70" t="s">
        <v>697</v>
      </c>
      <c r="G20" s="71" t="s">
        <v>698</v>
      </c>
      <c r="H20" s="72" t="str">
        <f>IF($F20="automatisch",IF(ISNA(MATCH(Stichtag,RD_Kopf,0)),"automatisch",IF(SUMPRODUCT((RD_Kopf&gt;=IF($G20="monatlich",DATE(YEAR(Stichtag),MONTH(Stichtag),1),IF($G20="quartalsweise",DATE(YEAR(Stichtag),INT((MONTH(Stichtag)-1)/3)*3+1,1),Stichtag)))*(RD_Kopf&lt;=Stichtag)*ISNUMBER(Rohdaten!$A$20:$LJ$20))&gt;0,"erledigt","automatisch")),IF($F20&lt;&gt;"ja","nicht berichtet",IF(ISNA(MATCH(Stichtag,RD_Kopf,0)),"keine Spalte",IF(SUMPRODUCT((RD_Kopf&gt;=IF($G20="monatlich",DATE(YEAR(Stichtag),MONTH(Stichtag),1),IF($G20="quartalsweise",DATE(YEAR(Stichtag),INT((MONTH(Stichtag)-1)/3)*3+1,1),Stichtag)))*(RD_Kopf&lt;=Stichtag)*ISNUMBER(Rohdaten!$A$20:$LJ$20))&gt;0,"erledigt","offen"))))</f>
        <v>nicht berichtet</v>
      </c>
      <c r="I20" s="73"/>
      <c r="J20" s="73"/>
      <c r="K20" s="73"/>
      <c r="L20" s="73"/>
      <c r="M20" s="73"/>
      <c r="N20" s="73"/>
      <c r="O20" s="73"/>
      <c r="P20" s="73"/>
      <c r="Q20" s="73"/>
      <c r="R20" s="73"/>
      <c r="S20" s="73"/>
      <c r="T20" s="73"/>
      <c r="U20" s="73"/>
      <c r="V20" s="73"/>
      <c r="W20" s="73"/>
      <c r="X20" s="73"/>
      <c r="Y20" s="73" t="s">
        <v>700</v>
      </c>
      <c r="Z20" s="73"/>
      <c r="AA20" s="73"/>
      <c r="AB20" s="73"/>
      <c r="AC20" s="73"/>
      <c r="AD20" s="73"/>
      <c r="AE20" s="73"/>
      <c r="AF20" s="73"/>
      <c r="AG20" s="73"/>
      <c r="AH20" s="73"/>
      <c r="AI20" s="73"/>
      <c r="AJ20" s="73"/>
      <c r="AK20" s="73"/>
      <c r="AL20" s="73"/>
      <c r="AM20" t="s">
        <v>720</v>
      </c>
      <c r="AN20" t="s">
        <v>713</v>
      </c>
      <c r="AO20" t="s">
        <v>695</v>
      </c>
    </row>
    <row r="21" spans="1:41" ht="18" hidden="1" customHeight="1" outlineLevel="2">
      <c r="A21" s="65">
        <f>ROW(Rohdaten!$A$21)</f>
        <v>21</v>
      </c>
      <c r="B21" s="66">
        <f>IF(Rohdaten!$A$21="","",Rohdaten!$A$21)</f>
        <v/>
      </c>
      <c r="C21" s="67" t="s">
        <v>711</v>
      </c>
      <c r="D21" s="68" t="str">
        <f>IF(Rohdaten!$E$21="","",Rohdaten!$E$21)</f>
        <v>Westrich</v>
      </c>
      <c r="E21" s="69" t="str">
        <f t="array" ref="E21">_xlfn.TEXTJOIN(" / ",TRUE,IF($I21:$AL21="●",$I$4:$AL$4,""))</f>
        <v>Westrich</v>
      </c>
      <c r="F21" s="70" t="s">
        <v>697</v>
      </c>
      <c r="G21" s="71" t="s">
        <v>698</v>
      </c>
      <c r="H21" s="72" t="str">
        <f>IF($F21="automatisch",IF(ISNA(MATCH(Stichtag,RD_Kopf,0)),"automatisch",IF(SUMPRODUCT((RD_Kopf&gt;=IF($G21="monatlich",DATE(YEAR(Stichtag),MONTH(Stichtag),1),IF($G21="quartalsweise",DATE(YEAR(Stichtag),INT((MONTH(Stichtag)-1)/3)*3+1,1),Stichtag)))*(RD_Kopf&lt;=Stichtag)*ISNUMBER(Rohdaten!$A$21:$LJ$21))&gt;0,"erledigt","automatisch")),IF($F21&lt;&gt;"ja","nicht berichtet",IF(ISNA(MATCH(Stichtag,RD_Kopf,0)),"keine Spalte",IF(SUMPRODUCT((RD_Kopf&gt;=IF($G21="monatlich",DATE(YEAR(Stichtag),MONTH(Stichtag),1),IF($G21="quartalsweise",DATE(YEAR(Stichtag),INT((MONTH(Stichtag)-1)/3)*3+1,1),Stichtag)))*(RD_Kopf&lt;=Stichtag)*ISNUMBER(Rohdaten!$A$21:$LJ$21))&gt;0,"erledigt","offen"))))</f>
        <v>nicht berichtet</v>
      </c>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t="s">
        <v>700</v>
      </c>
      <c r="AH21" s="73"/>
      <c r="AI21" s="73"/>
      <c r="AJ21" s="73"/>
      <c r="AK21" s="73"/>
      <c r="AL21" s="73"/>
      <c r="AM21" t="s">
        <v>721</v>
      </c>
      <c r="AN21" t="s">
        <v>713</v>
      </c>
      <c r="AO21" t="s">
        <v>695</v>
      </c>
    </row>
    <row r="22" spans="1:41" ht="22" customHeight="1" collapsed="1">
      <c r="A22" s="60" t="s">
        <v>722</v>
      </c>
      <c r="B22" s="60"/>
      <c r="C22" s="60"/>
      <c r="D22" s="60"/>
      <c r="E22" s="60"/>
      <c r="F22" s="60"/>
      <c r="G22" s="60"/>
      <c r="H22" s="60"/>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O22" t="s">
        <v>691</v>
      </c>
    </row>
    <row r="23" spans="1:41" ht="18" hidden="1" customHeight="1" outlineLevel="1">
      <c r="A23" s="62"/>
      <c r="B23" s="62" t="s">
        <v>723</v>
      </c>
      <c r="C23" s="63" t="s">
        <v>694</v>
      </c>
      <c r="D23" s="63"/>
      <c r="E23" s="63"/>
      <c r="F23" s="63"/>
      <c r="G23" s="63"/>
      <c r="H23" s="63"/>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O23" t="s">
        <v>692</v>
      </c>
    </row>
    <row r="24" spans="1:41" ht="18" hidden="1" customHeight="1" outlineLevel="2">
      <c r="A24" s="65">
        <f>ROW(Rohdaten!$A$24)</f>
        <v>24</v>
      </c>
      <c r="B24" s="66">
        <f>IF(Rohdaten!$A$24="","",Rohdaten!$A$24)</f>
        <v/>
      </c>
      <c r="C24" s="67" t="s">
        <v>696</v>
      </c>
      <c r="D24" s="68" t="str">
        <f>IF(Rohdaten!$E$24="","",Rohdaten!$E$24)</f>
        <v>Förster / Greß</v>
      </c>
      <c r="E24" s="69" t="str">
        <f t="array" ref="E24">_xlfn.TEXTJOIN(" / ",TRUE,IF($I24:$AL24="●",$I$4:$AL$4,""))</f>
        <v>Förster / Greß</v>
      </c>
      <c r="F24" s="70" t="s">
        <v>697</v>
      </c>
      <c r="G24" s="71" t="s">
        <v>698</v>
      </c>
      <c r="H24" s="72" t="str">
        <f>IF($F24="automatisch",IF(ISNA(MATCH(Stichtag,RD_Kopf,0)),"automatisch",IF(SUMPRODUCT((RD_Kopf&gt;=IF($G24="monatlich",DATE(YEAR(Stichtag),MONTH(Stichtag),1),IF($G24="quartalsweise",DATE(YEAR(Stichtag),INT((MONTH(Stichtag)-1)/3)*3+1,1),Stichtag)))*(RD_Kopf&lt;=Stichtag)*ISNUMBER(Rohdaten!$A$24:$LJ$24))&gt;0,"erledigt","automatisch")),IF($F24&lt;&gt;"ja","nicht berichtet",IF(ISNA(MATCH(Stichtag,RD_Kopf,0)),"keine Spalte",IF(SUMPRODUCT((RD_Kopf&gt;=IF($G24="monatlich",DATE(YEAR(Stichtag),MONTH(Stichtag),1),IF($G24="quartalsweise",DATE(YEAR(Stichtag),INT((MONTH(Stichtag)-1)/3)*3+1,1),Stichtag)))*(RD_Kopf&lt;=Stichtag)*ISNUMBER(Rohdaten!$A$24:$LJ$24))&gt;0,"erledigt","offen"))))</f>
        <v>nicht berichtet</v>
      </c>
      <c r="I24" s="73"/>
      <c r="J24" s="73"/>
      <c r="K24" s="73"/>
      <c r="L24" s="73"/>
      <c r="M24" s="73"/>
      <c r="N24" s="73"/>
      <c r="O24" s="73" t="s">
        <v>700</v>
      </c>
      <c r="P24" s="73"/>
      <c r="Q24" s="73"/>
      <c r="R24" s="73"/>
      <c r="S24" s="73" t="s">
        <v>700</v>
      </c>
      <c r="T24" s="73"/>
      <c r="U24" s="73"/>
      <c r="V24" s="73"/>
      <c r="W24" s="73"/>
      <c r="X24" s="73"/>
      <c r="Y24" s="73"/>
      <c r="Z24" s="73"/>
      <c r="AA24" s="73"/>
      <c r="AB24" s="73"/>
      <c r="AC24" s="73"/>
      <c r="AD24" s="73"/>
      <c r="AE24" s="73"/>
      <c r="AF24" s="73"/>
      <c r="AG24" s="73"/>
      <c r="AH24" s="73"/>
      <c r="AI24" s="73"/>
      <c r="AJ24" s="73"/>
      <c r="AK24" s="73"/>
      <c r="AL24" s="73"/>
      <c r="AM24" t="s">
        <v>724</v>
      </c>
      <c r="AN24" t="s">
        <v>723</v>
      </c>
      <c r="AO24" t="s">
        <v>695</v>
      </c>
    </row>
    <row r="25" spans="1:41" ht="18" hidden="1" customHeight="1" outlineLevel="2">
      <c r="A25" s="65">
        <f>ROW(Rohdaten!$A$25)</f>
        <v>25</v>
      </c>
      <c r="B25" s="66">
        <f>IF(Rohdaten!$A$25="","",Rohdaten!$A$25)</f>
        <v/>
      </c>
      <c r="C25" s="67" t="s">
        <v>701</v>
      </c>
      <c r="D25" s="68" t="str">
        <f>IF(Rohdaten!$E$25="","",Rohdaten!$E$25)</f>
        <v>Streich</v>
      </c>
      <c r="E25" s="69" t="str">
        <f t="array" ref="E25">_xlfn.TEXTJOIN(" / ",TRUE,IF($I25:$AL25="●",$I$4:$AL$4,""))</f>
        <v>Streich</v>
      </c>
      <c r="F25" s="70" t="s">
        <v>697</v>
      </c>
      <c r="G25" s="71" t="s">
        <v>698</v>
      </c>
      <c r="H25" s="72" t="str">
        <f>IF($F25="automatisch",IF(ISNA(MATCH(Stichtag,RD_Kopf,0)),"automatisch",IF(SUMPRODUCT((RD_Kopf&gt;=IF($G25="monatlich",DATE(YEAR(Stichtag),MONTH(Stichtag),1),IF($G25="quartalsweise",DATE(YEAR(Stichtag),INT((MONTH(Stichtag)-1)/3)*3+1,1),Stichtag)))*(RD_Kopf&lt;=Stichtag)*ISNUMBER(Rohdaten!$A$25:$LJ$25))&gt;0,"erledigt","automatisch")),IF($F25&lt;&gt;"ja","nicht berichtet",IF(ISNA(MATCH(Stichtag,RD_Kopf,0)),"keine Spalte",IF(SUMPRODUCT((RD_Kopf&gt;=IF($G25="monatlich",DATE(YEAR(Stichtag),MONTH(Stichtag),1),IF($G25="quartalsweise",DATE(YEAR(Stichtag),INT((MONTH(Stichtag)-1)/3)*3+1,1),Stichtag)))*(RD_Kopf&lt;=Stichtag)*ISNUMBER(Rohdaten!$A$25:$LJ$25))&gt;0,"erledigt","offen"))))</f>
        <v>nicht berichtet</v>
      </c>
      <c r="I25" s="73"/>
      <c r="J25" s="73"/>
      <c r="K25" s="73"/>
      <c r="L25" s="73"/>
      <c r="M25" s="73"/>
      <c r="N25" s="73"/>
      <c r="O25" s="73"/>
      <c r="P25" s="73"/>
      <c r="Q25" s="73"/>
      <c r="R25" s="73"/>
      <c r="S25" s="73"/>
      <c r="T25" s="73"/>
      <c r="U25" s="73"/>
      <c r="V25" s="73"/>
      <c r="W25" s="73"/>
      <c r="X25" s="73"/>
      <c r="Y25" s="73"/>
      <c r="Z25" s="73"/>
      <c r="AA25" s="73"/>
      <c r="AB25" s="73"/>
      <c r="AC25" s="73"/>
      <c r="AD25" s="73"/>
      <c r="AE25" s="73"/>
      <c r="AF25" s="73" t="s">
        <v>700</v>
      </c>
      <c r="AG25" s="73"/>
      <c r="AH25" s="73"/>
      <c r="AI25" s="73"/>
      <c r="AJ25" s="73"/>
      <c r="AK25" s="73"/>
      <c r="AL25" s="73"/>
      <c r="AM25" t="s">
        <v>725</v>
      </c>
      <c r="AN25" t="s">
        <v>723</v>
      </c>
      <c r="AO25" t="s">
        <v>695</v>
      </c>
    </row>
    <row r="26" spans="1:41" ht="18" hidden="1" customHeight="1" outlineLevel="2">
      <c r="A26" s="65">
        <f>ROW(Rohdaten!$A$26)</f>
        <v>26</v>
      </c>
      <c r="B26" s="66">
        <f>IF(Rohdaten!$A$26="","",Rohdaten!$A$26)</f>
        <v/>
      </c>
      <c r="C26" s="67" t="s">
        <v>703</v>
      </c>
      <c r="D26" s="68" t="str">
        <f>IF(Rohdaten!$E$26="","",Rohdaten!$E$26)</f>
        <v>Gress</v>
      </c>
      <c r="E26" s="69" t="str">
        <f t="array" ref="E26">_xlfn.TEXTJOIN(" / ",TRUE,IF($I26:$AL26="●",$I$4:$AL$4,""))</f>
        <v>Gress</v>
      </c>
      <c r="F26" s="70" t="s">
        <v>697</v>
      </c>
      <c r="G26" s="71" t="s">
        <v>698</v>
      </c>
      <c r="H26" s="72" t="str">
        <f>IF($F26="automatisch",IF(ISNA(MATCH(Stichtag,RD_Kopf,0)),"automatisch",IF(SUMPRODUCT((RD_Kopf&gt;=IF($G26="monatlich",DATE(YEAR(Stichtag),MONTH(Stichtag),1),IF($G26="quartalsweise",DATE(YEAR(Stichtag),INT((MONTH(Stichtag)-1)/3)*3+1,1),Stichtag)))*(RD_Kopf&lt;=Stichtag)*ISNUMBER(Rohdaten!$A$26:$LJ$26))&gt;0,"erledigt","automatisch")),IF($F26&lt;&gt;"ja","nicht berichtet",IF(ISNA(MATCH(Stichtag,RD_Kopf,0)),"keine Spalte",IF(SUMPRODUCT((RD_Kopf&gt;=IF($G26="monatlich",DATE(YEAR(Stichtag),MONTH(Stichtag),1),IF($G26="quartalsweise",DATE(YEAR(Stichtag),INT((MONTH(Stichtag)-1)/3)*3+1,1),Stichtag)))*(RD_Kopf&lt;=Stichtag)*ISNUMBER(Rohdaten!$A$26:$LJ$26))&gt;0,"erledigt","offen"))))</f>
        <v>nicht berichtet</v>
      </c>
      <c r="I26" s="73"/>
      <c r="J26" s="73"/>
      <c r="K26" s="73"/>
      <c r="L26" s="73"/>
      <c r="M26" s="73"/>
      <c r="N26" s="73"/>
      <c r="O26" s="73"/>
      <c r="P26" s="73"/>
      <c r="Q26" s="73"/>
      <c r="R26" s="73"/>
      <c r="S26" s="73"/>
      <c r="T26" s="73" t="s">
        <v>700</v>
      </c>
      <c r="U26" s="73"/>
      <c r="V26" s="73"/>
      <c r="W26" s="73"/>
      <c r="X26" s="73"/>
      <c r="Y26" s="73"/>
      <c r="Z26" s="73"/>
      <c r="AA26" s="73"/>
      <c r="AB26" s="73"/>
      <c r="AC26" s="73"/>
      <c r="AD26" s="73"/>
      <c r="AE26" s="73"/>
      <c r="AF26" s="73"/>
      <c r="AG26" s="73"/>
      <c r="AH26" s="73"/>
      <c r="AI26" s="73"/>
      <c r="AJ26" s="73"/>
      <c r="AK26" s="73"/>
      <c r="AL26" s="73"/>
      <c r="AM26" t="s">
        <v>726</v>
      </c>
      <c r="AN26" t="s">
        <v>723</v>
      </c>
      <c r="AO26" t="s">
        <v>695</v>
      </c>
    </row>
    <row r="27" spans="1:41" ht="18" hidden="1" customHeight="1" outlineLevel="2">
      <c r="A27" s="65">
        <f>ROW(Rohdaten!$A$27)</f>
        <v>27</v>
      </c>
      <c r="B27" s="66">
        <f>IF(Rohdaten!$A$27="","",Rohdaten!$A$27)</f>
        <v/>
      </c>
      <c r="C27" s="67" t="s">
        <v>705</v>
      </c>
      <c r="D27" s="68" t="str">
        <f>IF(Rohdaten!$E$27="","",Rohdaten!$E$27)</f>
        <v>Schneider</v>
      </c>
      <c r="E27" s="69" t="str">
        <f t="array" ref="E27">_xlfn.TEXTJOIN(" / ",TRUE,IF($I27:$AL27="●",$I$4:$AL$4,""))</f>
        <v>Schneider</v>
      </c>
      <c r="F27" s="70" t="s">
        <v>697</v>
      </c>
      <c r="G27" s="71" t="s">
        <v>698</v>
      </c>
      <c r="H27" s="72" t="str">
        <f>IF($F27="automatisch",IF(ISNA(MATCH(Stichtag,RD_Kopf,0)),"automatisch",IF(SUMPRODUCT((RD_Kopf&gt;=IF($G27="monatlich",DATE(YEAR(Stichtag),MONTH(Stichtag),1),IF($G27="quartalsweise",DATE(YEAR(Stichtag),INT((MONTH(Stichtag)-1)/3)*3+1,1),Stichtag)))*(RD_Kopf&lt;=Stichtag)*ISNUMBER(Rohdaten!$A$27:$LJ$27))&gt;0,"erledigt","automatisch")),IF($F27&lt;&gt;"ja","nicht berichtet",IF(ISNA(MATCH(Stichtag,RD_Kopf,0)),"keine Spalte",IF(SUMPRODUCT((RD_Kopf&gt;=IF($G27="monatlich",DATE(YEAR(Stichtag),MONTH(Stichtag),1),IF($G27="quartalsweise",DATE(YEAR(Stichtag),INT((MONTH(Stichtag)-1)/3)*3+1,1),Stichtag)))*(RD_Kopf&lt;=Stichtag)*ISNUMBER(Rohdaten!$A$27:$LJ$27))&gt;0,"erledigt","offen"))))</f>
        <v>nicht berichtet</v>
      </c>
      <c r="I27" s="73"/>
      <c r="J27" s="73"/>
      <c r="K27" s="73"/>
      <c r="L27" s="73"/>
      <c r="M27" s="73"/>
      <c r="N27" s="73"/>
      <c r="O27" s="73"/>
      <c r="P27" s="73"/>
      <c r="Q27" s="73"/>
      <c r="R27" s="73"/>
      <c r="S27" s="73"/>
      <c r="T27" s="73"/>
      <c r="U27" s="73"/>
      <c r="V27" s="73"/>
      <c r="W27" s="73"/>
      <c r="X27" s="73"/>
      <c r="Y27" s="73"/>
      <c r="Z27" s="73"/>
      <c r="AA27" s="73"/>
      <c r="AB27" s="73"/>
      <c r="AC27" s="73"/>
      <c r="AD27" s="73"/>
      <c r="AE27" s="73" t="s">
        <v>700</v>
      </c>
      <c r="AF27" s="73"/>
      <c r="AG27" s="73"/>
      <c r="AH27" s="73"/>
      <c r="AI27" s="73"/>
      <c r="AJ27" s="73"/>
      <c r="AK27" s="73"/>
      <c r="AL27" s="73"/>
      <c r="AM27" t="s">
        <v>727</v>
      </c>
      <c r="AN27" t="s">
        <v>723</v>
      </c>
      <c r="AO27" t="s">
        <v>695</v>
      </c>
    </row>
    <row r="28" spans="1:41" ht="18" hidden="1" customHeight="1" outlineLevel="2">
      <c r="A28" s="65">
        <f>ROW(Rohdaten!$A$28)</f>
        <v>28</v>
      </c>
      <c r="B28" s="66">
        <f>IF(Rohdaten!$A$28="","",Rohdaten!$A$28)</f>
        <v/>
      </c>
      <c r="C28" s="67" t="s">
        <v>707</v>
      </c>
      <c r="D28" s="68" t="str">
        <f>IF(Rohdaten!$E$28="","",Rohdaten!$E$28)</f>
        <v>Lürken</v>
      </c>
      <c r="E28" s="69" t="str">
        <f t="array" ref="E28">_xlfn.TEXTJOIN(" / ",TRUE,IF($I28:$AL28="●",$I$4:$AL$4,""))</f>
        <v>Lürken</v>
      </c>
      <c r="F28" s="70" t="s">
        <v>697</v>
      </c>
      <c r="G28" s="71" t="s">
        <v>698</v>
      </c>
      <c r="H28" s="72" t="str">
        <f>IF($F28="automatisch",IF(ISNA(MATCH(Stichtag,RD_Kopf,0)),"automatisch",IF(SUMPRODUCT((RD_Kopf&gt;=IF($G28="monatlich",DATE(YEAR(Stichtag),MONTH(Stichtag),1),IF($G28="quartalsweise",DATE(YEAR(Stichtag),INT((MONTH(Stichtag)-1)/3)*3+1,1),Stichtag)))*(RD_Kopf&lt;=Stichtag)*ISNUMBER(Rohdaten!$A$28:$LJ$28))&gt;0,"erledigt","automatisch")),IF($F28&lt;&gt;"ja","nicht berichtet",IF(ISNA(MATCH(Stichtag,RD_Kopf,0)),"keine Spalte",IF(SUMPRODUCT((RD_Kopf&gt;=IF($G28="monatlich",DATE(YEAR(Stichtag),MONTH(Stichtag),1),IF($G28="quartalsweise",DATE(YEAR(Stichtag),INT((MONTH(Stichtag)-1)/3)*3+1,1),Stichtag)))*(RD_Kopf&lt;=Stichtag)*ISNUMBER(Rohdaten!$A$28:$LJ$28))&gt;0,"erledigt","offen"))))</f>
        <v>nicht berichtet</v>
      </c>
      <c r="I28" s="73"/>
      <c r="J28" s="73"/>
      <c r="K28" s="73"/>
      <c r="L28" s="73"/>
      <c r="M28" s="73"/>
      <c r="N28" s="73"/>
      <c r="O28" s="73"/>
      <c r="P28" s="73"/>
      <c r="Q28" s="73"/>
      <c r="R28" s="73"/>
      <c r="S28" s="73"/>
      <c r="T28" s="73"/>
      <c r="U28" s="73"/>
      <c r="V28" s="73"/>
      <c r="W28" s="73"/>
      <c r="X28" s="73"/>
      <c r="Y28" s="73"/>
      <c r="Z28" s="73"/>
      <c r="AA28" s="73" t="s">
        <v>700</v>
      </c>
      <c r="AB28" s="73"/>
      <c r="AC28" s="73"/>
      <c r="AD28" s="73"/>
      <c r="AE28" s="73"/>
      <c r="AF28" s="73"/>
      <c r="AG28" s="73"/>
      <c r="AH28" s="73"/>
      <c r="AI28" s="73"/>
      <c r="AJ28" s="73"/>
      <c r="AK28" s="73"/>
      <c r="AL28" s="73"/>
      <c r="AM28" t="s">
        <v>728</v>
      </c>
      <c r="AN28" t="s">
        <v>723</v>
      </c>
      <c r="AO28" t="s">
        <v>695</v>
      </c>
    </row>
    <row r="29" spans="1:41" ht="18" hidden="1" customHeight="1" outlineLevel="2">
      <c r="A29" s="65">
        <f>ROW(Rohdaten!$A$29)</f>
        <v>29</v>
      </c>
      <c r="B29" s="66">
        <f>IF(Rohdaten!$A$29="","",Rohdaten!$A$29)</f>
        <v/>
      </c>
      <c r="C29" s="67" t="s">
        <v>709</v>
      </c>
      <c r="D29" s="68" t="str">
        <f>IF(Rohdaten!$E$29="","",Rohdaten!$E$29)</f>
        <v>Kraus</v>
      </c>
      <c r="E29" s="69" t="str">
        <f t="array" ref="E29">_xlfn.TEXTJOIN(" / ",TRUE,IF($I29:$AL29="●",$I$4:$AL$4,""))</f>
        <v>Kraus</v>
      </c>
      <c r="F29" s="70" t="s">
        <v>697</v>
      </c>
      <c r="G29" s="71" t="s">
        <v>698</v>
      </c>
      <c r="H29" s="72" t="str">
        <f>IF($F29="automatisch",IF(ISNA(MATCH(Stichtag,RD_Kopf,0)),"automatisch",IF(SUMPRODUCT((RD_Kopf&gt;=IF($G29="monatlich",DATE(YEAR(Stichtag),MONTH(Stichtag),1),IF($G29="quartalsweise",DATE(YEAR(Stichtag),INT((MONTH(Stichtag)-1)/3)*3+1,1),Stichtag)))*(RD_Kopf&lt;=Stichtag)*ISNUMBER(Rohdaten!$A$29:$LJ$29))&gt;0,"erledigt","automatisch")),IF($F29&lt;&gt;"ja","nicht berichtet",IF(ISNA(MATCH(Stichtag,RD_Kopf,0)),"keine Spalte",IF(SUMPRODUCT((RD_Kopf&gt;=IF($G29="monatlich",DATE(YEAR(Stichtag),MONTH(Stichtag),1),IF($G29="quartalsweise",DATE(YEAR(Stichtag),INT((MONTH(Stichtag)-1)/3)*3+1,1),Stichtag)))*(RD_Kopf&lt;=Stichtag)*ISNUMBER(Rohdaten!$A$29:$LJ$29))&gt;0,"erledigt","offen"))))</f>
        <v>nicht berichtet</v>
      </c>
      <c r="I29" s="73"/>
      <c r="J29" s="73"/>
      <c r="K29" s="73"/>
      <c r="L29" s="73"/>
      <c r="M29" s="73"/>
      <c r="N29" s="73"/>
      <c r="O29" s="73"/>
      <c r="P29" s="73"/>
      <c r="Q29" s="73"/>
      <c r="R29" s="73"/>
      <c r="S29" s="73"/>
      <c r="T29" s="73"/>
      <c r="U29" s="73"/>
      <c r="V29" s="73"/>
      <c r="W29" s="73"/>
      <c r="X29" s="73"/>
      <c r="Y29" s="73" t="s">
        <v>700</v>
      </c>
      <c r="Z29" s="73"/>
      <c r="AA29" s="73"/>
      <c r="AB29" s="73"/>
      <c r="AC29" s="73"/>
      <c r="AD29" s="73"/>
      <c r="AE29" s="73"/>
      <c r="AF29" s="73"/>
      <c r="AG29" s="73"/>
      <c r="AH29" s="73"/>
      <c r="AI29" s="73"/>
      <c r="AJ29" s="73"/>
      <c r="AK29" s="73"/>
      <c r="AL29" s="73"/>
      <c r="AM29" t="s">
        <v>729</v>
      </c>
      <c r="AN29" t="s">
        <v>723</v>
      </c>
      <c r="AO29" t="s">
        <v>695</v>
      </c>
    </row>
    <row r="30" spans="1:41" ht="18" hidden="1" customHeight="1" outlineLevel="2">
      <c r="A30" s="65">
        <f>ROW(Rohdaten!$A$30)</f>
        <v>30</v>
      </c>
      <c r="B30" s="66">
        <f>IF(Rohdaten!$A$30="","",Rohdaten!$A$30)</f>
        <v/>
      </c>
      <c r="C30" s="67" t="s">
        <v>711</v>
      </c>
      <c r="D30" s="68" t="str">
        <f>IF(Rohdaten!$E$30="","",Rohdaten!$E$30)</f>
        <v>Westrich</v>
      </c>
      <c r="E30" s="69" t="str">
        <f t="array" ref="E30">_xlfn.TEXTJOIN(" / ",TRUE,IF($I30:$AL30="●",$I$4:$AL$4,""))</f>
        <v>Westrich</v>
      </c>
      <c r="F30" s="70" t="s">
        <v>697</v>
      </c>
      <c r="G30" s="71" t="s">
        <v>698</v>
      </c>
      <c r="H30" s="72" t="str">
        <f>IF($F30="automatisch",IF(ISNA(MATCH(Stichtag,RD_Kopf,0)),"automatisch",IF(SUMPRODUCT((RD_Kopf&gt;=IF($G30="monatlich",DATE(YEAR(Stichtag),MONTH(Stichtag),1),IF($G30="quartalsweise",DATE(YEAR(Stichtag),INT((MONTH(Stichtag)-1)/3)*3+1,1),Stichtag)))*(RD_Kopf&lt;=Stichtag)*ISNUMBER(Rohdaten!$A$30:$LJ$30))&gt;0,"erledigt","automatisch")),IF($F30&lt;&gt;"ja","nicht berichtet",IF(ISNA(MATCH(Stichtag,RD_Kopf,0)),"keine Spalte",IF(SUMPRODUCT((RD_Kopf&gt;=IF($G30="monatlich",DATE(YEAR(Stichtag),MONTH(Stichtag),1),IF($G30="quartalsweise",DATE(YEAR(Stichtag),INT((MONTH(Stichtag)-1)/3)*3+1,1),Stichtag)))*(RD_Kopf&lt;=Stichtag)*ISNUMBER(Rohdaten!$A$30:$LJ$30))&gt;0,"erledigt","offen"))))</f>
        <v>nicht berichtet</v>
      </c>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t="s">
        <v>700</v>
      </c>
      <c r="AH30" s="73"/>
      <c r="AI30" s="73"/>
      <c r="AJ30" s="73"/>
      <c r="AK30" s="73"/>
      <c r="AL30" s="73"/>
      <c r="AM30" t="s">
        <v>730</v>
      </c>
      <c r="AN30" t="s">
        <v>723</v>
      </c>
      <c r="AO30" t="s">
        <v>695</v>
      </c>
    </row>
    <row r="31" spans="1:41" ht="18" hidden="1" customHeight="1" outlineLevel="1">
      <c r="A31" s="62"/>
      <c r="B31" s="62" t="s">
        <v>731</v>
      </c>
      <c r="C31" s="63" t="s">
        <v>714</v>
      </c>
      <c r="D31" s="63"/>
      <c r="E31" s="63"/>
      <c r="F31" s="63"/>
      <c r="G31" s="63"/>
      <c r="H31" s="6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O31" t="s">
        <v>692</v>
      </c>
    </row>
    <row r="32" spans="1:41" ht="18" hidden="1" customHeight="1" outlineLevel="2">
      <c r="A32" s="65">
        <f>ROW(Rohdaten!$A$32)</f>
        <v>32</v>
      </c>
      <c r="B32" s="66">
        <f>IF(Rohdaten!$A$32="","",Rohdaten!$A$32)</f>
        <v/>
      </c>
      <c r="C32" s="67" t="s">
        <v>696</v>
      </c>
      <c r="D32" s="68" t="str">
        <f>IF(Rohdaten!$E$32="","",Rohdaten!$E$32)</f>
        <v>Förster / Greß</v>
      </c>
      <c r="E32" s="69" t="str">
        <f t="array" ref="E32">_xlfn.TEXTJOIN(" / ",TRUE,IF($I32:$AL32="●",$I$4:$AL$4,""))</f>
        <v>Förster / Greß</v>
      </c>
      <c r="F32" s="70" t="s">
        <v>697</v>
      </c>
      <c r="G32" s="71" t="s">
        <v>698</v>
      </c>
      <c r="H32" s="72" t="str">
        <f>IF($F32="automatisch",IF(ISNA(MATCH(Stichtag,RD_Kopf,0)),"automatisch",IF(SUMPRODUCT((RD_Kopf&gt;=IF($G32="monatlich",DATE(YEAR(Stichtag),MONTH(Stichtag),1),IF($G32="quartalsweise",DATE(YEAR(Stichtag),INT((MONTH(Stichtag)-1)/3)*3+1,1),Stichtag)))*(RD_Kopf&lt;=Stichtag)*ISNUMBER(Rohdaten!$A$32:$LJ$32))&gt;0,"erledigt","automatisch")),IF($F32&lt;&gt;"ja","nicht berichtet",IF(ISNA(MATCH(Stichtag,RD_Kopf,0)),"keine Spalte",IF(SUMPRODUCT((RD_Kopf&gt;=IF($G32="monatlich",DATE(YEAR(Stichtag),MONTH(Stichtag),1),IF($G32="quartalsweise",DATE(YEAR(Stichtag),INT((MONTH(Stichtag)-1)/3)*3+1,1),Stichtag)))*(RD_Kopf&lt;=Stichtag)*ISNUMBER(Rohdaten!$A$32:$LJ$32))&gt;0,"erledigt","offen"))))</f>
        <v>nicht berichtet</v>
      </c>
      <c r="I32" s="73"/>
      <c r="J32" s="73"/>
      <c r="K32" s="73"/>
      <c r="L32" s="73"/>
      <c r="M32" s="73"/>
      <c r="N32" s="73"/>
      <c r="O32" s="73" t="s">
        <v>700</v>
      </c>
      <c r="P32" s="73"/>
      <c r="Q32" s="73"/>
      <c r="R32" s="73"/>
      <c r="S32" s="73" t="s">
        <v>700</v>
      </c>
      <c r="T32" s="73"/>
      <c r="U32" s="73"/>
      <c r="V32" s="73"/>
      <c r="W32" s="73"/>
      <c r="X32" s="73"/>
      <c r="Y32" s="73"/>
      <c r="Z32" s="73"/>
      <c r="AA32" s="73"/>
      <c r="AB32" s="73"/>
      <c r="AC32" s="73"/>
      <c r="AD32" s="73"/>
      <c r="AE32" s="73"/>
      <c r="AF32" s="73"/>
      <c r="AG32" s="73"/>
      <c r="AH32" s="73"/>
      <c r="AI32" s="73"/>
      <c r="AJ32" s="73"/>
      <c r="AK32" s="73"/>
      <c r="AL32" s="73"/>
      <c r="AM32" t="s">
        <v>732</v>
      </c>
      <c r="AN32" t="s">
        <v>731</v>
      </c>
      <c r="AO32" t="s">
        <v>695</v>
      </c>
    </row>
    <row r="33" spans="1:41" ht="18" hidden="1" customHeight="1" outlineLevel="2">
      <c r="A33" s="65">
        <f>ROW(Rohdaten!$A$33)</f>
        <v>33</v>
      </c>
      <c r="B33" s="66">
        <f>IF(Rohdaten!$A$33="","",Rohdaten!$A$33)</f>
        <v/>
      </c>
      <c r="C33" s="67" t="s">
        <v>701</v>
      </c>
      <c r="D33" s="68" t="str">
        <f>IF(Rohdaten!$E$33="","",Rohdaten!$E$33)</f>
        <v>Streich</v>
      </c>
      <c r="E33" s="69" t="str">
        <f t="array" ref="E33">_xlfn.TEXTJOIN(" / ",TRUE,IF($I33:$AL33="●",$I$4:$AL$4,""))</f>
        <v>Streich</v>
      </c>
      <c r="F33" s="70" t="s">
        <v>697</v>
      </c>
      <c r="G33" s="71" t="s">
        <v>698</v>
      </c>
      <c r="H33" s="72" t="str">
        <f>IF($F33="automatisch",IF(ISNA(MATCH(Stichtag,RD_Kopf,0)),"automatisch",IF(SUMPRODUCT((RD_Kopf&gt;=IF($G33="monatlich",DATE(YEAR(Stichtag),MONTH(Stichtag),1),IF($G33="quartalsweise",DATE(YEAR(Stichtag),INT((MONTH(Stichtag)-1)/3)*3+1,1),Stichtag)))*(RD_Kopf&lt;=Stichtag)*ISNUMBER(Rohdaten!$A$33:$LJ$33))&gt;0,"erledigt","automatisch")),IF($F33&lt;&gt;"ja","nicht berichtet",IF(ISNA(MATCH(Stichtag,RD_Kopf,0)),"keine Spalte",IF(SUMPRODUCT((RD_Kopf&gt;=IF($G33="monatlich",DATE(YEAR(Stichtag),MONTH(Stichtag),1),IF($G33="quartalsweise",DATE(YEAR(Stichtag),INT((MONTH(Stichtag)-1)/3)*3+1,1),Stichtag)))*(RD_Kopf&lt;=Stichtag)*ISNUMBER(Rohdaten!$A$33:$LJ$33))&gt;0,"erledigt","offen"))))</f>
        <v>nicht berichtet</v>
      </c>
      <c r="I33" s="73"/>
      <c r="J33" s="73"/>
      <c r="K33" s="73"/>
      <c r="L33" s="73"/>
      <c r="M33" s="73"/>
      <c r="N33" s="73"/>
      <c r="O33" s="73"/>
      <c r="P33" s="73"/>
      <c r="Q33" s="73"/>
      <c r="R33" s="73"/>
      <c r="S33" s="73"/>
      <c r="T33" s="73"/>
      <c r="U33" s="73"/>
      <c r="V33" s="73"/>
      <c r="W33" s="73"/>
      <c r="X33" s="73"/>
      <c r="Y33" s="73"/>
      <c r="Z33" s="73"/>
      <c r="AA33" s="73"/>
      <c r="AB33" s="73"/>
      <c r="AC33" s="73"/>
      <c r="AD33" s="73"/>
      <c r="AE33" s="73"/>
      <c r="AF33" s="73" t="s">
        <v>700</v>
      </c>
      <c r="AG33" s="73"/>
      <c r="AH33" s="73"/>
      <c r="AI33" s="73"/>
      <c r="AJ33" s="73"/>
      <c r="AK33" s="73"/>
      <c r="AL33" s="73"/>
      <c r="AM33" t="s">
        <v>733</v>
      </c>
      <c r="AN33" t="s">
        <v>731</v>
      </c>
      <c r="AO33" t="s">
        <v>695</v>
      </c>
    </row>
    <row r="34" spans="1:41" ht="18" hidden="1" customHeight="1" outlineLevel="2">
      <c r="A34" s="65">
        <f>ROW(Rohdaten!$A$34)</f>
        <v>34</v>
      </c>
      <c r="B34" s="66">
        <f>IF(Rohdaten!$A$34="","",Rohdaten!$A$34)</f>
        <v/>
      </c>
      <c r="C34" s="67" t="s">
        <v>703</v>
      </c>
      <c r="D34" s="68" t="str">
        <f>IF(Rohdaten!$E$34="","",Rohdaten!$E$34)</f>
        <v>Gress</v>
      </c>
      <c r="E34" s="69" t="str">
        <f t="array" ref="E34">_xlfn.TEXTJOIN(" / ",TRUE,IF($I34:$AL34="●",$I$4:$AL$4,""))</f>
        <v>Gress</v>
      </c>
      <c r="F34" s="70" t="s">
        <v>697</v>
      </c>
      <c r="G34" s="71" t="s">
        <v>698</v>
      </c>
      <c r="H34" s="72" t="str">
        <f>IF($F34="automatisch",IF(ISNA(MATCH(Stichtag,RD_Kopf,0)),"automatisch",IF(SUMPRODUCT((RD_Kopf&gt;=IF($G34="monatlich",DATE(YEAR(Stichtag),MONTH(Stichtag),1),IF($G34="quartalsweise",DATE(YEAR(Stichtag),INT((MONTH(Stichtag)-1)/3)*3+1,1),Stichtag)))*(RD_Kopf&lt;=Stichtag)*ISNUMBER(Rohdaten!$A$34:$LJ$34))&gt;0,"erledigt","automatisch")),IF($F34&lt;&gt;"ja","nicht berichtet",IF(ISNA(MATCH(Stichtag,RD_Kopf,0)),"keine Spalte",IF(SUMPRODUCT((RD_Kopf&gt;=IF($G34="monatlich",DATE(YEAR(Stichtag),MONTH(Stichtag),1),IF($G34="quartalsweise",DATE(YEAR(Stichtag),INT((MONTH(Stichtag)-1)/3)*3+1,1),Stichtag)))*(RD_Kopf&lt;=Stichtag)*ISNUMBER(Rohdaten!$A$34:$LJ$34))&gt;0,"erledigt","offen"))))</f>
        <v>nicht berichtet</v>
      </c>
      <c r="I34" s="73"/>
      <c r="J34" s="73"/>
      <c r="K34" s="73"/>
      <c r="L34" s="73"/>
      <c r="M34" s="73"/>
      <c r="N34" s="73"/>
      <c r="O34" s="73"/>
      <c r="P34" s="73"/>
      <c r="Q34" s="73"/>
      <c r="R34" s="73"/>
      <c r="S34" s="73"/>
      <c r="T34" s="73" t="s">
        <v>700</v>
      </c>
      <c r="U34" s="73"/>
      <c r="V34" s="73"/>
      <c r="W34" s="73"/>
      <c r="X34" s="73"/>
      <c r="Y34" s="73"/>
      <c r="Z34" s="73"/>
      <c r="AA34" s="73"/>
      <c r="AB34" s="73"/>
      <c r="AC34" s="73"/>
      <c r="AD34" s="73"/>
      <c r="AE34" s="73"/>
      <c r="AF34" s="73"/>
      <c r="AG34" s="73"/>
      <c r="AH34" s="73"/>
      <c r="AI34" s="73"/>
      <c r="AJ34" s="73"/>
      <c r="AK34" s="73"/>
      <c r="AL34" s="73"/>
      <c r="AM34" t="s">
        <v>734</v>
      </c>
      <c r="AN34" t="s">
        <v>731</v>
      </c>
      <c r="AO34" t="s">
        <v>695</v>
      </c>
    </row>
    <row r="35" spans="1:41" ht="18" hidden="1" customHeight="1" outlineLevel="2">
      <c r="A35" s="65">
        <f>ROW(Rohdaten!$A$35)</f>
        <v>35</v>
      </c>
      <c r="B35" s="66">
        <f>IF(Rohdaten!$A$35="","",Rohdaten!$A$35)</f>
        <v/>
      </c>
      <c r="C35" s="67" t="s">
        <v>705</v>
      </c>
      <c r="D35" s="68" t="str">
        <f>IF(Rohdaten!$E$35="","",Rohdaten!$E$35)</f>
        <v>Schneider</v>
      </c>
      <c r="E35" s="69" t="str">
        <f t="array" ref="E35">_xlfn.TEXTJOIN(" / ",TRUE,IF($I35:$AL35="●",$I$4:$AL$4,""))</f>
        <v>Schneider</v>
      </c>
      <c r="F35" s="70" t="s">
        <v>697</v>
      </c>
      <c r="G35" s="71" t="s">
        <v>698</v>
      </c>
      <c r="H35" s="72" t="str">
        <f>IF($F35="automatisch",IF(ISNA(MATCH(Stichtag,RD_Kopf,0)),"automatisch",IF(SUMPRODUCT((RD_Kopf&gt;=IF($G35="monatlich",DATE(YEAR(Stichtag),MONTH(Stichtag),1),IF($G35="quartalsweise",DATE(YEAR(Stichtag),INT((MONTH(Stichtag)-1)/3)*3+1,1),Stichtag)))*(RD_Kopf&lt;=Stichtag)*ISNUMBER(Rohdaten!$A$35:$LJ$35))&gt;0,"erledigt","automatisch")),IF($F35&lt;&gt;"ja","nicht berichtet",IF(ISNA(MATCH(Stichtag,RD_Kopf,0)),"keine Spalte",IF(SUMPRODUCT((RD_Kopf&gt;=IF($G35="monatlich",DATE(YEAR(Stichtag),MONTH(Stichtag),1),IF($G35="quartalsweise",DATE(YEAR(Stichtag),INT((MONTH(Stichtag)-1)/3)*3+1,1),Stichtag)))*(RD_Kopf&lt;=Stichtag)*ISNUMBER(Rohdaten!$A$35:$LJ$35))&gt;0,"erledigt","offen"))))</f>
        <v>nicht berichtet</v>
      </c>
      <c r="I35" s="73"/>
      <c r="J35" s="73"/>
      <c r="K35" s="73"/>
      <c r="L35" s="73"/>
      <c r="M35" s="73"/>
      <c r="N35" s="73"/>
      <c r="O35" s="73"/>
      <c r="P35" s="73"/>
      <c r="Q35" s="73"/>
      <c r="R35" s="73"/>
      <c r="S35" s="73"/>
      <c r="T35" s="73"/>
      <c r="U35" s="73"/>
      <c r="V35" s="73"/>
      <c r="W35" s="73"/>
      <c r="X35" s="73"/>
      <c r="Y35" s="73"/>
      <c r="Z35" s="73"/>
      <c r="AA35" s="73"/>
      <c r="AB35" s="73"/>
      <c r="AC35" s="73"/>
      <c r="AD35" s="73"/>
      <c r="AE35" s="73" t="s">
        <v>700</v>
      </c>
      <c r="AF35" s="73"/>
      <c r="AG35" s="73"/>
      <c r="AH35" s="73"/>
      <c r="AI35" s="73"/>
      <c r="AJ35" s="73"/>
      <c r="AK35" s="73"/>
      <c r="AL35" s="73"/>
      <c r="AM35" t="s">
        <v>735</v>
      </c>
      <c r="AN35" t="s">
        <v>731</v>
      </c>
      <c r="AO35" t="s">
        <v>695</v>
      </c>
    </row>
    <row r="36" spans="1:41" ht="18" hidden="1" customHeight="1" outlineLevel="2">
      <c r="A36" s="65">
        <f>ROW(Rohdaten!$A$36)</f>
        <v>36</v>
      </c>
      <c r="B36" s="66">
        <f>IF(Rohdaten!$A$36="","",Rohdaten!$A$36)</f>
        <v/>
      </c>
      <c r="C36" s="67" t="s">
        <v>707</v>
      </c>
      <c r="D36" s="68" t="str">
        <f>IF(Rohdaten!$E$36="","",Rohdaten!$E$36)</f>
        <v>Lürken</v>
      </c>
      <c r="E36" s="69" t="str">
        <f t="array" ref="E36">_xlfn.TEXTJOIN(" / ",TRUE,IF($I36:$AL36="●",$I$4:$AL$4,""))</f>
        <v>Lürken</v>
      </c>
      <c r="F36" s="70" t="s">
        <v>697</v>
      </c>
      <c r="G36" s="71" t="s">
        <v>698</v>
      </c>
      <c r="H36" s="72" t="str">
        <f>IF($F36="automatisch",IF(ISNA(MATCH(Stichtag,RD_Kopf,0)),"automatisch",IF(SUMPRODUCT((RD_Kopf&gt;=IF($G36="monatlich",DATE(YEAR(Stichtag),MONTH(Stichtag),1),IF($G36="quartalsweise",DATE(YEAR(Stichtag),INT((MONTH(Stichtag)-1)/3)*3+1,1),Stichtag)))*(RD_Kopf&lt;=Stichtag)*ISNUMBER(Rohdaten!$A$36:$LJ$36))&gt;0,"erledigt","automatisch")),IF($F36&lt;&gt;"ja","nicht berichtet",IF(ISNA(MATCH(Stichtag,RD_Kopf,0)),"keine Spalte",IF(SUMPRODUCT((RD_Kopf&gt;=IF($G36="monatlich",DATE(YEAR(Stichtag),MONTH(Stichtag),1),IF($G36="quartalsweise",DATE(YEAR(Stichtag),INT((MONTH(Stichtag)-1)/3)*3+1,1),Stichtag)))*(RD_Kopf&lt;=Stichtag)*ISNUMBER(Rohdaten!$A$36:$LJ$36))&gt;0,"erledigt","offen"))))</f>
        <v>nicht berichtet</v>
      </c>
      <c r="I36" s="73"/>
      <c r="J36" s="73"/>
      <c r="K36" s="73"/>
      <c r="L36" s="73"/>
      <c r="M36" s="73"/>
      <c r="N36" s="73"/>
      <c r="O36" s="73"/>
      <c r="P36" s="73"/>
      <c r="Q36" s="73"/>
      <c r="R36" s="73"/>
      <c r="S36" s="73"/>
      <c r="T36" s="73"/>
      <c r="U36" s="73"/>
      <c r="V36" s="73"/>
      <c r="W36" s="73"/>
      <c r="X36" s="73"/>
      <c r="Y36" s="73"/>
      <c r="Z36" s="73"/>
      <c r="AA36" s="73" t="s">
        <v>700</v>
      </c>
      <c r="AB36" s="73"/>
      <c r="AC36" s="73"/>
      <c r="AD36" s="73"/>
      <c r="AE36" s="73"/>
      <c r="AF36" s="73"/>
      <c r="AG36" s="73"/>
      <c r="AH36" s="73"/>
      <c r="AI36" s="73"/>
      <c r="AJ36" s="73"/>
      <c r="AK36" s="73"/>
      <c r="AL36" s="73"/>
      <c r="AM36" t="s">
        <v>736</v>
      </c>
      <c r="AN36" t="s">
        <v>731</v>
      </c>
      <c r="AO36" t="s">
        <v>695</v>
      </c>
    </row>
    <row r="37" spans="1:41" ht="18" hidden="1" customHeight="1" outlineLevel="2">
      <c r="A37" s="65">
        <f>ROW(Rohdaten!$A$37)</f>
        <v>37</v>
      </c>
      <c r="B37" s="66">
        <f>IF(Rohdaten!$A$37="","",Rohdaten!$A$37)</f>
        <v/>
      </c>
      <c r="C37" s="67" t="s">
        <v>709</v>
      </c>
      <c r="D37" s="68" t="str">
        <f>IF(Rohdaten!$E$37="","",Rohdaten!$E$37)</f>
        <v>Kraus</v>
      </c>
      <c r="E37" s="69" t="str">
        <f t="array" ref="E37">_xlfn.TEXTJOIN(" / ",TRUE,IF($I37:$AL37="●",$I$4:$AL$4,""))</f>
        <v>Kraus</v>
      </c>
      <c r="F37" s="70" t="s">
        <v>697</v>
      </c>
      <c r="G37" s="71" t="s">
        <v>698</v>
      </c>
      <c r="H37" s="72" t="str">
        <f>IF($F37="automatisch",IF(ISNA(MATCH(Stichtag,RD_Kopf,0)),"automatisch",IF(SUMPRODUCT((RD_Kopf&gt;=IF($G37="monatlich",DATE(YEAR(Stichtag),MONTH(Stichtag),1),IF($G37="quartalsweise",DATE(YEAR(Stichtag),INT((MONTH(Stichtag)-1)/3)*3+1,1),Stichtag)))*(RD_Kopf&lt;=Stichtag)*ISNUMBER(Rohdaten!$A$37:$LJ$37))&gt;0,"erledigt","automatisch")),IF($F37&lt;&gt;"ja","nicht berichtet",IF(ISNA(MATCH(Stichtag,RD_Kopf,0)),"keine Spalte",IF(SUMPRODUCT((RD_Kopf&gt;=IF($G37="monatlich",DATE(YEAR(Stichtag),MONTH(Stichtag),1),IF($G37="quartalsweise",DATE(YEAR(Stichtag),INT((MONTH(Stichtag)-1)/3)*3+1,1),Stichtag)))*(RD_Kopf&lt;=Stichtag)*ISNUMBER(Rohdaten!$A$37:$LJ$37))&gt;0,"erledigt","offen"))))</f>
        <v>nicht berichtet</v>
      </c>
      <c r="I37" s="73"/>
      <c r="J37" s="73"/>
      <c r="K37" s="73"/>
      <c r="L37" s="73"/>
      <c r="M37" s="73"/>
      <c r="N37" s="73"/>
      <c r="O37" s="73"/>
      <c r="P37" s="73"/>
      <c r="Q37" s="73"/>
      <c r="R37" s="73"/>
      <c r="S37" s="73"/>
      <c r="T37" s="73"/>
      <c r="U37" s="73"/>
      <c r="V37" s="73"/>
      <c r="W37" s="73"/>
      <c r="X37" s="73"/>
      <c r="Y37" s="73" t="s">
        <v>700</v>
      </c>
      <c r="Z37" s="73"/>
      <c r="AA37" s="73"/>
      <c r="AB37" s="73"/>
      <c r="AC37" s="73"/>
      <c r="AD37" s="73"/>
      <c r="AE37" s="73"/>
      <c r="AF37" s="73"/>
      <c r="AG37" s="73"/>
      <c r="AH37" s="73"/>
      <c r="AI37" s="73"/>
      <c r="AJ37" s="73"/>
      <c r="AK37" s="73"/>
      <c r="AL37" s="73"/>
      <c r="AM37" t="s">
        <v>737</v>
      </c>
      <c r="AN37" t="s">
        <v>731</v>
      </c>
      <c r="AO37" t="s">
        <v>695</v>
      </c>
    </row>
    <row r="38" spans="1:41" ht="18" hidden="1" customHeight="1" outlineLevel="2">
      <c r="A38" s="65">
        <f>ROW(Rohdaten!$A$38)</f>
        <v>38</v>
      </c>
      <c r="B38" s="66">
        <f>IF(Rohdaten!$A$38="","",Rohdaten!$A$38)</f>
        <v/>
      </c>
      <c r="C38" s="67" t="s">
        <v>711</v>
      </c>
      <c r="D38" s="68" t="str">
        <f>IF(Rohdaten!$E$38="","",Rohdaten!$E$38)</f>
        <v>Westrich</v>
      </c>
      <c r="E38" s="69" t="str">
        <f t="array" ref="E38">_xlfn.TEXTJOIN(" / ",TRUE,IF($I38:$AL38="●",$I$4:$AL$4,""))</f>
        <v>Westrich</v>
      </c>
      <c r="F38" s="70" t="s">
        <v>697</v>
      </c>
      <c r="G38" s="71" t="s">
        <v>698</v>
      </c>
      <c r="H38" s="72" t="str">
        <f>IF($F38="automatisch",IF(ISNA(MATCH(Stichtag,RD_Kopf,0)),"automatisch",IF(SUMPRODUCT((RD_Kopf&gt;=IF($G38="monatlich",DATE(YEAR(Stichtag),MONTH(Stichtag),1),IF($G38="quartalsweise",DATE(YEAR(Stichtag),INT((MONTH(Stichtag)-1)/3)*3+1,1),Stichtag)))*(RD_Kopf&lt;=Stichtag)*ISNUMBER(Rohdaten!$A$38:$LJ$38))&gt;0,"erledigt","automatisch")),IF($F38&lt;&gt;"ja","nicht berichtet",IF(ISNA(MATCH(Stichtag,RD_Kopf,0)),"keine Spalte",IF(SUMPRODUCT((RD_Kopf&gt;=IF($G38="monatlich",DATE(YEAR(Stichtag),MONTH(Stichtag),1),IF($G38="quartalsweise",DATE(YEAR(Stichtag),INT((MONTH(Stichtag)-1)/3)*3+1,1),Stichtag)))*(RD_Kopf&lt;=Stichtag)*ISNUMBER(Rohdaten!$A$38:$LJ$38))&gt;0,"erledigt","offen"))))</f>
        <v>nicht berichtet</v>
      </c>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t="s">
        <v>700</v>
      </c>
      <c r="AH38" s="73"/>
      <c r="AI38" s="73"/>
      <c r="AJ38" s="73"/>
      <c r="AK38" s="73"/>
      <c r="AL38" s="73"/>
      <c r="AM38" t="s">
        <v>738</v>
      </c>
      <c r="AN38" t="s">
        <v>731</v>
      </c>
      <c r="AO38" t="s">
        <v>695</v>
      </c>
    </row>
    <row r="39" spans="1:41" ht="22" customHeight="1" collapsed="1">
      <c r="A39" s="60" t="s">
        <v>739</v>
      </c>
      <c r="B39" s="60"/>
      <c r="C39" s="60"/>
      <c r="D39" s="60"/>
      <c r="E39" s="60"/>
      <c r="F39" s="60"/>
      <c r="G39" s="60"/>
      <c r="H39" s="60"/>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O39" t="s">
        <v>691</v>
      </c>
    </row>
    <row r="40" spans="1:41" ht="18" hidden="1" customHeight="1" outlineLevel="1">
      <c r="A40" s="62"/>
      <c r="B40" s="62" t="s">
        <v>128</v>
      </c>
      <c r="C40" s="63" t="s">
        <v>714</v>
      </c>
      <c r="D40" s="63"/>
      <c r="E40" s="63"/>
      <c r="F40" s="63"/>
      <c r="G40" s="63"/>
      <c r="H40" s="63"/>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O40" t="s">
        <v>692</v>
      </c>
    </row>
    <row r="41" spans="1:41" ht="18" hidden="1" customHeight="1" outlineLevel="2">
      <c r="A41" s="65">
        <f>ROW(Rohdaten!$A$40)</f>
        <v>40</v>
      </c>
      <c r="B41" s="66">
        <f>IF(Rohdaten!$A$40="","",Rohdaten!$A$40)</f>
        <v/>
      </c>
      <c r="C41" s="67" t="s">
        <v>696</v>
      </c>
      <c r="D41" s="68" t="str">
        <f>IF(Rohdaten!$E$40="","",Rohdaten!$E$40)</f>
        <v>Förster / Greß</v>
      </c>
      <c r="E41" s="69" t="str">
        <f t="array" ref="E41">_xlfn.TEXTJOIN(" / ",TRUE,IF($I41:$AL41="●",$I$4:$AL$4,""))</f>
        <v>Förster / Greß</v>
      </c>
      <c r="F41" s="70" t="s">
        <v>697</v>
      </c>
      <c r="G41" s="71" t="s">
        <v>698</v>
      </c>
      <c r="H41" s="72" t="str">
        <f>IF($F41="automatisch",IF(ISNA(MATCH(Stichtag,RD_Kopf,0)),"automatisch",IF(SUMPRODUCT((RD_Kopf&gt;=IF($G41="monatlich",DATE(YEAR(Stichtag),MONTH(Stichtag),1),IF($G41="quartalsweise",DATE(YEAR(Stichtag),INT((MONTH(Stichtag)-1)/3)*3+1,1),Stichtag)))*(RD_Kopf&lt;=Stichtag)*ISNUMBER(Rohdaten!$A$40:$LJ$40))&gt;0,"erledigt","automatisch")),IF($F41&lt;&gt;"ja","nicht berichtet",IF(ISNA(MATCH(Stichtag,RD_Kopf,0)),"keine Spalte",IF(SUMPRODUCT((RD_Kopf&gt;=IF($G41="monatlich",DATE(YEAR(Stichtag),MONTH(Stichtag),1),IF($G41="quartalsweise",DATE(YEAR(Stichtag),INT((MONTH(Stichtag)-1)/3)*3+1,1),Stichtag)))*(RD_Kopf&lt;=Stichtag)*ISNUMBER(Rohdaten!$A$40:$LJ$40))&gt;0,"erledigt","offen"))))</f>
        <v>nicht berichtet</v>
      </c>
      <c r="I41" s="73"/>
      <c r="J41" s="73"/>
      <c r="K41" s="73"/>
      <c r="L41" s="73"/>
      <c r="M41" s="73"/>
      <c r="N41" s="73"/>
      <c r="O41" s="73" t="s">
        <v>700</v>
      </c>
      <c r="P41" s="73"/>
      <c r="Q41" s="73"/>
      <c r="R41" s="73"/>
      <c r="S41" s="73" t="s">
        <v>700</v>
      </c>
      <c r="T41" s="73"/>
      <c r="U41" s="73"/>
      <c r="V41" s="73"/>
      <c r="W41" s="73"/>
      <c r="X41" s="73"/>
      <c r="Y41" s="73"/>
      <c r="Z41" s="73"/>
      <c r="AA41" s="73"/>
      <c r="AB41" s="73"/>
      <c r="AC41" s="73"/>
      <c r="AD41" s="73"/>
      <c r="AE41" s="73"/>
      <c r="AF41" s="73"/>
      <c r="AG41" s="73"/>
      <c r="AH41" s="73"/>
      <c r="AI41" s="73"/>
      <c r="AJ41" s="73"/>
      <c r="AK41" s="73"/>
      <c r="AL41" s="73"/>
      <c r="AM41" t="s">
        <v>740</v>
      </c>
      <c r="AN41" t="s">
        <v>128</v>
      </c>
      <c r="AO41" t="s">
        <v>695</v>
      </c>
    </row>
    <row r="42" spans="1:41" ht="18" hidden="1" customHeight="1" outlineLevel="2">
      <c r="A42" s="65">
        <f>ROW(Rohdaten!$A$41)</f>
        <v>41</v>
      </c>
      <c r="B42" s="66">
        <f>IF(Rohdaten!$A$41="","",Rohdaten!$A$41)</f>
        <v/>
      </c>
      <c r="C42" s="67" t="s">
        <v>701</v>
      </c>
      <c r="D42" s="68" t="str">
        <f>IF(Rohdaten!$E$41="","",Rohdaten!$E$41)</f>
        <v>Streich</v>
      </c>
      <c r="E42" s="69" t="str">
        <f t="array" ref="E42">_xlfn.TEXTJOIN(" / ",TRUE,IF($I42:$AL42="●",$I$4:$AL$4,""))</f>
        <v>Streich</v>
      </c>
      <c r="F42" s="70" t="s">
        <v>697</v>
      </c>
      <c r="G42" s="71" t="s">
        <v>698</v>
      </c>
      <c r="H42" s="72" t="str">
        <f>IF($F42="automatisch",IF(ISNA(MATCH(Stichtag,RD_Kopf,0)),"automatisch",IF(SUMPRODUCT((RD_Kopf&gt;=IF($G42="monatlich",DATE(YEAR(Stichtag),MONTH(Stichtag),1),IF($G42="quartalsweise",DATE(YEAR(Stichtag),INT((MONTH(Stichtag)-1)/3)*3+1,1),Stichtag)))*(RD_Kopf&lt;=Stichtag)*ISNUMBER(Rohdaten!$A$41:$LJ$41))&gt;0,"erledigt","automatisch")),IF($F42&lt;&gt;"ja","nicht berichtet",IF(ISNA(MATCH(Stichtag,RD_Kopf,0)),"keine Spalte",IF(SUMPRODUCT((RD_Kopf&gt;=IF($G42="monatlich",DATE(YEAR(Stichtag),MONTH(Stichtag),1),IF($G42="quartalsweise",DATE(YEAR(Stichtag),INT((MONTH(Stichtag)-1)/3)*3+1,1),Stichtag)))*(RD_Kopf&lt;=Stichtag)*ISNUMBER(Rohdaten!$A$41:$LJ$41))&gt;0,"erledigt","offen"))))</f>
        <v>nicht berichtet</v>
      </c>
      <c r="I42" s="73"/>
      <c r="J42" s="73"/>
      <c r="K42" s="73"/>
      <c r="L42" s="73"/>
      <c r="M42" s="73"/>
      <c r="N42" s="73"/>
      <c r="O42" s="73"/>
      <c r="P42" s="73"/>
      <c r="Q42" s="73"/>
      <c r="R42" s="73"/>
      <c r="S42" s="73"/>
      <c r="T42" s="73"/>
      <c r="U42" s="73"/>
      <c r="V42" s="73"/>
      <c r="W42" s="73"/>
      <c r="X42" s="73"/>
      <c r="Y42" s="73"/>
      <c r="Z42" s="73"/>
      <c r="AA42" s="73"/>
      <c r="AB42" s="73"/>
      <c r="AC42" s="73"/>
      <c r="AD42" s="73"/>
      <c r="AE42" s="73"/>
      <c r="AF42" s="73" t="s">
        <v>700</v>
      </c>
      <c r="AG42" s="73"/>
      <c r="AH42" s="73"/>
      <c r="AI42" s="73"/>
      <c r="AJ42" s="73"/>
      <c r="AK42" s="73"/>
      <c r="AL42" s="73"/>
      <c r="AM42" t="s">
        <v>741</v>
      </c>
      <c r="AN42" t="s">
        <v>128</v>
      </c>
      <c r="AO42" t="s">
        <v>695</v>
      </c>
    </row>
    <row r="43" spans="1:41" ht="18" hidden="1" customHeight="1" outlineLevel="2">
      <c r="A43" s="65">
        <f>ROW(Rohdaten!$A$42)</f>
        <v>42</v>
      </c>
      <c r="B43" s="66">
        <f>IF(Rohdaten!$A$42="","",Rohdaten!$A$42)</f>
        <v/>
      </c>
      <c r="C43" s="67" t="s">
        <v>703</v>
      </c>
      <c r="D43" s="68" t="str">
        <f>IF(Rohdaten!$E$42="","",Rohdaten!$E$42)</f>
        <v>Gress</v>
      </c>
      <c r="E43" s="69" t="str">
        <f t="array" ref="E43">_xlfn.TEXTJOIN(" / ",TRUE,IF($I43:$AL43="●",$I$4:$AL$4,""))</f>
        <v>Gress</v>
      </c>
      <c r="F43" s="70" t="s">
        <v>697</v>
      </c>
      <c r="G43" s="71" t="s">
        <v>698</v>
      </c>
      <c r="H43" s="72" t="str">
        <f>IF($F43="automatisch",IF(ISNA(MATCH(Stichtag,RD_Kopf,0)),"automatisch",IF(SUMPRODUCT((RD_Kopf&gt;=IF($G43="monatlich",DATE(YEAR(Stichtag),MONTH(Stichtag),1),IF($G43="quartalsweise",DATE(YEAR(Stichtag),INT((MONTH(Stichtag)-1)/3)*3+1,1),Stichtag)))*(RD_Kopf&lt;=Stichtag)*ISNUMBER(Rohdaten!$A$42:$LJ$42))&gt;0,"erledigt","automatisch")),IF($F43&lt;&gt;"ja","nicht berichtet",IF(ISNA(MATCH(Stichtag,RD_Kopf,0)),"keine Spalte",IF(SUMPRODUCT((RD_Kopf&gt;=IF($G43="monatlich",DATE(YEAR(Stichtag),MONTH(Stichtag),1),IF($G43="quartalsweise",DATE(YEAR(Stichtag),INT((MONTH(Stichtag)-1)/3)*3+1,1),Stichtag)))*(RD_Kopf&lt;=Stichtag)*ISNUMBER(Rohdaten!$A$42:$LJ$42))&gt;0,"erledigt","offen"))))</f>
        <v>nicht berichtet</v>
      </c>
      <c r="I43" s="73"/>
      <c r="J43" s="73"/>
      <c r="K43" s="73"/>
      <c r="L43" s="73"/>
      <c r="M43" s="73"/>
      <c r="N43" s="73"/>
      <c r="O43" s="73"/>
      <c r="P43" s="73"/>
      <c r="Q43" s="73"/>
      <c r="R43" s="73"/>
      <c r="S43" s="73"/>
      <c r="T43" s="73" t="s">
        <v>700</v>
      </c>
      <c r="U43" s="73"/>
      <c r="V43" s="73"/>
      <c r="W43" s="73"/>
      <c r="X43" s="73"/>
      <c r="Y43" s="73"/>
      <c r="Z43" s="73"/>
      <c r="AA43" s="73"/>
      <c r="AB43" s="73"/>
      <c r="AC43" s="73"/>
      <c r="AD43" s="73"/>
      <c r="AE43" s="73"/>
      <c r="AF43" s="73"/>
      <c r="AG43" s="73"/>
      <c r="AH43" s="73"/>
      <c r="AI43" s="73"/>
      <c r="AJ43" s="73"/>
      <c r="AK43" s="73"/>
      <c r="AL43" s="73"/>
      <c r="AM43" t="s">
        <v>742</v>
      </c>
      <c r="AN43" t="s">
        <v>128</v>
      </c>
      <c r="AO43" t="s">
        <v>695</v>
      </c>
    </row>
    <row r="44" spans="1:41" ht="18" hidden="1" customHeight="1" outlineLevel="2">
      <c r="A44" s="65">
        <f>ROW(Rohdaten!$A$43)</f>
        <v>43</v>
      </c>
      <c r="B44" s="66">
        <f>IF(Rohdaten!$A$43="","",Rohdaten!$A$43)</f>
        <v/>
      </c>
      <c r="C44" s="67" t="s">
        <v>705</v>
      </c>
      <c r="D44" s="68" t="str">
        <f>IF(Rohdaten!$E$43="","",Rohdaten!$E$43)</f>
        <v>Schneider</v>
      </c>
      <c r="E44" s="69" t="str">
        <f t="array" ref="E44">_xlfn.TEXTJOIN(" / ",TRUE,IF($I44:$AL44="●",$I$4:$AL$4,""))</f>
        <v>Schneider</v>
      </c>
      <c r="F44" s="70" t="s">
        <v>697</v>
      </c>
      <c r="G44" s="71" t="s">
        <v>698</v>
      </c>
      <c r="H44" s="72" t="str">
        <f>IF($F44="automatisch",IF(ISNA(MATCH(Stichtag,RD_Kopf,0)),"automatisch",IF(SUMPRODUCT((RD_Kopf&gt;=IF($G44="monatlich",DATE(YEAR(Stichtag),MONTH(Stichtag),1),IF($G44="quartalsweise",DATE(YEAR(Stichtag),INT((MONTH(Stichtag)-1)/3)*3+1,1),Stichtag)))*(RD_Kopf&lt;=Stichtag)*ISNUMBER(Rohdaten!$A$43:$LJ$43))&gt;0,"erledigt","automatisch")),IF($F44&lt;&gt;"ja","nicht berichtet",IF(ISNA(MATCH(Stichtag,RD_Kopf,0)),"keine Spalte",IF(SUMPRODUCT((RD_Kopf&gt;=IF($G44="monatlich",DATE(YEAR(Stichtag),MONTH(Stichtag),1),IF($G44="quartalsweise",DATE(YEAR(Stichtag),INT((MONTH(Stichtag)-1)/3)*3+1,1),Stichtag)))*(RD_Kopf&lt;=Stichtag)*ISNUMBER(Rohdaten!$A$43:$LJ$43))&gt;0,"erledigt","offen"))))</f>
        <v>nicht berichtet</v>
      </c>
      <c r="I44" s="73"/>
      <c r="J44" s="73"/>
      <c r="K44" s="73"/>
      <c r="L44" s="73"/>
      <c r="M44" s="73"/>
      <c r="N44" s="73"/>
      <c r="O44" s="73"/>
      <c r="P44" s="73"/>
      <c r="Q44" s="73"/>
      <c r="R44" s="73"/>
      <c r="S44" s="73"/>
      <c r="T44" s="73"/>
      <c r="U44" s="73"/>
      <c r="V44" s="73"/>
      <c r="W44" s="73"/>
      <c r="X44" s="73"/>
      <c r="Y44" s="73"/>
      <c r="Z44" s="73"/>
      <c r="AA44" s="73"/>
      <c r="AB44" s="73"/>
      <c r="AC44" s="73"/>
      <c r="AD44" s="73"/>
      <c r="AE44" s="73" t="s">
        <v>700</v>
      </c>
      <c r="AF44" s="73"/>
      <c r="AG44" s="73"/>
      <c r="AH44" s="73"/>
      <c r="AI44" s="73"/>
      <c r="AJ44" s="73"/>
      <c r="AK44" s="73"/>
      <c r="AL44" s="73"/>
      <c r="AM44" t="s">
        <v>743</v>
      </c>
      <c r="AN44" t="s">
        <v>128</v>
      </c>
      <c r="AO44" t="s">
        <v>695</v>
      </c>
    </row>
    <row r="45" spans="1:41" ht="18" hidden="1" customHeight="1" outlineLevel="2">
      <c r="A45" s="65">
        <f>ROW(Rohdaten!$A$44)</f>
        <v>44</v>
      </c>
      <c r="B45" s="66">
        <f>IF(Rohdaten!$A$44="","",Rohdaten!$A$44)</f>
        <v/>
      </c>
      <c r="C45" s="67" t="s">
        <v>707</v>
      </c>
      <c r="D45" s="68" t="str">
        <f>IF(Rohdaten!$E$44="","",Rohdaten!$E$44)</f>
        <v>Lürken</v>
      </c>
      <c r="E45" s="69" t="str">
        <f t="array" ref="E45">_xlfn.TEXTJOIN(" / ",TRUE,IF($I45:$AL45="●",$I$4:$AL$4,""))</f>
        <v>Lürken</v>
      </c>
      <c r="F45" s="70" t="s">
        <v>697</v>
      </c>
      <c r="G45" s="71" t="s">
        <v>698</v>
      </c>
      <c r="H45" s="72" t="str">
        <f>IF($F45="automatisch",IF(ISNA(MATCH(Stichtag,RD_Kopf,0)),"automatisch",IF(SUMPRODUCT((RD_Kopf&gt;=IF($G45="monatlich",DATE(YEAR(Stichtag),MONTH(Stichtag),1),IF($G45="quartalsweise",DATE(YEAR(Stichtag),INT((MONTH(Stichtag)-1)/3)*3+1,1),Stichtag)))*(RD_Kopf&lt;=Stichtag)*ISNUMBER(Rohdaten!$A$44:$LJ$44))&gt;0,"erledigt","automatisch")),IF($F45&lt;&gt;"ja","nicht berichtet",IF(ISNA(MATCH(Stichtag,RD_Kopf,0)),"keine Spalte",IF(SUMPRODUCT((RD_Kopf&gt;=IF($G45="monatlich",DATE(YEAR(Stichtag),MONTH(Stichtag),1),IF($G45="quartalsweise",DATE(YEAR(Stichtag),INT((MONTH(Stichtag)-1)/3)*3+1,1),Stichtag)))*(RD_Kopf&lt;=Stichtag)*ISNUMBER(Rohdaten!$A$44:$LJ$44))&gt;0,"erledigt","offen"))))</f>
        <v>nicht berichtet</v>
      </c>
      <c r="I45" s="73"/>
      <c r="J45" s="73"/>
      <c r="K45" s="73"/>
      <c r="L45" s="73"/>
      <c r="M45" s="73"/>
      <c r="N45" s="73"/>
      <c r="O45" s="73"/>
      <c r="P45" s="73"/>
      <c r="Q45" s="73"/>
      <c r="R45" s="73"/>
      <c r="S45" s="73"/>
      <c r="T45" s="73"/>
      <c r="U45" s="73"/>
      <c r="V45" s="73"/>
      <c r="W45" s="73"/>
      <c r="X45" s="73"/>
      <c r="Y45" s="73"/>
      <c r="Z45" s="73"/>
      <c r="AA45" s="73" t="s">
        <v>700</v>
      </c>
      <c r="AB45" s="73"/>
      <c r="AC45" s="73"/>
      <c r="AD45" s="73"/>
      <c r="AE45" s="73"/>
      <c r="AF45" s="73"/>
      <c r="AG45" s="73"/>
      <c r="AH45" s="73"/>
      <c r="AI45" s="73"/>
      <c r="AJ45" s="73"/>
      <c r="AK45" s="73"/>
      <c r="AL45" s="73"/>
      <c r="AM45" t="s">
        <v>744</v>
      </c>
      <c r="AN45" t="s">
        <v>128</v>
      </c>
      <c r="AO45" t="s">
        <v>695</v>
      </c>
    </row>
    <row r="46" spans="1:41" ht="18" hidden="1" customHeight="1" outlineLevel="2">
      <c r="A46" s="65">
        <f>ROW(Rohdaten!$A$45)</f>
        <v>45</v>
      </c>
      <c r="B46" s="66">
        <f>IF(Rohdaten!$A$45="","",Rohdaten!$A$45)</f>
        <v/>
      </c>
      <c r="C46" s="67" t="s">
        <v>709</v>
      </c>
      <c r="D46" s="68" t="str">
        <f>IF(Rohdaten!$E$45="","",Rohdaten!$E$45)</f>
        <v>Kraus</v>
      </c>
      <c r="E46" s="69" t="str">
        <f t="array" ref="E46">_xlfn.TEXTJOIN(" / ",TRUE,IF($I46:$AL46="●",$I$4:$AL$4,""))</f>
        <v>Kraus</v>
      </c>
      <c r="F46" s="70" t="s">
        <v>697</v>
      </c>
      <c r="G46" s="71" t="s">
        <v>698</v>
      </c>
      <c r="H46" s="72" t="str">
        <f>IF($F46="automatisch",IF(ISNA(MATCH(Stichtag,RD_Kopf,0)),"automatisch",IF(SUMPRODUCT((RD_Kopf&gt;=IF($G46="monatlich",DATE(YEAR(Stichtag),MONTH(Stichtag),1),IF($G46="quartalsweise",DATE(YEAR(Stichtag),INT((MONTH(Stichtag)-1)/3)*3+1,1),Stichtag)))*(RD_Kopf&lt;=Stichtag)*ISNUMBER(Rohdaten!$A$45:$LJ$45))&gt;0,"erledigt","automatisch")),IF($F46&lt;&gt;"ja","nicht berichtet",IF(ISNA(MATCH(Stichtag,RD_Kopf,0)),"keine Spalte",IF(SUMPRODUCT((RD_Kopf&gt;=IF($G46="monatlich",DATE(YEAR(Stichtag),MONTH(Stichtag),1),IF($G46="quartalsweise",DATE(YEAR(Stichtag),INT((MONTH(Stichtag)-1)/3)*3+1,1),Stichtag)))*(RD_Kopf&lt;=Stichtag)*ISNUMBER(Rohdaten!$A$45:$LJ$45))&gt;0,"erledigt","offen"))))</f>
        <v>nicht berichtet</v>
      </c>
      <c r="I46" s="73"/>
      <c r="J46" s="73"/>
      <c r="K46" s="73"/>
      <c r="L46" s="73"/>
      <c r="M46" s="73"/>
      <c r="N46" s="73"/>
      <c r="O46" s="73"/>
      <c r="P46" s="73"/>
      <c r="Q46" s="73"/>
      <c r="R46" s="73"/>
      <c r="S46" s="73"/>
      <c r="T46" s="73"/>
      <c r="U46" s="73"/>
      <c r="V46" s="73"/>
      <c r="W46" s="73"/>
      <c r="X46" s="73"/>
      <c r="Y46" s="73" t="s">
        <v>700</v>
      </c>
      <c r="Z46" s="73"/>
      <c r="AA46" s="73"/>
      <c r="AB46" s="73"/>
      <c r="AC46" s="73"/>
      <c r="AD46" s="73"/>
      <c r="AE46" s="73"/>
      <c r="AF46" s="73"/>
      <c r="AG46" s="73"/>
      <c r="AH46" s="73"/>
      <c r="AI46" s="73"/>
      <c r="AJ46" s="73"/>
      <c r="AK46" s="73"/>
      <c r="AL46" s="73"/>
      <c r="AM46" t="s">
        <v>745</v>
      </c>
      <c r="AN46" t="s">
        <v>128</v>
      </c>
      <c r="AO46" t="s">
        <v>695</v>
      </c>
    </row>
    <row r="47" spans="1:41" ht="18" hidden="1" customHeight="1" outlineLevel="2">
      <c r="A47" s="65">
        <f>ROW(Rohdaten!$A$46)</f>
        <v>46</v>
      </c>
      <c r="B47" s="66">
        <f>IF(Rohdaten!$A$46="","",Rohdaten!$A$46)</f>
        <v/>
      </c>
      <c r="C47" s="67" t="s">
        <v>711</v>
      </c>
      <c r="D47" s="68" t="str">
        <f>IF(Rohdaten!$E$46="","",Rohdaten!$E$46)</f>
        <v>Westrich</v>
      </c>
      <c r="E47" s="69" t="str">
        <f t="array" ref="E47">_xlfn.TEXTJOIN(" / ",TRUE,IF($I47:$AL47="●",$I$4:$AL$4,""))</f>
        <v>Westrich</v>
      </c>
      <c r="F47" s="70" t="s">
        <v>697</v>
      </c>
      <c r="G47" s="71" t="s">
        <v>698</v>
      </c>
      <c r="H47" s="72" t="str">
        <f>IF($F47="automatisch",IF(ISNA(MATCH(Stichtag,RD_Kopf,0)),"automatisch",IF(SUMPRODUCT((RD_Kopf&gt;=IF($G47="monatlich",DATE(YEAR(Stichtag),MONTH(Stichtag),1),IF($G47="quartalsweise",DATE(YEAR(Stichtag),INT((MONTH(Stichtag)-1)/3)*3+1,1),Stichtag)))*(RD_Kopf&lt;=Stichtag)*ISNUMBER(Rohdaten!$A$46:$LJ$46))&gt;0,"erledigt","automatisch")),IF($F47&lt;&gt;"ja","nicht berichtet",IF(ISNA(MATCH(Stichtag,RD_Kopf,0)),"keine Spalte",IF(SUMPRODUCT((RD_Kopf&gt;=IF($G47="monatlich",DATE(YEAR(Stichtag),MONTH(Stichtag),1),IF($G47="quartalsweise",DATE(YEAR(Stichtag),INT((MONTH(Stichtag)-1)/3)*3+1,1),Stichtag)))*(RD_Kopf&lt;=Stichtag)*ISNUMBER(Rohdaten!$A$46:$LJ$46))&gt;0,"erledigt","offen"))))</f>
        <v>nicht berichtet</v>
      </c>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t="s">
        <v>700</v>
      </c>
      <c r="AH47" s="73"/>
      <c r="AI47" s="73"/>
      <c r="AJ47" s="73"/>
      <c r="AK47" s="73"/>
      <c r="AL47" s="73"/>
      <c r="AM47" t="s">
        <v>746</v>
      </c>
      <c r="AN47" t="s">
        <v>128</v>
      </c>
      <c r="AO47" t="s">
        <v>695</v>
      </c>
    </row>
    <row r="48" spans="1:41" ht="22" customHeight="1" collapsed="1">
      <c r="A48" s="60" t="s">
        <v>747</v>
      </c>
      <c r="B48" s="60"/>
      <c r="C48" s="60"/>
      <c r="D48" s="60"/>
      <c r="E48" s="60"/>
      <c r="F48" s="60"/>
      <c r="G48" s="60"/>
      <c r="H48" s="60"/>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O48" t="s">
        <v>691</v>
      </c>
    </row>
    <row r="49" spans="1:41" ht="18" hidden="1" customHeight="1" outlineLevel="1">
      <c r="A49" s="62"/>
      <c r="B49" s="62" t="s">
        <v>748</v>
      </c>
      <c r="C49" s="63" t="s">
        <v>694</v>
      </c>
      <c r="D49" s="63"/>
      <c r="E49" s="63"/>
      <c r="F49" s="63"/>
      <c r="G49" s="63"/>
      <c r="H49" s="63"/>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O49" t="s">
        <v>692</v>
      </c>
    </row>
    <row r="50" spans="1:41" ht="18" hidden="1" customHeight="1" outlineLevel="2">
      <c r="A50" s="65">
        <f>ROW(Rohdaten!$A$48)</f>
        <v>48</v>
      </c>
      <c r="B50" s="66">
        <f>IF(Rohdaten!$A$48="","",Rohdaten!$A$48)</f>
        <v/>
      </c>
      <c r="C50" s="67" t="s">
        <v>696</v>
      </c>
      <c r="D50" s="68" t="str">
        <f>IF(Rohdaten!$E$48="","",Rohdaten!$E$48)</f>
        <v>Förster / Kyriakidis</v>
      </c>
      <c r="E50" s="69" t="str">
        <f t="array" ref="E50">_xlfn.TEXTJOIN(" / ",TRUE,IF($I50:$AL50="●",$I$4:$AL$4,""))</f>
        <v>Förster / Kyriakidis</v>
      </c>
      <c r="F50" s="70" t="s">
        <v>697</v>
      </c>
      <c r="G50" s="71" t="s">
        <v>698</v>
      </c>
      <c r="H50" s="72" t="str">
        <f>IF($F50="automatisch",IF(ISNA(MATCH(Stichtag,RD_Kopf,0)),"automatisch",IF(SUMPRODUCT((RD_Kopf&gt;=IF($G50="monatlich",DATE(YEAR(Stichtag),MONTH(Stichtag),1),IF($G50="quartalsweise",DATE(YEAR(Stichtag),INT((MONTH(Stichtag)-1)/3)*3+1,1),Stichtag)))*(RD_Kopf&lt;=Stichtag)*ISNUMBER(Rohdaten!$A$48:$LJ$48))&gt;0,"erledigt","automatisch")),IF($F50&lt;&gt;"ja","nicht berichtet",IF(ISNA(MATCH(Stichtag,RD_Kopf,0)),"keine Spalte",IF(SUMPRODUCT((RD_Kopf&gt;=IF($G50="monatlich",DATE(YEAR(Stichtag),MONTH(Stichtag),1),IF($G50="quartalsweise",DATE(YEAR(Stichtag),INT((MONTH(Stichtag)-1)/3)*3+1,1),Stichtag)))*(RD_Kopf&lt;=Stichtag)*ISNUMBER(Rohdaten!$A$48:$LJ$48))&gt;0,"erledigt","offen"))))</f>
        <v>nicht berichtet</v>
      </c>
      <c r="I50" s="73"/>
      <c r="J50" s="73"/>
      <c r="K50" s="73"/>
      <c r="L50" s="73"/>
      <c r="M50" s="73"/>
      <c r="N50" s="73"/>
      <c r="O50" s="73" t="s">
        <v>700</v>
      </c>
      <c r="P50" s="73"/>
      <c r="Q50" s="73"/>
      <c r="R50" s="73"/>
      <c r="S50" s="73"/>
      <c r="T50" s="73"/>
      <c r="U50" s="73"/>
      <c r="V50" s="73"/>
      <c r="W50" s="73"/>
      <c r="X50" s="73"/>
      <c r="Y50" s="73"/>
      <c r="Z50" s="73" t="s">
        <v>700</v>
      </c>
      <c r="AA50" s="73"/>
      <c r="AB50" s="73"/>
      <c r="AC50" s="73"/>
      <c r="AD50" s="73"/>
      <c r="AE50" s="73"/>
      <c r="AF50" s="73"/>
      <c r="AG50" s="73"/>
      <c r="AH50" s="73"/>
      <c r="AI50" s="73"/>
      <c r="AJ50" s="73"/>
      <c r="AK50" s="73"/>
      <c r="AL50" s="73"/>
      <c r="AM50" t="s">
        <v>749</v>
      </c>
      <c r="AN50" t="s">
        <v>748</v>
      </c>
      <c r="AO50" t="s">
        <v>695</v>
      </c>
    </row>
    <row r="51" spans="1:41" ht="18" hidden="1" customHeight="1" outlineLevel="2">
      <c r="A51" s="65">
        <f>ROW(Rohdaten!$A$49)</f>
        <v>49</v>
      </c>
      <c r="B51" s="66">
        <f>IF(Rohdaten!$A$49="","",Rohdaten!$A$49)</f>
        <v/>
      </c>
      <c r="C51" s="67" t="s">
        <v>701</v>
      </c>
      <c r="D51" s="68" t="str">
        <f>IF(Rohdaten!$E$49="","",Rohdaten!$E$49)</f>
        <v>Streich</v>
      </c>
      <c r="E51" s="69" t="str">
        <f t="array" ref="E51">_xlfn.TEXTJOIN(" / ",TRUE,IF($I51:$AL51="●",$I$4:$AL$4,""))</f>
        <v>Streich</v>
      </c>
      <c r="F51" s="70" t="s">
        <v>697</v>
      </c>
      <c r="G51" s="71" t="s">
        <v>698</v>
      </c>
      <c r="H51" s="72" t="str">
        <f>IF($F51="automatisch",IF(ISNA(MATCH(Stichtag,RD_Kopf,0)),"automatisch",IF(SUMPRODUCT((RD_Kopf&gt;=IF($G51="monatlich",DATE(YEAR(Stichtag),MONTH(Stichtag),1),IF($G51="quartalsweise",DATE(YEAR(Stichtag),INT((MONTH(Stichtag)-1)/3)*3+1,1),Stichtag)))*(RD_Kopf&lt;=Stichtag)*ISNUMBER(Rohdaten!$A$49:$LJ$49))&gt;0,"erledigt","automatisch")),IF($F51&lt;&gt;"ja","nicht berichtet",IF(ISNA(MATCH(Stichtag,RD_Kopf,0)),"keine Spalte",IF(SUMPRODUCT((RD_Kopf&gt;=IF($G51="monatlich",DATE(YEAR(Stichtag),MONTH(Stichtag),1),IF($G51="quartalsweise",DATE(YEAR(Stichtag),INT((MONTH(Stichtag)-1)/3)*3+1,1),Stichtag)))*(RD_Kopf&lt;=Stichtag)*ISNUMBER(Rohdaten!$A$49:$LJ$49))&gt;0,"erledigt","offen"))))</f>
        <v>nicht berichtet</v>
      </c>
      <c r="I51" s="73"/>
      <c r="J51" s="73"/>
      <c r="K51" s="73"/>
      <c r="L51" s="73"/>
      <c r="M51" s="73"/>
      <c r="N51" s="73"/>
      <c r="O51" s="73"/>
      <c r="P51" s="73"/>
      <c r="Q51" s="73"/>
      <c r="R51" s="73"/>
      <c r="S51" s="73"/>
      <c r="T51" s="73"/>
      <c r="U51" s="73"/>
      <c r="V51" s="73"/>
      <c r="W51" s="73"/>
      <c r="X51" s="73"/>
      <c r="Y51" s="73"/>
      <c r="Z51" s="73"/>
      <c r="AA51" s="73"/>
      <c r="AB51" s="73"/>
      <c r="AC51" s="73"/>
      <c r="AD51" s="73"/>
      <c r="AE51" s="73"/>
      <c r="AF51" s="73" t="s">
        <v>700</v>
      </c>
      <c r="AG51" s="73"/>
      <c r="AH51" s="73"/>
      <c r="AI51" s="73"/>
      <c r="AJ51" s="73"/>
      <c r="AK51" s="73"/>
      <c r="AL51" s="73"/>
      <c r="AM51" t="s">
        <v>750</v>
      </c>
      <c r="AN51" t="s">
        <v>748</v>
      </c>
      <c r="AO51" t="s">
        <v>695</v>
      </c>
    </row>
    <row r="52" spans="1:41" ht="18" hidden="1" customHeight="1" outlineLevel="2">
      <c r="A52" s="65">
        <f>ROW(Rohdaten!$A$50)</f>
        <v>50</v>
      </c>
      <c r="B52" s="66">
        <f>IF(Rohdaten!$A$50="","",Rohdaten!$A$50)</f>
        <v/>
      </c>
      <c r="C52" s="67" t="s">
        <v>703</v>
      </c>
      <c r="D52" s="68" t="str">
        <f>IF(Rohdaten!$E$50="","",Rohdaten!$E$50)</f>
        <v>Gress</v>
      </c>
      <c r="E52" s="69" t="str">
        <f t="array" ref="E52">_xlfn.TEXTJOIN(" / ",TRUE,IF($I52:$AL52="●",$I$4:$AL$4,""))</f>
        <v>Gress</v>
      </c>
      <c r="F52" s="70" t="s">
        <v>697</v>
      </c>
      <c r="G52" s="71" t="s">
        <v>698</v>
      </c>
      <c r="H52" s="72" t="str">
        <f>IF($F52="automatisch",IF(ISNA(MATCH(Stichtag,RD_Kopf,0)),"automatisch",IF(SUMPRODUCT((RD_Kopf&gt;=IF($G52="monatlich",DATE(YEAR(Stichtag),MONTH(Stichtag),1),IF($G52="quartalsweise",DATE(YEAR(Stichtag),INT((MONTH(Stichtag)-1)/3)*3+1,1),Stichtag)))*(RD_Kopf&lt;=Stichtag)*ISNUMBER(Rohdaten!$A$50:$LJ$50))&gt;0,"erledigt","automatisch")),IF($F52&lt;&gt;"ja","nicht berichtet",IF(ISNA(MATCH(Stichtag,RD_Kopf,0)),"keine Spalte",IF(SUMPRODUCT((RD_Kopf&gt;=IF($G52="monatlich",DATE(YEAR(Stichtag),MONTH(Stichtag),1),IF($G52="quartalsweise",DATE(YEAR(Stichtag),INT((MONTH(Stichtag)-1)/3)*3+1,1),Stichtag)))*(RD_Kopf&lt;=Stichtag)*ISNUMBER(Rohdaten!$A$50:$LJ$50))&gt;0,"erledigt","offen"))))</f>
        <v>nicht berichtet</v>
      </c>
      <c r="I52" s="73"/>
      <c r="J52" s="73"/>
      <c r="K52" s="73"/>
      <c r="L52" s="73"/>
      <c r="M52" s="73"/>
      <c r="N52" s="73"/>
      <c r="O52" s="73"/>
      <c r="P52" s="73"/>
      <c r="Q52" s="73"/>
      <c r="R52" s="73"/>
      <c r="S52" s="73"/>
      <c r="T52" s="73" t="s">
        <v>700</v>
      </c>
      <c r="U52" s="73"/>
      <c r="V52" s="73"/>
      <c r="W52" s="73"/>
      <c r="X52" s="73"/>
      <c r="Y52" s="73"/>
      <c r="Z52" s="73"/>
      <c r="AA52" s="73"/>
      <c r="AB52" s="73"/>
      <c r="AC52" s="73"/>
      <c r="AD52" s="73"/>
      <c r="AE52" s="73"/>
      <c r="AF52" s="73"/>
      <c r="AG52" s="73"/>
      <c r="AH52" s="73"/>
      <c r="AI52" s="73"/>
      <c r="AJ52" s="73"/>
      <c r="AK52" s="73"/>
      <c r="AL52" s="73"/>
      <c r="AM52" t="s">
        <v>751</v>
      </c>
      <c r="AN52" t="s">
        <v>748</v>
      </c>
      <c r="AO52" t="s">
        <v>695</v>
      </c>
    </row>
    <row r="53" spans="1:41" ht="18" hidden="1" customHeight="1" outlineLevel="2">
      <c r="A53" s="65">
        <f>ROW(Rohdaten!$A$51)</f>
        <v>51</v>
      </c>
      <c r="B53" s="66">
        <f>IF(Rohdaten!$A$51="","",Rohdaten!$A$51)</f>
        <v/>
      </c>
      <c r="C53" s="67" t="s">
        <v>705</v>
      </c>
      <c r="D53" s="68" t="str">
        <f>IF(Rohdaten!$E$51="","",Rohdaten!$E$51)</f>
        <v>Schneider</v>
      </c>
      <c r="E53" s="69" t="str">
        <f t="array" ref="E53">_xlfn.TEXTJOIN(" / ",TRUE,IF($I53:$AL53="●",$I$4:$AL$4,""))</f>
        <v>Schneider</v>
      </c>
      <c r="F53" s="70" t="s">
        <v>697</v>
      </c>
      <c r="G53" s="71" t="s">
        <v>698</v>
      </c>
      <c r="H53" s="72" t="str">
        <f>IF($F53="automatisch",IF(ISNA(MATCH(Stichtag,RD_Kopf,0)),"automatisch",IF(SUMPRODUCT((RD_Kopf&gt;=IF($G53="monatlich",DATE(YEAR(Stichtag),MONTH(Stichtag),1),IF($G53="quartalsweise",DATE(YEAR(Stichtag),INT((MONTH(Stichtag)-1)/3)*3+1,1),Stichtag)))*(RD_Kopf&lt;=Stichtag)*ISNUMBER(Rohdaten!$A$51:$LJ$51))&gt;0,"erledigt","automatisch")),IF($F53&lt;&gt;"ja","nicht berichtet",IF(ISNA(MATCH(Stichtag,RD_Kopf,0)),"keine Spalte",IF(SUMPRODUCT((RD_Kopf&gt;=IF($G53="monatlich",DATE(YEAR(Stichtag),MONTH(Stichtag),1),IF($G53="quartalsweise",DATE(YEAR(Stichtag),INT((MONTH(Stichtag)-1)/3)*3+1,1),Stichtag)))*(RD_Kopf&lt;=Stichtag)*ISNUMBER(Rohdaten!$A$51:$LJ$51))&gt;0,"erledigt","offen"))))</f>
        <v>nicht berichtet</v>
      </c>
      <c r="I53" s="73"/>
      <c r="J53" s="73"/>
      <c r="K53" s="73"/>
      <c r="L53" s="73"/>
      <c r="M53" s="73"/>
      <c r="N53" s="73"/>
      <c r="O53" s="73"/>
      <c r="P53" s="73"/>
      <c r="Q53" s="73"/>
      <c r="R53" s="73"/>
      <c r="S53" s="73"/>
      <c r="T53" s="73"/>
      <c r="U53" s="73"/>
      <c r="V53" s="73"/>
      <c r="W53" s="73"/>
      <c r="X53" s="73"/>
      <c r="Y53" s="73"/>
      <c r="Z53" s="73"/>
      <c r="AA53" s="73"/>
      <c r="AB53" s="73"/>
      <c r="AC53" s="73"/>
      <c r="AD53" s="73"/>
      <c r="AE53" s="73" t="s">
        <v>700</v>
      </c>
      <c r="AF53" s="73"/>
      <c r="AG53" s="73"/>
      <c r="AH53" s="73"/>
      <c r="AI53" s="73"/>
      <c r="AJ53" s="73"/>
      <c r="AK53" s="73"/>
      <c r="AL53" s="73"/>
      <c r="AM53" t="s">
        <v>752</v>
      </c>
      <c r="AN53" t="s">
        <v>748</v>
      </c>
      <c r="AO53" t="s">
        <v>695</v>
      </c>
    </row>
    <row r="54" spans="1:41" ht="18" hidden="1" customHeight="1" outlineLevel="2">
      <c r="A54" s="65">
        <f>ROW(Rohdaten!$A$52)</f>
        <v>52</v>
      </c>
      <c r="B54" s="66">
        <f>IF(Rohdaten!$A$52="","",Rohdaten!$A$52)</f>
        <v/>
      </c>
      <c r="C54" s="67" t="s">
        <v>707</v>
      </c>
      <c r="D54" s="68" t="str">
        <f>IF(Rohdaten!$E$52="","",Rohdaten!$E$52)</f>
        <v>Lürken</v>
      </c>
      <c r="E54" s="69" t="str">
        <f t="array" ref="E54">_xlfn.TEXTJOIN(" / ",TRUE,IF($I54:$AL54="●",$I$4:$AL$4,""))</f>
        <v>Lürken</v>
      </c>
      <c r="F54" s="70" t="s">
        <v>697</v>
      </c>
      <c r="G54" s="71" t="s">
        <v>698</v>
      </c>
      <c r="H54" s="72" t="str">
        <f>IF($F54="automatisch",IF(ISNA(MATCH(Stichtag,RD_Kopf,0)),"automatisch",IF(SUMPRODUCT((RD_Kopf&gt;=IF($G54="monatlich",DATE(YEAR(Stichtag),MONTH(Stichtag),1),IF($G54="quartalsweise",DATE(YEAR(Stichtag),INT((MONTH(Stichtag)-1)/3)*3+1,1),Stichtag)))*(RD_Kopf&lt;=Stichtag)*ISNUMBER(Rohdaten!$A$52:$LJ$52))&gt;0,"erledigt","automatisch")),IF($F54&lt;&gt;"ja","nicht berichtet",IF(ISNA(MATCH(Stichtag,RD_Kopf,0)),"keine Spalte",IF(SUMPRODUCT((RD_Kopf&gt;=IF($G54="monatlich",DATE(YEAR(Stichtag),MONTH(Stichtag),1),IF($G54="quartalsweise",DATE(YEAR(Stichtag),INT((MONTH(Stichtag)-1)/3)*3+1,1),Stichtag)))*(RD_Kopf&lt;=Stichtag)*ISNUMBER(Rohdaten!$A$52:$LJ$52))&gt;0,"erledigt","offen"))))</f>
        <v>nicht berichtet</v>
      </c>
      <c r="I54" s="73"/>
      <c r="J54" s="73"/>
      <c r="K54" s="73"/>
      <c r="L54" s="73"/>
      <c r="M54" s="73"/>
      <c r="N54" s="73"/>
      <c r="O54" s="73"/>
      <c r="P54" s="73"/>
      <c r="Q54" s="73"/>
      <c r="R54" s="73"/>
      <c r="S54" s="73"/>
      <c r="T54" s="73"/>
      <c r="U54" s="73"/>
      <c r="V54" s="73"/>
      <c r="W54" s="73"/>
      <c r="X54" s="73"/>
      <c r="Y54" s="73"/>
      <c r="Z54" s="73"/>
      <c r="AA54" s="73" t="s">
        <v>700</v>
      </c>
      <c r="AB54" s="73"/>
      <c r="AC54" s="73"/>
      <c r="AD54" s="73"/>
      <c r="AE54" s="73"/>
      <c r="AF54" s="73"/>
      <c r="AG54" s="73"/>
      <c r="AH54" s="73"/>
      <c r="AI54" s="73"/>
      <c r="AJ54" s="73"/>
      <c r="AK54" s="73"/>
      <c r="AL54" s="73"/>
      <c r="AM54" t="s">
        <v>753</v>
      </c>
      <c r="AN54" t="s">
        <v>748</v>
      </c>
      <c r="AO54" t="s">
        <v>695</v>
      </c>
    </row>
    <row r="55" spans="1:41" ht="18" hidden="1" customHeight="1" outlineLevel="2">
      <c r="A55" s="65">
        <f>ROW(Rohdaten!$A$53)</f>
        <v>53</v>
      </c>
      <c r="B55" s="66">
        <f>IF(Rohdaten!$A$53="","",Rohdaten!$A$53)</f>
        <v/>
      </c>
      <c r="C55" s="67" t="s">
        <v>709</v>
      </c>
      <c r="D55" s="68" t="str">
        <f>IF(Rohdaten!$E$53="","",Rohdaten!$E$53)</f>
        <v>Kraus</v>
      </c>
      <c r="E55" s="69" t="str">
        <f t="array" ref="E55">_xlfn.TEXTJOIN(" / ",TRUE,IF($I55:$AL55="●",$I$4:$AL$4,""))</f>
        <v>Kraus</v>
      </c>
      <c r="F55" s="70" t="s">
        <v>697</v>
      </c>
      <c r="G55" s="71" t="s">
        <v>698</v>
      </c>
      <c r="H55" s="72" t="str">
        <f>IF($F55="automatisch",IF(ISNA(MATCH(Stichtag,RD_Kopf,0)),"automatisch",IF(SUMPRODUCT((RD_Kopf&gt;=IF($G55="monatlich",DATE(YEAR(Stichtag),MONTH(Stichtag),1),IF($G55="quartalsweise",DATE(YEAR(Stichtag),INT((MONTH(Stichtag)-1)/3)*3+1,1),Stichtag)))*(RD_Kopf&lt;=Stichtag)*ISNUMBER(Rohdaten!$A$53:$LJ$53))&gt;0,"erledigt","automatisch")),IF($F55&lt;&gt;"ja","nicht berichtet",IF(ISNA(MATCH(Stichtag,RD_Kopf,0)),"keine Spalte",IF(SUMPRODUCT((RD_Kopf&gt;=IF($G55="monatlich",DATE(YEAR(Stichtag),MONTH(Stichtag),1),IF($G55="quartalsweise",DATE(YEAR(Stichtag),INT((MONTH(Stichtag)-1)/3)*3+1,1),Stichtag)))*(RD_Kopf&lt;=Stichtag)*ISNUMBER(Rohdaten!$A$53:$LJ$53))&gt;0,"erledigt","offen"))))</f>
        <v>nicht berichtet</v>
      </c>
      <c r="I55" s="73"/>
      <c r="J55" s="73"/>
      <c r="K55" s="73"/>
      <c r="L55" s="73"/>
      <c r="M55" s="73"/>
      <c r="N55" s="73"/>
      <c r="O55" s="73"/>
      <c r="P55" s="73"/>
      <c r="Q55" s="73"/>
      <c r="R55" s="73"/>
      <c r="S55" s="73"/>
      <c r="T55" s="73"/>
      <c r="U55" s="73"/>
      <c r="V55" s="73"/>
      <c r="W55" s="73"/>
      <c r="X55" s="73"/>
      <c r="Y55" s="73" t="s">
        <v>700</v>
      </c>
      <c r="Z55" s="73"/>
      <c r="AA55" s="73"/>
      <c r="AB55" s="73"/>
      <c r="AC55" s="73"/>
      <c r="AD55" s="73"/>
      <c r="AE55" s="73"/>
      <c r="AF55" s="73"/>
      <c r="AG55" s="73"/>
      <c r="AH55" s="73"/>
      <c r="AI55" s="73"/>
      <c r="AJ55" s="73"/>
      <c r="AK55" s="73"/>
      <c r="AL55" s="73"/>
      <c r="AM55" t="s">
        <v>754</v>
      </c>
      <c r="AN55" t="s">
        <v>748</v>
      </c>
      <c r="AO55" t="s">
        <v>695</v>
      </c>
    </row>
    <row r="56" spans="1:41" ht="18" hidden="1" customHeight="1" outlineLevel="2">
      <c r="A56" s="65">
        <f>ROW(Rohdaten!$A$54)</f>
        <v>54</v>
      </c>
      <c r="B56" s="66">
        <f>IF(Rohdaten!$A$54="","",Rohdaten!$A$54)</f>
        <v/>
      </c>
      <c r="C56" s="67" t="s">
        <v>711</v>
      </c>
      <c r="D56" s="68" t="str">
        <f>IF(Rohdaten!$E$54="","",Rohdaten!$E$54)</f>
        <v>Westrich</v>
      </c>
      <c r="E56" s="69" t="str">
        <f t="array" ref="E56">_xlfn.TEXTJOIN(" / ",TRUE,IF($I56:$AL56="●",$I$4:$AL$4,""))</f>
        <v>Westrich</v>
      </c>
      <c r="F56" s="70" t="s">
        <v>697</v>
      </c>
      <c r="G56" s="71" t="s">
        <v>698</v>
      </c>
      <c r="H56" s="72" t="str">
        <f>IF($F56="automatisch",IF(ISNA(MATCH(Stichtag,RD_Kopf,0)),"automatisch",IF(SUMPRODUCT((RD_Kopf&gt;=IF($G56="monatlich",DATE(YEAR(Stichtag),MONTH(Stichtag),1),IF($G56="quartalsweise",DATE(YEAR(Stichtag),INT((MONTH(Stichtag)-1)/3)*3+1,1),Stichtag)))*(RD_Kopf&lt;=Stichtag)*ISNUMBER(Rohdaten!$A$54:$LJ$54))&gt;0,"erledigt","automatisch")),IF($F56&lt;&gt;"ja","nicht berichtet",IF(ISNA(MATCH(Stichtag,RD_Kopf,0)),"keine Spalte",IF(SUMPRODUCT((RD_Kopf&gt;=IF($G56="monatlich",DATE(YEAR(Stichtag),MONTH(Stichtag),1),IF($G56="quartalsweise",DATE(YEAR(Stichtag),INT((MONTH(Stichtag)-1)/3)*3+1,1),Stichtag)))*(RD_Kopf&lt;=Stichtag)*ISNUMBER(Rohdaten!$A$54:$LJ$54))&gt;0,"erledigt","offen"))))</f>
        <v>nicht berichtet</v>
      </c>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t="s">
        <v>700</v>
      </c>
      <c r="AH56" s="73"/>
      <c r="AI56" s="73"/>
      <c r="AJ56" s="73"/>
      <c r="AK56" s="73"/>
      <c r="AL56" s="73"/>
      <c r="AM56" t="s">
        <v>755</v>
      </c>
      <c r="AN56" t="s">
        <v>748</v>
      </c>
      <c r="AO56" t="s">
        <v>695</v>
      </c>
    </row>
    <row r="57" spans="1:41" ht="18" hidden="1" customHeight="1" outlineLevel="1">
      <c r="A57" s="62"/>
      <c r="B57" s="62" t="s">
        <v>756</v>
      </c>
      <c r="C57" s="63" t="s">
        <v>714</v>
      </c>
      <c r="D57" s="63"/>
      <c r="E57" s="63"/>
      <c r="F57" s="63"/>
      <c r="G57" s="63"/>
      <c r="H57" s="63"/>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O57" t="s">
        <v>692</v>
      </c>
    </row>
    <row r="58" spans="1:41" ht="18" hidden="1" customHeight="1" outlineLevel="2">
      <c r="A58" s="65">
        <f>ROW(Rohdaten!$A$56)</f>
        <v>56</v>
      </c>
      <c r="B58" s="66">
        <f>IF(Rohdaten!$A$56="","",Rohdaten!$A$56)</f>
        <v/>
      </c>
      <c r="C58" s="67" t="s">
        <v>696</v>
      </c>
      <c r="D58" s="68" t="str">
        <f>IF(Rohdaten!$E$56="","",Rohdaten!$E$56)</f>
        <v>Förster / Greß</v>
      </c>
      <c r="E58" s="69" t="str">
        <f t="array" ref="E58">_xlfn.TEXTJOIN(" / ",TRUE,IF($I58:$AL58="●",$I$4:$AL$4,""))</f>
        <v>Förster / Greß</v>
      </c>
      <c r="F58" s="70" t="s">
        <v>697</v>
      </c>
      <c r="G58" s="71" t="s">
        <v>698</v>
      </c>
      <c r="H58" s="72" t="str">
        <f>IF($F58="automatisch",IF(ISNA(MATCH(Stichtag,RD_Kopf,0)),"automatisch",IF(SUMPRODUCT((RD_Kopf&gt;=IF($G58="monatlich",DATE(YEAR(Stichtag),MONTH(Stichtag),1),IF($G58="quartalsweise",DATE(YEAR(Stichtag),INT((MONTH(Stichtag)-1)/3)*3+1,1),Stichtag)))*(RD_Kopf&lt;=Stichtag)*ISNUMBER(Rohdaten!$A$56:$LJ$56))&gt;0,"erledigt","automatisch")),IF($F58&lt;&gt;"ja","nicht berichtet",IF(ISNA(MATCH(Stichtag,RD_Kopf,0)),"keine Spalte",IF(SUMPRODUCT((RD_Kopf&gt;=IF($G58="monatlich",DATE(YEAR(Stichtag),MONTH(Stichtag),1),IF($G58="quartalsweise",DATE(YEAR(Stichtag),INT((MONTH(Stichtag)-1)/3)*3+1,1),Stichtag)))*(RD_Kopf&lt;=Stichtag)*ISNUMBER(Rohdaten!$A$56:$LJ$56))&gt;0,"erledigt","offen"))))</f>
        <v>nicht berichtet</v>
      </c>
      <c r="I58" s="73"/>
      <c r="J58" s="73"/>
      <c r="K58" s="73"/>
      <c r="L58" s="73"/>
      <c r="M58" s="73"/>
      <c r="N58" s="73"/>
      <c r="O58" s="73" t="s">
        <v>700</v>
      </c>
      <c r="P58" s="73"/>
      <c r="Q58" s="73"/>
      <c r="R58" s="73"/>
      <c r="S58" s="73" t="s">
        <v>700</v>
      </c>
      <c r="T58" s="73"/>
      <c r="U58" s="73"/>
      <c r="V58" s="73"/>
      <c r="W58" s="73"/>
      <c r="X58" s="73"/>
      <c r="Y58" s="73"/>
      <c r="Z58" s="73"/>
      <c r="AA58" s="73"/>
      <c r="AB58" s="73"/>
      <c r="AC58" s="73"/>
      <c r="AD58" s="73"/>
      <c r="AE58" s="73"/>
      <c r="AF58" s="73"/>
      <c r="AG58" s="73"/>
      <c r="AH58" s="73"/>
      <c r="AI58" s="73"/>
      <c r="AJ58" s="73"/>
      <c r="AK58" s="73"/>
      <c r="AL58" s="73"/>
      <c r="AM58" t="s">
        <v>757</v>
      </c>
      <c r="AN58" t="s">
        <v>756</v>
      </c>
      <c r="AO58" t="s">
        <v>695</v>
      </c>
    </row>
    <row r="59" spans="1:41" ht="18" hidden="1" customHeight="1" outlineLevel="2">
      <c r="A59" s="65">
        <f>ROW(Rohdaten!$A$57)</f>
        <v>57</v>
      </c>
      <c r="B59" s="66">
        <f>IF(Rohdaten!$A$57="","",Rohdaten!$A$57)</f>
        <v/>
      </c>
      <c r="C59" s="67" t="s">
        <v>701</v>
      </c>
      <c r="D59" s="68" t="str">
        <f>IF(Rohdaten!$E$57="","",Rohdaten!$E$57)</f>
        <v>Streich</v>
      </c>
      <c r="E59" s="69" t="str">
        <f t="array" ref="E59">_xlfn.TEXTJOIN(" / ",TRUE,IF($I59:$AL59="●",$I$4:$AL$4,""))</f>
        <v>Streich</v>
      </c>
      <c r="F59" s="70" t="s">
        <v>697</v>
      </c>
      <c r="G59" s="71" t="s">
        <v>698</v>
      </c>
      <c r="H59" s="72" t="str">
        <f>IF($F59="automatisch",IF(ISNA(MATCH(Stichtag,RD_Kopf,0)),"automatisch",IF(SUMPRODUCT((RD_Kopf&gt;=IF($G59="monatlich",DATE(YEAR(Stichtag),MONTH(Stichtag),1),IF($G59="quartalsweise",DATE(YEAR(Stichtag),INT((MONTH(Stichtag)-1)/3)*3+1,1),Stichtag)))*(RD_Kopf&lt;=Stichtag)*ISNUMBER(Rohdaten!$A$57:$LJ$57))&gt;0,"erledigt","automatisch")),IF($F59&lt;&gt;"ja","nicht berichtet",IF(ISNA(MATCH(Stichtag,RD_Kopf,0)),"keine Spalte",IF(SUMPRODUCT((RD_Kopf&gt;=IF($G59="monatlich",DATE(YEAR(Stichtag),MONTH(Stichtag),1),IF($G59="quartalsweise",DATE(YEAR(Stichtag),INT((MONTH(Stichtag)-1)/3)*3+1,1),Stichtag)))*(RD_Kopf&lt;=Stichtag)*ISNUMBER(Rohdaten!$A$57:$LJ$57))&gt;0,"erledigt","offen"))))</f>
        <v>nicht berichtet</v>
      </c>
      <c r="I59" s="73"/>
      <c r="J59" s="73"/>
      <c r="K59" s="73"/>
      <c r="L59" s="73"/>
      <c r="M59" s="73"/>
      <c r="N59" s="73"/>
      <c r="O59" s="73"/>
      <c r="P59" s="73"/>
      <c r="Q59" s="73"/>
      <c r="R59" s="73"/>
      <c r="S59" s="73"/>
      <c r="T59" s="73"/>
      <c r="U59" s="73"/>
      <c r="V59" s="73"/>
      <c r="W59" s="73"/>
      <c r="X59" s="73"/>
      <c r="Y59" s="73"/>
      <c r="Z59" s="73"/>
      <c r="AA59" s="73"/>
      <c r="AB59" s="73"/>
      <c r="AC59" s="73"/>
      <c r="AD59" s="73"/>
      <c r="AE59" s="73"/>
      <c r="AF59" s="73" t="s">
        <v>700</v>
      </c>
      <c r="AG59" s="73"/>
      <c r="AH59" s="73"/>
      <c r="AI59" s="73"/>
      <c r="AJ59" s="73"/>
      <c r="AK59" s="73"/>
      <c r="AL59" s="73"/>
      <c r="AM59" t="s">
        <v>758</v>
      </c>
      <c r="AN59" t="s">
        <v>756</v>
      </c>
      <c r="AO59" t="s">
        <v>695</v>
      </c>
    </row>
    <row r="60" spans="1:41" ht="18" hidden="1" customHeight="1" outlineLevel="2">
      <c r="A60" s="65">
        <f>ROW(Rohdaten!$A$58)</f>
        <v>58</v>
      </c>
      <c r="B60" s="66">
        <f>IF(Rohdaten!$A$58="","",Rohdaten!$A$58)</f>
        <v/>
      </c>
      <c r="C60" s="67" t="s">
        <v>703</v>
      </c>
      <c r="D60" s="68" t="str">
        <f>IF(Rohdaten!$E$58="","",Rohdaten!$E$58)</f>
        <v>Gress</v>
      </c>
      <c r="E60" s="69" t="str">
        <f t="array" ref="E60">_xlfn.TEXTJOIN(" / ",TRUE,IF($I60:$AL60="●",$I$4:$AL$4,""))</f>
        <v>Gress</v>
      </c>
      <c r="F60" s="70" t="s">
        <v>697</v>
      </c>
      <c r="G60" s="71" t="s">
        <v>698</v>
      </c>
      <c r="H60" s="72" t="str">
        <f>IF($F60="automatisch",IF(ISNA(MATCH(Stichtag,RD_Kopf,0)),"automatisch",IF(SUMPRODUCT((RD_Kopf&gt;=IF($G60="monatlich",DATE(YEAR(Stichtag),MONTH(Stichtag),1),IF($G60="quartalsweise",DATE(YEAR(Stichtag),INT((MONTH(Stichtag)-1)/3)*3+1,1),Stichtag)))*(RD_Kopf&lt;=Stichtag)*ISNUMBER(Rohdaten!$A$58:$LJ$58))&gt;0,"erledigt","automatisch")),IF($F60&lt;&gt;"ja","nicht berichtet",IF(ISNA(MATCH(Stichtag,RD_Kopf,0)),"keine Spalte",IF(SUMPRODUCT((RD_Kopf&gt;=IF($G60="monatlich",DATE(YEAR(Stichtag),MONTH(Stichtag),1),IF($G60="quartalsweise",DATE(YEAR(Stichtag),INT((MONTH(Stichtag)-1)/3)*3+1,1),Stichtag)))*(RD_Kopf&lt;=Stichtag)*ISNUMBER(Rohdaten!$A$58:$LJ$58))&gt;0,"erledigt","offen"))))</f>
        <v>nicht berichtet</v>
      </c>
      <c r="I60" s="73"/>
      <c r="J60" s="73"/>
      <c r="K60" s="73"/>
      <c r="L60" s="73"/>
      <c r="M60" s="73"/>
      <c r="N60" s="73"/>
      <c r="O60" s="73"/>
      <c r="P60" s="73"/>
      <c r="Q60" s="73"/>
      <c r="R60" s="73"/>
      <c r="S60" s="73"/>
      <c r="T60" s="73" t="s">
        <v>700</v>
      </c>
      <c r="U60" s="73"/>
      <c r="V60" s="73"/>
      <c r="W60" s="73"/>
      <c r="X60" s="73"/>
      <c r="Y60" s="73"/>
      <c r="Z60" s="73"/>
      <c r="AA60" s="73"/>
      <c r="AB60" s="73"/>
      <c r="AC60" s="73"/>
      <c r="AD60" s="73"/>
      <c r="AE60" s="73"/>
      <c r="AF60" s="73"/>
      <c r="AG60" s="73"/>
      <c r="AH60" s="73"/>
      <c r="AI60" s="73"/>
      <c r="AJ60" s="73"/>
      <c r="AK60" s="73"/>
      <c r="AL60" s="73"/>
      <c r="AM60" t="s">
        <v>759</v>
      </c>
      <c r="AN60" t="s">
        <v>756</v>
      </c>
      <c r="AO60" t="s">
        <v>695</v>
      </c>
    </row>
    <row r="61" spans="1:41" ht="18" hidden="1" customHeight="1" outlineLevel="2">
      <c r="A61" s="65">
        <f>ROW(Rohdaten!$A$59)</f>
        <v>59</v>
      </c>
      <c r="B61" s="66">
        <f>IF(Rohdaten!$A$59="","",Rohdaten!$A$59)</f>
        <v/>
      </c>
      <c r="C61" s="67" t="s">
        <v>705</v>
      </c>
      <c r="D61" s="68" t="str">
        <f>IF(Rohdaten!$E$59="","",Rohdaten!$E$59)</f>
        <v>Schneider</v>
      </c>
      <c r="E61" s="69" t="str">
        <f t="array" ref="E61">_xlfn.TEXTJOIN(" / ",TRUE,IF($I61:$AL61="●",$I$4:$AL$4,""))</f>
        <v>Schneider</v>
      </c>
      <c r="F61" s="70" t="s">
        <v>697</v>
      </c>
      <c r="G61" s="71" t="s">
        <v>698</v>
      </c>
      <c r="H61" s="72" t="str">
        <f>IF($F61="automatisch",IF(ISNA(MATCH(Stichtag,RD_Kopf,0)),"automatisch",IF(SUMPRODUCT((RD_Kopf&gt;=IF($G61="monatlich",DATE(YEAR(Stichtag),MONTH(Stichtag),1),IF($G61="quartalsweise",DATE(YEAR(Stichtag),INT((MONTH(Stichtag)-1)/3)*3+1,1),Stichtag)))*(RD_Kopf&lt;=Stichtag)*ISNUMBER(Rohdaten!$A$59:$LJ$59))&gt;0,"erledigt","automatisch")),IF($F61&lt;&gt;"ja","nicht berichtet",IF(ISNA(MATCH(Stichtag,RD_Kopf,0)),"keine Spalte",IF(SUMPRODUCT((RD_Kopf&gt;=IF($G61="monatlich",DATE(YEAR(Stichtag),MONTH(Stichtag),1),IF($G61="quartalsweise",DATE(YEAR(Stichtag),INT((MONTH(Stichtag)-1)/3)*3+1,1),Stichtag)))*(RD_Kopf&lt;=Stichtag)*ISNUMBER(Rohdaten!$A$59:$LJ$59))&gt;0,"erledigt","offen"))))</f>
        <v>nicht berichtet</v>
      </c>
      <c r="I61" s="73"/>
      <c r="J61" s="73"/>
      <c r="K61" s="73"/>
      <c r="L61" s="73"/>
      <c r="M61" s="73"/>
      <c r="N61" s="73"/>
      <c r="O61" s="73"/>
      <c r="P61" s="73"/>
      <c r="Q61" s="73"/>
      <c r="R61" s="73"/>
      <c r="S61" s="73"/>
      <c r="T61" s="73"/>
      <c r="U61" s="73"/>
      <c r="V61" s="73"/>
      <c r="W61" s="73"/>
      <c r="X61" s="73"/>
      <c r="Y61" s="73"/>
      <c r="Z61" s="73"/>
      <c r="AA61" s="73"/>
      <c r="AB61" s="73"/>
      <c r="AC61" s="73"/>
      <c r="AD61" s="73"/>
      <c r="AE61" s="73" t="s">
        <v>700</v>
      </c>
      <c r="AF61" s="73"/>
      <c r="AG61" s="73"/>
      <c r="AH61" s="73"/>
      <c r="AI61" s="73"/>
      <c r="AJ61" s="73"/>
      <c r="AK61" s="73"/>
      <c r="AL61" s="73"/>
      <c r="AM61" t="s">
        <v>760</v>
      </c>
      <c r="AN61" t="s">
        <v>756</v>
      </c>
      <c r="AO61" t="s">
        <v>695</v>
      </c>
    </row>
    <row r="62" spans="1:41" ht="18" hidden="1" customHeight="1" outlineLevel="2">
      <c r="A62" s="65">
        <f>ROW(Rohdaten!$A$60)</f>
        <v>60</v>
      </c>
      <c r="B62" s="66">
        <f>IF(Rohdaten!$A$60="","",Rohdaten!$A$60)</f>
        <v/>
      </c>
      <c r="C62" s="67" t="s">
        <v>707</v>
      </c>
      <c r="D62" s="68" t="str">
        <f>IF(Rohdaten!$E$60="","",Rohdaten!$E$60)</f>
        <v>Lürken</v>
      </c>
      <c r="E62" s="69" t="str">
        <f t="array" ref="E62">_xlfn.TEXTJOIN(" / ",TRUE,IF($I62:$AL62="●",$I$4:$AL$4,""))</f>
        <v>Lürken</v>
      </c>
      <c r="F62" s="70" t="s">
        <v>697</v>
      </c>
      <c r="G62" s="71" t="s">
        <v>698</v>
      </c>
      <c r="H62" s="72" t="str">
        <f>IF($F62="automatisch",IF(ISNA(MATCH(Stichtag,RD_Kopf,0)),"automatisch",IF(SUMPRODUCT((RD_Kopf&gt;=IF($G62="monatlich",DATE(YEAR(Stichtag),MONTH(Stichtag),1),IF($G62="quartalsweise",DATE(YEAR(Stichtag),INT((MONTH(Stichtag)-1)/3)*3+1,1),Stichtag)))*(RD_Kopf&lt;=Stichtag)*ISNUMBER(Rohdaten!$A$60:$LJ$60))&gt;0,"erledigt","automatisch")),IF($F62&lt;&gt;"ja","nicht berichtet",IF(ISNA(MATCH(Stichtag,RD_Kopf,0)),"keine Spalte",IF(SUMPRODUCT((RD_Kopf&gt;=IF($G62="monatlich",DATE(YEAR(Stichtag),MONTH(Stichtag),1),IF($G62="quartalsweise",DATE(YEAR(Stichtag),INT((MONTH(Stichtag)-1)/3)*3+1,1),Stichtag)))*(RD_Kopf&lt;=Stichtag)*ISNUMBER(Rohdaten!$A$60:$LJ$60))&gt;0,"erledigt","offen"))))</f>
        <v>nicht berichtet</v>
      </c>
      <c r="I62" s="73"/>
      <c r="J62" s="73"/>
      <c r="K62" s="73"/>
      <c r="L62" s="73"/>
      <c r="M62" s="73"/>
      <c r="N62" s="73"/>
      <c r="O62" s="73"/>
      <c r="P62" s="73"/>
      <c r="Q62" s="73"/>
      <c r="R62" s="73"/>
      <c r="S62" s="73"/>
      <c r="T62" s="73"/>
      <c r="U62" s="73"/>
      <c r="V62" s="73"/>
      <c r="W62" s="73"/>
      <c r="X62" s="73"/>
      <c r="Y62" s="73"/>
      <c r="Z62" s="73"/>
      <c r="AA62" s="73" t="s">
        <v>700</v>
      </c>
      <c r="AB62" s="73"/>
      <c r="AC62" s="73"/>
      <c r="AD62" s="73"/>
      <c r="AE62" s="73"/>
      <c r="AF62" s="73"/>
      <c r="AG62" s="73"/>
      <c r="AH62" s="73"/>
      <c r="AI62" s="73"/>
      <c r="AJ62" s="73"/>
      <c r="AK62" s="73"/>
      <c r="AL62" s="73"/>
      <c r="AM62" t="s">
        <v>761</v>
      </c>
      <c r="AN62" t="s">
        <v>756</v>
      </c>
      <c r="AO62" t="s">
        <v>695</v>
      </c>
    </row>
    <row r="63" spans="1:41" ht="18" hidden="1" customHeight="1" outlineLevel="2">
      <c r="A63" s="65">
        <f>ROW(Rohdaten!$A$61)</f>
        <v>61</v>
      </c>
      <c r="B63" s="66">
        <f>IF(Rohdaten!$A$61="","",Rohdaten!$A$61)</f>
        <v/>
      </c>
      <c r="C63" s="67" t="s">
        <v>709</v>
      </c>
      <c r="D63" s="68" t="str">
        <f>IF(Rohdaten!$E$61="","",Rohdaten!$E$61)</f>
        <v>Kraus</v>
      </c>
      <c r="E63" s="69" t="str">
        <f t="array" ref="E63">_xlfn.TEXTJOIN(" / ",TRUE,IF($I63:$AL63="●",$I$4:$AL$4,""))</f>
        <v>Kraus</v>
      </c>
      <c r="F63" s="70" t="s">
        <v>697</v>
      </c>
      <c r="G63" s="71" t="s">
        <v>698</v>
      </c>
      <c r="H63" s="72" t="str">
        <f>IF($F63="automatisch",IF(ISNA(MATCH(Stichtag,RD_Kopf,0)),"automatisch",IF(SUMPRODUCT((RD_Kopf&gt;=IF($G63="monatlich",DATE(YEAR(Stichtag),MONTH(Stichtag),1),IF($G63="quartalsweise",DATE(YEAR(Stichtag),INT((MONTH(Stichtag)-1)/3)*3+1,1),Stichtag)))*(RD_Kopf&lt;=Stichtag)*ISNUMBER(Rohdaten!$A$61:$LJ$61))&gt;0,"erledigt","automatisch")),IF($F63&lt;&gt;"ja","nicht berichtet",IF(ISNA(MATCH(Stichtag,RD_Kopf,0)),"keine Spalte",IF(SUMPRODUCT((RD_Kopf&gt;=IF($G63="monatlich",DATE(YEAR(Stichtag),MONTH(Stichtag),1),IF($G63="quartalsweise",DATE(YEAR(Stichtag),INT((MONTH(Stichtag)-1)/3)*3+1,1),Stichtag)))*(RD_Kopf&lt;=Stichtag)*ISNUMBER(Rohdaten!$A$61:$LJ$61))&gt;0,"erledigt","offen"))))</f>
        <v>nicht berichtet</v>
      </c>
      <c r="I63" s="73"/>
      <c r="J63" s="73"/>
      <c r="K63" s="73"/>
      <c r="L63" s="73"/>
      <c r="M63" s="73"/>
      <c r="N63" s="73"/>
      <c r="O63" s="73"/>
      <c r="P63" s="73"/>
      <c r="Q63" s="73"/>
      <c r="R63" s="73"/>
      <c r="S63" s="73"/>
      <c r="T63" s="73"/>
      <c r="U63" s="73"/>
      <c r="V63" s="73"/>
      <c r="W63" s="73"/>
      <c r="X63" s="73"/>
      <c r="Y63" s="73" t="s">
        <v>700</v>
      </c>
      <c r="Z63" s="73"/>
      <c r="AA63" s="73"/>
      <c r="AB63" s="73"/>
      <c r="AC63" s="73"/>
      <c r="AD63" s="73"/>
      <c r="AE63" s="73"/>
      <c r="AF63" s="73"/>
      <c r="AG63" s="73"/>
      <c r="AH63" s="73"/>
      <c r="AI63" s="73"/>
      <c r="AJ63" s="73"/>
      <c r="AK63" s="73"/>
      <c r="AL63" s="73"/>
      <c r="AM63" t="s">
        <v>762</v>
      </c>
      <c r="AN63" t="s">
        <v>756</v>
      </c>
      <c r="AO63" t="s">
        <v>695</v>
      </c>
    </row>
    <row r="64" spans="1:41" ht="18" hidden="1" customHeight="1" outlineLevel="2">
      <c r="A64" s="65">
        <f>ROW(Rohdaten!$A$62)</f>
        <v>62</v>
      </c>
      <c r="B64" s="66">
        <f>IF(Rohdaten!$A$62="","",Rohdaten!$A$62)</f>
        <v/>
      </c>
      <c r="C64" s="67" t="s">
        <v>711</v>
      </c>
      <c r="D64" s="68" t="str">
        <f>IF(Rohdaten!$E$62="","",Rohdaten!$E$62)</f>
        <v>Westrich</v>
      </c>
      <c r="E64" s="69" t="str">
        <f t="array" ref="E64">_xlfn.TEXTJOIN(" / ",TRUE,IF($I64:$AL64="●",$I$4:$AL$4,""))</f>
        <v>Westrich</v>
      </c>
      <c r="F64" s="70" t="s">
        <v>697</v>
      </c>
      <c r="G64" s="71" t="s">
        <v>698</v>
      </c>
      <c r="H64" s="72" t="str">
        <f>IF($F64="automatisch",IF(ISNA(MATCH(Stichtag,RD_Kopf,0)),"automatisch",IF(SUMPRODUCT((RD_Kopf&gt;=IF($G64="monatlich",DATE(YEAR(Stichtag),MONTH(Stichtag),1),IF($G64="quartalsweise",DATE(YEAR(Stichtag),INT((MONTH(Stichtag)-1)/3)*3+1,1),Stichtag)))*(RD_Kopf&lt;=Stichtag)*ISNUMBER(Rohdaten!$A$62:$LJ$62))&gt;0,"erledigt","automatisch")),IF($F64&lt;&gt;"ja","nicht berichtet",IF(ISNA(MATCH(Stichtag,RD_Kopf,0)),"keine Spalte",IF(SUMPRODUCT((RD_Kopf&gt;=IF($G64="monatlich",DATE(YEAR(Stichtag),MONTH(Stichtag),1),IF($G64="quartalsweise",DATE(YEAR(Stichtag),INT((MONTH(Stichtag)-1)/3)*3+1,1),Stichtag)))*(RD_Kopf&lt;=Stichtag)*ISNUMBER(Rohdaten!$A$62:$LJ$62))&gt;0,"erledigt","offen"))))</f>
        <v>nicht berichtet</v>
      </c>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t="s">
        <v>700</v>
      </c>
      <c r="AH64" s="73"/>
      <c r="AI64" s="73"/>
      <c r="AJ64" s="73"/>
      <c r="AK64" s="73"/>
      <c r="AL64" s="73"/>
      <c r="AM64" t="s">
        <v>763</v>
      </c>
      <c r="AN64" t="s">
        <v>756</v>
      </c>
      <c r="AO64" t="s">
        <v>695</v>
      </c>
    </row>
    <row r="65" spans="1:41" ht="22" customHeight="1" collapsed="1">
      <c r="A65" s="60" t="s">
        <v>764</v>
      </c>
      <c r="B65" s="60"/>
      <c r="C65" s="60"/>
      <c r="D65" s="60"/>
      <c r="E65" s="60"/>
      <c r="F65" s="60"/>
      <c r="G65" s="60"/>
      <c r="H65" s="60"/>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O65" t="s">
        <v>691</v>
      </c>
    </row>
    <row r="66" spans="1:41" ht="18" hidden="1" customHeight="1" outlineLevel="1">
      <c r="A66" s="65">
        <f>ROW(Rohdaten!$A$63)</f>
        <v>63</v>
      </c>
      <c r="B66" s="66">
        <f>IF(Rohdaten!$A$63="","",Rohdaten!$A$63)</f>
        <v>5</v>
      </c>
      <c r="C66" s="74" t="s">
        <v>714</v>
      </c>
      <c r="D66" s="68" t="str">
        <f>IF(Rohdaten!$E$63="","",Rohdaten!$E$63)</f>
        <v>Burnik</v>
      </c>
      <c r="E66" s="69" t="str">
        <f t="array" ref="E66">_xlfn.TEXTJOIN(" / ",TRUE,IF($I66:$AL66="●",$I$4:$AL$4,""))</f>
        <v>Burnik</v>
      </c>
      <c r="F66" s="70" t="s">
        <v>697</v>
      </c>
      <c r="G66" s="71" t="s">
        <v>698</v>
      </c>
      <c r="H66" s="72" t="str">
        <f>IF($F66="automatisch",IF(ISNA(MATCH(Stichtag,RD_Kopf,0)),"automatisch",IF(SUMPRODUCT((RD_Kopf&gt;=IF($G66="monatlich",DATE(YEAR(Stichtag),MONTH(Stichtag),1),IF($G66="quartalsweise",DATE(YEAR(Stichtag),INT((MONTH(Stichtag)-1)/3)*3+1,1),Stichtag)))*(RD_Kopf&lt;=Stichtag)*ISNUMBER(Rohdaten!$A$63:$LJ$63))&gt;0,"erledigt","automatisch")),IF($F66&lt;&gt;"ja","nicht berichtet",IF(ISNA(MATCH(Stichtag,RD_Kopf,0)),"keine Spalte",IF(SUMPRODUCT((RD_Kopf&gt;=IF($G66="monatlich",DATE(YEAR(Stichtag),MONTH(Stichtag),1),IF($G66="quartalsweise",DATE(YEAR(Stichtag),INT((MONTH(Stichtag)-1)/3)*3+1,1),Stichtag)))*(RD_Kopf&lt;=Stichtag)*ISNUMBER(Rohdaten!$A$63:$LJ$63))&gt;0,"erledigt","offen"))))</f>
        <v>nicht berichtet</v>
      </c>
      <c r="I66" s="73"/>
      <c r="J66" s="73"/>
      <c r="K66" s="73"/>
      <c r="L66" s="73"/>
      <c r="M66" s="73"/>
      <c r="N66" s="73" t="s">
        <v>700</v>
      </c>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t="s">
        <v>765</v>
      </c>
      <c r="AN66" t="s">
        <v>129</v>
      </c>
      <c r="AO66" t="s">
        <v>695</v>
      </c>
    </row>
    <row r="67" spans="1:41" ht="22" customHeight="1">
      <c r="A67" s="60" t="s">
        <v>766</v>
      </c>
      <c r="B67" s="60"/>
      <c r="C67" s="60"/>
      <c r="D67" s="60"/>
      <c r="E67" s="60"/>
      <c r="F67" s="60"/>
      <c r="G67" s="60"/>
      <c r="H67" s="60"/>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c r="AL67" s="61"/>
      <c r="AO67" t="s">
        <v>691</v>
      </c>
    </row>
    <row r="68" spans="1:41" ht="18" customHeight="1" outlineLevel="1">
      <c r="A68" s="65">
        <f>ROW(Rohdaten!$A$64)</f>
        <v>64</v>
      </c>
      <c r="B68" s="66" t="str">
        <f>IF(Rohdaten!$A$64="","",Rohdaten!$A$64)</f>
        <v>6a</v>
      </c>
      <c r="C68" s="74" t="s">
        <v>714</v>
      </c>
      <c r="D68" s="68" t="str">
        <f>IF(Rohdaten!$E$64="","",Rohdaten!$E$64)</f>
        <v>Isa Kinnert /Olaf Göddertz
COMMAS-REPORT</v>
      </c>
      <c r="E68" s="69" t="str">
        <f t="array" ref="E68">_xlfn.TEXTJOIN(" / ",TRUE,IF($I68:$AL68="●",$I$4:$AL$4,""))</f>
        <v>Göddertz / Kinnert</v>
      </c>
      <c r="F68" s="70" t="s">
        <v>767</v>
      </c>
      <c r="G68" s="71" t="s">
        <v>698</v>
      </c>
      <c r="H68" s="72">
        <f>IF($F68="automatisch",IF(ISNA(MATCH(Stichtag,RD_Kopf,0)),"automatisch",IF(SUMPRODUCT((RD_Kopf&gt;=IF($G68="monatlich",DATE(YEAR(Stichtag),MONTH(Stichtag),1),IF($G68="quartalsweise",DATE(YEAR(Stichtag),INT((MONTH(Stichtag)-1)/3)*3+1,1),Stichtag)))*(RD_Kopf&lt;=Stichtag)*ISNUMBER(Rohdaten!$A$64:$LJ$64))&gt;0,"erledigt","automatisch")),IF($F68&lt;&gt;"ja","",IF(ISNA(MATCH(Stichtag,RD_Kopf,0)),"keine Spalte",IF(SUMPRODUCT((RD_Kopf&gt;=IF($G68="monatlich",DATE(YEAR(Stichtag),MONTH(Stichtag),1),IF($G68="quartalsweise",DATE(YEAR(Stichtag),INT((MONTH(Stichtag)-1)/3)*3+1,1),Stichtag)))*(RD_Kopf&lt;=Stichtag)*ISNUMBER(Rohdaten!$A$64:$LJ$64))&gt;0,"erledigt","offen"))))</f>
        <v/>
      </c>
      <c r="I68" s="73"/>
      <c r="J68" s="73"/>
      <c r="K68" s="73"/>
      <c r="L68" s="73"/>
      <c r="M68" s="73"/>
      <c r="N68" s="73"/>
      <c r="O68" s="73"/>
      <c r="P68" s="73"/>
      <c r="Q68" s="73"/>
      <c r="R68" s="73" t="s">
        <v>700</v>
      </c>
      <c r="S68" s="73"/>
      <c r="T68" s="73"/>
      <c r="U68" s="73" t="s">
        <v>700</v>
      </c>
      <c r="V68" s="73"/>
      <c r="W68" s="73"/>
      <c r="X68" s="73"/>
      <c r="Y68" s="73"/>
      <c r="Z68" s="73"/>
      <c r="AA68" s="73"/>
      <c r="AB68" s="73"/>
      <c r="AC68" s="73"/>
      <c r="AD68" s="73"/>
      <c r="AE68" s="73"/>
      <c r="AF68" s="73"/>
      <c r="AG68" s="73"/>
      <c r="AH68" s="73"/>
      <c r="AI68" s="73"/>
      <c r="AJ68" s="73"/>
      <c r="AK68" s="73"/>
      <c r="AL68" s="73"/>
      <c r="AM68" t="s">
        <v>768</v>
      </c>
      <c r="AN68" t="s">
        <v>102</v>
      </c>
      <c r="AO68" t="s">
        <v>695</v>
      </c>
    </row>
    <row r="69" spans="1:41" ht="18" customHeight="1" outlineLevel="1">
      <c r="A69" s="65">
        <f>ROW(Rohdaten!$A$65)</f>
        <v>65</v>
      </c>
      <c r="B69" s="66" t="str">
        <f>IF(Rohdaten!$A$65="","",Rohdaten!$A$65)</f>
        <v>6b</v>
      </c>
      <c r="C69" s="74" t="s">
        <v>769</v>
      </c>
      <c r="D69" s="68">
        <f>IF(Rohdaten!$E$65="","",Rohdaten!$E$65)</f>
        <v/>
      </c>
      <c r="E69" s="69" t="str">
        <f t="array" ref="E69">_xlfn.TEXTJOIN(" / ",TRUE,IF($I69:$AL69="●",$I$4:$AL$4,""))</f>
        <v/>
      </c>
      <c r="F69" s="70" t="s">
        <v>697</v>
      </c>
      <c r="G69" s="71" t="s">
        <v>698</v>
      </c>
      <c r="H69" s="72">
        <f>IF($F69="automatisch",IF(ISNA(MATCH(Stichtag,RD_Kopf,0)),"automatisch",IF(SUMPRODUCT((RD_Kopf&gt;=IF($G69="monatlich",DATE(YEAR(Stichtag),MONTH(Stichtag),1),IF($G69="quartalsweise",DATE(YEAR(Stichtag),INT((MONTH(Stichtag)-1)/3)*3+1,1),Stichtag)))*(RD_Kopf&lt;=Stichtag)*ISNUMBER(Rohdaten!$A$65:$LJ$65))&gt;0,"erledigt","automatisch")),IF($F69&lt;&gt;"ja","",IF(ISNA(MATCH(Stichtag,RD_Kopf,0)),"keine Spalte",IF(SUMPRODUCT((RD_Kopf&gt;=IF($G69="monatlich",DATE(YEAR(Stichtag),MONTH(Stichtag),1),IF($G69="quartalsweise",DATE(YEAR(Stichtag),INT((MONTH(Stichtag)-1)/3)*3+1,1),Stichtag)))*(RD_Kopf&lt;=Stichtag)*ISNUMBER(Rohdaten!$A$65:$LJ$65))&gt;0,"erledigt","offen"))))</f>
        <v/>
      </c>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t="s">
        <v>770</v>
      </c>
      <c r="AN69" t="s">
        <v>771</v>
      </c>
      <c r="AO69" t="s">
        <v>695</v>
      </c>
    </row>
    <row r="70" spans="1:41" ht="18" customHeight="1" outlineLevel="1">
      <c r="A70" s="65">
        <f>ROW(Rohdaten!$A$66)</f>
        <v>66</v>
      </c>
      <c r="B70" s="66" t="str">
        <f>IF(Rohdaten!$A$66="","",Rohdaten!$A$66)</f>
        <v>6c</v>
      </c>
      <c r="C70" s="74" t="s">
        <v>772</v>
      </c>
      <c r="D70" s="68" t="str">
        <f>IF(Rohdaten!$E$66="","",Rohdaten!$E$66)</f>
        <v>Isa Kinnert /Olaf Göddertz
COMMAS-REPORT</v>
      </c>
      <c r="E70" s="69" t="str">
        <f t="array" ref="E70">_xlfn.TEXTJOIN(" / ",TRUE,IF($I70:$AL70="●",$I$4:$AL$4,""))</f>
        <v/>
      </c>
      <c r="F70" s="70" t="s">
        <v>697</v>
      </c>
      <c r="G70" s="71" t="s">
        <v>698</v>
      </c>
      <c r="H70" s="72">
        <f>IF($F70="automatisch",IF(ISNA(MATCH(Stichtag,RD_Kopf,0)),"automatisch",IF(SUMPRODUCT((RD_Kopf&gt;=IF($G70="monatlich",DATE(YEAR(Stichtag),MONTH(Stichtag),1),IF($G70="quartalsweise",DATE(YEAR(Stichtag),INT((MONTH(Stichtag)-1)/3)*3+1,1),Stichtag)))*(RD_Kopf&lt;=Stichtag)*ISNUMBER(Rohdaten!$A$66:$LJ$66))&gt;0,"erledigt","automatisch")),IF($F70&lt;&gt;"ja","",IF(ISNA(MATCH(Stichtag,RD_Kopf,0)),"keine Spalte",IF(SUMPRODUCT((RD_Kopf&gt;=IF($G70="monatlich",DATE(YEAR(Stichtag),MONTH(Stichtag),1),IF($G70="quartalsweise",DATE(YEAR(Stichtag),INT((MONTH(Stichtag)-1)/3)*3+1,1),Stichtag)))*(RD_Kopf&lt;=Stichtag)*ISNUMBER(Rohdaten!$A$66:$LJ$66))&gt;0,"erledigt","offen"))))</f>
        <v/>
      </c>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t="s">
        <v>773</v>
      </c>
      <c r="AN70" t="s">
        <v>774</v>
      </c>
      <c r="AO70" t="s">
        <v>695</v>
      </c>
    </row>
    <row r="71" spans="1:41" ht="22" customHeight="1">
      <c r="A71" s="60" t="s">
        <v>775</v>
      </c>
      <c r="B71" s="60"/>
      <c r="C71" s="60"/>
      <c r="D71" s="60"/>
      <c r="E71" s="60"/>
      <c r="F71" s="60"/>
      <c r="G71" s="60"/>
      <c r="H71" s="60"/>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O71" t="s">
        <v>691</v>
      </c>
    </row>
    <row r="72" spans="1:41" ht="18" customHeight="1" outlineLevel="1">
      <c r="A72" s="65">
        <f>ROW(Rohdaten!$A$67)</f>
        <v>67</v>
      </c>
      <c r="B72" s="66" t="str">
        <f>IF(Rohdaten!$A$67="","",Rohdaten!$A$67)</f>
        <v>7VA</v>
      </c>
      <c r="C72" s="74" t="s">
        <v>776</v>
      </c>
      <c r="D72" s="68">
        <f>IF(Rohdaten!$E$67="","",Rohdaten!$E$67)</f>
        <v/>
      </c>
      <c r="E72" s="69" t="str">
        <f t="array" ref="E72">_xlfn.TEXTJOIN(" / ",TRUE,IF($I72:$AL72="●",$I$4:$AL$4,""))</f>
        <v/>
      </c>
      <c r="F72" s="70" t="s">
        <v>777</v>
      </c>
      <c r="G72" s="71" t="s">
        <v>698</v>
      </c>
      <c r="H72" s="72">
        <f>IF($F72="automatisch",IF(ISNA(MATCH(Stichtag,RD_Kopf,0)),"automatisch",IF(SUMPRODUCT((RD_Kopf&gt;=IF($G72="monatlich",DATE(YEAR(Stichtag),MONTH(Stichtag),1),IF($G72="quartalsweise",DATE(YEAR(Stichtag),INT((MONTH(Stichtag)-1)/3)*3+1,1),Stichtag)))*(RD_Kopf&lt;=Stichtag)*ISNUMBER(Rohdaten!$A$67:$LJ$67))&gt;0,"erledigt","automatisch")),IF($F72&lt;&gt;"ja","",IF(ISNA(MATCH(Stichtag,RD_Kopf,0)),"keine Spalte",IF(SUMPRODUCT((RD_Kopf&gt;=IF($G72="monatlich",DATE(YEAR(Stichtag),MONTH(Stichtag),1),IF($G72="quartalsweise",DATE(YEAR(Stichtag),INT((MONTH(Stichtag)-1)/3)*3+1,1),Stichtag)))*(RD_Kopf&lt;=Stichtag)*ISNUMBER(Rohdaten!$A$67:$LJ$67))&gt;0,"erledigt","offen"))))</f>
        <v/>
      </c>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t="s">
        <v>778</v>
      </c>
      <c r="AN72" t="s">
        <v>145</v>
      </c>
      <c r="AO72" t="s">
        <v>695</v>
      </c>
    </row>
    <row r="73" spans="1:41" ht="18" customHeight="1" outlineLevel="1">
      <c r="A73" s="62"/>
      <c r="B73" s="62"/>
      <c r="C73" s="63" t="s">
        <v>714</v>
      </c>
      <c r="D73" s="63"/>
      <c r="E73" s="63"/>
      <c r="F73" s="63"/>
      <c r="G73" s="63"/>
      <c r="H73" s="63"/>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O73" t="s">
        <v>692</v>
      </c>
    </row>
    <row r="74" spans="1:41" ht="18" customHeight="1" outlineLevel="2">
      <c r="A74" s="65">
        <f>ROW(Rohdaten!$A$68)</f>
        <v>68</v>
      </c>
      <c r="B74" s="66" t="str">
        <f>IF(Rohdaten!$A$68="","",Rohdaten!$A$68)</f>
        <v>7VB</v>
      </c>
      <c r="C74" s="67" t="s">
        <v>779</v>
      </c>
      <c r="D74" s="68" t="str">
        <f>IF(Rohdaten!$E$68="","",Rohdaten!$E$68)</f>
        <v>Amend</v>
      </c>
      <c r="E74" s="69" t="str">
        <f t="array" ref="E74">_xlfn.TEXTJOIN(" / ",TRUE,IF($I74:$AL74="●",$I$4:$AL$4,""))</f>
        <v>Amend</v>
      </c>
      <c r="F74" s="70" t="s">
        <v>777</v>
      </c>
      <c r="G74" s="71" t="s">
        <v>698</v>
      </c>
      <c r="H74" s="72">
        <f>IF($F74="automatisch",IF(ISNA(MATCH(Stichtag,RD_Kopf,0)),"automatisch",IF(SUMPRODUCT((RD_Kopf&gt;=IF($G74="monatlich",DATE(YEAR(Stichtag),MONTH(Stichtag),1),IF($G74="quartalsweise",DATE(YEAR(Stichtag),INT((MONTH(Stichtag)-1)/3)*3+1,1),Stichtag)))*(RD_Kopf&lt;=Stichtag)*ISNUMBER(Rohdaten!$A$68:$LJ$68))&gt;0,"erledigt","automatisch")),IF($F74&lt;&gt;"ja","",IF(ISNA(MATCH(Stichtag,RD_Kopf,0)),"keine Spalte",IF(SUMPRODUCT((RD_Kopf&gt;=IF($G74="monatlich",DATE(YEAR(Stichtag),MONTH(Stichtag),1),IF($G74="quartalsweise",DATE(YEAR(Stichtag),INT((MONTH(Stichtag)-1)/3)*3+1,1),Stichtag)))*(RD_Kopf&lt;=Stichtag)*ISNUMBER(Rohdaten!$A$68:$LJ$68))&gt;0,"erledigt","offen"))))</f>
        <v/>
      </c>
      <c r="I74" s="73" t="s">
        <v>700</v>
      </c>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t="s">
        <v>780</v>
      </c>
      <c r="AN74" t="s">
        <v>147</v>
      </c>
      <c r="AO74" t="s">
        <v>695</v>
      </c>
    </row>
    <row r="75" spans="1:41" ht="18" customHeight="1" outlineLevel="2">
      <c r="A75" s="65">
        <f>ROW(Rohdaten!$A$69)</f>
        <v>69</v>
      </c>
      <c r="B75" s="66" t="str">
        <f>IF(Rohdaten!$A$69="","",Rohdaten!$A$69)</f>
        <v>7VC</v>
      </c>
      <c r="C75" s="67" t="s">
        <v>781</v>
      </c>
      <c r="D75" s="68" t="str">
        <f>IF(Rohdaten!$E$69="","",Rohdaten!$E$69)</f>
        <v>Amend</v>
      </c>
      <c r="E75" s="69" t="str">
        <f t="array" ref="E75">_xlfn.TEXTJOIN(" / ",TRUE,IF($I75:$AL75="●",$I$4:$AL$4,""))</f>
        <v>Amend</v>
      </c>
      <c r="F75" s="70" t="s">
        <v>777</v>
      </c>
      <c r="G75" s="71" t="s">
        <v>698</v>
      </c>
      <c r="H75" s="72">
        <f>IF($F75="automatisch",IF(ISNA(MATCH(Stichtag,RD_Kopf,0)),"automatisch",IF(SUMPRODUCT((RD_Kopf&gt;=IF($G75="monatlich",DATE(YEAR(Stichtag),MONTH(Stichtag),1),IF($G75="quartalsweise",DATE(YEAR(Stichtag),INT((MONTH(Stichtag)-1)/3)*3+1,1),Stichtag)))*(RD_Kopf&lt;=Stichtag)*ISNUMBER(Rohdaten!$A$69:$LJ$69))&gt;0,"erledigt","automatisch")),IF($F75&lt;&gt;"ja","",IF(ISNA(MATCH(Stichtag,RD_Kopf,0)),"keine Spalte",IF(SUMPRODUCT((RD_Kopf&gt;=IF($G75="monatlich",DATE(YEAR(Stichtag),MONTH(Stichtag),1),IF($G75="quartalsweise",DATE(YEAR(Stichtag),INT((MONTH(Stichtag)-1)/3)*3+1,1),Stichtag)))*(RD_Kopf&lt;=Stichtag)*ISNUMBER(Rohdaten!$A$69:$LJ$69))&gt;0,"erledigt","offen"))))</f>
        <v/>
      </c>
      <c r="I75" s="73" t="s">
        <v>700</v>
      </c>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t="s">
        <v>782</v>
      </c>
      <c r="AN75" t="s">
        <v>149</v>
      </c>
      <c r="AO75" t="s">
        <v>695</v>
      </c>
    </row>
    <row r="76" spans="1:41" ht="18" customHeight="1" outlineLevel="2">
      <c r="A76" s="65">
        <f>ROW(Rohdaten!$A$70)</f>
        <v>70</v>
      </c>
      <c r="B76" s="66" t="str">
        <f>IF(Rohdaten!$A$70="","",Rohdaten!$A$70)</f>
        <v>7VD</v>
      </c>
      <c r="C76" s="67" t="s">
        <v>783</v>
      </c>
      <c r="D76" s="68" t="str">
        <f>IF(Rohdaten!$E$70="","",Rohdaten!$E$70)</f>
        <v>Amend</v>
      </c>
      <c r="E76" s="69" t="str">
        <f t="array" ref="E76">_xlfn.TEXTJOIN(" / ",TRUE,IF($I76:$AL76="●",$I$4:$AL$4,""))</f>
        <v>Amend</v>
      </c>
      <c r="F76" s="70" t="s">
        <v>777</v>
      </c>
      <c r="G76" s="71" t="s">
        <v>698</v>
      </c>
      <c r="H76" s="72">
        <f>IF($F76="automatisch",IF(ISNA(MATCH(Stichtag,RD_Kopf,0)),"automatisch",IF(SUMPRODUCT((RD_Kopf&gt;=IF($G76="monatlich",DATE(YEAR(Stichtag),MONTH(Stichtag),1),IF($G76="quartalsweise",DATE(YEAR(Stichtag),INT((MONTH(Stichtag)-1)/3)*3+1,1),Stichtag)))*(RD_Kopf&lt;=Stichtag)*ISNUMBER(Rohdaten!$A$70:$LJ$70))&gt;0,"erledigt","automatisch")),IF($F76&lt;&gt;"ja","",IF(ISNA(MATCH(Stichtag,RD_Kopf,0)),"keine Spalte",IF(SUMPRODUCT((RD_Kopf&gt;=IF($G76="monatlich",DATE(YEAR(Stichtag),MONTH(Stichtag),1),IF($G76="quartalsweise",DATE(YEAR(Stichtag),INT((MONTH(Stichtag)-1)/3)*3+1,1),Stichtag)))*(RD_Kopf&lt;=Stichtag)*ISNUMBER(Rohdaten!$A$70:$LJ$70))&gt;0,"erledigt","offen"))))</f>
        <v/>
      </c>
      <c r="I76" s="73" t="s">
        <v>700</v>
      </c>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t="s">
        <v>784</v>
      </c>
      <c r="AN76" t="s">
        <v>151</v>
      </c>
      <c r="AO76" t="s">
        <v>695</v>
      </c>
    </row>
    <row r="77" spans="1:41" ht="18" customHeight="1" outlineLevel="1">
      <c r="A77" s="65">
        <f>ROW(Rohdaten!$A$71)</f>
        <v>71</v>
      </c>
      <c r="B77" s="66" t="str">
        <f>IF(Rohdaten!$A$71="","",Rohdaten!$A$71)</f>
        <v>7VE</v>
      </c>
      <c r="C77" s="74" t="s">
        <v>785</v>
      </c>
      <c r="D77" s="68">
        <f>IF(Rohdaten!$E$71="","",Rohdaten!$E$71)</f>
        <v/>
      </c>
      <c r="E77" s="69" t="str">
        <f t="array" ref="E77">_xlfn.TEXTJOIN(" / ",TRUE,IF($I77:$AL77="●",$I$4:$AL$4,""))</f>
        <v/>
      </c>
      <c r="F77" s="70" t="s">
        <v>777</v>
      </c>
      <c r="G77" s="71" t="s">
        <v>698</v>
      </c>
      <c r="H77" s="72">
        <f>IF($F77="automatisch",IF(ISNA(MATCH(Stichtag,RD_Kopf,0)),"automatisch",IF(SUMPRODUCT((RD_Kopf&gt;=IF($G77="monatlich",DATE(YEAR(Stichtag),MONTH(Stichtag),1),IF($G77="quartalsweise",DATE(YEAR(Stichtag),INT((MONTH(Stichtag)-1)/3)*3+1,1),Stichtag)))*(RD_Kopf&lt;=Stichtag)*ISNUMBER(Rohdaten!$A$71:$LJ$71))&gt;0,"erledigt","automatisch")),IF($F77&lt;&gt;"ja","",IF(ISNA(MATCH(Stichtag,RD_Kopf,0)),"keine Spalte",IF(SUMPRODUCT((RD_Kopf&gt;=IF($G77="monatlich",DATE(YEAR(Stichtag),MONTH(Stichtag),1),IF($G77="quartalsweise",DATE(YEAR(Stichtag),INT((MONTH(Stichtag)-1)/3)*3+1,1),Stichtag)))*(RD_Kopf&lt;=Stichtag)*ISNUMBER(Rohdaten!$A$71:$LJ$71))&gt;0,"erledigt","offen"))))</f>
        <v/>
      </c>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t="s">
        <v>786</v>
      </c>
      <c r="AN77" t="s">
        <v>787</v>
      </c>
      <c r="AO77" t="s">
        <v>695</v>
      </c>
    </row>
    <row r="78" spans="1:41" ht="18" customHeight="1" outlineLevel="1">
      <c r="A78" s="62"/>
      <c r="B78" s="62"/>
      <c r="C78" s="63" t="s">
        <v>769</v>
      </c>
      <c r="D78" s="63"/>
      <c r="E78" s="63"/>
      <c r="F78" s="63"/>
      <c r="G78" s="63"/>
      <c r="H78" s="63"/>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O78" t="s">
        <v>692</v>
      </c>
    </row>
    <row r="79" spans="1:41" ht="18" customHeight="1" outlineLevel="2">
      <c r="A79" s="65">
        <f>ROW(Rohdaten!$A$72)</f>
        <v>72</v>
      </c>
      <c r="B79" s="66" t="str">
        <f>IF(Rohdaten!$A$72="","",Rohdaten!$A$72)</f>
        <v>7VF</v>
      </c>
      <c r="C79" s="67" t="s">
        <v>779</v>
      </c>
      <c r="D79" s="68" t="str">
        <f>IF(Rohdaten!$E$72="","",Rohdaten!$E$72)</f>
        <v>Amend</v>
      </c>
      <c r="E79" s="69" t="str">
        <f t="array" ref="E79">_xlfn.TEXTJOIN(" / ",TRUE,IF($I79:$AL79="●",$I$4:$AL$4,""))</f>
        <v>Amend</v>
      </c>
      <c r="F79" s="70" t="s">
        <v>777</v>
      </c>
      <c r="G79" s="71" t="s">
        <v>698</v>
      </c>
      <c r="H79" s="72">
        <f>IF($F79="automatisch",IF(ISNA(MATCH(Stichtag,RD_Kopf,0)),"automatisch",IF(SUMPRODUCT((RD_Kopf&gt;=IF($G79="monatlich",DATE(YEAR(Stichtag),MONTH(Stichtag),1),IF($G79="quartalsweise",DATE(YEAR(Stichtag),INT((MONTH(Stichtag)-1)/3)*3+1,1),Stichtag)))*(RD_Kopf&lt;=Stichtag)*ISNUMBER(Rohdaten!$A$72:$LJ$72))&gt;0,"erledigt","automatisch")),IF($F79&lt;&gt;"ja","",IF(ISNA(MATCH(Stichtag,RD_Kopf,0)),"keine Spalte",IF(SUMPRODUCT((RD_Kopf&gt;=IF($G79="monatlich",DATE(YEAR(Stichtag),MONTH(Stichtag),1),IF($G79="quartalsweise",DATE(YEAR(Stichtag),INT((MONTH(Stichtag)-1)/3)*3+1,1),Stichtag)))*(RD_Kopf&lt;=Stichtag)*ISNUMBER(Rohdaten!$A$72:$LJ$72))&gt;0,"erledigt","offen"))))</f>
        <v/>
      </c>
      <c r="I79" s="73" t="s">
        <v>700</v>
      </c>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t="s">
        <v>788</v>
      </c>
      <c r="AN79" t="s">
        <v>153</v>
      </c>
      <c r="AO79" t="s">
        <v>695</v>
      </c>
    </row>
    <row r="80" spans="1:41" ht="18" customHeight="1" outlineLevel="2">
      <c r="A80" s="65">
        <f>ROW(Rohdaten!$A$73)</f>
        <v>73</v>
      </c>
      <c r="B80" s="66" t="str">
        <f>IF(Rohdaten!$A$73="","",Rohdaten!$A$73)</f>
        <v>7VG</v>
      </c>
      <c r="C80" s="67" t="s">
        <v>781</v>
      </c>
      <c r="D80" s="68" t="str">
        <f>IF(Rohdaten!$E$73="","",Rohdaten!$E$73)</f>
        <v>Amend</v>
      </c>
      <c r="E80" s="69" t="str">
        <f t="array" ref="E80">_xlfn.TEXTJOIN(" / ",TRUE,IF($I80:$AL80="●",$I$4:$AL$4,""))</f>
        <v>Amend</v>
      </c>
      <c r="F80" s="70" t="s">
        <v>777</v>
      </c>
      <c r="G80" s="71" t="s">
        <v>698</v>
      </c>
      <c r="H80" s="72">
        <f>IF($F80="automatisch",IF(ISNA(MATCH(Stichtag,RD_Kopf,0)),"automatisch",IF(SUMPRODUCT((RD_Kopf&gt;=IF($G80="monatlich",DATE(YEAR(Stichtag),MONTH(Stichtag),1),IF($G80="quartalsweise",DATE(YEAR(Stichtag),INT((MONTH(Stichtag)-1)/3)*3+1,1),Stichtag)))*(RD_Kopf&lt;=Stichtag)*ISNUMBER(Rohdaten!$A$73:$LJ$73))&gt;0,"erledigt","automatisch")),IF($F80&lt;&gt;"ja","",IF(ISNA(MATCH(Stichtag,RD_Kopf,0)),"keine Spalte",IF(SUMPRODUCT((RD_Kopf&gt;=IF($G80="monatlich",DATE(YEAR(Stichtag),MONTH(Stichtag),1),IF($G80="quartalsweise",DATE(YEAR(Stichtag),INT((MONTH(Stichtag)-1)/3)*3+1,1),Stichtag)))*(RD_Kopf&lt;=Stichtag)*ISNUMBER(Rohdaten!$A$73:$LJ$73))&gt;0,"erledigt","offen"))))</f>
        <v/>
      </c>
      <c r="I80" s="73" t="s">
        <v>700</v>
      </c>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t="s">
        <v>789</v>
      </c>
      <c r="AN80" t="s">
        <v>157</v>
      </c>
      <c r="AO80" t="s">
        <v>695</v>
      </c>
    </row>
    <row r="81" spans="1:41" ht="18" customHeight="1" outlineLevel="2">
      <c r="A81" s="65">
        <f>ROW(Rohdaten!$A$74)</f>
        <v>74</v>
      </c>
      <c r="B81" s="66" t="str">
        <f>IF(Rohdaten!$A$74="","",Rohdaten!$A$74)</f>
        <v>7VH</v>
      </c>
      <c r="C81" s="67" t="s">
        <v>783</v>
      </c>
      <c r="D81" s="68" t="str">
        <f>IF(Rohdaten!$E$74="","",Rohdaten!$E$74)</f>
        <v>Amend</v>
      </c>
      <c r="E81" s="69" t="str">
        <f t="array" ref="E81">_xlfn.TEXTJOIN(" / ",TRUE,IF($I81:$AL81="●",$I$4:$AL$4,""))</f>
        <v>Amend</v>
      </c>
      <c r="F81" s="70" t="s">
        <v>777</v>
      </c>
      <c r="G81" s="71" t="s">
        <v>698</v>
      </c>
      <c r="H81" s="72">
        <f>IF($F81="automatisch",IF(ISNA(MATCH(Stichtag,RD_Kopf,0)),"automatisch",IF(SUMPRODUCT((RD_Kopf&gt;=IF($G81="monatlich",DATE(YEAR(Stichtag),MONTH(Stichtag),1),IF($G81="quartalsweise",DATE(YEAR(Stichtag),INT((MONTH(Stichtag)-1)/3)*3+1,1),Stichtag)))*(RD_Kopf&lt;=Stichtag)*ISNUMBER(Rohdaten!$A$74:$LJ$74))&gt;0,"erledigt","automatisch")),IF($F81&lt;&gt;"ja","",IF(ISNA(MATCH(Stichtag,RD_Kopf,0)),"keine Spalte",IF(SUMPRODUCT((RD_Kopf&gt;=IF($G81="monatlich",DATE(YEAR(Stichtag),MONTH(Stichtag),1),IF($G81="quartalsweise",DATE(YEAR(Stichtag),INT((MONTH(Stichtag)-1)/3)*3+1,1),Stichtag)))*(RD_Kopf&lt;=Stichtag)*ISNUMBER(Rohdaten!$A$74:$LJ$74))&gt;0,"erledigt","offen"))))</f>
        <v/>
      </c>
      <c r="I81" s="73" t="s">
        <v>700</v>
      </c>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t="s">
        <v>790</v>
      </c>
      <c r="AN81" t="s">
        <v>161</v>
      </c>
      <c r="AO81" t="s">
        <v>695</v>
      </c>
    </row>
    <row r="82" spans="1:41" ht="18" customHeight="1" outlineLevel="1">
      <c r="A82" s="65">
        <f>ROW(Rohdaten!$A$75)</f>
        <v>75</v>
      </c>
      <c r="B82" s="66" t="str">
        <f>IF(Rohdaten!$A$75="","",Rohdaten!$A$75)</f>
        <v>7VI</v>
      </c>
      <c r="C82" s="74" t="s">
        <v>791</v>
      </c>
      <c r="D82" s="68">
        <f>IF(Rohdaten!$E$75="","",Rohdaten!$E$75)</f>
        <v/>
      </c>
      <c r="E82" s="69" t="str">
        <f t="array" ref="E82">_xlfn.TEXTJOIN(" / ",TRUE,IF($I82:$AL82="●",$I$4:$AL$4,""))</f>
        <v/>
      </c>
      <c r="F82" s="70" t="s">
        <v>777</v>
      </c>
      <c r="G82" s="71" t="s">
        <v>698</v>
      </c>
      <c r="H82" s="72">
        <f>IF($F82="automatisch",IF(ISNA(MATCH(Stichtag,RD_Kopf,0)),"automatisch",IF(SUMPRODUCT((RD_Kopf&gt;=IF($G82="monatlich",DATE(YEAR(Stichtag),MONTH(Stichtag),1),IF($G82="quartalsweise",DATE(YEAR(Stichtag),INT((MONTH(Stichtag)-1)/3)*3+1,1),Stichtag)))*(RD_Kopf&lt;=Stichtag)*ISNUMBER(Rohdaten!$A$75:$LJ$75))&gt;0,"erledigt","automatisch")),IF($F82&lt;&gt;"ja","",IF(ISNA(MATCH(Stichtag,RD_Kopf,0)),"keine Spalte",IF(SUMPRODUCT((RD_Kopf&gt;=IF($G82="monatlich",DATE(YEAR(Stichtag),MONTH(Stichtag),1),IF($G82="quartalsweise",DATE(YEAR(Stichtag),INT((MONTH(Stichtag)-1)/3)*3+1,1),Stichtag)))*(RD_Kopf&lt;=Stichtag)*ISNUMBER(Rohdaten!$A$75:$LJ$75))&gt;0,"erledigt","offen"))))</f>
        <v/>
      </c>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t="s">
        <v>792</v>
      </c>
      <c r="AN82" t="s">
        <v>793</v>
      </c>
      <c r="AO82" t="s">
        <v>695</v>
      </c>
    </row>
    <row r="83" spans="1:41" ht="18" customHeight="1" outlineLevel="1">
      <c r="A83" s="62"/>
      <c r="B83" s="62"/>
      <c r="C83" s="63" t="s">
        <v>772</v>
      </c>
      <c r="D83" s="63"/>
      <c r="E83" s="63"/>
      <c r="F83" s="63"/>
      <c r="G83" s="63"/>
      <c r="H83" s="63"/>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O83" t="s">
        <v>692</v>
      </c>
    </row>
    <row r="84" spans="1:41" ht="18" customHeight="1" outlineLevel="2">
      <c r="A84" s="65">
        <f>ROW(Rohdaten!$A$76)</f>
        <v>76</v>
      </c>
      <c r="B84" s="66" t="str">
        <f>IF(Rohdaten!$A$76="","",Rohdaten!$A$76)</f>
        <v>7VJ</v>
      </c>
      <c r="C84" s="67" t="s">
        <v>779</v>
      </c>
      <c r="D84" s="68" t="str">
        <f>IF(Rohdaten!$E$76="","",Rohdaten!$E$76)</f>
        <v>Amend</v>
      </c>
      <c r="E84" s="69" t="str">
        <f t="array" ref="E84">_xlfn.TEXTJOIN(" / ",TRUE,IF($I84:$AL84="●",$I$4:$AL$4,""))</f>
        <v>Amend</v>
      </c>
      <c r="F84" s="70" t="s">
        <v>777</v>
      </c>
      <c r="G84" s="71" t="s">
        <v>698</v>
      </c>
      <c r="H84" s="72">
        <f>IF($F84="automatisch",IF(ISNA(MATCH(Stichtag,RD_Kopf,0)),"automatisch",IF(SUMPRODUCT((RD_Kopf&gt;=IF($G84="monatlich",DATE(YEAR(Stichtag),MONTH(Stichtag),1),IF($G84="quartalsweise",DATE(YEAR(Stichtag),INT((MONTH(Stichtag)-1)/3)*3+1,1),Stichtag)))*(RD_Kopf&lt;=Stichtag)*ISNUMBER(Rohdaten!$A$76:$LJ$76))&gt;0,"erledigt","automatisch")),IF($F84&lt;&gt;"ja","",IF(ISNA(MATCH(Stichtag,RD_Kopf,0)),"keine Spalte",IF(SUMPRODUCT((RD_Kopf&gt;=IF($G84="monatlich",DATE(YEAR(Stichtag),MONTH(Stichtag),1),IF($G84="quartalsweise",DATE(YEAR(Stichtag),INT((MONTH(Stichtag)-1)/3)*3+1,1),Stichtag)))*(RD_Kopf&lt;=Stichtag)*ISNUMBER(Rohdaten!$A$76:$LJ$76))&gt;0,"erledigt","offen"))))</f>
        <v/>
      </c>
      <c r="I84" s="73" t="s">
        <v>700</v>
      </c>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t="s">
        <v>794</v>
      </c>
      <c r="AN84" t="s">
        <v>155</v>
      </c>
      <c r="AO84" t="s">
        <v>695</v>
      </c>
    </row>
    <row r="85" spans="1:41" ht="18" customHeight="1" outlineLevel="2">
      <c r="A85" s="65">
        <f>ROW(Rohdaten!$A$77)</f>
        <v>77</v>
      </c>
      <c r="B85" s="66" t="str">
        <f>IF(Rohdaten!$A$77="","",Rohdaten!$A$77)</f>
        <v>7VK</v>
      </c>
      <c r="C85" s="67" t="s">
        <v>781</v>
      </c>
      <c r="D85" s="68" t="str">
        <f>IF(Rohdaten!$E$77="","",Rohdaten!$E$77)</f>
        <v>Amend</v>
      </c>
      <c r="E85" s="69" t="str">
        <f t="array" ref="E85">_xlfn.TEXTJOIN(" / ",TRUE,IF($I85:$AL85="●",$I$4:$AL$4,""))</f>
        <v>Amend</v>
      </c>
      <c r="F85" s="70" t="s">
        <v>777</v>
      </c>
      <c r="G85" s="71" t="s">
        <v>698</v>
      </c>
      <c r="H85" s="72">
        <f>IF($F85="automatisch",IF(ISNA(MATCH(Stichtag,RD_Kopf,0)),"automatisch",IF(SUMPRODUCT((RD_Kopf&gt;=IF($G85="monatlich",DATE(YEAR(Stichtag),MONTH(Stichtag),1),IF($G85="quartalsweise",DATE(YEAR(Stichtag),INT((MONTH(Stichtag)-1)/3)*3+1,1),Stichtag)))*(RD_Kopf&lt;=Stichtag)*ISNUMBER(Rohdaten!$A$77:$LJ$77))&gt;0,"erledigt","automatisch")),IF($F85&lt;&gt;"ja","",IF(ISNA(MATCH(Stichtag,RD_Kopf,0)),"keine Spalte",IF(SUMPRODUCT((RD_Kopf&gt;=IF($G85="monatlich",DATE(YEAR(Stichtag),MONTH(Stichtag),1),IF($G85="quartalsweise",DATE(YEAR(Stichtag),INT((MONTH(Stichtag)-1)/3)*3+1,1),Stichtag)))*(RD_Kopf&lt;=Stichtag)*ISNUMBER(Rohdaten!$A$77:$LJ$77))&gt;0,"erledigt","offen"))))</f>
        <v/>
      </c>
      <c r="I85" s="73" t="s">
        <v>700</v>
      </c>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t="s">
        <v>795</v>
      </c>
      <c r="AN85" t="s">
        <v>159</v>
      </c>
      <c r="AO85" t="s">
        <v>695</v>
      </c>
    </row>
    <row r="86" spans="1:41" ht="18" customHeight="1" outlineLevel="2">
      <c r="A86" s="65">
        <f>ROW(Rohdaten!$A$78)</f>
        <v>78</v>
      </c>
      <c r="B86" s="66" t="str">
        <f>IF(Rohdaten!$A$78="","",Rohdaten!$A$78)</f>
        <v>7VL</v>
      </c>
      <c r="C86" s="67" t="s">
        <v>783</v>
      </c>
      <c r="D86" s="68" t="str">
        <f>IF(Rohdaten!$E$78="","",Rohdaten!$E$78)</f>
        <v>Amend</v>
      </c>
      <c r="E86" s="69" t="str">
        <f t="array" ref="E86">_xlfn.TEXTJOIN(" / ",TRUE,IF($I86:$AL86="●",$I$4:$AL$4,""))</f>
        <v>Amend</v>
      </c>
      <c r="F86" s="70" t="s">
        <v>777</v>
      </c>
      <c r="G86" s="71" t="s">
        <v>698</v>
      </c>
      <c r="H86" s="72">
        <f>IF($F86="automatisch",IF(ISNA(MATCH(Stichtag,RD_Kopf,0)),"automatisch",IF(SUMPRODUCT((RD_Kopf&gt;=IF($G86="monatlich",DATE(YEAR(Stichtag),MONTH(Stichtag),1),IF($G86="quartalsweise",DATE(YEAR(Stichtag),INT((MONTH(Stichtag)-1)/3)*3+1,1),Stichtag)))*(RD_Kopf&lt;=Stichtag)*ISNUMBER(Rohdaten!$A$78:$LJ$78))&gt;0,"erledigt","automatisch")),IF($F86&lt;&gt;"ja","",IF(ISNA(MATCH(Stichtag,RD_Kopf,0)),"keine Spalte",IF(SUMPRODUCT((RD_Kopf&gt;=IF($G86="monatlich",DATE(YEAR(Stichtag),MONTH(Stichtag),1),IF($G86="quartalsweise",DATE(YEAR(Stichtag),INT((MONTH(Stichtag)-1)/3)*3+1,1),Stichtag)))*(RD_Kopf&lt;=Stichtag)*ISNUMBER(Rohdaten!$A$78:$LJ$78))&gt;0,"erledigt","offen"))))</f>
        <v/>
      </c>
      <c r="I86" s="73" t="s">
        <v>700</v>
      </c>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t="s">
        <v>796</v>
      </c>
      <c r="AN86" t="s">
        <v>163</v>
      </c>
      <c r="AO86" t="s">
        <v>695</v>
      </c>
    </row>
    <row r="87" spans="1:41" ht="18" customHeight="1" outlineLevel="1">
      <c r="A87" s="65">
        <f>ROW(Rohdaten!$A$79)</f>
        <v>79</v>
      </c>
      <c r="B87" s="66" t="str">
        <f>IF(Rohdaten!$A$79="","",Rohdaten!$A$79)</f>
        <v>7OA</v>
      </c>
      <c r="C87" s="74" t="s">
        <v>797</v>
      </c>
      <c r="D87" s="68">
        <f>IF(Rohdaten!$E$79="","",Rohdaten!$E$79)</f>
        <v/>
      </c>
      <c r="E87" s="69" t="str">
        <f t="array" ref="E87">_xlfn.TEXTJOIN(" / ",TRUE,IF($I87:$AL87="●",$I$4:$AL$4,""))</f>
        <v/>
      </c>
      <c r="F87" s="70" t="s">
        <v>777</v>
      </c>
      <c r="G87" s="71" t="s">
        <v>698</v>
      </c>
      <c r="H87" s="72">
        <f>IF($F87="automatisch",IF(ISNA(MATCH(Stichtag,RD_Kopf,0)),"automatisch",IF(SUMPRODUCT((RD_Kopf&gt;=IF($G87="monatlich",DATE(YEAR(Stichtag),MONTH(Stichtag),1),IF($G87="quartalsweise",DATE(YEAR(Stichtag),INT((MONTH(Stichtag)-1)/3)*3+1,1),Stichtag)))*(RD_Kopf&lt;=Stichtag)*ISNUMBER(Rohdaten!$A$79:$LJ$79))&gt;0,"erledigt","automatisch")),IF($F87&lt;&gt;"ja","",IF(ISNA(MATCH(Stichtag,RD_Kopf,0)),"keine Spalte",IF(SUMPRODUCT((RD_Kopf&gt;=IF($G87="monatlich",DATE(YEAR(Stichtag),MONTH(Stichtag),1),IF($G87="quartalsweise",DATE(YEAR(Stichtag),INT((MONTH(Stichtag)-1)/3)*3+1,1),Stichtag)))*(RD_Kopf&lt;=Stichtag)*ISNUMBER(Rohdaten!$A$79:$LJ$79))&gt;0,"erledigt","offen"))))</f>
        <v/>
      </c>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t="s">
        <v>798</v>
      </c>
      <c r="AN87" t="s">
        <v>243</v>
      </c>
      <c r="AO87" t="s">
        <v>695</v>
      </c>
    </row>
    <row r="88" spans="1:41" ht="18" customHeight="1" outlineLevel="1">
      <c r="A88" s="62"/>
      <c r="B88" s="62"/>
      <c r="C88" s="63" t="s">
        <v>799</v>
      </c>
      <c r="D88" s="63"/>
      <c r="E88" s="63"/>
      <c r="F88" s="63"/>
      <c r="G88" s="63"/>
      <c r="H88" s="63"/>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O88" t="s">
        <v>692</v>
      </c>
    </row>
    <row r="89" spans="1:41" ht="18" customHeight="1" outlineLevel="2">
      <c r="A89" s="65">
        <f>ROW(Rohdaten!$A$80)</f>
        <v>80</v>
      </c>
      <c r="B89" s="66" t="str">
        <f>IF(Rohdaten!$A$80="","",Rohdaten!$A$80)</f>
        <v>7OB</v>
      </c>
      <c r="C89" s="67" t="s">
        <v>800</v>
      </c>
      <c r="D89" s="68" t="str">
        <f>IF(Rohdaten!$E$80="","",Rohdaten!$E$80)</f>
        <v>Amend</v>
      </c>
      <c r="E89" s="69" t="str">
        <f t="array" ref="E89">_xlfn.TEXTJOIN(" / ",TRUE,IF($I89:$AL89="●",$I$4:$AL$4,""))</f>
        <v>Amend</v>
      </c>
      <c r="F89" s="70" t="s">
        <v>777</v>
      </c>
      <c r="G89" s="71" t="s">
        <v>698</v>
      </c>
      <c r="H89" s="72">
        <f>IF($F89="automatisch",IF(ISNA(MATCH(Stichtag,RD_Kopf,0)),"automatisch",IF(SUMPRODUCT((RD_Kopf&gt;=IF($G89="monatlich",DATE(YEAR(Stichtag),MONTH(Stichtag),1),IF($G89="quartalsweise",DATE(YEAR(Stichtag),INT((MONTH(Stichtag)-1)/3)*3+1,1),Stichtag)))*(RD_Kopf&lt;=Stichtag)*ISNUMBER(Rohdaten!$A$80:$LJ$80))&gt;0,"erledigt","automatisch")),IF($F89&lt;&gt;"ja","",IF(ISNA(MATCH(Stichtag,RD_Kopf,0)),"keine Spalte",IF(SUMPRODUCT((RD_Kopf&gt;=IF($G89="monatlich",DATE(YEAR(Stichtag),MONTH(Stichtag),1),IF($G89="quartalsweise",DATE(YEAR(Stichtag),INT((MONTH(Stichtag)-1)/3)*3+1,1),Stichtag)))*(RD_Kopf&lt;=Stichtag)*ISNUMBER(Rohdaten!$A$80:$LJ$80))&gt;0,"erledigt","offen"))))</f>
        <v/>
      </c>
      <c r="I89" s="73" t="s">
        <v>700</v>
      </c>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t="s">
        <v>801</v>
      </c>
      <c r="AN89" t="s">
        <v>245</v>
      </c>
      <c r="AO89" t="s">
        <v>695</v>
      </c>
    </row>
    <row r="90" spans="1:41" ht="18" customHeight="1" outlineLevel="2">
      <c r="A90" s="65">
        <f>ROW(Rohdaten!$A$81)</f>
        <v>81</v>
      </c>
      <c r="B90" s="66" t="str">
        <f>IF(Rohdaten!$A$81="","",Rohdaten!$A$81)</f>
        <v>7OC</v>
      </c>
      <c r="C90" s="67" t="s">
        <v>802</v>
      </c>
      <c r="D90" s="68" t="str">
        <f>IF(Rohdaten!$E$81="","",Rohdaten!$E$81)</f>
        <v>Amend</v>
      </c>
      <c r="E90" s="69" t="str">
        <f t="array" ref="E90">_xlfn.TEXTJOIN(" / ",TRUE,IF($I90:$AL90="●",$I$4:$AL$4,""))</f>
        <v>Amend</v>
      </c>
      <c r="F90" s="70" t="s">
        <v>777</v>
      </c>
      <c r="G90" s="71" t="s">
        <v>698</v>
      </c>
      <c r="H90" s="72">
        <f>IF($F90="automatisch",IF(ISNA(MATCH(Stichtag,RD_Kopf,0)),"automatisch",IF(SUMPRODUCT((RD_Kopf&gt;=IF($G90="monatlich",DATE(YEAR(Stichtag),MONTH(Stichtag),1),IF($G90="quartalsweise",DATE(YEAR(Stichtag),INT((MONTH(Stichtag)-1)/3)*3+1,1),Stichtag)))*(RD_Kopf&lt;=Stichtag)*ISNUMBER(Rohdaten!$A$81:$LJ$81))&gt;0,"erledigt","automatisch")),IF($F90&lt;&gt;"ja","",IF(ISNA(MATCH(Stichtag,RD_Kopf,0)),"keine Spalte",IF(SUMPRODUCT((RD_Kopf&gt;=IF($G90="monatlich",DATE(YEAR(Stichtag),MONTH(Stichtag),1),IF($G90="quartalsweise",DATE(YEAR(Stichtag),INT((MONTH(Stichtag)-1)/3)*3+1,1),Stichtag)))*(RD_Kopf&lt;=Stichtag)*ISNUMBER(Rohdaten!$A$81:$LJ$81))&gt;0,"erledigt","offen"))))</f>
        <v/>
      </c>
      <c r="I90" s="73" t="s">
        <v>700</v>
      </c>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t="s">
        <v>803</v>
      </c>
      <c r="AN90" t="s">
        <v>247</v>
      </c>
      <c r="AO90" t="s">
        <v>695</v>
      </c>
    </row>
    <row r="91" spans="1:41" ht="18" customHeight="1" outlineLevel="2">
      <c r="A91" s="65">
        <f>ROW(Rohdaten!$A$82)</f>
        <v>82</v>
      </c>
      <c r="B91" s="66" t="str">
        <f>IF(Rohdaten!$A$82="","",Rohdaten!$A$82)</f>
        <v>7OD</v>
      </c>
      <c r="C91" s="67" t="s">
        <v>804</v>
      </c>
      <c r="D91" s="68" t="str">
        <f>IF(Rohdaten!$E$82="","",Rohdaten!$E$82)</f>
        <v>Amend</v>
      </c>
      <c r="E91" s="69" t="str">
        <f t="array" ref="E91">_xlfn.TEXTJOIN(" / ",TRUE,IF($I91:$AL91="●",$I$4:$AL$4,""))</f>
        <v>Amend</v>
      </c>
      <c r="F91" s="70" t="s">
        <v>777</v>
      </c>
      <c r="G91" s="71" t="s">
        <v>698</v>
      </c>
      <c r="H91" s="72">
        <f>IF($F91="automatisch",IF(ISNA(MATCH(Stichtag,RD_Kopf,0)),"automatisch",IF(SUMPRODUCT((RD_Kopf&gt;=IF($G91="monatlich",DATE(YEAR(Stichtag),MONTH(Stichtag),1),IF($G91="quartalsweise",DATE(YEAR(Stichtag),INT((MONTH(Stichtag)-1)/3)*3+1,1),Stichtag)))*(RD_Kopf&lt;=Stichtag)*ISNUMBER(Rohdaten!$A$82:$LJ$82))&gt;0,"erledigt","automatisch")),IF($F91&lt;&gt;"ja","",IF(ISNA(MATCH(Stichtag,RD_Kopf,0)),"keine Spalte",IF(SUMPRODUCT((RD_Kopf&gt;=IF($G91="monatlich",DATE(YEAR(Stichtag),MONTH(Stichtag),1),IF($G91="quartalsweise",DATE(YEAR(Stichtag),INT((MONTH(Stichtag)-1)/3)*3+1,1),Stichtag)))*(RD_Kopf&lt;=Stichtag)*ISNUMBER(Rohdaten!$A$82:$LJ$82))&gt;0,"erledigt","offen"))))</f>
        <v/>
      </c>
      <c r="I91" s="73" t="s">
        <v>700</v>
      </c>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t="s">
        <v>805</v>
      </c>
      <c r="AN91" t="s">
        <v>249</v>
      </c>
      <c r="AO91" t="s">
        <v>695</v>
      </c>
    </row>
    <row r="92" spans="1:41" ht="18" customHeight="1" outlineLevel="1">
      <c r="A92" s="65">
        <f>ROW(Rohdaten!$A$83)</f>
        <v>83</v>
      </c>
      <c r="B92" s="66" t="str">
        <f>IF(Rohdaten!$A$83="","",Rohdaten!$A$83)</f>
        <v>7OE</v>
      </c>
      <c r="C92" s="74" t="s">
        <v>806</v>
      </c>
      <c r="D92" s="68">
        <f>IF(Rohdaten!$E$83="","",Rohdaten!$E$83)</f>
        <v/>
      </c>
      <c r="E92" s="69" t="str">
        <f t="array" ref="E92">_xlfn.TEXTJOIN(" / ",TRUE,IF($I92:$AL92="●",$I$4:$AL$4,""))</f>
        <v/>
      </c>
      <c r="F92" s="70" t="s">
        <v>777</v>
      </c>
      <c r="G92" s="71" t="s">
        <v>698</v>
      </c>
      <c r="H92" s="72">
        <f>IF($F92="automatisch",IF(ISNA(MATCH(Stichtag,RD_Kopf,0)),"automatisch",IF(SUMPRODUCT((RD_Kopf&gt;=IF($G92="monatlich",DATE(YEAR(Stichtag),MONTH(Stichtag),1),IF($G92="quartalsweise",DATE(YEAR(Stichtag),INT((MONTH(Stichtag)-1)/3)*3+1,1),Stichtag)))*(RD_Kopf&lt;=Stichtag)*ISNUMBER(Rohdaten!$A$83:$LJ$83))&gt;0,"erledigt","automatisch")),IF($F92&lt;&gt;"ja","",IF(ISNA(MATCH(Stichtag,RD_Kopf,0)),"keine Spalte",IF(SUMPRODUCT((RD_Kopf&gt;=IF($G92="monatlich",DATE(YEAR(Stichtag),MONTH(Stichtag),1),IF($G92="quartalsweise",DATE(YEAR(Stichtag),INT((MONTH(Stichtag)-1)/3)*3+1,1),Stichtag)))*(RD_Kopf&lt;=Stichtag)*ISNUMBER(Rohdaten!$A$83:$LJ$83))&gt;0,"erledigt","offen"))))</f>
        <v/>
      </c>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t="s">
        <v>807</v>
      </c>
      <c r="AN92" t="s">
        <v>808</v>
      </c>
      <c r="AO92" t="s">
        <v>695</v>
      </c>
    </row>
    <row r="93" spans="1:41" ht="18" customHeight="1" outlineLevel="1">
      <c r="A93" s="62"/>
      <c r="B93" s="62"/>
      <c r="C93" s="63" t="s">
        <v>769</v>
      </c>
      <c r="D93" s="63"/>
      <c r="E93" s="63"/>
      <c r="F93" s="63"/>
      <c r="G93" s="63"/>
      <c r="H93" s="63"/>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O93" t="s">
        <v>692</v>
      </c>
    </row>
    <row r="94" spans="1:41" ht="18" customHeight="1" outlineLevel="2">
      <c r="A94" s="65">
        <f>ROW(Rohdaten!$A$84)</f>
        <v>84</v>
      </c>
      <c r="B94" s="66" t="str">
        <f>IF(Rohdaten!$A$84="","",Rohdaten!$A$84)</f>
        <v>7OF</v>
      </c>
      <c r="C94" s="67" t="s">
        <v>800</v>
      </c>
      <c r="D94" s="68" t="str">
        <f>IF(Rohdaten!$E$84="","",Rohdaten!$E$84)</f>
        <v>Amend</v>
      </c>
      <c r="E94" s="69" t="str">
        <f t="array" ref="E94">_xlfn.TEXTJOIN(" / ",TRUE,IF($I94:$AL94="●",$I$4:$AL$4,""))</f>
        <v>Amend</v>
      </c>
      <c r="F94" s="70" t="s">
        <v>777</v>
      </c>
      <c r="G94" s="71" t="s">
        <v>698</v>
      </c>
      <c r="H94" s="72">
        <f>IF($F94="automatisch",IF(ISNA(MATCH(Stichtag,RD_Kopf,0)),"automatisch",IF(SUMPRODUCT((RD_Kopf&gt;=IF($G94="monatlich",DATE(YEAR(Stichtag),MONTH(Stichtag),1),IF($G94="quartalsweise",DATE(YEAR(Stichtag),INT((MONTH(Stichtag)-1)/3)*3+1,1),Stichtag)))*(RD_Kopf&lt;=Stichtag)*ISNUMBER(Rohdaten!$A$84:$LJ$84))&gt;0,"erledigt","automatisch")),IF($F94&lt;&gt;"ja","",IF(ISNA(MATCH(Stichtag,RD_Kopf,0)),"keine Spalte",IF(SUMPRODUCT((RD_Kopf&gt;=IF($G94="monatlich",DATE(YEAR(Stichtag),MONTH(Stichtag),1),IF($G94="quartalsweise",DATE(YEAR(Stichtag),INT((MONTH(Stichtag)-1)/3)*3+1,1),Stichtag)))*(RD_Kopf&lt;=Stichtag)*ISNUMBER(Rohdaten!$A$84:$LJ$84))&gt;0,"erledigt","offen"))))</f>
        <v/>
      </c>
      <c r="I94" s="73" t="s">
        <v>700</v>
      </c>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t="s">
        <v>809</v>
      </c>
      <c r="AN94" t="s">
        <v>251</v>
      </c>
      <c r="AO94" t="s">
        <v>695</v>
      </c>
    </row>
    <row r="95" spans="1:41" ht="18" customHeight="1" outlineLevel="2">
      <c r="A95" s="65">
        <f>ROW(Rohdaten!$A$85)</f>
        <v>85</v>
      </c>
      <c r="B95" s="66" t="str">
        <f>IF(Rohdaten!$A$85="","",Rohdaten!$A$85)</f>
        <v>7OG</v>
      </c>
      <c r="C95" s="67" t="s">
        <v>802</v>
      </c>
      <c r="D95" s="68" t="str">
        <f>IF(Rohdaten!$E$85="","",Rohdaten!$E$85)</f>
        <v>Amend</v>
      </c>
      <c r="E95" s="69" t="str">
        <f t="array" ref="E95">_xlfn.TEXTJOIN(" / ",TRUE,IF($I95:$AL95="●",$I$4:$AL$4,""))</f>
        <v>Amend</v>
      </c>
      <c r="F95" s="70" t="s">
        <v>777</v>
      </c>
      <c r="G95" s="71" t="s">
        <v>698</v>
      </c>
      <c r="H95" s="72">
        <f>IF($F95="automatisch",IF(ISNA(MATCH(Stichtag,RD_Kopf,0)),"automatisch",IF(SUMPRODUCT((RD_Kopf&gt;=IF($G95="monatlich",DATE(YEAR(Stichtag),MONTH(Stichtag),1),IF($G95="quartalsweise",DATE(YEAR(Stichtag),INT((MONTH(Stichtag)-1)/3)*3+1,1),Stichtag)))*(RD_Kopf&lt;=Stichtag)*ISNUMBER(Rohdaten!$A$85:$LJ$85))&gt;0,"erledigt","automatisch")),IF($F95&lt;&gt;"ja","",IF(ISNA(MATCH(Stichtag,RD_Kopf,0)),"keine Spalte",IF(SUMPRODUCT((RD_Kopf&gt;=IF($G95="monatlich",DATE(YEAR(Stichtag),MONTH(Stichtag),1),IF($G95="quartalsweise",DATE(YEAR(Stichtag),INT((MONTH(Stichtag)-1)/3)*3+1,1),Stichtag)))*(RD_Kopf&lt;=Stichtag)*ISNUMBER(Rohdaten!$A$85:$LJ$85))&gt;0,"erledigt","offen"))))</f>
        <v/>
      </c>
      <c r="I95" s="73" t="s">
        <v>700</v>
      </c>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t="s">
        <v>810</v>
      </c>
      <c r="AN95" t="s">
        <v>255</v>
      </c>
      <c r="AO95" t="s">
        <v>695</v>
      </c>
    </row>
    <row r="96" spans="1:41" ht="18" customHeight="1" outlineLevel="2">
      <c r="A96" s="65">
        <f>ROW(Rohdaten!$A$86)</f>
        <v>86</v>
      </c>
      <c r="B96" s="66" t="str">
        <f>IF(Rohdaten!$A$86="","",Rohdaten!$A$86)</f>
        <v>7OH</v>
      </c>
      <c r="C96" s="67" t="s">
        <v>804</v>
      </c>
      <c r="D96" s="68" t="str">
        <f>IF(Rohdaten!$E$86="","",Rohdaten!$E$86)</f>
        <v>Amend</v>
      </c>
      <c r="E96" s="69" t="str">
        <f t="array" ref="E96">_xlfn.TEXTJOIN(" / ",TRUE,IF($I96:$AL96="●",$I$4:$AL$4,""))</f>
        <v>Amend</v>
      </c>
      <c r="F96" s="70" t="s">
        <v>777</v>
      </c>
      <c r="G96" s="71" t="s">
        <v>698</v>
      </c>
      <c r="H96" s="72">
        <f>IF($F96="automatisch",IF(ISNA(MATCH(Stichtag,RD_Kopf,0)),"automatisch",IF(SUMPRODUCT((RD_Kopf&gt;=IF($G96="monatlich",DATE(YEAR(Stichtag),MONTH(Stichtag),1),IF($G96="quartalsweise",DATE(YEAR(Stichtag),INT((MONTH(Stichtag)-1)/3)*3+1,1),Stichtag)))*(RD_Kopf&lt;=Stichtag)*ISNUMBER(Rohdaten!$A$86:$LJ$86))&gt;0,"erledigt","automatisch")),IF($F96&lt;&gt;"ja","",IF(ISNA(MATCH(Stichtag,RD_Kopf,0)),"keine Spalte",IF(SUMPRODUCT((RD_Kopf&gt;=IF($G96="monatlich",DATE(YEAR(Stichtag),MONTH(Stichtag),1),IF($G96="quartalsweise",DATE(YEAR(Stichtag),INT((MONTH(Stichtag)-1)/3)*3+1,1),Stichtag)))*(RD_Kopf&lt;=Stichtag)*ISNUMBER(Rohdaten!$A$86:$LJ$86))&gt;0,"erledigt","offen"))))</f>
        <v/>
      </c>
      <c r="I96" s="73" t="s">
        <v>700</v>
      </c>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t="s">
        <v>811</v>
      </c>
      <c r="AN96" t="s">
        <v>259</v>
      </c>
      <c r="AO96" t="s">
        <v>695</v>
      </c>
    </row>
    <row r="97" spans="1:41" ht="18" customHeight="1" outlineLevel="1">
      <c r="A97" s="65">
        <f>ROW(Rohdaten!$A$87)</f>
        <v>87</v>
      </c>
      <c r="B97" s="66" t="str">
        <f>IF(Rohdaten!$A$87="","",Rohdaten!$A$87)</f>
        <v>7OI</v>
      </c>
      <c r="C97" s="74" t="s">
        <v>812</v>
      </c>
      <c r="D97" s="68">
        <f>IF(Rohdaten!$E$87="","",Rohdaten!$E$87)</f>
        <v/>
      </c>
      <c r="E97" s="69" t="str">
        <f t="array" ref="E97">_xlfn.TEXTJOIN(" / ",TRUE,IF($I97:$AL97="●",$I$4:$AL$4,""))</f>
        <v/>
      </c>
      <c r="F97" s="70" t="s">
        <v>777</v>
      </c>
      <c r="G97" s="71" t="s">
        <v>698</v>
      </c>
      <c r="H97" s="72">
        <f>IF($F97="automatisch",IF(ISNA(MATCH(Stichtag,RD_Kopf,0)),"automatisch",IF(SUMPRODUCT((RD_Kopf&gt;=IF($G97="monatlich",DATE(YEAR(Stichtag),MONTH(Stichtag),1),IF($G97="quartalsweise",DATE(YEAR(Stichtag),INT((MONTH(Stichtag)-1)/3)*3+1,1),Stichtag)))*(RD_Kopf&lt;=Stichtag)*ISNUMBER(Rohdaten!$A$87:$LJ$87))&gt;0,"erledigt","automatisch")),IF($F97&lt;&gt;"ja","",IF(ISNA(MATCH(Stichtag,RD_Kopf,0)),"keine Spalte",IF(SUMPRODUCT((RD_Kopf&gt;=IF($G97="monatlich",DATE(YEAR(Stichtag),MONTH(Stichtag),1),IF($G97="quartalsweise",DATE(YEAR(Stichtag),INT((MONTH(Stichtag)-1)/3)*3+1,1),Stichtag)))*(RD_Kopf&lt;=Stichtag)*ISNUMBER(Rohdaten!$A$87:$LJ$87))&gt;0,"erledigt","offen"))))</f>
        <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t="s">
        <v>813</v>
      </c>
      <c r="AN97" t="s">
        <v>814</v>
      </c>
      <c r="AO97" t="s">
        <v>695</v>
      </c>
    </row>
    <row r="98" spans="1:41" ht="18" customHeight="1" outlineLevel="1">
      <c r="A98" s="62"/>
      <c r="B98" s="62"/>
      <c r="C98" s="63" t="s">
        <v>772</v>
      </c>
      <c r="D98" s="63"/>
      <c r="E98" s="63"/>
      <c r="F98" s="63"/>
      <c r="G98" s="63"/>
      <c r="H98" s="63"/>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O98" t="s">
        <v>692</v>
      </c>
    </row>
    <row r="99" spans="1:41" ht="18" customHeight="1" outlineLevel="2">
      <c r="A99" s="65">
        <f>ROW(Rohdaten!$A$88)</f>
        <v>88</v>
      </c>
      <c r="B99" s="66" t="str">
        <f>IF(Rohdaten!$A$88="","",Rohdaten!$A$88)</f>
        <v>7OJ</v>
      </c>
      <c r="C99" s="67" t="s">
        <v>800</v>
      </c>
      <c r="D99" s="68" t="str">
        <f>IF(Rohdaten!$E$88="","",Rohdaten!$E$88)</f>
        <v>Amend</v>
      </c>
      <c r="E99" s="69" t="str">
        <f t="array" ref="E99">_xlfn.TEXTJOIN(" / ",TRUE,IF($I99:$AL99="●",$I$4:$AL$4,""))</f>
        <v>Amend</v>
      </c>
      <c r="F99" s="70" t="s">
        <v>777</v>
      </c>
      <c r="G99" s="71" t="s">
        <v>698</v>
      </c>
      <c r="H99" s="72">
        <f>IF($F99="automatisch",IF(ISNA(MATCH(Stichtag,RD_Kopf,0)),"automatisch",IF(SUMPRODUCT((RD_Kopf&gt;=IF($G99="monatlich",DATE(YEAR(Stichtag),MONTH(Stichtag),1),IF($G99="quartalsweise",DATE(YEAR(Stichtag),INT((MONTH(Stichtag)-1)/3)*3+1,1),Stichtag)))*(RD_Kopf&lt;=Stichtag)*ISNUMBER(Rohdaten!$A$88:$LJ$88))&gt;0,"erledigt","automatisch")),IF($F99&lt;&gt;"ja","",IF(ISNA(MATCH(Stichtag,RD_Kopf,0)),"keine Spalte",IF(SUMPRODUCT((RD_Kopf&gt;=IF($G99="monatlich",DATE(YEAR(Stichtag),MONTH(Stichtag),1),IF($G99="quartalsweise",DATE(YEAR(Stichtag),INT((MONTH(Stichtag)-1)/3)*3+1,1),Stichtag)))*(RD_Kopf&lt;=Stichtag)*ISNUMBER(Rohdaten!$A$88:$LJ$88))&gt;0,"erledigt","offen"))))</f>
        <v/>
      </c>
      <c r="I99" s="73" t="s">
        <v>700</v>
      </c>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t="s">
        <v>815</v>
      </c>
      <c r="AN99" t="s">
        <v>253</v>
      </c>
      <c r="AO99" t="s">
        <v>695</v>
      </c>
    </row>
    <row r="100" spans="1:41" ht="18" customHeight="1" outlineLevel="2">
      <c r="A100" s="65">
        <f>ROW(Rohdaten!$A$89)</f>
        <v>89</v>
      </c>
      <c r="B100" s="66" t="str">
        <f>IF(Rohdaten!$A$89="","",Rohdaten!$A$89)</f>
        <v>7OK</v>
      </c>
      <c r="C100" s="67" t="s">
        <v>802</v>
      </c>
      <c r="D100" s="68" t="str">
        <f>IF(Rohdaten!$E$89="","",Rohdaten!$E$89)</f>
        <v>Amend</v>
      </c>
      <c r="E100" s="69" t="str">
        <f t="array" ref="E100">_xlfn.TEXTJOIN(" / ",TRUE,IF($I100:$AL100="●",$I$4:$AL$4,""))</f>
        <v>Amend</v>
      </c>
      <c r="F100" s="70" t="s">
        <v>777</v>
      </c>
      <c r="G100" s="71" t="s">
        <v>698</v>
      </c>
      <c r="H100" s="72">
        <f>IF($F100="automatisch",IF(ISNA(MATCH(Stichtag,RD_Kopf,0)),"automatisch",IF(SUMPRODUCT((RD_Kopf&gt;=IF($G100="monatlich",DATE(YEAR(Stichtag),MONTH(Stichtag),1),IF($G100="quartalsweise",DATE(YEAR(Stichtag),INT((MONTH(Stichtag)-1)/3)*3+1,1),Stichtag)))*(RD_Kopf&lt;=Stichtag)*ISNUMBER(Rohdaten!$A$89:$LJ$89))&gt;0,"erledigt","automatisch")),IF($F100&lt;&gt;"ja","",IF(ISNA(MATCH(Stichtag,RD_Kopf,0)),"keine Spalte",IF(SUMPRODUCT((RD_Kopf&gt;=IF($G100="monatlich",DATE(YEAR(Stichtag),MONTH(Stichtag),1),IF($G100="quartalsweise",DATE(YEAR(Stichtag),INT((MONTH(Stichtag)-1)/3)*3+1,1),Stichtag)))*(RD_Kopf&lt;=Stichtag)*ISNUMBER(Rohdaten!$A$89:$LJ$89))&gt;0,"erledigt","offen"))))</f>
        <v/>
      </c>
      <c r="I100" s="73" t="s">
        <v>700</v>
      </c>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t="s">
        <v>816</v>
      </c>
      <c r="AN100" t="s">
        <v>257</v>
      </c>
      <c r="AO100" t="s">
        <v>695</v>
      </c>
    </row>
    <row r="101" spans="1:41" ht="18" customHeight="1" outlineLevel="2">
      <c r="A101" s="65">
        <f>ROW(Rohdaten!$A$90)</f>
        <v>90</v>
      </c>
      <c r="B101" s="66" t="str">
        <f>IF(Rohdaten!$A$90="","",Rohdaten!$A$90)</f>
        <v>7OL</v>
      </c>
      <c r="C101" s="67" t="s">
        <v>804</v>
      </c>
      <c r="D101" s="68" t="str">
        <f>IF(Rohdaten!$E$90="","",Rohdaten!$E$90)</f>
        <v>Amend</v>
      </c>
      <c r="E101" s="69" t="str">
        <f t="array" ref="E101">_xlfn.TEXTJOIN(" / ",TRUE,IF($I101:$AL101="●",$I$4:$AL$4,""))</f>
        <v>Amend</v>
      </c>
      <c r="F101" s="70" t="s">
        <v>777</v>
      </c>
      <c r="G101" s="71" t="s">
        <v>698</v>
      </c>
      <c r="H101" s="72">
        <f>IF($F101="automatisch",IF(ISNA(MATCH(Stichtag,RD_Kopf,0)),"automatisch",IF(SUMPRODUCT((RD_Kopf&gt;=IF($G101="monatlich",DATE(YEAR(Stichtag),MONTH(Stichtag),1),IF($G101="quartalsweise",DATE(YEAR(Stichtag),INT((MONTH(Stichtag)-1)/3)*3+1,1),Stichtag)))*(RD_Kopf&lt;=Stichtag)*ISNUMBER(Rohdaten!$A$90:$LJ$90))&gt;0,"erledigt","automatisch")),IF($F101&lt;&gt;"ja","",IF(ISNA(MATCH(Stichtag,RD_Kopf,0)),"keine Spalte",IF(SUMPRODUCT((RD_Kopf&gt;=IF($G101="monatlich",DATE(YEAR(Stichtag),MONTH(Stichtag),1),IF($G101="quartalsweise",DATE(YEAR(Stichtag),INT((MONTH(Stichtag)-1)/3)*3+1,1),Stichtag)))*(RD_Kopf&lt;=Stichtag)*ISNUMBER(Rohdaten!$A$90:$LJ$90))&gt;0,"erledigt","offen"))))</f>
        <v/>
      </c>
      <c r="I101" s="73" t="s">
        <v>700</v>
      </c>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t="s">
        <v>817</v>
      </c>
      <c r="AN101" t="s">
        <v>261</v>
      </c>
      <c r="AO101" t="s">
        <v>695</v>
      </c>
    </row>
    <row r="102" spans="1:41" ht="18" customHeight="1" outlineLevel="1">
      <c r="A102" s="62"/>
      <c r="B102" s="62"/>
      <c r="C102" s="63" t="s">
        <v>714</v>
      </c>
      <c r="D102" s="63"/>
      <c r="E102" s="63"/>
      <c r="F102" s="63"/>
      <c r="G102" s="63"/>
      <c r="H102" s="63"/>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O102" t="s">
        <v>692</v>
      </c>
    </row>
    <row r="103" spans="1:41" ht="18" customHeight="1" outlineLevel="2">
      <c r="A103" s="65">
        <f>ROW(Rohdaten!$A$91)</f>
        <v>91</v>
      </c>
      <c r="B103" s="66" t="str">
        <f>IF(Rohdaten!$A$91="","",Rohdaten!$A$91)</f>
        <v>7a</v>
      </c>
      <c r="C103" s="67" t="s">
        <v>818</v>
      </c>
      <c r="D103" s="68">
        <f>IF(Rohdaten!$E$91="","",Rohdaten!$E$91)</f>
        <v/>
      </c>
      <c r="E103" s="69" t="str">
        <f t="array" ref="E103">_xlfn.TEXTJOIN(" / ",TRUE,IF($I103:$AL103="●",$I$4:$AL$4,""))</f>
        <v/>
      </c>
      <c r="F103" s="70" t="s">
        <v>697</v>
      </c>
      <c r="G103" s="71" t="s">
        <v>698</v>
      </c>
      <c r="H103" s="72">
        <f>IF($F103="automatisch",IF(ISNA(MATCH(Stichtag,RD_Kopf,0)),"automatisch",IF(SUMPRODUCT((RD_Kopf&gt;=IF($G103="monatlich",DATE(YEAR(Stichtag),MONTH(Stichtag),1),IF($G103="quartalsweise",DATE(YEAR(Stichtag),INT((MONTH(Stichtag)-1)/3)*3+1,1),Stichtag)))*(RD_Kopf&lt;=Stichtag)*ISNUMBER(Rohdaten!$A$91:$LJ$91))&gt;0,"erledigt","automatisch")),IF($F103&lt;&gt;"ja","",IF(ISNA(MATCH(Stichtag,RD_Kopf,0)),"keine Spalte",IF(SUMPRODUCT((RD_Kopf&gt;=IF($G103="monatlich",DATE(YEAR(Stichtag),MONTH(Stichtag),1),IF($G103="quartalsweise",DATE(YEAR(Stichtag),INT((MONTH(Stichtag)-1)/3)*3+1,1),Stichtag)))*(RD_Kopf&lt;=Stichtag)*ISNUMBER(Rohdaten!$A$91:$LJ$91))&gt;0,"erledigt","offen"))))</f>
        <v/>
      </c>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t="s">
        <v>819</v>
      </c>
      <c r="AN103" t="s">
        <v>820</v>
      </c>
      <c r="AO103" t="s">
        <v>695</v>
      </c>
    </row>
    <row r="104" spans="1:41" ht="18" customHeight="1" outlineLevel="2">
      <c r="A104" s="65">
        <f>ROW(Rohdaten!$A$92)</f>
        <v>92</v>
      </c>
      <c r="B104" s="66" t="str">
        <f>IF(Rohdaten!$A$92="","",Rohdaten!$A$92)</f>
        <v>7b</v>
      </c>
      <c r="C104" s="67" t="s">
        <v>821</v>
      </c>
      <c r="D104" s="68" t="str">
        <f>IF(Rohdaten!$E$92="","",Rohdaten!$E$92)</f>
        <v>Amend</v>
      </c>
      <c r="E104" s="69" t="str">
        <f t="array" ref="E104">_xlfn.TEXTJOIN(" / ",TRUE,IF($I104:$AL104="●",$I$4:$AL$4,""))</f>
        <v>Amend</v>
      </c>
      <c r="F104" s="70" t="s">
        <v>697</v>
      </c>
      <c r="G104" s="71" t="s">
        <v>698</v>
      </c>
      <c r="H104" s="72" t="str">
        <f>IF($F104="automatisch",IF(ISNA(MATCH(Stichtag,RD_Kopf,0)),"automatisch",IF(SUMPRODUCT((RD_Kopf&gt;=IF($G104="monatlich",DATE(YEAR(Stichtag),MONTH(Stichtag),1),IF($G104="quartalsweise",DATE(YEAR(Stichtag),INT((MONTH(Stichtag)-1)/3)*3+1,1),Stichtag)))*(RD_Kopf&lt;=Stichtag)*ISNUMBER(Rohdaten!$A$92:$LJ$92))&gt;0,"erledigt","automatisch")),IF($F104&lt;&gt;"ja","nicht berichtet",IF(ISNA(MATCH(Stichtag,RD_Kopf,0)),"keine Spalte",IF(SUMPRODUCT((RD_Kopf&gt;=IF($G104="monatlich",DATE(YEAR(Stichtag),MONTH(Stichtag),1),IF($G104="quartalsweise",DATE(YEAR(Stichtag),INT((MONTH(Stichtag)-1)/3)*3+1,1),Stichtag)))*(RD_Kopf&lt;=Stichtag)*ISNUMBER(Rohdaten!$A$92:$LJ$92))&gt;0,"erledigt","offen"))))</f>
        <v>nicht berichtet</v>
      </c>
      <c r="I104" s="73" t="s">
        <v>700</v>
      </c>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t="s">
        <v>822</v>
      </c>
      <c r="AN104" t="s">
        <v>823</v>
      </c>
      <c r="AO104" t="s">
        <v>695</v>
      </c>
    </row>
    <row r="105" spans="1:41" ht="18" customHeight="1" outlineLevel="2">
      <c r="A105" s="65">
        <f>ROW(Rohdaten!$A$93)</f>
        <v>93</v>
      </c>
      <c r="B105" s="66" t="str">
        <f>IF(Rohdaten!$A$93="","",Rohdaten!$A$93)</f>
        <v>7c</v>
      </c>
      <c r="C105" s="67" t="s">
        <v>824</v>
      </c>
      <c r="D105" s="68" t="str">
        <f>IF(Rohdaten!$E$93="","",Rohdaten!$E$93)</f>
        <v>Amend</v>
      </c>
      <c r="E105" s="69" t="str">
        <f t="array" ref="E105">_xlfn.TEXTJOIN(" / ",TRUE,IF($I105:$AL105="●",$I$4:$AL$4,""))</f>
        <v>Amend</v>
      </c>
      <c r="F105" s="70" t="s">
        <v>697</v>
      </c>
      <c r="G105" s="71" t="s">
        <v>698</v>
      </c>
      <c r="H105" s="72" t="str">
        <f>IF($F105="automatisch",IF(ISNA(MATCH(Stichtag,RD_Kopf,0)),"automatisch",IF(SUMPRODUCT((RD_Kopf&gt;=IF($G105="monatlich",DATE(YEAR(Stichtag),MONTH(Stichtag),1),IF($G105="quartalsweise",DATE(YEAR(Stichtag),INT((MONTH(Stichtag)-1)/3)*3+1,1),Stichtag)))*(RD_Kopf&lt;=Stichtag)*ISNUMBER(Rohdaten!$A$93:$LJ$93))&gt;0,"erledigt","automatisch")),IF($F105&lt;&gt;"ja","nicht berichtet",IF(ISNA(MATCH(Stichtag,RD_Kopf,0)),"keine Spalte",IF(SUMPRODUCT((RD_Kopf&gt;=IF($G105="monatlich",DATE(YEAR(Stichtag),MONTH(Stichtag),1),IF($G105="quartalsweise",DATE(YEAR(Stichtag),INT((MONTH(Stichtag)-1)/3)*3+1,1),Stichtag)))*(RD_Kopf&lt;=Stichtag)*ISNUMBER(Rohdaten!$A$93:$LJ$93))&gt;0,"erledigt","offen"))))</f>
        <v>nicht berichtet</v>
      </c>
      <c r="I105" s="73" t="s">
        <v>700</v>
      </c>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t="s">
        <v>825</v>
      </c>
      <c r="AN105" t="s">
        <v>826</v>
      </c>
      <c r="AO105" t="s">
        <v>695</v>
      </c>
    </row>
    <row r="106" spans="1:41" ht="18" customHeight="1" outlineLevel="2">
      <c r="A106" s="65">
        <f>ROW(Rohdaten!$A$94)</f>
        <v>94</v>
      </c>
      <c r="B106" s="66" t="str">
        <f>IF(Rohdaten!$A$94="","",Rohdaten!$A$94)</f>
        <v>7d</v>
      </c>
      <c r="C106" s="67" t="s">
        <v>827</v>
      </c>
      <c r="D106" s="68" t="str">
        <f>IF(Rohdaten!$E$94="","",Rohdaten!$E$94)</f>
        <v>H:\MaklerBUe</v>
      </c>
      <c r="E106" s="69" t="str">
        <f t="array" ref="E106">_xlfn.TEXTJOIN(" / ",TRUE,IF($I106:$AL106="●",$I$4:$AL$4,""))</f>
        <v/>
      </c>
      <c r="F106" s="70" t="s">
        <v>697</v>
      </c>
      <c r="G106" s="71" t="s">
        <v>698</v>
      </c>
      <c r="H106" s="72">
        <f>IF($F106="automatisch",IF(ISNA(MATCH(Stichtag,RD_Kopf,0)),"automatisch",IF(SUMPRODUCT((RD_Kopf&gt;=IF($G106="monatlich",DATE(YEAR(Stichtag),MONTH(Stichtag),1),IF($G106="quartalsweise",DATE(YEAR(Stichtag),INT((MONTH(Stichtag)-1)/3)*3+1,1),Stichtag)))*(RD_Kopf&lt;=Stichtag)*ISNUMBER(Rohdaten!$A$94:$LJ$94))&gt;0,"erledigt","automatisch")),IF($F106&lt;&gt;"ja","",IF(ISNA(MATCH(Stichtag,RD_Kopf,0)),"keine Spalte",IF(SUMPRODUCT((RD_Kopf&gt;=IF($G106="monatlich",DATE(YEAR(Stichtag),MONTH(Stichtag),1),IF($G106="quartalsweise",DATE(YEAR(Stichtag),INT((MONTH(Stichtag)-1)/3)*3+1,1),Stichtag)))*(RD_Kopf&lt;=Stichtag)*ISNUMBER(Rohdaten!$A$94:$LJ$94))&gt;0,"erledigt","offen"))))</f>
        <v/>
      </c>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t="s">
        <v>828</v>
      </c>
      <c r="AN106" t="s">
        <v>829</v>
      </c>
      <c r="AO106" t="s">
        <v>695</v>
      </c>
    </row>
    <row r="107" spans="1:41" ht="18" customHeight="1" outlineLevel="1">
      <c r="A107" s="65">
        <f>ROW(Rohdaten!$A$95)</f>
        <v>95</v>
      </c>
      <c r="B107" s="66" t="str">
        <f>IF(Rohdaten!$A$95="","",Rohdaten!$A$95)</f>
        <v>7e</v>
      </c>
      <c r="C107" s="74" t="s">
        <v>830</v>
      </c>
      <c r="D107" s="68">
        <f>IF(Rohdaten!$E$95="","",Rohdaten!$E$95)</f>
        <v/>
      </c>
      <c r="E107" s="69" t="str">
        <f t="array" ref="E107">_xlfn.TEXTJOIN(" / ",TRUE,IF($I107:$AL107="●",$I$4:$AL$4,""))</f>
        <v/>
      </c>
      <c r="F107" s="70" t="s">
        <v>697</v>
      </c>
      <c r="G107" s="71" t="s">
        <v>698</v>
      </c>
      <c r="H107" s="72">
        <f>IF($F107="automatisch",IF(ISNA(MATCH(Stichtag,RD_Kopf,0)),"automatisch",IF(SUMPRODUCT((RD_Kopf&gt;=IF($G107="monatlich",DATE(YEAR(Stichtag),MONTH(Stichtag),1),IF($G107="quartalsweise",DATE(YEAR(Stichtag),INT((MONTH(Stichtag)-1)/3)*3+1,1),Stichtag)))*(RD_Kopf&lt;=Stichtag)*ISNUMBER(Rohdaten!$A$95:$LJ$95))&gt;0,"erledigt","automatisch")),IF($F107&lt;&gt;"ja","",IF(ISNA(MATCH(Stichtag,RD_Kopf,0)),"keine Spalte",IF(SUMPRODUCT((RD_Kopf&gt;=IF($G107="monatlich",DATE(YEAR(Stichtag),MONTH(Stichtag),1),IF($G107="quartalsweise",DATE(YEAR(Stichtag),INT((MONTH(Stichtag)-1)/3)*3+1,1),Stichtag)))*(RD_Kopf&lt;=Stichtag)*ISNUMBER(Rohdaten!$A$95:$LJ$95))&gt;0,"erledigt","offen"))))</f>
        <v/>
      </c>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t="s">
        <v>831</v>
      </c>
      <c r="AN107" t="s">
        <v>832</v>
      </c>
      <c r="AO107" t="s">
        <v>695</v>
      </c>
    </row>
    <row r="108" spans="1:41" ht="18" customHeight="1" outlineLevel="1">
      <c r="A108" s="62"/>
      <c r="B108" s="62"/>
      <c r="C108" s="63" t="s">
        <v>769</v>
      </c>
      <c r="D108" s="63"/>
      <c r="E108" s="63"/>
      <c r="F108" s="63"/>
      <c r="G108" s="63"/>
      <c r="H108" s="63"/>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O108" t="s">
        <v>692</v>
      </c>
    </row>
    <row r="109" spans="1:41" ht="18" customHeight="1" outlineLevel="2">
      <c r="A109" s="65">
        <f>ROW(Rohdaten!$A$96)</f>
        <v>96</v>
      </c>
      <c r="B109" s="66">
        <f>IF(Rohdaten!$A$96="","",Rohdaten!$A$96)</f>
        <v/>
      </c>
      <c r="C109" s="67" t="s">
        <v>821</v>
      </c>
      <c r="D109" s="68" t="str">
        <f>IF(Rohdaten!$E$96="","",Rohdaten!$E$96)</f>
        <v>Amend</v>
      </c>
      <c r="E109" s="69" t="str">
        <f t="array" ref="E109">_xlfn.TEXTJOIN(" / ",TRUE,IF($I109:$AL109="●",$I$4:$AL$4,""))</f>
        <v>Amend</v>
      </c>
      <c r="F109" s="70" t="s">
        <v>697</v>
      </c>
      <c r="G109" s="71" t="s">
        <v>698</v>
      </c>
      <c r="H109" s="72" t="str">
        <f>IF($F109="automatisch",IF(ISNA(MATCH(Stichtag,RD_Kopf,0)),"automatisch",IF(SUMPRODUCT((RD_Kopf&gt;=IF($G109="monatlich",DATE(YEAR(Stichtag),MONTH(Stichtag),1),IF($G109="quartalsweise",DATE(YEAR(Stichtag),INT((MONTH(Stichtag)-1)/3)*3+1,1),Stichtag)))*(RD_Kopf&lt;=Stichtag)*ISNUMBER(Rohdaten!$A$96:$LJ$96))&gt;0,"erledigt","automatisch")),IF($F109&lt;&gt;"ja","nicht berichtet",IF(ISNA(MATCH(Stichtag,RD_Kopf,0)),"keine Spalte",IF(SUMPRODUCT((RD_Kopf&gt;=IF($G109="monatlich",DATE(YEAR(Stichtag),MONTH(Stichtag),1),IF($G109="quartalsweise",DATE(YEAR(Stichtag),INT((MONTH(Stichtag)-1)/3)*3+1,1),Stichtag)))*(RD_Kopf&lt;=Stichtag)*ISNUMBER(Rohdaten!$A$96:$LJ$96))&gt;0,"erledigt","offen"))))</f>
        <v>nicht berichtet</v>
      </c>
      <c r="I109" s="73" t="s">
        <v>700</v>
      </c>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t="s">
        <v>833</v>
      </c>
      <c r="AO109" t="s">
        <v>695</v>
      </c>
    </row>
    <row r="110" spans="1:41" ht="18" customHeight="1" outlineLevel="2">
      <c r="A110" s="65">
        <f>ROW(Rohdaten!$A$97)</f>
        <v>97</v>
      </c>
      <c r="B110" s="66">
        <f>IF(Rohdaten!$A$97="","",Rohdaten!$A$97)</f>
        <v/>
      </c>
      <c r="C110" s="67" t="s">
        <v>834</v>
      </c>
      <c r="D110" s="68" t="str">
        <f>IF(Rohdaten!$E$97="","",Rohdaten!$E$97)</f>
        <v>Amend</v>
      </c>
      <c r="E110" s="69" t="str">
        <f t="array" ref="E110">_xlfn.TEXTJOIN(" / ",TRUE,IF($I110:$AL110="●",$I$4:$AL$4,""))</f>
        <v>Amend</v>
      </c>
      <c r="F110" s="70" t="s">
        <v>697</v>
      </c>
      <c r="G110" s="71" t="s">
        <v>698</v>
      </c>
      <c r="H110" s="72" t="str">
        <f>IF($F110="automatisch",IF(ISNA(MATCH(Stichtag,RD_Kopf,0)),"automatisch",IF(SUMPRODUCT((RD_Kopf&gt;=IF($G110="monatlich",DATE(YEAR(Stichtag),MONTH(Stichtag),1),IF($G110="quartalsweise",DATE(YEAR(Stichtag),INT((MONTH(Stichtag)-1)/3)*3+1,1),Stichtag)))*(RD_Kopf&lt;=Stichtag)*ISNUMBER(Rohdaten!$A$97:$LJ$97))&gt;0,"erledigt","automatisch")),IF($F110&lt;&gt;"ja","nicht berichtet",IF(ISNA(MATCH(Stichtag,RD_Kopf,0)),"keine Spalte",IF(SUMPRODUCT((RD_Kopf&gt;=IF($G110="monatlich",DATE(YEAR(Stichtag),MONTH(Stichtag),1),IF($G110="quartalsweise",DATE(YEAR(Stichtag),INT((MONTH(Stichtag)-1)/3)*3+1,1),Stichtag)))*(RD_Kopf&lt;=Stichtag)*ISNUMBER(Rohdaten!$A$97:$LJ$97))&gt;0,"erledigt","offen"))))</f>
        <v>nicht berichtet</v>
      </c>
      <c r="I110" s="73" t="s">
        <v>700</v>
      </c>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t="s">
        <v>835</v>
      </c>
      <c r="AO110" t="s">
        <v>695</v>
      </c>
    </row>
    <row r="111" spans="1:41" ht="18" customHeight="1" outlineLevel="2">
      <c r="A111" s="65">
        <f>ROW(Rohdaten!$A$98)</f>
        <v>98</v>
      </c>
      <c r="B111" s="66">
        <f>IF(Rohdaten!$A$98="","",Rohdaten!$A$98)</f>
        <v/>
      </c>
      <c r="C111" s="67" t="s">
        <v>836</v>
      </c>
      <c r="D111" s="68" t="str">
        <f>IF(Rohdaten!$E$98="","",Rohdaten!$E$98)</f>
        <v>H:\MaklerBUe</v>
      </c>
      <c r="E111" s="69" t="str">
        <f t="array" ref="E111">_xlfn.TEXTJOIN(" / ",TRUE,IF($I111:$AL111="●",$I$4:$AL$4,""))</f>
        <v/>
      </c>
      <c r="F111" s="70" t="s">
        <v>697</v>
      </c>
      <c r="G111" s="71" t="s">
        <v>698</v>
      </c>
      <c r="H111" s="72">
        <f>IF($F111="automatisch",IF(ISNA(MATCH(Stichtag,RD_Kopf,0)),"automatisch",IF(SUMPRODUCT((RD_Kopf&gt;=IF($G111="monatlich",DATE(YEAR(Stichtag),MONTH(Stichtag),1),IF($G111="quartalsweise",DATE(YEAR(Stichtag),INT((MONTH(Stichtag)-1)/3)*3+1,1),Stichtag)))*(RD_Kopf&lt;=Stichtag)*ISNUMBER(Rohdaten!$A$98:$LJ$98))&gt;0,"erledigt","automatisch")),IF($F111&lt;&gt;"ja","",IF(ISNA(MATCH(Stichtag,RD_Kopf,0)),"keine Spalte",IF(SUMPRODUCT((RD_Kopf&gt;=IF($G111="monatlich",DATE(YEAR(Stichtag),MONTH(Stichtag),1),IF($G111="quartalsweise",DATE(YEAR(Stichtag),INT((MONTH(Stichtag)-1)/3)*3+1,1),Stichtag)))*(RD_Kopf&lt;=Stichtag)*ISNUMBER(Rohdaten!$A$98:$LJ$98))&gt;0,"erledigt","offen"))))</f>
        <v/>
      </c>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t="s">
        <v>837</v>
      </c>
      <c r="AO111" t="s">
        <v>695</v>
      </c>
    </row>
    <row r="112" spans="1:41" ht="18" customHeight="1" outlineLevel="1">
      <c r="A112" s="65">
        <f>ROW(Rohdaten!$A$99)</f>
        <v>99</v>
      </c>
      <c r="B112" s="66" t="str">
        <f>IF(Rohdaten!$A$99="","",Rohdaten!$A$99)</f>
        <v>7f</v>
      </c>
      <c r="C112" s="74" t="s">
        <v>838</v>
      </c>
      <c r="D112" s="68">
        <f>IF(Rohdaten!$E$99="","",Rohdaten!$E$99)</f>
        <v/>
      </c>
      <c r="E112" s="69" t="str">
        <f t="array" ref="E112">_xlfn.TEXTJOIN(" / ",TRUE,IF($I112:$AL112="●",$I$4:$AL$4,""))</f>
        <v/>
      </c>
      <c r="F112" s="70" t="s">
        <v>697</v>
      </c>
      <c r="G112" s="71" t="s">
        <v>698</v>
      </c>
      <c r="H112" s="72">
        <f>IF($F112="automatisch",IF(ISNA(MATCH(Stichtag,RD_Kopf,0)),"automatisch",IF(SUMPRODUCT((RD_Kopf&gt;=IF($G112="monatlich",DATE(YEAR(Stichtag),MONTH(Stichtag),1),IF($G112="quartalsweise",DATE(YEAR(Stichtag),INT((MONTH(Stichtag)-1)/3)*3+1,1),Stichtag)))*(RD_Kopf&lt;=Stichtag)*ISNUMBER(Rohdaten!$A$99:$LJ$99))&gt;0,"erledigt","automatisch")),IF($F112&lt;&gt;"ja","",IF(ISNA(MATCH(Stichtag,RD_Kopf,0)),"keine Spalte",IF(SUMPRODUCT((RD_Kopf&gt;=IF($G112="monatlich",DATE(YEAR(Stichtag),MONTH(Stichtag),1),IF($G112="quartalsweise",DATE(YEAR(Stichtag),INT((MONTH(Stichtag)-1)/3)*3+1,1),Stichtag)))*(RD_Kopf&lt;=Stichtag)*ISNUMBER(Rohdaten!$A$99:$LJ$99))&gt;0,"erledigt","offen"))))</f>
        <v/>
      </c>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t="s">
        <v>839</v>
      </c>
      <c r="AN112" t="s">
        <v>840</v>
      </c>
      <c r="AO112" t="s">
        <v>695</v>
      </c>
    </row>
    <row r="113" spans="1:41" ht="18" customHeight="1" outlineLevel="1">
      <c r="A113" s="62"/>
      <c r="B113" s="62"/>
      <c r="C113" s="63" t="s">
        <v>772</v>
      </c>
      <c r="D113" s="63"/>
      <c r="E113" s="63"/>
      <c r="F113" s="63"/>
      <c r="G113" s="63"/>
      <c r="H113" s="63"/>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O113" t="s">
        <v>692</v>
      </c>
    </row>
    <row r="114" spans="1:41" ht="18" customHeight="1" outlineLevel="2">
      <c r="A114" s="65">
        <f>ROW(Rohdaten!$A$100)</f>
        <v>100</v>
      </c>
      <c r="B114" s="66">
        <f>IF(Rohdaten!$A$100="","",Rohdaten!$A$100)</f>
        <v/>
      </c>
      <c r="C114" s="67" t="s">
        <v>821</v>
      </c>
      <c r="D114" s="68" t="str">
        <f>IF(Rohdaten!$E$100="","",Rohdaten!$E$100)</f>
        <v>Amend</v>
      </c>
      <c r="E114" s="69" t="str">
        <f t="array" ref="E114">_xlfn.TEXTJOIN(" / ",TRUE,IF($I114:$AL114="●",$I$4:$AL$4,""))</f>
        <v>Amend</v>
      </c>
      <c r="F114" s="70" t="s">
        <v>697</v>
      </c>
      <c r="G114" s="71" t="s">
        <v>698</v>
      </c>
      <c r="H114" s="72" t="str">
        <f>IF($F114="automatisch",IF(ISNA(MATCH(Stichtag,RD_Kopf,0)),"automatisch",IF(SUMPRODUCT((RD_Kopf&gt;=IF($G114="monatlich",DATE(YEAR(Stichtag),MONTH(Stichtag),1),IF($G114="quartalsweise",DATE(YEAR(Stichtag),INT((MONTH(Stichtag)-1)/3)*3+1,1),Stichtag)))*(RD_Kopf&lt;=Stichtag)*ISNUMBER(Rohdaten!$A$100:$LJ$100))&gt;0,"erledigt","automatisch")),IF($F114&lt;&gt;"ja","nicht berichtet",IF(ISNA(MATCH(Stichtag,RD_Kopf,0)),"keine Spalte",IF(SUMPRODUCT((RD_Kopf&gt;=IF($G114="monatlich",DATE(YEAR(Stichtag),MONTH(Stichtag),1),IF($G114="quartalsweise",DATE(YEAR(Stichtag),INT((MONTH(Stichtag)-1)/3)*3+1,1),Stichtag)))*(RD_Kopf&lt;=Stichtag)*ISNUMBER(Rohdaten!$A$100:$LJ$100))&gt;0,"erledigt","offen"))))</f>
        <v>nicht berichtet</v>
      </c>
      <c r="I114" s="73" t="s">
        <v>700</v>
      </c>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t="s">
        <v>841</v>
      </c>
      <c r="AO114" t="s">
        <v>695</v>
      </c>
    </row>
    <row r="115" spans="1:41" ht="18" customHeight="1" outlineLevel="2">
      <c r="A115" s="65">
        <f>ROW(Rohdaten!$A$101)</f>
        <v>101</v>
      </c>
      <c r="B115" s="66">
        <f>IF(Rohdaten!$A$101="","",Rohdaten!$A$101)</f>
        <v/>
      </c>
      <c r="C115" s="67" t="s">
        <v>834</v>
      </c>
      <c r="D115" s="68" t="str">
        <f>IF(Rohdaten!$E$101="","",Rohdaten!$E$101)</f>
        <v>Amend</v>
      </c>
      <c r="E115" s="69" t="str">
        <f t="array" ref="E115">_xlfn.TEXTJOIN(" / ",TRUE,IF($I115:$AL115="●",$I$4:$AL$4,""))</f>
        <v>Amend</v>
      </c>
      <c r="F115" s="70" t="s">
        <v>697</v>
      </c>
      <c r="G115" s="71" t="s">
        <v>698</v>
      </c>
      <c r="H115" s="72" t="str">
        <f>IF($F115="automatisch",IF(ISNA(MATCH(Stichtag,RD_Kopf,0)),"automatisch",IF(SUMPRODUCT((RD_Kopf&gt;=IF($G115="monatlich",DATE(YEAR(Stichtag),MONTH(Stichtag),1),IF($G115="quartalsweise",DATE(YEAR(Stichtag),INT((MONTH(Stichtag)-1)/3)*3+1,1),Stichtag)))*(RD_Kopf&lt;=Stichtag)*ISNUMBER(Rohdaten!$A$101:$LJ$101))&gt;0,"erledigt","automatisch")),IF($F115&lt;&gt;"ja","nicht berichtet",IF(ISNA(MATCH(Stichtag,RD_Kopf,0)),"keine Spalte",IF(SUMPRODUCT((RD_Kopf&gt;=IF($G115="monatlich",DATE(YEAR(Stichtag),MONTH(Stichtag),1),IF($G115="quartalsweise",DATE(YEAR(Stichtag),INT((MONTH(Stichtag)-1)/3)*3+1,1),Stichtag)))*(RD_Kopf&lt;=Stichtag)*ISNUMBER(Rohdaten!$A$101:$LJ$101))&gt;0,"erledigt","offen"))))</f>
        <v>nicht berichtet</v>
      </c>
      <c r="I115" s="73" t="s">
        <v>700</v>
      </c>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t="s">
        <v>842</v>
      </c>
      <c r="AO115" t="s">
        <v>695</v>
      </c>
    </row>
    <row r="116" spans="1:41" ht="18" customHeight="1" outlineLevel="2">
      <c r="A116" s="65">
        <f>ROW(Rohdaten!$A$102)</f>
        <v>102</v>
      </c>
      <c r="B116" s="66">
        <f>IF(Rohdaten!$A$102="","",Rohdaten!$A$102)</f>
        <v/>
      </c>
      <c r="C116" s="67" t="s">
        <v>836</v>
      </c>
      <c r="D116" s="68" t="str">
        <f>IF(Rohdaten!$E$102="","",Rohdaten!$E$102)</f>
        <v>H:\MaklerBUe</v>
      </c>
      <c r="E116" s="69" t="str">
        <f t="array" ref="E116">_xlfn.TEXTJOIN(" / ",TRUE,IF($I116:$AL116="●",$I$4:$AL$4,""))</f>
        <v/>
      </c>
      <c r="F116" s="70" t="s">
        <v>697</v>
      </c>
      <c r="G116" s="71" t="s">
        <v>698</v>
      </c>
      <c r="H116" s="72">
        <f>IF($F116="automatisch",IF(ISNA(MATCH(Stichtag,RD_Kopf,0)),"automatisch",IF(SUMPRODUCT((RD_Kopf&gt;=IF($G116="monatlich",DATE(YEAR(Stichtag),MONTH(Stichtag),1),IF($G116="quartalsweise",DATE(YEAR(Stichtag),INT((MONTH(Stichtag)-1)/3)*3+1,1),Stichtag)))*(RD_Kopf&lt;=Stichtag)*ISNUMBER(Rohdaten!$A$102:$LJ$102))&gt;0,"erledigt","automatisch")),IF($F116&lt;&gt;"ja","",IF(ISNA(MATCH(Stichtag,RD_Kopf,0)),"keine Spalte",IF(SUMPRODUCT((RD_Kopf&gt;=IF($G116="monatlich",DATE(YEAR(Stichtag),MONTH(Stichtag),1),IF($G116="quartalsweise",DATE(YEAR(Stichtag),INT((MONTH(Stichtag)-1)/3)*3+1,1),Stichtag)))*(RD_Kopf&lt;=Stichtag)*ISNUMBER(Rohdaten!$A$102:$LJ$102))&gt;0,"erledigt","offen"))))</f>
        <v/>
      </c>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t="s">
        <v>843</v>
      </c>
      <c r="AO116" t="s">
        <v>695</v>
      </c>
    </row>
    <row r="117" spans="1:41" ht="22" customHeight="1">
      <c r="A117" s="60" t="s">
        <v>844</v>
      </c>
      <c r="B117" s="60"/>
      <c r="C117" s="60"/>
      <c r="D117" s="60"/>
      <c r="E117" s="60"/>
      <c r="F117" s="60"/>
      <c r="G117" s="60"/>
      <c r="H117" s="60"/>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O117" t="s">
        <v>691</v>
      </c>
    </row>
    <row r="118" spans="1:41" ht="18" customHeight="1" outlineLevel="1">
      <c r="A118" s="62"/>
      <c r="B118" s="62"/>
      <c r="C118" s="63" t="s">
        <v>714</v>
      </c>
      <c r="D118" s="63"/>
      <c r="E118" s="63"/>
      <c r="F118" s="63"/>
      <c r="G118" s="63"/>
      <c r="H118" s="63"/>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O118" t="s">
        <v>692</v>
      </c>
    </row>
    <row r="119" spans="1:41" ht="18" customHeight="1" outlineLevel="2">
      <c r="A119" s="65">
        <f>ROW(Rohdaten!$A$103)</f>
        <v>103</v>
      </c>
      <c r="B119" s="66">
        <f>IF(Rohdaten!$A$103="","",Rohdaten!$A$103)</f>
        <v/>
      </c>
      <c r="C119" s="67" t="s">
        <v>845</v>
      </c>
      <c r="D119" s="68" t="str">
        <f>IF(Rohdaten!$E$103="","",Rohdaten!$E$103)</f>
        <v>Kneissler/ Freytag</v>
      </c>
      <c r="E119" s="69" t="str">
        <f t="array" ref="E119">_xlfn.TEXTJOIN(" / ",TRUE,IF($I119:$AL119="●",$I$4:$AL$4,""))</f>
        <v>Freytag / Kneissler</v>
      </c>
      <c r="F119" s="70" t="s">
        <v>767</v>
      </c>
      <c r="G119" s="71" t="s">
        <v>698</v>
      </c>
      <c r="H119" s="72">
        <f>IF($F119="automatisch",IF(ISNA(MATCH(Stichtag,RD_Kopf,0)),"automatisch",IF(SUMPRODUCT((RD_Kopf&gt;=IF($G119="monatlich",DATE(YEAR(Stichtag),MONTH(Stichtag),1),IF($G119="quartalsweise",DATE(YEAR(Stichtag),INT((MONTH(Stichtag)-1)/3)*3+1,1),Stichtag)))*(RD_Kopf&lt;=Stichtag)*ISNUMBER(Rohdaten!$A$103:$LJ$103))&gt;0,"erledigt","automatisch")),IF($F119&lt;&gt;"ja","",IF(ISNA(MATCH(Stichtag,RD_Kopf,0)),"keine Spalte",IF(SUMPRODUCT((RD_Kopf&gt;=IF($G119="monatlich",DATE(YEAR(Stichtag),MONTH(Stichtag),1),IF($G119="quartalsweise",DATE(YEAR(Stichtag),INT((MONTH(Stichtag)-1)/3)*3+1,1),Stichtag)))*(RD_Kopf&lt;=Stichtag)*ISNUMBER(Rohdaten!$A$103:$LJ$103))&gt;0,"erledigt","offen"))))</f>
        <v/>
      </c>
      <c r="I119" s="73"/>
      <c r="J119" s="73"/>
      <c r="K119" s="73"/>
      <c r="L119" s="73"/>
      <c r="M119" s="73"/>
      <c r="N119" s="73"/>
      <c r="O119" s="73"/>
      <c r="P119" s="73" t="s">
        <v>700</v>
      </c>
      <c r="Q119" s="73"/>
      <c r="R119" s="73"/>
      <c r="S119" s="73"/>
      <c r="T119" s="73"/>
      <c r="U119" s="73"/>
      <c r="V119" s="73"/>
      <c r="W119" s="73" t="s">
        <v>700</v>
      </c>
      <c r="X119" s="73"/>
      <c r="Y119" s="73"/>
      <c r="Z119" s="73"/>
      <c r="AA119" s="73"/>
      <c r="AB119" s="73"/>
      <c r="AC119" s="73"/>
      <c r="AD119" s="73"/>
      <c r="AE119" s="73"/>
      <c r="AF119" s="73"/>
      <c r="AG119" s="73"/>
      <c r="AH119" s="73"/>
      <c r="AI119" s="73"/>
      <c r="AJ119" s="73"/>
      <c r="AK119" s="73"/>
      <c r="AL119" s="73"/>
      <c r="AM119" t="s">
        <v>846</v>
      </c>
      <c r="AO119" t="s">
        <v>695</v>
      </c>
    </row>
    <row r="120" spans="1:41" ht="30" customHeight="1" outlineLevel="2">
      <c r="A120" s="65">
        <f>ROW(Rohdaten!$A$104)</f>
        <v>104</v>
      </c>
      <c r="B120" s="66">
        <f>IF(Rohdaten!$A$104="","",Rohdaten!$A$104)</f>
        <v/>
      </c>
      <c r="C120" s="75" t="s">
        <v>847</v>
      </c>
      <c r="D120" s="68" t="str">
        <f>IFERROR(INDEX(Rohdaten!$E$103:$E$104,MATCH("*",Rohdaten!$E$103:$E$104,0)),"")</f>
        <v>Kneissler/ Freytag</v>
      </c>
      <c r="E120" s="69" t="str">
        <f t="array" ref="E120">_xlfn.TEXTJOIN(" / ",TRUE,IF($I120:$AL120="●",$I$4:$AL$4,""))</f>
        <v>Freytag / Kneissler</v>
      </c>
      <c r="F120" s="70" t="s">
        <v>767</v>
      </c>
      <c r="G120" s="71" t="s">
        <v>698</v>
      </c>
      <c r="H120" s="72">
        <f>IF($F120="automatisch",IF(ISNA(MATCH(Stichtag,RD_Kopf,0)),"automatisch",IF(SUMPRODUCT((RD_Kopf&gt;=IF($G120="monatlich",DATE(YEAR(Stichtag),MONTH(Stichtag),1),IF($G120="quartalsweise",DATE(YEAR(Stichtag),INT((MONTH(Stichtag)-1)/3)*3+1,1),Stichtag)))*(RD_Kopf&lt;=Stichtag)*ISNUMBER(Rohdaten!$A$104:$LJ$104))&gt;0,"erledigt","automatisch")),IF($F120&lt;&gt;"ja","",IF(ISNA(MATCH(Stichtag,RD_Kopf,0)),"keine Spalte",IF(SUMPRODUCT((RD_Kopf&gt;=IF($G120="monatlich",DATE(YEAR(Stichtag),MONTH(Stichtag),1),IF($G120="quartalsweise",DATE(YEAR(Stichtag),INT((MONTH(Stichtag)-1)/3)*3+1,1),Stichtag)))*(RD_Kopf&lt;=Stichtag)*ISNUMBER(Rohdaten!$A$104:$LJ$104))&gt;0,"erledigt","offen"))))</f>
        <v/>
      </c>
      <c r="I120" s="73"/>
      <c r="J120" s="73"/>
      <c r="K120" s="73"/>
      <c r="L120" s="73"/>
      <c r="M120" s="73"/>
      <c r="N120" s="73"/>
      <c r="O120" s="73"/>
      <c r="P120" s="73" t="s">
        <v>700</v>
      </c>
      <c r="Q120" s="73"/>
      <c r="R120" s="73"/>
      <c r="S120" s="73"/>
      <c r="T120" s="73"/>
      <c r="U120" s="73"/>
      <c r="V120" s="73"/>
      <c r="W120" s="73" t="s">
        <v>700</v>
      </c>
      <c r="X120" s="73"/>
      <c r="Y120" s="73"/>
      <c r="Z120" s="73"/>
      <c r="AA120" s="73"/>
      <c r="AB120" s="73"/>
      <c r="AC120" s="73"/>
      <c r="AD120" s="73"/>
      <c r="AE120" s="73"/>
      <c r="AF120" s="73"/>
      <c r="AG120" s="73"/>
      <c r="AH120" s="73"/>
      <c r="AI120" s="73"/>
      <c r="AJ120" s="73"/>
      <c r="AK120" s="73"/>
      <c r="AL120" s="73"/>
      <c r="AM120" t="s">
        <v>848</v>
      </c>
      <c r="AO120" t="s">
        <v>695</v>
      </c>
    </row>
    <row r="121" spans="1:41" ht="18" customHeight="1" outlineLevel="2">
      <c r="A121" s="65">
        <f>ROW(Rohdaten!$A$105)</f>
        <v>105</v>
      </c>
      <c r="B121" s="66" t="str">
        <f>IF(Rohdaten!$A$105="","",Rohdaten!$A$105)</f>
        <v>8a</v>
      </c>
      <c r="C121" s="67" t="s">
        <v>818</v>
      </c>
      <c r="D121" s="68" t="str">
        <f>IFERROR(INDEX(Rohdaten!$E$103:$E$105,MATCH("*",Rohdaten!$E$103:$E$105,0)),"")</f>
        <v>Kneissler/ Freytag</v>
      </c>
      <c r="E121" s="69" t="str">
        <f t="array" ref="E121">_xlfn.TEXTJOIN(" / ",TRUE,IF($I121:$AL121="●",$I$4:$AL$4,""))</f>
        <v>Freytag / Kneissler</v>
      </c>
      <c r="F121" s="70" t="s">
        <v>697</v>
      </c>
      <c r="G121" s="71" t="s">
        <v>698</v>
      </c>
      <c r="H121" s="72">
        <f>IF($F121="automatisch",IF(ISNA(MATCH(Stichtag,RD_Kopf,0)),"automatisch",IF(SUMPRODUCT((RD_Kopf&gt;=IF($G121="monatlich",DATE(YEAR(Stichtag),MONTH(Stichtag),1),IF($G121="quartalsweise",DATE(YEAR(Stichtag),INT((MONTH(Stichtag)-1)/3)*3+1,1),Stichtag)))*(RD_Kopf&lt;=Stichtag)*ISNUMBER(Rohdaten!$A$105:$LJ$105))&gt;0,"erledigt","automatisch")),IF($F121&lt;&gt;"ja","",IF(ISNA(MATCH(Stichtag,RD_Kopf,0)),"keine Spalte",IF(SUMPRODUCT((RD_Kopf&gt;=IF($G121="monatlich",DATE(YEAR(Stichtag),MONTH(Stichtag),1),IF($G121="quartalsweise",DATE(YEAR(Stichtag),INT((MONTH(Stichtag)-1)/3)*3+1,1),Stichtag)))*(RD_Kopf&lt;=Stichtag)*ISNUMBER(Rohdaten!$A$105:$LJ$105))&gt;0,"erledigt","offen"))))</f>
        <v/>
      </c>
      <c r="I121" s="73"/>
      <c r="J121" s="73"/>
      <c r="K121" s="73"/>
      <c r="L121" s="73"/>
      <c r="M121" s="73"/>
      <c r="N121" s="73"/>
      <c r="O121" s="73"/>
      <c r="P121" s="73" t="s">
        <v>700</v>
      </c>
      <c r="Q121" s="73"/>
      <c r="R121" s="73"/>
      <c r="S121" s="73"/>
      <c r="T121" s="73"/>
      <c r="U121" s="73"/>
      <c r="V121" s="73"/>
      <c r="W121" s="73" t="s">
        <v>700</v>
      </c>
      <c r="X121" s="73"/>
      <c r="Y121" s="73"/>
      <c r="Z121" s="73"/>
      <c r="AA121" s="73"/>
      <c r="AB121" s="73"/>
      <c r="AC121" s="73"/>
      <c r="AD121" s="73"/>
      <c r="AE121" s="73"/>
      <c r="AF121" s="73"/>
      <c r="AG121" s="73"/>
      <c r="AH121" s="73"/>
      <c r="AI121" s="73"/>
      <c r="AJ121" s="73"/>
      <c r="AK121" s="73"/>
      <c r="AL121" s="73"/>
      <c r="AM121" t="s">
        <v>849</v>
      </c>
      <c r="AN121" t="s">
        <v>105</v>
      </c>
      <c r="AO121" t="s">
        <v>695</v>
      </c>
    </row>
    <row r="122" spans="1:41" ht="18" customHeight="1" outlineLevel="1">
      <c r="A122" s="62"/>
      <c r="B122" s="62"/>
      <c r="C122" s="63" t="s">
        <v>769</v>
      </c>
      <c r="D122" s="63"/>
      <c r="E122" s="63"/>
      <c r="F122" s="63"/>
      <c r="G122" s="63"/>
      <c r="H122" s="63"/>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O122" t="s">
        <v>692</v>
      </c>
    </row>
    <row r="123" spans="1:41" ht="18" customHeight="1" outlineLevel="2">
      <c r="A123" s="65">
        <f>ROW(Rohdaten!$A$106)</f>
        <v>106</v>
      </c>
      <c r="B123" s="66">
        <f>IF(Rohdaten!$A$106="","",Rohdaten!$A$106)</f>
        <v/>
      </c>
      <c r="C123" s="67" t="s">
        <v>845</v>
      </c>
      <c r="D123" s="68" t="str">
        <f>IFERROR(INDEX(Rohdaten!$E$103:$E$106,MATCH("*",Rohdaten!$E$103:$E$106,0)),"")</f>
        <v>Kneissler/ Freytag</v>
      </c>
      <c r="E123" s="69" t="str">
        <f t="array" ref="E123">_xlfn.TEXTJOIN(" / ",TRUE,IF($I123:$AL123="●",$I$4:$AL$4,""))</f>
        <v>Freytag / Kneissler</v>
      </c>
      <c r="F123" s="70" t="s">
        <v>767</v>
      </c>
      <c r="G123" s="71" t="s">
        <v>698</v>
      </c>
      <c r="H123" s="72">
        <f>IF($F123="automatisch",IF(ISNA(MATCH(Stichtag,RD_Kopf,0)),"automatisch",IF(SUMPRODUCT((RD_Kopf&gt;=IF($G123="monatlich",DATE(YEAR(Stichtag),MONTH(Stichtag),1),IF($G123="quartalsweise",DATE(YEAR(Stichtag),INT((MONTH(Stichtag)-1)/3)*3+1,1),Stichtag)))*(RD_Kopf&lt;=Stichtag)*ISNUMBER(Rohdaten!$A$106:$LJ$106))&gt;0,"erledigt","automatisch")),IF($F123&lt;&gt;"ja","",IF(ISNA(MATCH(Stichtag,RD_Kopf,0)),"keine Spalte",IF(SUMPRODUCT((RD_Kopf&gt;=IF($G123="monatlich",DATE(YEAR(Stichtag),MONTH(Stichtag),1),IF($G123="quartalsweise",DATE(YEAR(Stichtag),INT((MONTH(Stichtag)-1)/3)*3+1,1),Stichtag)))*(RD_Kopf&lt;=Stichtag)*ISNUMBER(Rohdaten!$A$106:$LJ$106))&gt;0,"erledigt","offen"))))</f>
        <v/>
      </c>
      <c r="I123" s="73"/>
      <c r="J123" s="73"/>
      <c r="K123" s="73"/>
      <c r="L123" s="73"/>
      <c r="M123" s="73"/>
      <c r="N123" s="73"/>
      <c r="O123" s="73"/>
      <c r="P123" s="73" t="s">
        <v>700</v>
      </c>
      <c r="Q123" s="73"/>
      <c r="R123" s="73"/>
      <c r="S123" s="73"/>
      <c r="T123" s="73"/>
      <c r="U123" s="73"/>
      <c r="V123" s="73"/>
      <c r="W123" s="73" t="s">
        <v>700</v>
      </c>
      <c r="X123" s="73"/>
      <c r="Y123" s="73"/>
      <c r="Z123" s="73"/>
      <c r="AA123" s="73"/>
      <c r="AB123" s="73"/>
      <c r="AC123" s="73"/>
      <c r="AD123" s="73"/>
      <c r="AE123" s="73"/>
      <c r="AF123" s="73"/>
      <c r="AG123" s="73"/>
      <c r="AH123" s="73"/>
      <c r="AI123" s="73"/>
      <c r="AJ123" s="73"/>
      <c r="AK123" s="73"/>
      <c r="AL123" s="73"/>
      <c r="AM123" t="s">
        <v>850</v>
      </c>
      <c r="AO123" t="s">
        <v>695</v>
      </c>
    </row>
    <row r="124" spans="1:41" ht="30" customHeight="1" outlineLevel="2">
      <c r="A124" s="65">
        <f>ROW(Rohdaten!$A$107)</f>
        <v>107</v>
      </c>
      <c r="B124" s="66">
        <f>IF(Rohdaten!$A$107="","",Rohdaten!$A$107)</f>
        <v/>
      </c>
      <c r="C124" s="75" t="s">
        <v>847</v>
      </c>
      <c r="D124" s="68" t="str">
        <f>IFERROR(INDEX(Rohdaten!$E$103:$E$107,MATCH("*",Rohdaten!$E$103:$E$107,0)),"")</f>
        <v>Kneissler/ Freytag</v>
      </c>
      <c r="E124" s="69" t="str">
        <f t="array" ref="E124">_xlfn.TEXTJOIN(" / ",TRUE,IF($I124:$AL124="●",$I$4:$AL$4,""))</f>
        <v>Freytag / Kneissler</v>
      </c>
      <c r="F124" s="70" t="s">
        <v>767</v>
      </c>
      <c r="G124" s="71" t="s">
        <v>698</v>
      </c>
      <c r="H124" s="72">
        <f>IF($F124="automatisch",IF(ISNA(MATCH(Stichtag,RD_Kopf,0)),"automatisch",IF(SUMPRODUCT((RD_Kopf&gt;=IF($G124="monatlich",DATE(YEAR(Stichtag),MONTH(Stichtag),1),IF($G124="quartalsweise",DATE(YEAR(Stichtag),INT((MONTH(Stichtag)-1)/3)*3+1,1),Stichtag)))*(RD_Kopf&lt;=Stichtag)*ISNUMBER(Rohdaten!$A$107:$LJ$107))&gt;0,"erledigt","automatisch")),IF($F124&lt;&gt;"ja","",IF(ISNA(MATCH(Stichtag,RD_Kopf,0)),"keine Spalte",IF(SUMPRODUCT((RD_Kopf&gt;=IF($G124="monatlich",DATE(YEAR(Stichtag),MONTH(Stichtag),1),IF($G124="quartalsweise",DATE(YEAR(Stichtag),INT((MONTH(Stichtag)-1)/3)*3+1,1),Stichtag)))*(RD_Kopf&lt;=Stichtag)*ISNUMBER(Rohdaten!$A$107:$LJ$107))&gt;0,"erledigt","offen"))))</f>
        <v/>
      </c>
      <c r="I124" s="73"/>
      <c r="J124" s="73"/>
      <c r="K124" s="73"/>
      <c r="L124" s="73"/>
      <c r="M124" s="73"/>
      <c r="N124" s="73"/>
      <c r="O124" s="73"/>
      <c r="P124" s="73" t="s">
        <v>700</v>
      </c>
      <c r="Q124" s="73"/>
      <c r="R124" s="73"/>
      <c r="S124" s="73"/>
      <c r="T124" s="73"/>
      <c r="U124" s="73"/>
      <c r="V124" s="73"/>
      <c r="W124" s="73" t="s">
        <v>700</v>
      </c>
      <c r="X124" s="73"/>
      <c r="Y124" s="73"/>
      <c r="Z124" s="73"/>
      <c r="AA124" s="73"/>
      <c r="AB124" s="73"/>
      <c r="AC124" s="73"/>
      <c r="AD124" s="73"/>
      <c r="AE124" s="73"/>
      <c r="AF124" s="73"/>
      <c r="AG124" s="73"/>
      <c r="AH124" s="73"/>
      <c r="AI124" s="73"/>
      <c r="AJ124" s="73"/>
      <c r="AK124" s="73"/>
      <c r="AL124" s="73"/>
      <c r="AM124" t="s">
        <v>851</v>
      </c>
      <c r="AO124" t="s">
        <v>695</v>
      </c>
    </row>
    <row r="125" spans="1:41" ht="18" customHeight="1" outlineLevel="2">
      <c r="A125" s="65">
        <f>ROW(Rohdaten!$A$108)</f>
        <v>108</v>
      </c>
      <c r="B125" s="66" t="str">
        <f>IF(Rohdaten!$A$108="","",Rohdaten!$A$108)</f>
        <v>8b</v>
      </c>
      <c r="C125" s="67" t="s">
        <v>818</v>
      </c>
      <c r="D125" s="68" t="str">
        <f>IFERROR(INDEX(Rohdaten!$E$103:$E$108,MATCH("*",Rohdaten!$E$103:$E$108,0)),"")</f>
        <v>Kneissler/ Freytag</v>
      </c>
      <c r="E125" s="69" t="str">
        <f t="array" ref="E125">_xlfn.TEXTJOIN(" / ",TRUE,IF($I125:$AL125="●",$I$4:$AL$4,""))</f>
        <v>Freytag / Kneissler</v>
      </c>
      <c r="F125" s="70" t="s">
        <v>697</v>
      </c>
      <c r="G125" s="71" t="s">
        <v>698</v>
      </c>
      <c r="H125" s="72">
        <f>IF($F125="automatisch",IF(ISNA(MATCH(Stichtag,RD_Kopf,0)),"automatisch",IF(SUMPRODUCT((RD_Kopf&gt;=IF($G125="monatlich",DATE(YEAR(Stichtag),MONTH(Stichtag),1),IF($G125="quartalsweise",DATE(YEAR(Stichtag),INT((MONTH(Stichtag)-1)/3)*3+1,1),Stichtag)))*(RD_Kopf&lt;=Stichtag)*ISNUMBER(Rohdaten!$A$108:$LJ$108))&gt;0,"erledigt","automatisch")),IF($F125&lt;&gt;"ja","",IF(ISNA(MATCH(Stichtag,RD_Kopf,0)),"keine Spalte",IF(SUMPRODUCT((RD_Kopf&gt;=IF($G125="monatlich",DATE(YEAR(Stichtag),MONTH(Stichtag),1),IF($G125="quartalsweise",DATE(YEAR(Stichtag),INT((MONTH(Stichtag)-1)/3)*3+1,1),Stichtag)))*(RD_Kopf&lt;=Stichtag)*ISNUMBER(Rohdaten!$A$108:$LJ$108))&gt;0,"erledigt","offen"))))</f>
        <v/>
      </c>
      <c r="I125" s="73"/>
      <c r="J125" s="73"/>
      <c r="K125" s="73"/>
      <c r="L125" s="73"/>
      <c r="M125" s="73"/>
      <c r="N125" s="73"/>
      <c r="O125" s="73"/>
      <c r="P125" s="73" t="s">
        <v>700</v>
      </c>
      <c r="Q125" s="73"/>
      <c r="R125" s="73"/>
      <c r="S125" s="73"/>
      <c r="T125" s="73"/>
      <c r="U125" s="73"/>
      <c r="V125" s="73"/>
      <c r="W125" s="73" t="s">
        <v>700</v>
      </c>
      <c r="X125" s="73"/>
      <c r="Y125" s="73"/>
      <c r="Z125" s="73"/>
      <c r="AA125" s="73"/>
      <c r="AB125" s="73"/>
      <c r="AC125" s="73"/>
      <c r="AD125" s="73"/>
      <c r="AE125" s="73"/>
      <c r="AF125" s="73"/>
      <c r="AG125" s="73"/>
      <c r="AH125" s="73"/>
      <c r="AI125" s="73"/>
      <c r="AJ125" s="73"/>
      <c r="AK125" s="73"/>
      <c r="AL125" s="73"/>
      <c r="AM125" t="s">
        <v>852</v>
      </c>
      <c r="AN125" t="s">
        <v>106</v>
      </c>
      <c r="AO125" t="s">
        <v>695</v>
      </c>
    </row>
    <row r="126" spans="1:41" ht="18" customHeight="1" outlineLevel="1">
      <c r="A126" s="62"/>
      <c r="B126" s="62"/>
      <c r="C126" s="63" t="s">
        <v>772</v>
      </c>
      <c r="D126" s="63"/>
      <c r="E126" s="63"/>
      <c r="F126" s="63"/>
      <c r="G126" s="63"/>
      <c r="H126" s="63"/>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O126" t="s">
        <v>692</v>
      </c>
    </row>
    <row r="127" spans="1:41" ht="18" customHeight="1" outlineLevel="2">
      <c r="A127" s="65">
        <f>ROW(Rohdaten!$A$109)</f>
        <v>109</v>
      </c>
      <c r="B127" s="66">
        <f>IF(Rohdaten!$A$109="","",Rohdaten!$A$109)</f>
        <v/>
      </c>
      <c r="C127" s="67" t="s">
        <v>845</v>
      </c>
      <c r="D127" s="68" t="str">
        <f>IFERROR(INDEX(Rohdaten!$E$103:$E$109,MATCH("*",Rohdaten!$E$103:$E$109,0)),"")</f>
        <v>Kneissler/ Freytag</v>
      </c>
      <c r="E127" s="69" t="str">
        <f t="array" ref="E127">_xlfn.TEXTJOIN(" / ",TRUE,IF($I127:$AL127="●",$I$4:$AL$4,""))</f>
        <v>Freytag / Kneissler</v>
      </c>
      <c r="F127" s="70" t="s">
        <v>767</v>
      </c>
      <c r="G127" s="71" t="s">
        <v>698</v>
      </c>
      <c r="H127" s="72">
        <f>IF($F127="automatisch",IF(ISNA(MATCH(Stichtag,RD_Kopf,0)),"automatisch",IF(SUMPRODUCT((RD_Kopf&gt;=IF($G127="monatlich",DATE(YEAR(Stichtag),MONTH(Stichtag),1),IF($G127="quartalsweise",DATE(YEAR(Stichtag),INT((MONTH(Stichtag)-1)/3)*3+1,1),Stichtag)))*(RD_Kopf&lt;=Stichtag)*ISNUMBER(Rohdaten!$A$109:$LJ$109))&gt;0,"erledigt","automatisch")),IF($F127&lt;&gt;"ja","",IF(ISNA(MATCH(Stichtag,RD_Kopf,0)),"keine Spalte",IF(SUMPRODUCT((RD_Kopf&gt;=IF($G127="monatlich",DATE(YEAR(Stichtag),MONTH(Stichtag),1),IF($G127="quartalsweise",DATE(YEAR(Stichtag),INT((MONTH(Stichtag)-1)/3)*3+1,1),Stichtag)))*(RD_Kopf&lt;=Stichtag)*ISNUMBER(Rohdaten!$A$109:$LJ$109))&gt;0,"erledigt","offen"))))</f>
        <v/>
      </c>
      <c r="I127" s="73"/>
      <c r="J127" s="73"/>
      <c r="K127" s="73"/>
      <c r="L127" s="73"/>
      <c r="M127" s="73"/>
      <c r="N127" s="73"/>
      <c r="O127" s="73"/>
      <c r="P127" s="73" t="s">
        <v>700</v>
      </c>
      <c r="Q127" s="73"/>
      <c r="R127" s="73"/>
      <c r="S127" s="73"/>
      <c r="T127" s="73"/>
      <c r="U127" s="73"/>
      <c r="V127" s="73"/>
      <c r="W127" s="73" t="s">
        <v>700</v>
      </c>
      <c r="X127" s="73"/>
      <c r="Y127" s="73"/>
      <c r="Z127" s="73"/>
      <c r="AA127" s="73"/>
      <c r="AB127" s="73"/>
      <c r="AC127" s="73"/>
      <c r="AD127" s="73"/>
      <c r="AE127" s="73"/>
      <c r="AF127" s="73"/>
      <c r="AG127" s="73"/>
      <c r="AH127" s="73"/>
      <c r="AI127" s="73"/>
      <c r="AJ127" s="73"/>
      <c r="AK127" s="73"/>
      <c r="AL127" s="73"/>
      <c r="AM127" t="s">
        <v>853</v>
      </c>
      <c r="AO127" t="s">
        <v>695</v>
      </c>
    </row>
    <row r="128" spans="1:41" ht="30" customHeight="1" outlineLevel="2">
      <c r="A128" s="65">
        <f>ROW(Rohdaten!$A$110)</f>
        <v>110</v>
      </c>
      <c r="B128" s="66">
        <f>IF(Rohdaten!$A$110="","",Rohdaten!$A$110)</f>
        <v/>
      </c>
      <c r="C128" s="75" t="s">
        <v>847</v>
      </c>
      <c r="D128" s="68" t="str">
        <f>IFERROR(INDEX(Rohdaten!$E$103:$E$110,MATCH("*",Rohdaten!$E$103:$E$110,0)),"")</f>
        <v>Kneissler/ Freytag</v>
      </c>
      <c r="E128" s="69" t="str">
        <f t="array" ref="E128">_xlfn.TEXTJOIN(" / ",TRUE,IF($I128:$AL128="●",$I$4:$AL$4,""))</f>
        <v>Freytag / Kneissler</v>
      </c>
      <c r="F128" s="70" t="s">
        <v>697</v>
      </c>
      <c r="G128" s="71" t="s">
        <v>698</v>
      </c>
      <c r="H128" s="72">
        <f>IF($F128="automatisch",IF(ISNA(MATCH(Stichtag,RD_Kopf,0)),"automatisch",IF(SUMPRODUCT((RD_Kopf&gt;=IF($G128="monatlich",DATE(YEAR(Stichtag),MONTH(Stichtag),1),IF($G128="quartalsweise",DATE(YEAR(Stichtag),INT((MONTH(Stichtag)-1)/3)*3+1,1),Stichtag)))*(RD_Kopf&lt;=Stichtag)*ISNUMBER(Rohdaten!$A$110:$LJ$110))&gt;0,"erledigt","automatisch")),IF($F128&lt;&gt;"ja","",IF(ISNA(MATCH(Stichtag,RD_Kopf,0)),"keine Spalte",IF(SUMPRODUCT((RD_Kopf&gt;=IF($G128="monatlich",DATE(YEAR(Stichtag),MONTH(Stichtag),1),IF($G128="quartalsweise",DATE(YEAR(Stichtag),INT((MONTH(Stichtag)-1)/3)*3+1,1),Stichtag)))*(RD_Kopf&lt;=Stichtag)*ISNUMBER(Rohdaten!$A$110:$LJ$110))&gt;0,"erledigt","offen"))))</f>
        <v/>
      </c>
      <c r="I128" s="73"/>
      <c r="J128" s="73"/>
      <c r="K128" s="73"/>
      <c r="L128" s="73"/>
      <c r="M128" s="73"/>
      <c r="N128" s="73"/>
      <c r="O128" s="73"/>
      <c r="P128" s="73" t="s">
        <v>700</v>
      </c>
      <c r="Q128" s="73"/>
      <c r="R128" s="73"/>
      <c r="S128" s="73"/>
      <c r="T128" s="73"/>
      <c r="U128" s="73"/>
      <c r="V128" s="73"/>
      <c r="W128" s="73" t="s">
        <v>700</v>
      </c>
      <c r="X128" s="73"/>
      <c r="Y128" s="73"/>
      <c r="Z128" s="73"/>
      <c r="AA128" s="73"/>
      <c r="AB128" s="73"/>
      <c r="AC128" s="73"/>
      <c r="AD128" s="73"/>
      <c r="AE128" s="73"/>
      <c r="AF128" s="73"/>
      <c r="AG128" s="73"/>
      <c r="AH128" s="73"/>
      <c r="AI128" s="73"/>
      <c r="AJ128" s="73"/>
      <c r="AK128" s="73"/>
      <c r="AL128" s="73"/>
      <c r="AM128" t="s">
        <v>854</v>
      </c>
      <c r="AO128" t="s">
        <v>695</v>
      </c>
    </row>
    <row r="129" spans="1:41" ht="18" customHeight="1" outlineLevel="2">
      <c r="A129" s="65">
        <f>ROW(Rohdaten!$A$111)</f>
        <v>111</v>
      </c>
      <c r="B129" s="66" t="str">
        <f>IF(Rohdaten!$A$111="","",Rohdaten!$A$111)</f>
        <v>8c</v>
      </c>
      <c r="C129" s="67" t="s">
        <v>818</v>
      </c>
      <c r="D129" s="68" t="str">
        <f>IFERROR(INDEX(Rohdaten!$E$103:$E$111,MATCH("*",Rohdaten!$E$103:$E$111,0)),"")</f>
        <v>Kneissler/ Freytag</v>
      </c>
      <c r="E129" s="69" t="str">
        <f t="array" ref="E129">_xlfn.TEXTJOIN(" / ",TRUE,IF($I129:$AL129="●",$I$4:$AL$4,""))</f>
        <v>Freytag / Kneissler</v>
      </c>
      <c r="F129" s="70" t="s">
        <v>697</v>
      </c>
      <c r="G129" s="71" t="s">
        <v>698</v>
      </c>
      <c r="H129" s="72">
        <f>IF($F129="automatisch",IF(ISNA(MATCH(Stichtag,RD_Kopf,0)),"automatisch",IF(SUMPRODUCT((RD_Kopf&gt;=IF($G129="monatlich",DATE(YEAR(Stichtag),MONTH(Stichtag),1),IF($G129="quartalsweise",DATE(YEAR(Stichtag),INT((MONTH(Stichtag)-1)/3)*3+1,1),Stichtag)))*(RD_Kopf&lt;=Stichtag)*ISNUMBER(Rohdaten!$A$111:$LJ$111))&gt;0,"erledigt","automatisch")),IF($F129&lt;&gt;"ja","",IF(ISNA(MATCH(Stichtag,RD_Kopf,0)),"keine Spalte",IF(SUMPRODUCT((RD_Kopf&gt;=IF($G129="monatlich",DATE(YEAR(Stichtag),MONTH(Stichtag),1),IF($G129="quartalsweise",DATE(YEAR(Stichtag),INT((MONTH(Stichtag)-1)/3)*3+1,1),Stichtag)))*(RD_Kopf&lt;=Stichtag)*ISNUMBER(Rohdaten!$A$111:$LJ$111))&gt;0,"erledigt","offen"))))</f>
        <v/>
      </c>
      <c r="I129" s="73"/>
      <c r="J129" s="73"/>
      <c r="K129" s="73"/>
      <c r="L129" s="73"/>
      <c r="M129" s="73"/>
      <c r="N129" s="73"/>
      <c r="O129" s="73"/>
      <c r="P129" s="73" t="s">
        <v>700</v>
      </c>
      <c r="Q129" s="73"/>
      <c r="R129" s="73"/>
      <c r="S129" s="73"/>
      <c r="T129" s="73"/>
      <c r="U129" s="73"/>
      <c r="V129" s="73"/>
      <c r="W129" s="73" t="s">
        <v>700</v>
      </c>
      <c r="X129" s="73"/>
      <c r="Y129" s="73"/>
      <c r="Z129" s="73"/>
      <c r="AA129" s="73"/>
      <c r="AB129" s="73"/>
      <c r="AC129" s="73"/>
      <c r="AD129" s="73"/>
      <c r="AE129" s="73"/>
      <c r="AF129" s="73"/>
      <c r="AG129" s="73"/>
      <c r="AH129" s="73"/>
      <c r="AI129" s="73"/>
      <c r="AJ129" s="73"/>
      <c r="AK129" s="73"/>
      <c r="AL129" s="73"/>
      <c r="AM129" t="s">
        <v>855</v>
      </c>
      <c r="AN129" t="s">
        <v>107</v>
      </c>
      <c r="AO129" t="s">
        <v>695</v>
      </c>
    </row>
    <row r="130" spans="1:41" ht="30" customHeight="1" outlineLevel="1">
      <c r="A130" s="65">
        <f>ROW(Rohdaten!$A$112)</f>
        <v>112</v>
      </c>
      <c r="B130" s="66" t="str">
        <f>IF(Rohdaten!$A$112="","",Rohdaten!$A$112)</f>
        <v>8d</v>
      </c>
      <c r="C130" s="76" t="s">
        <v>856</v>
      </c>
      <c r="D130" s="68" t="str">
        <f>IF(Rohdaten!$E$112="","",Rohdaten!$E$112)</f>
        <v>Kneissler/ Freytag</v>
      </c>
      <c r="E130" s="69" t="str">
        <f t="array" ref="E130">_xlfn.TEXTJOIN(" / ",TRUE,IF($I130:$AL130="●",$I$4:$AL$4,""))</f>
        <v>Freytag / Kneissler</v>
      </c>
      <c r="F130" s="70" t="s">
        <v>697</v>
      </c>
      <c r="G130" s="71" t="s">
        <v>698</v>
      </c>
      <c r="H130" s="72" t="str">
        <f>IF($F130="automatisch",IF(ISNA(MATCH(Stichtag,RD_Kopf,0)),"automatisch",IF(SUMPRODUCT((RD_Kopf&gt;=IF($G130="monatlich",DATE(YEAR(Stichtag),MONTH(Stichtag),1),IF($G130="quartalsweise",DATE(YEAR(Stichtag),INT((MONTH(Stichtag)-1)/3)*3+1,1),Stichtag)))*(RD_Kopf&lt;=Stichtag)*ISNUMBER(Rohdaten!$A$112:$LJ$112))&gt;0,"erledigt","automatisch")),IF($F130&lt;&gt;"ja","nicht berichtet",IF(ISNA(MATCH(Stichtag,RD_Kopf,0)),"keine Spalte",IF(SUMPRODUCT((RD_Kopf&gt;=IF($G130="monatlich",DATE(YEAR(Stichtag),MONTH(Stichtag),1),IF($G130="quartalsweise",DATE(YEAR(Stichtag),INT((MONTH(Stichtag)-1)/3)*3+1,1),Stichtag)))*(RD_Kopf&lt;=Stichtag)*ISNUMBER(Rohdaten!$A$112:$LJ$112))&gt;0,"erledigt","offen"))))</f>
        <v>nicht berichtet</v>
      </c>
      <c r="I130" s="73"/>
      <c r="J130" s="73"/>
      <c r="K130" s="73"/>
      <c r="L130" s="73"/>
      <c r="M130" s="73"/>
      <c r="N130" s="73"/>
      <c r="O130" s="73"/>
      <c r="P130" s="73" t="s">
        <v>700</v>
      </c>
      <c r="Q130" s="73"/>
      <c r="R130" s="73"/>
      <c r="S130" s="73"/>
      <c r="T130" s="73"/>
      <c r="U130" s="73"/>
      <c r="V130" s="73"/>
      <c r="W130" s="73" t="s">
        <v>700</v>
      </c>
      <c r="X130" s="73"/>
      <c r="Y130" s="73"/>
      <c r="Z130" s="73"/>
      <c r="AA130" s="73"/>
      <c r="AB130" s="73"/>
      <c r="AC130" s="73"/>
      <c r="AD130" s="73"/>
      <c r="AE130" s="73"/>
      <c r="AF130" s="73"/>
      <c r="AG130" s="73"/>
      <c r="AH130" s="73"/>
      <c r="AI130" s="73"/>
      <c r="AJ130" s="73"/>
      <c r="AK130" s="73"/>
      <c r="AL130" s="73"/>
      <c r="AM130" t="s">
        <v>857</v>
      </c>
      <c r="AN130" t="s">
        <v>858</v>
      </c>
      <c r="AO130" t="s">
        <v>695</v>
      </c>
    </row>
    <row r="131" spans="1:41" ht="22" customHeight="1">
      <c r="A131" s="60" t="s">
        <v>859</v>
      </c>
      <c r="B131" s="60"/>
      <c r="C131" s="60"/>
      <c r="D131" s="60"/>
      <c r="E131" s="60"/>
      <c r="F131" s="60"/>
      <c r="G131" s="60"/>
      <c r="H131" s="60"/>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O131" t="s">
        <v>691</v>
      </c>
    </row>
    <row r="132" spans="1:41" ht="18" customHeight="1" outlineLevel="1">
      <c r="A132" s="65">
        <f>ROW(Rohdaten!$A$113)</f>
        <v>113</v>
      </c>
      <c r="B132" s="66" t="str">
        <f>IF(Rohdaten!$A$113="","",Rohdaten!$A$113)</f>
        <v>8e</v>
      </c>
      <c r="C132" s="74" t="s">
        <v>714</v>
      </c>
      <c r="D132" s="68" t="str">
        <f>IF(Rohdaten!$E$113="","",Rohdaten!$E$113)</f>
        <v>Freytag / Kneissler</v>
      </c>
      <c r="E132" s="69" t="str">
        <f t="array" ref="E132">_xlfn.TEXTJOIN(" / ",TRUE,IF($I132:$AL132="●",$I$4:$AL$4,""))</f>
        <v>Freytag / Kneissler</v>
      </c>
      <c r="F132" s="70" t="s">
        <v>767</v>
      </c>
      <c r="G132" s="71" t="s">
        <v>698</v>
      </c>
      <c r="H132" s="72">
        <f>IF($F132="automatisch",IF(ISNA(MATCH(Stichtag,RD_Kopf,0)),"automatisch",IF(SUMPRODUCT((RD_Kopf&gt;=IF($G132="monatlich",DATE(YEAR(Stichtag),MONTH(Stichtag),1),IF($G132="quartalsweise",DATE(YEAR(Stichtag),INT((MONTH(Stichtag)-1)/3)*3+1,1),Stichtag)))*(RD_Kopf&lt;=Stichtag)*ISNUMBER(Rohdaten!$A$113:$LJ$113))&gt;0,"erledigt","automatisch")),IF($F132&lt;&gt;"ja","",IF(ISNA(MATCH(Stichtag,RD_Kopf,0)),"keine Spalte",IF(SUMPRODUCT((RD_Kopf&gt;=IF($G132="monatlich",DATE(YEAR(Stichtag),MONTH(Stichtag),1),IF($G132="quartalsweise",DATE(YEAR(Stichtag),INT((MONTH(Stichtag)-1)/3)*3+1,1),Stichtag)))*(RD_Kopf&lt;=Stichtag)*ISNUMBER(Rohdaten!$A$113:$LJ$113))&gt;0,"erledigt","offen"))))</f>
        <v/>
      </c>
      <c r="I132" s="73"/>
      <c r="J132" s="73"/>
      <c r="K132" s="73"/>
      <c r="L132" s="73"/>
      <c r="M132" s="73"/>
      <c r="N132" s="73"/>
      <c r="O132" s="73"/>
      <c r="P132" s="73" t="s">
        <v>700</v>
      </c>
      <c r="Q132" s="73"/>
      <c r="R132" s="73"/>
      <c r="S132" s="73"/>
      <c r="T132" s="73"/>
      <c r="U132" s="73"/>
      <c r="V132" s="73"/>
      <c r="W132" s="73" t="s">
        <v>700</v>
      </c>
      <c r="X132" s="73"/>
      <c r="Y132" s="73"/>
      <c r="Z132" s="73"/>
      <c r="AA132" s="73"/>
      <c r="AB132" s="73"/>
      <c r="AC132" s="73"/>
      <c r="AD132" s="73"/>
      <c r="AE132" s="73"/>
      <c r="AF132" s="73"/>
      <c r="AG132" s="73"/>
      <c r="AH132" s="73"/>
      <c r="AI132" s="73"/>
      <c r="AJ132" s="73"/>
      <c r="AK132" s="73"/>
      <c r="AL132" s="73"/>
      <c r="AM132" t="s">
        <v>860</v>
      </c>
      <c r="AN132" t="s">
        <v>108</v>
      </c>
      <c r="AO132" t="s">
        <v>695</v>
      </c>
    </row>
    <row r="133" spans="1:41" ht="22" customHeight="1" collapsed="1">
      <c r="A133" s="60" t="s">
        <v>861</v>
      </c>
      <c r="B133" s="60"/>
      <c r="C133" s="60"/>
      <c r="D133" s="60"/>
      <c r="E133" s="60"/>
      <c r="F133" s="60"/>
      <c r="G133" s="60"/>
      <c r="H133" s="60"/>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O133" t="s">
        <v>691</v>
      </c>
    </row>
    <row r="134" spans="1:41" ht="18" hidden="1" customHeight="1" outlineLevel="1">
      <c r="A134" s="65">
        <f>ROW(Rohdaten!$A$114)</f>
        <v>114</v>
      </c>
      <c r="B134" s="66">
        <f>IF(Rohdaten!$A$114="","",Rohdaten!$A$114)</f>
        <v>9</v>
      </c>
      <c r="C134" s="74" t="s">
        <v>714</v>
      </c>
      <c r="D134" s="68" t="str">
        <f>IF(Rohdaten!$E$114="","",Rohdaten!$E$114)</f>
        <v>Lürken/Kraus</v>
      </c>
      <c r="E134" s="69" t="str">
        <f t="array" ref="E134">_xlfn.TEXTJOIN(" / ",TRUE,IF($I134:$AL134="●",$I$4:$AL$4,""))</f>
        <v>Kraus / Lürken</v>
      </c>
      <c r="F134" s="70" t="s">
        <v>697</v>
      </c>
      <c r="G134" s="71" t="s">
        <v>698</v>
      </c>
      <c r="H134" s="72" t="str">
        <f>IF($F134="automatisch",IF(ISNA(MATCH(Stichtag,RD_Kopf,0)),"automatisch",IF(SUMPRODUCT((RD_Kopf&gt;=IF($G134="monatlich",DATE(YEAR(Stichtag),MONTH(Stichtag),1),IF($G134="quartalsweise",DATE(YEAR(Stichtag),INT((MONTH(Stichtag)-1)/3)*3+1,1),Stichtag)))*(RD_Kopf&lt;=Stichtag)*ISNUMBER(Rohdaten!$A$114:$LJ$114))&gt;0,"erledigt","automatisch")),IF($F134&lt;&gt;"ja","nicht berichtet",IF(ISNA(MATCH(Stichtag,RD_Kopf,0)),"keine Spalte",IF(SUMPRODUCT((RD_Kopf&gt;=IF($G134="monatlich",DATE(YEAR(Stichtag),MONTH(Stichtag),1),IF($G134="quartalsweise",DATE(YEAR(Stichtag),INT((MONTH(Stichtag)-1)/3)*3+1,1),Stichtag)))*(RD_Kopf&lt;=Stichtag)*ISNUMBER(Rohdaten!$A$114:$LJ$114))&gt;0,"erledigt","offen"))))</f>
        <v>nicht berichtet</v>
      </c>
      <c r="I134" s="73"/>
      <c r="J134" s="73"/>
      <c r="K134" s="73"/>
      <c r="L134" s="73"/>
      <c r="M134" s="73"/>
      <c r="N134" s="73"/>
      <c r="O134" s="73"/>
      <c r="P134" s="73"/>
      <c r="Q134" s="73"/>
      <c r="R134" s="73"/>
      <c r="S134" s="73"/>
      <c r="T134" s="73"/>
      <c r="U134" s="73"/>
      <c r="V134" s="73"/>
      <c r="W134" s="73"/>
      <c r="X134" s="73"/>
      <c r="Y134" s="73" t="s">
        <v>700</v>
      </c>
      <c r="Z134" s="73"/>
      <c r="AA134" s="73" t="s">
        <v>700</v>
      </c>
      <c r="AB134" s="73"/>
      <c r="AC134" s="73"/>
      <c r="AD134" s="73"/>
      <c r="AE134" s="73"/>
      <c r="AF134" s="73"/>
      <c r="AG134" s="73"/>
      <c r="AH134" s="73"/>
      <c r="AI134" s="73"/>
      <c r="AJ134" s="73"/>
      <c r="AK134" s="73"/>
      <c r="AL134" s="73"/>
      <c r="AM134" t="s">
        <v>862</v>
      </c>
      <c r="AN134" t="s">
        <v>130</v>
      </c>
      <c r="AO134" t="s">
        <v>695</v>
      </c>
    </row>
    <row r="135" spans="1:41" ht="22" customHeight="1" collapsed="1">
      <c r="A135" s="60" t="s">
        <v>863</v>
      </c>
      <c r="B135" s="60"/>
      <c r="C135" s="60"/>
      <c r="D135" s="60"/>
      <c r="E135" s="60"/>
      <c r="F135" s="60"/>
      <c r="G135" s="60"/>
      <c r="H135" s="60"/>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O135" t="s">
        <v>691</v>
      </c>
    </row>
    <row r="136" spans="1:41" ht="18" hidden="1" customHeight="1" outlineLevel="1">
      <c r="A136" s="65">
        <f>ROW(Rohdaten!$A$115)</f>
        <v>115</v>
      </c>
      <c r="B136" s="66" t="str">
        <f>IF(Rohdaten!$A$115="","",Rohdaten!$A$115)</f>
        <v>10a</v>
      </c>
      <c r="C136" s="74" t="s">
        <v>714</v>
      </c>
      <c r="D136" s="68" t="str">
        <f>IF(Rohdaten!$E$115="","",Rohdaten!$E$115)</f>
        <v>Mey/ Bauer</v>
      </c>
      <c r="E136" s="69" t="str">
        <f t="array" ref="E136">_xlfn.TEXTJOIN(" / ",TRUE,IF($I136:$AL136="●",$I$4:$AL$4,""))</f>
        <v>Bauer / Mey</v>
      </c>
      <c r="F136" s="70" t="s">
        <v>697</v>
      </c>
      <c r="G136" s="71" t="s">
        <v>698</v>
      </c>
      <c r="H136" s="72" t="str">
        <f>IF($F136="automatisch",IF(ISNA(MATCH(Stichtag,RD_Kopf,0)),"automatisch",IF(SUMPRODUCT((RD_Kopf&gt;=IF($G136="monatlich",DATE(YEAR(Stichtag),MONTH(Stichtag),1),IF($G136="quartalsweise",DATE(YEAR(Stichtag),INT((MONTH(Stichtag)-1)/3)*3+1,1),Stichtag)))*(RD_Kopf&lt;=Stichtag)*ISNUMBER(Rohdaten!$A$115:$LJ$115))&gt;0,"erledigt","automatisch")),IF($F136&lt;&gt;"ja","nicht berichtet",IF(ISNA(MATCH(Stichtag,RD_Kopf,0)),"keine Spalte",IF(SUMPRODUCT((RD_Kopf&gt;=IF($G136="monatlich",DATE(YEAR(Stichtag),MONTH(Stichtag),1),IF($G136="quartalsweise",DATE(YEAR(Stichtag),INT((MONTH(Stichtag)-1)/3)*3+1,1),Stichtag)))*(RD_Kopf&lt;=Stichtag)*ISNUMBER(Rohdaten!$A$115:$LJ$115))&gt;0,"erledigt","offen"))))</f>
        <v>nicht berichtet</v>
      </c>
      <c r="I136" s="73"/>
      <c r="J136" s="73" t="s">
        <v>700</v>
      </c>
      <c r="K136" s="73"/>
      <c r="L136" s="73"/>
      <c r="M136" s="73"/>
      <c r="N136" s="73"/>
      <c r="O136" s="73"/>
      <c r="P136" s="73"/>
      <c r="Q136" s="73"/>
      <c r="R136" s="73"/>
      <c r="S136" s="73"/>
      <c r="T136" s="73"/>
      <c r="U136" s="73"/>
      <c r="V136" s="73"/>
      <c r="W136" s="73"/>
      <c r="X136" s="73"/>
      <c r="Y136" s="73"/>
      <c r="Z136" s="73"/>
      <c r="AA136" s="73"/>
      <c r="AB136" s="73" t="s">
        <v>700</v>
      </c>
      <c r="AC136" s="73"/>
      <c r="AD136" s="73"/>
      <c r="AE136" s="73"/>
      <c r="AF136" s="73"/>
      <c r="AG136" s="73"/>
      <c r="AH136" s="73"/>
      <c r="AI136" s="73"/>
      <c r="AJ136" s="73"/>
      <c r="AK136" s="73"/>
      <c r="AL136" s="73"/>
      <c r="AM136" t="s">
        <v>864</v>
      </c>
      <c r="AN136" t="s">
        <v>865</v>
      </c>
      <c r="AO136" t="s">
        <v>695</v>
      </c>
    </row>
    <row r="137" spans="1:41" ht="22" customHeight="1">
      <c r="A137" s="60" t="s">
        <v>866</v>
      </c>
      <c r="B137" s="60"/>
      <c r="C137" s="60"/>
      <c r="D137" s="60"/>
      <c r="E137" s="60"/>
      <c r="F137" s="60"/>
      <c r="G137" s="60"/>
      <c r="H137" s="60"/>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O137" t="s">
        <v>691</v>
      </c>
    </row>
    <row r="138" spans="1:41" ht="18" customHeight="1" outlineLevel="1">
      <c r="A138" s="65">
        <f>ROW(Rohdaten!$A$116)</f>
        <v>116</v>
      </c>
      <c r="B138" s="66" t="str">
        <f>IF(Rohdaten!$A$116="","",Rohdaten!$A$116)</f>
        <v>10b</v>
      </c>
      <c r="C138" s="74" t="s">
        <v>714</v>
      </c>
      <c r="D138" s="68" t="str">
        <f>IF(Rohdaten!$E$116="","",Rohdaten!$E$116)</f>
        <v>Mey/ Bauer</v>
      </c>
      <c r="E138" s="69" t="str">
        <f t="array" ref="E138">_xlfn.TEXTJOIN(" / ",TRUE,IF($I138:$AL138="●",$I$4:$AL$4,""))</f>
        <v>Bauer / Mey</v>
      </c>
      <c r="F138" s="70" t="s">
        <v>767</v>
      </c>
      <c r="G138" s="71" t="s">
        <v>698</v>
      </c>
      <c r="H138" s="72">
        <f>IF($F138="automatisch",IF(ISNA(MATCH(Stichtag,RD_Kopf,0)),"automatisch",IF(SUMPRODUCT((RD_Kopf&gt;=IF($G138="monatlich",DATE(YEAR(Stichtag),MONTH(Stichtag),1),IF($G138="quartalsweise",DATE(YEAR(Stichtag),INT((MONTH(Stichtag)-1)/3)*3+1,1),Stichtag)))*(RD_Kopf&lt;=Stichtag)*ISNUMBER(Rohdaten!$A$116:$LJ$116))&gt;0,"erledigt","automatisch")),IF($F138&lt;&gt;"ja","",IF(ISNA(MATCH(Stichtag,RD_Kopf,0)),"keine Spalte",IF(SUMPRODUCT((RD_Kopf&gt;=IF($G138="monatlich",DATE(YEAR(Stichtag),MONTH(Stichtag),1),IF($G138="quartalsweise",DATE(YEAR(Stichtag),INT((MONTH(Stichtag)-1)/3)*3+1,1),Stichtag)))*(RD_Kopf&lt;=Stichtag)*ISNUMBER(Rohdaten!$A$116:$LJ$116))&gt;0,"erledigt","offen"))))</f>
        <v/>
      </c>
      <c r="I138" s="73"/>
      <c r="J138" s="73" t="s">
        <v>700</v>
      </c>
      <c r="K138" s="73"/>
      <c r="L138" s="73"/>
      <c r="M138" s="73"/>
      <c r="N138" s="73"/>
      <c r="O138" s="73"/>
      <c r="P138" s="73"/>
      <c r="Q138" s="73"/>
      <c r="R138" s="73"/>
      <c r="S138" s="73"/>
      <c r="T138" s="73"/>
      <c r="U138" s="73"/>
      <c r="V138" s="73"/>
      <c r="W138" s="73"/>
      <c r="X138" s="73"/>
      <c r="Y138" s="73"/>
      <c r="Z138" s="73"/>
      <c r="AA138" s="73"/>
      <c r="AB138" s="73" t="s">
        <v>700</v>
      </c>
      <c r="AC138" s="73"/>
      <c r="AD138" s="73"/>
      <c r="AE138" s="73"/>
      <c r="AF138" s="73"/>
      <c r="AG138" s="73"/>
      <c r="AH138" s="73"/>
      <c r="AI138" s="73"/>
      <c r="AJ138" s="73"/>
      <c r="AK138" s="73"/>
      <c r="AL138" s="73"/>
      <c r="AM138" t="s">
        <v>867</v>
      </c>
      <c r="AN138" t="s">
        <v>104</v>
      </c>
      <c r="AO138" t="s">
        <v>695</v>
      </c>
    </row>
    <row r="139" spans="1:41" ht="22" customHeight="1">
      <c r="A139" s="60" t="s">
        <v>868</v>
      </c>
      <c r="B139" s="60"/>
      <c r="C139" s="60"/>
      <c r="D139" s="60"/>
      <c r="E139" s="60"/>
      <c r="F139" s="60"/>
      <c r="G139" s="60"/>
      <c r="H139" s="60"/>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O139" t="s">
        <v>691</v>
      </c>
    </row>
    <row r="140" spans="1:41" ht="18" customHeight="1" outlineLevel="1">
      <c r="A140" s="65">
        <f>ROW(Rohdaten!$A$117)</f>
        <v>117</v>
      </c>
      <c r="B140" s="66" t="str">
        <f>IF(Rohdaten!$A$117="","",Rohdaten!$A$117)</f>
        <v>11a</v>
      </c>
      <c r="C140" s="74" t="s">
        <v>714</v>
      </c>
      <c r="D140" s="68" t="str">
        <f>IF(Rohdaten!$E$117="","",Rohdaten!$E$117)</f>
        <v>Richartz/ Mey</v>
      </c>
      <c r="E140" s="69" t="str">
        <f t="array" ref="E140">_xlfn.TEXTJOIN(" / ",TRUE,IF($I140:$AL140="●",$I$4:$AL$4,""))</f>
        <v>Mey / Richartz</v>
      </c>
      <c r="F140" s="70" t="s">
        <v>697</v>
      </c>
      <c r="G140" s="71" t="s">
        <v>698</v>
      </c>
      <c r="H140" s="72">
        <f>IF($F140="automatisch",IF(ISNA(MATCH(Stichtag,RD_Kopf,0)),"automatisch",IF(SUMPRODUCT((RD_Kopf&gt;=IF($G140="monatlich",DATE(YEAR(Stichtag),MONTH(Stichtag),1),IF($G140="quartalsweise",DATE(YEAR(Stichtag),INT((MONTH(Stichtag)-1)/3)*3+1,1),Stichtag)))*(RD_Kopf&lt;=Stichtag)*ISNUMBER(Rohdaten!$A$117:$LJ$117))&gt;0,"erledigt","automatisch")),IF($F140&lt;&gt;"ja","",IF(ISNA(MATCH(Stichtag,RD_Kopf,0)),"keine Spalte",IF(SUMPRODUCT((RD_Kopf&gt;=IF($G140="monatlich",DATE(YEAR(Stichtag),MONTH(Stichtag),1),IF($G140="quartalsweise",DATE(YEAR(Stichtag),INT((MONTH(Stichtag)-1)/3)*3+1,1),Stichtag)))*(RD_Kopf&lt;=Stichtag)*ISNUMBER(Rohdaten!$A$117:$LJ$117))&gt;0,"erledigt","offen"))))</f>
        <v/>
      </c>
      <c r="I140" s="73"/>
      <c r="J140" s="73"/>
      <c r="K140" s="73"/>
      <c r="L140" s="73"/>
      <c r="M140" s="73"/>
      <c r="N140" s="73"/>
      <c r="O140" s="73"/>
      <c r="P140" s="73"/>
      <c r="Q140" s="73"/>
      <c r="R140" s="73"/>
      <c r="S140" s="73"/>
      <c r="T140" s="73"/>
      <c r="U140" s="73"/>
      <c r="V140" s="73"/>
      <c r="W140" s="73"/>
      <c r="X140" s="73"/>
      <c r="Y140" s="73"/>
      <c r="Z140" s="73"/>
      <c r="AA140" s="73"/>
      <c r="AB140" s="73" t="s">
        <v>700</v>
      </c>
      <c r="AC140" s="73"/>
      <c r="AD140" s="73" t="s">
        <v>700</v>
      </c>
      <c r="AE140" s="73"/>
      <c r="AF140" s="73"/>
      <c r="AG140" s="73"/>
      <c r="AH140" s="73"/>
      <c r="AI140" s="73"/>
      <c r="AJ140" s="73"/>
      <c r="AK140" s="73"/>
      <c r="AL140" s="73"/>
      <c r="AM140" t="s">
        <v>869</v>
      </c>
      <c r="AN140" t="s">
        <v>116</v>
      </c>
      <c r="AO140" t="s">
        <v>695</v>
      </c>
    </row>
    <row r="141" spans="1:41" ht="18" customHeight="1" outlineLevel="1">
      <c r="A141" s="65">
        <f>ROW(Rohdaten!$A$118)</f>
        <v>118</v>
      </c>
      <c r="B141" s="66" t="str">
        <f>IF(Rohdaten!$A$118="","",Rohdaten!$A$118)</f>
        <v>11b</v>
      </c>
      <c r="C141" s="74" t="s">
        <v>870</v>
      </c>
      <c r="D141" s="68" t="str">
        <f>IF(Rohdaten!$E$118="","",Rohdaten!$E$118)</f>
        <v>Richartz/ Mey</v>
      </c>
      <c r="E141" s="69" t="str">
        <f t="array" ref="E141">_xlfn.TEXTJOIN(" / ",TRUE,IF($I141:$AL141="●",$I$4:$AL$4,""))</f>
        <v>Mey / Richartz</v>
      </c>
      <c r="F141" s="70" t="s">
        <v>767</v>
      </c>
      <c r="G141" s="71" t="s">
        <v>698</v>
      </c>
      <c r="H141" s="72">
        <f>IF($F141="automatisch",IF(ISNA(MATCH(Stichtag,RD_Kopf,0)),"automatisch",IF(SUMPRODUCT((RD_Kopf&gt;=IF($G141="monatlich",DATE(YEAR(Stichtag),MONTH(Stichtag),1),IF($G141="quartalsweise",DATE(YEAR(Stichtag),INT((MONTH(Stichtag)-1)/3)*3+1,1),Stichtag)))*(RD_Kopf&lt;=Stichtag)*ISNUMBER(Rohdaten!$A$118:$LJ$118))&gt;0,"erledigt","automatisch")),IF($F141&lt;&gt;"ja","",IF(ISNA(MATCH(Stichtag,RD_Kopf,0)),"keine Spalte",IF(SUMPRODUCT((RD_Kopf&gt;=IF($G141="monatlich",DATE(YEAR(Stichtag),MONTH(Stichtag),1),IF($G141="quartalsweise",DATE(YEAR(Stichtag),INT((MONTH(Stichtag)-1)/3)*3+1,1),Stichtag)))*(RD_Kopf&lt;=Stichtag)*ISNUMBER(Rohdaten!$A$118:$LJ$118))&gt;0,"erledigt","offen"))))</f>
        <v/>
      </c>
      <c r="I141" s="73"/>
      <c r="J141" s="73"/>
      <c r="K141" s="73"/>
      <c r="L141" s="73"/>
      <c r="M141" s="73"/>
      <c r="N141" s="73"/>
      <c r="O141" s="73"/>
      <c r="P141" s="73"/>
      <c r="Q141" s="73"/>
      <c r="R141" s="73"/>
      <c r="S141" s="73"/>
      <c r="T141" s="73"/>
      <c r="U141" s="73"/>
      <c r="V141" s="73"/>
      <c r="W141" s="73"/>
      <c r="X141" s="73"/>
      <c r="Y141" s="73"/>
      <c r="Z141" s="73"/>
      <c r="AA141" s="73"/>
      <c r="AB141" s="73" t="s">
        <v>700</v>
      </c>
      <c r="AC141" s="73"/>
      <c r="AD141" s="73" t="s">
        <v>700</v>
      </c>
      <c r="AE141" s="73"/>
      <c r="AF141" s="73"/>
      <c r="AG141" s="73"/>
      <c r="AH141" s="73"/>
      <c r="AI141" s="73"/>
      <c r="AJ141" s="73"/>
      <c r="AK141" s="73"/>
      <c r="AL141" s="73"/>
      <c r="AM141" t="s">
        <v>871</v>
      </c>
      <c r="AN141" t="s">
        <v>117</v>
      </c>
      <c r="AO141" t="s">
        <v>695</v>
      </c>
    </row>
    <row r="142" spans="1:41" ht="18" customHeight="1" outlineLevel="1">
      <c r="A142" s="65">
        <f>ROW(Rohdaten!$A$119)</f>
        <v>119</v>
      </c>
      <c r="B142" s="66" t="str">
        <f>IF(Rohdaten!$A$119="","",Rohdaten!$A$119)</f>
        <v>11c</v>
      </c>
      <c r="C142" s="74" t="s">
        <v>872</v>
      </c>
      <c r="D142" s="68" t="str">
        <f>IF(Rohdaten!$E$119="","",Rohdaten!$E$119)</f>
        <v>Richartz/ Mey</v>
      </c>
      <c r="E142" s="69" t="str">
        <f t="array" ref="E142">_xlfn.TEXTJOIN(" / ",TRUE,IF($I142:$AL142="●",$I$4:$AL$4,""))</f>
        <v>Mey / Richartz</v>
      </c>
      <c r="F142" s="70" t="s">
        <v>767</v>
      </c>
      <c r="G142" s="71" t="s">
        <v>698</v>
      </c>
      <c r="H142" s="72">
        <f>IF($F142="automatisch",IF(ISNA(MATCH(Stichtag,RD_Kopf,0)),"automatisch",IF(SUMPRODUCT((RD_Kopf&gt;=IF($G142="monatlich",DATE(YEAR(Stichtag),MONTH(Stichtag),1),IF($G142="quartalsweise",DATE(YEAR(Stichtag),INT((MONTH(Stichtag)-1)/3)*3+1,1),Stichtag)))*(RD_Kopf&lt;=Stichtag)*ISNUMBER(Rohdaten!$A$119:$LJ$119))&gt;0,"erledigt","automatisch")),IF($F142&lt;&gt;"ja","",IF(ISNA(MATCH(Stichtag,RD_Kopf,0)),"keine Spalte",IF(SUMPRODUCT((RD_Kopf&gt;=IF($G142="monatlich",DATE(YEAR(Stichtag),MONTH(Stichtag),1),IF($G142="quartalsweise",DATE(YEAR(Stichtag),INT((MONTH(Stichtag)-1)/3)*3+1,1),Stichtag)))*(RD_Kopf&lt;=Stichtag)*ISNUMBER(Rohdaten!$A$119:$LJ$119))&gt;0,"erledigt","offen"))))</f>
        <v/>
      </c>
      <c r="I142" s="73"/>
      <c r="J142" s="73"/>
      <c r="K142" s="73"/>
      <c r="L142" s="73"/>
      <c r="M142" s="73"/>
      <c r="N142" s="73"/>
      <c r="O142" s="73"/>
      <c r="P142" s="73"/>
      <c r="Q142" s="73"/>
      <c r="R142" s="73"/>
      <c r="S142" s="73"/>
      <c r="T142" s="73"/>
      <c r="U142" s="73"/>
      <c r="V142" s="73"/>
      <c r="W142" s="73"/>
      <c r="X142" s="73"/>
      <c r="Y142" s="73"/>
      <c r="Z142" s="73"/>
      <c r="AA142" s="73"/>
      <c r="AB142" s="73" t="s">
        <v>700</v>
      </c>
      <c r="AC142" s="73"/>
      <c r="AD142" s="73" t="s">
        <v>700</v>
      </c>
      <c r="AE142" s="73"/>
      <c r="AF142" s="73"/>
      <c r="AG142" s="73"/>
      <c r="AH142" s="73"/>
      <c r="AI142" s="73"/>
      <c r="AJ142" s="73"/>
      <c r="AK142" s="73"/>
      <c r="AL142" s="73"/>
      <c r="AM142" t="s">
        <v>873</v>
      </c>
      <c r="AN142" t="s">
        <v>118</v>
      </c>
      <c r="AO142" t="s">
        <v>695</v>
      </c>
    </row>
    <row r="143" spans="1:41" ht="18" customHeight="1" outlineLevel="1">
      <c r="A143" s="65">
        <f>ROW(Rohdaten!$A$120)</f>
        <v>120</v>
      </c>
      <c r="B143" s="66" t="str">
        <f>IF(Rohdaten!$A$120="","",Rohdaten!$A$120)</f>
        <v>11d</v>
      </c>
      <c r="C143" s="74" t="s">
        <v>874</v>
      </c>
      <c r="D143" s="68" t="str">
        <f>IF(Rohdaten!$E$120="","",Rohdaten!$E$120)</f>
        <v>Richartz/ Mey</v>
      </c>
      <c r="E143" s="69" t="str">
        <f t="array" ref="E143">_xlfn.TEXTJOIN(" / ",TRUE,IF($I143:$AL143="●",$I$4:$AL$4,""))</f>
        <v>Mey / Richartz</v>
      </c>
      <c r="F143" s="70" t="s">
        <v>767</v>
      </c>
      <c r="G143" s="71" t="s">
        <v>698</v>
      </c>
      <c r="H143" s="72">
        <f>IF($F143="automatisch",IF(ISNA(MATCH(Stichtag,RD_Kopf,0)),"automatisch",IF(SUMPRODUCT((RD_Kopf&gt;=IF($G143="monatlich",DATE(YEAR(Stichtag),MONTH(Stichtag),1),IF($G143="quartalsweise",DATE(YEAR(Stichtag),INT((MONTH(Stichtag)-1)/3)*3+1,1),Stichtag)))*(RD_Kopf&lt;=Stichtag)*ISNUMBER(Rohdaten!$A$120:$LJ$120))&gt;0,"erledigt","automatisch")),IF($F143&lt;&gt;"ja","",IF(ISNA(MATCH(Stichtag,RD_Kopf,0)),"keine Spalte",IF(SUMPRODUCT((RD_Kopf&gt;=IF($G143="monatlich",DATE(YEAR(Stichtag),MONTH(Stichtag),1),IF($G143="quartalsweise",DATE(YEAR(Stichtag),INT((MONTH(Stichtag)-1)/3)*3+1,1),Stichtag)))*(RD_Kopf&lt;=Stichtag)*ISNUMBER(Rohdaten!$A$120:$LJ$120))&gt;0,"erledigt","offen"))))</f>
        <v/>
      </c>
      <c r="I143" s="73"/>
      <c r="J143" s="73"/>
      <c r="K143" s="73"/>
      <c r="L143" s="73"/>
      <c r="M143" s="73"/>
      <c r="N143" s="73"/>
      <c r="O143" s="73"/>
      <c r="P143" s="73"/>
      <c r="Q143" s="73"/>
      <c r="R143" s="73"/>
      <c r="S143" s="73"/>
      <c r="T143" s="73"/>
      <c r="U143" s="73"/>
      <c r="V143" s="73"/>
      <c r="W143" s="73"/>
      <c r="X143" s="73"/>
      <c r="Y143" s="73"/>
      <c r="Z143" s="73"/>
      <c r="AA143" s="73"/>
      <c r="AB143" s="73" t="s">
        <v>700</v>
      </c>
      <c r="AC143" s="73"/>
      <c r="AD143" s="73" t="s">
        <v>700</v>
      </c>
      <c r="AE143" s="73"/>
      <c r="AF143" s="73"/>
      <c r="AG143" s="73"/>
      <c r="AH143" s="73"/>
      <c r="AI143" s="73"/>
      <c r="AJ143" s="73"/>
      <c r="AK143" s="73"/>
      <c r="AL143" s="73"/>
      <c r="AM143" t="s">
        <v>875</v>
      </c>
      <c r="AN143" t="s">
        <v>119</v>
      </c>
      <c r="AO143" t="s">
        <v>695</v>
      </c>
    </row>
    <row r="144" spans="1:41" ht="18" customHeight="1" outlineLevel="1">
      <c r="A144" s="65">
        <f>ROW(Rohdaten!$A$121)</f>
        <v>121</v>
      </c>
      <c r="B144" s="66" t="str">
        <f>IF(Rohdaten!$A$121="","",Rohdaten!$A$121)</f>
        <v>11e</v>
      </c>
      <c r="C144" s="74" t="s">
        <v>769</v>
      </c>
      <c r="D144" s="68" t="str">
        <f>IF(Rohdaten!$E$121="","",Rohdaten!$E$121)</f>
        <v>Richartz/ Mey</v>
      </c>
      <c r="E144" s="69" t="str">
        <f t="array" ref="E144">_xlfn.TEXTJOIN(" / ",TRUE,IF($I144:$AL144="●",$I$4:$AL$4,""))</f>
        <v>Mey / Richartz</v>
      </c>
      <c r="F144" s="70" t="s">
        <v>697</v>
      </c>
      <c r="G144" s="71" t="s">
        <v>698</v>
      </c>
      <c r="H144" s="72">
        <f>IF($F144="automatisch",IF(ISNA(MATCH(Stichtag,RD_Kopf,0)),"automatisch",IF(SUMPRODUCT((RD_Kopf&gt;=IF($G144="monatlich",DATE(YEAR(Stichtag),MONTH(Stichtag),1),IF($G144="quartalsweise",DATE(YEAR(Stichtag),INT((MONTH(Stichtag)-1)/3)*3+1,1),Stichtag)))*(RD_Kopf&lt;=Stichtag)*ISNUMBER(Rohdaten!$A$121:$LJ$121))&gt;0,"erledigt","automatisch")),IF($F144&lt;&gt;"ja","",IF(ISNA(MATCH(Stichtag,RD_Kopf,0)),"keine Spalte",IF(SUMPRODUCT((RD_Kopf&gt;=IF($G144="monatlich",DATE(YEAR(Stichtag),MONTH(Stichtag),1),IF($G144="quartalsweise",DATE(YEAR(Stichtag),INT((MONTH(Stichtag)-1)/3)*3+1,1),Stichtag)))*(RD_Kopf&lt;=Stichtag)*ISNUMBER(Rohdaten!$A$121:$LJ$121))&gt;0,"erledigt","offen"))))</f>
        <v/>
      </c>
      <c r="I144" s="73"/>
      <c r="J144" s="73"/>
      <c r="K144" s="73"/>
      <c r="L144" s="73"/>
      <c r="M144" s="73"/>
      <c r="N144" s="73"/>
      <c r="O144" s="73"/>
      <c r="P144" s="73"/>
      <c r="Q144" s="73"/>
      <c r="R144" s="73"/>
      <c r="S144" s="73"/>
      <c r="T144" s="73"/>
      <c r="U144" s="73"/>
      <c r="V144" s="73"/>
      <c r="W144" s="73"/>
      <c r="X144" s="73"/>
      <c r="Y144" s="73"/>
      <c r="Z144" s="73"/>
      <c r="AA144" s="73"/>
      <c r="AB144" s="73" t="s">
        <v>700</v>
      </c>
      <c r="AC144" s="73"/>
      <c r="AD144" s="73" t="s">
        <v>700</v>
      </c>
      <c r="AE144" s="73"/>
      <c r="AF144" s="73"/>
      <c r="AG144" s="73"/>
      <c r="AH144" s="73"/>
      <c r="AI144" s="73"/>
      <c r="AJ144" s="73"/>
      <c r="AK144" s="73"/>
      <c r="AL144" s="73"/>
      <c r="AM144" t="s">
        <v>876</v>
      </c>
      <c r="AN144" t="s">
        <v>120</v>
      </c>
      <c r="AO144" t="s">
        <v>695</v>
      </c>
    </row>
    <row r="145" spans="1:41" ht="18" customHeight="1" outlineLevel="1">
      <c r="A145" s="65">
        <f>ROW(Rohdaten!$A$122)</f>
        <v>122</v>
      </c>
      <c r="B145" s="66">
        <f>IF(Rohdaten!$A$122="","",Rohdaten!$A$122)</f>
        <v/>
      </c>
      <c r="C145" s="74" t="s">
        <v>877</v>
      </c>
      <c r="D145" s="68" t="str">
        <f>IF(Rohdaten!$E$122="","",Rohdaten!$E$122)</f>
        <v>Richartz/ Mey</v>
      </c>
      <c r="E145" s="69" t="str">
        <f t="array" ref="E145">_xlfn.TEXTJOIN(" / ",TRUE,IF($I145:$AL145="●",$I$4:$AL$4,""))</f>
        <v>Mey / Richartz</v>
      </c>
      <c r="F145" s="70" t="s">
        <v>767</v>
      </c>
      <c r="G145" s="71" t="s">
        <v>698</v>
      </c>
      <c r="H145" s="72">
        <f>IF($F145="automatisch",IF(ISNA(MATCH(Stichtag,RD_Kopf,0)),"automatisch",IF(SUMPRODUCT((RD_Kopf&gt;=IF($G145="monatlich",DATE(YEAR(Stichtag),MONTH(Stichtag),1),IF($G145="quartalsweise",DATE(YEAR(Stichtag),INT((MONTH(Stichtag)-1)/3)*3+1,1),Stichtag)))*(RD_Kopf&lt;=Stichtag)*ISNUMBER(Rohdaten!$A$122:$LJ$122))&gt;0,"erledigt","automatisch")),IF($F145&lt;&gt;"ja","",IF(ISNA(MATCH(Stichtag,RD_Kopf,0)),"keine Spalte",IF(SUMPRODUCT((RD_Kopf&gt;=IF($G145="monatlich",DATE(YEAR(Stichtag),MONTH(Stichtag),1),IF($G145="quartalsweise",DATE(YEAR(Stichtag),INT((MONTH(Stichtag)-1)/3)*3+1,1),Stichtag)))*(RD_Kopf&lt;=Stichtag)*ISNUMBER(Rohdaten!$A$122:$LJ$122))&gt;0,"erledigt","offen"))))</f>
        <v/>
      </c>
      <c r="I145" s="73"/>
      <c r="J145" s="73"/>
      <c r="K145" s="73"/>
      <c r="L145" s="73"/>
      <c r="M145" s="73"/>
      <c r="N145" s="73"/>
      <c r="O145" s="73"/>
      <c r="P145" s="73"/>
      <c r="Q145" s="73"/>
      <c r="R145" s="73"/>
      <c r="S145" s="73"/>
      <c r="T145" s="73"/>
      <c r="U145" s="73"/>
      <c r="V145" s="73"/>
      <c r="W145" s="73"/>
      <c r="X145" s="73"/>
      <c r="Y145" s="73"/>
      <c r="Z145" s="73"/>
      <c r="AA145" s="73"/>
      <c r="AB145" s="73" t="s">
        <v>700</v>
      </c>
      <c r="AC145" s="73"/>
      <c r="AD145" s="73" t="s">
        <v>700</v>
      </c>
      <c r="AE145" s="73"/>
      <c r="AF145" s="73"/>
      <c r="AG145" s="73"/>
      <c r="AH145" s="73"/>
      <c r="AI145" s="73"/>
      <c r="AJ145" s="73"/>
      <c r="AK145" s="73"/>
      <c r="AL145" s="73"/>
      <c r="AM145" t="s">
        <v>878</v>
      </c>
      <c r="AO145" t="s">
        <v>695</v>
      </c>
    </row>
    <row r="146" spans="1:41" ht="18" customHeight="1" outlineLevel="1">
      <c r="A146" s="65">
        <f>ROW(Rohdaten!$A$123)</f>
        <v>123</v>
      </c>
      <c r="B146" s="66">
        <f>IF(Rohdaten!$A$123="","",Rohdaten!$A$123)</f>
        <v/>
      </c>
      <c r="C146" s="74" t="s">
        <v>879</v>
      </c>
      <c r="D146" s="68" t="str">
        <f>IF(Rohdaten!$E$123="","",Rohdaten!$E$123)</f>
        <v>Richartz/ Mey</v>
      </c>
      <c r="E146" s="69" t="str">
        <f t="array" ref="E146">_xlfn.TEXTJOIN(" / ",TRUE,IF($I146:$AL146="●",$I$4:$AL$4,""))</f>
        <v>Mey / Richartz</v>
      </c>
      <c r="F146" s="70" t="s">
        <v>767</v>
      </c>
      <c r="G146" s="71" t="s">
        <v>698</v>
      </c>
      <c r="H146" s="72">
        <f>IF($F146="automatisch",IF(ISNA(MATCH(Stichtag,RD_Kopf,0)),"automatisch",IF(SUMPRODUCT((RD_Kopf&gt;=IF($G146="monatlich",DATE(YEAR(Stichtag),MONTH(Stichtag),1),IF($G146="quartalsweise",DATE(YEAR(Stichtag),INT((MONTH(Stichtag)-1)/3)*3+1,1),Stichtag)))*(RD_Kopf&lt;=Stichtag)*ISNUMBER(Rohdaten!$A$123:$LJ$123))&gt;0,"erledigt","automatisch")),IF($F146&lt;&gt;"ja","",IF(ISNA(MATCH(Stichtag,RD_Kopf,0)),"keine Spalte",IF(SUMPRODUCT((RD_Kopf&gt;=IF($G146="monatlich",DATE(YEAR(Stichtag),MONTH(Stichtag),1),IF($G146="quartalsweise",DATE(YEAR(Stichtag),INT((MONTH(Stichtag)-1)/3)*3+1,1),Stichtag)))*(RD_Kopf&lt;=Stichtag)*ISNUMBER(Rohdaten!$A$123:$LJ$123))&gt;0,"erledigt","offen"))))</f>
        <v/>
      </c>
      <c r="I146" s="73"/>
      <c r="J146" s="73"/>
      <c r="K146" s="73"/>
      <c r="L146" s="73"/>
      <c r="M146" s="73"/>
      <c r="N146" s="73"/>
      <c r="O146" s="73"/>
      <c r="P146" s="73"/>
      <c r="Q146" s="73"/>
      <c r="R146" s="73"/>
      <c r="S146" s="73"/>
      <c r="T146" s="73"/>
      <c r="U146" s="73"/>
      <c r="V146" s="73"/>
      <c r="W146" s="73"/>
      <c r="X146" s="73"/>
      <c r="Y146" s="73"/>
      <c r="Z146" s="73"/>
      <c r="AA146" s="73"/>
      <c r="AB146" s="73" t="s">
        <v>700</v>
      </c>
      <c r="AC146" s="73"/>
      <c r="AD146" s="73" t="s">
        <v>700</v>
      </c>
      <c r="AE146" s="73"/>
      <c r="AF146" s="73"/>
      <c r="AG146" s="73"/>
      <c r="AH146" s="73"/>
      <c r="AI146" s="73"/>
      <c r="AJ146" s="73"/>
      <c r="AK146" s="73"/>
      <c r="AL146" s="73"/>
      <c r="AM146" t="s">
        <v>880</v>
      </c>
      <c r="AO146" t="s">
        <v>695</v>
      </c>
    </row>
    <row r="147" spans="1:41" ht="18" customHeight="1" outlineLevel="1">
      <c r="A147" s="65">
        <f>ROW(Rohdaten!$A$124)</f>
        <v>124</v>
      </c>
      <c r="B147" s="66">
        <f>IF(Rohdaten!$A$124="","",Rohdaten!$A$124)</f>
        <v/>
      </c>
      <c r="C147" s="74" t="s">
        <v>881</v>
      </c>
      <c r="D147" s="68" t="str">
        <f>IF(Rohdaten!$E$124="","",Rohdaten!$E$124)</f>
        <v>Richartz/ Mey</v>
      </c>
      <c r="E147" s="69" t="str">
        <f t="array" ref="E147">_xlfn.TEXTJOIN(" / ",TRUE,IF($I147:$AL147="●",$I$4:$AL$4,""))</f>
        <v>Mey / Richartz</v>
      </c>
      <c r="F147" s="70" t="s">
        <v>767</v>
      </c>
      <c r="G147" s="71" t="s">
        <v>698</v>
      </c>
      <c r="H147" s="72">
        <f>IF($F147="automatisch",IF(ISNA(MATCH(Stichtag,RD_Kopf,0)),"automatisch",IF(SUMPRODUCT((RD_Kopf&gt;=IF($G147="monatlich",DATE(YEAR(Stichtag),MONTH(Stichtag),1),IF($G147="quartalsweise",DATE(YEAR(Stichtag),INT((MONTH(Stichtag)-1)/3)*3+1,1),Stichtag)))*(RD_Kopf&lt;=Stichtag)*ISNUMBER(Rohdaten!$A$124:$LJ$124))&gt;0,"erledigt","automatisch")),IF($F147&lt;&gt;"ja","",IF(ISNA(MATCH(Stichtag,RD_Kopf,0)),"keine Spalte",IF(SUMPRODUCT((RD_Kopf&gt;=IF($G147="monatlich",DATE(YEAR(Stichtag),MONTH(Stichtag),1),IF($G147="quartalsweise",DATE(YEAR(Stichtag),INT((MONTH(Stichtag)-1)/3)*3+1,1),Stichtag)))*(RD_Kopf&lt;=Stichtag)*ISNUMBER(Rohdaten!$A$124:$LJ$124))&gt;0,"erledigt","offen"))))</f>
        <v/>
      </c>
      <c r="I147" s="73"/>
      <c r="J147" s="73"/>
      <c r="K147" s="73"/>
      <c r="L147" s="73"/>
      <c r="M147" s="73"/>
      <c r="N147" s="73"/>
      <c r="O147" s="73"/>
      <c r="P147" s="73"/>
      <c r="Q147" s="73"/>
      <c r="R147" s="73"/>
      <c r="S147" s="73"/>
      <c r="T147" s="73"/>
      <c r="U147" s="73"/>
      <c r="V147" s="73"/>
      <c r="W147" s="73"/>
      <c r="X147" s="73"/>
      <c r="Y147" s="73"/>
      <c r="Z147" s="73"/>
      <c r="AA147" s="73"/>
      <c r="AB147" s="73" t="s">
        <v>700</v>
      </c>
      <c r="AC147" s="73"/>
      <c r="AD147" s="73" t="s">
        <v>700</v>
      </c>
      <c r="AE147" s="73"/>
      <c r="AF147" s="73"/>
      <c r="AG147" s="73"/>
      <c r="AH147" s="73"/>
      <c r="AI147" s="73"/>
      <c r="AJ147" s="73"/>
      <c r="AK147" s="73"/>
      <c r="AL147" s="73"/>
      <c r="AM147" t="s">
        <v>882</v>
      </c>
      <c r="AO147" t="s">
        <v>695</v>
      </c>
    </row>
    <row r="148" spans="1:41" ht="18" customHeight="1" outlineLevel="1">
      <c r="A148" s="65">
        <f>ROW(Rohdaten!$A$125)</f>
        <v>125</v>
      </c>
      <c r="B148" s="66" t="str">
        <f>IF(Rohdaten!$A$125="","",Rohdaten!$A$125)</f>
        <v>11f</v>
      </c>
      <c r="C148" s="74" t="s">
        <v>772</v>
      </c>
      <c r="D148" s="68" t="str">
        <f>IF(Rohdaten!$E$125="","",Rohdaten!$E$125)</f>
        <v>Richartz/ Mey</v>
      </c>
      <c r="E148" s="69" t="str">
        <f t="array" ref="E148">_xlfn.TEXTJOIN(" / ",TRUE,IF($I148:$AL148="●",$I$4:$AL$4,""))</f>
        <v>Mey / Richartz</v>
      </c>
      <c r="F148" s="70" t="s">
        <v>697</v>
      </c>
      <c r="G148" s="71" t="s">
        <v>698</v>
      </c>
      <c r="H148" s="72">
        <f>IF($F148="automatisch",IF(ISNA(MATCH(Stichtag,RD_Kopf,0)),"automatisch",IF(SUMPRODUCT((RD_Kopf&gt;=IF($G148="monatlich",DATE(YEAR(Stichtag),MONTH(Stichtag),1),IF($G148="quartalsweise",DATE(YEAR(Stichtag),INT((MONTH(Stichtag)-1)/3)*3+1,1),Stichtag)))*(RD_Kopf&lt;=Stichtag)*ISNUMBER(Rohdaten!$A$125:$LJ$125))&gt;0,"erledigt","automatisch")),IF($F148&lt;&gt;"ja","",IF(ISNA(MATCH(Stichtag,RD_Kopf,0)),"keine Spalte",IF(SUMPRODUCT((RD_Kopf&gt;=IF($G148="monatlich",DATE(YEAR(Stichtag),MONTH(Stichtag),1),IF($G148="quartalsweise",DATE(YEAR(Stichtag),INT((MONTH(Stichtag)-1)/3)*3+1,1),Stichtag)))*(RD_Kopf&lt;=Stichtag)*ISNUMBER(Rohdaten!$A$125:$LJ$125))&gt;0,"erledigt","offen"))))</f>
        <v/>
      </c>
      <c r="I148" s="73"/>
      <c r="J148" s="73"/>
      <c r="K148" s="73"/>
      <c r="L148" s="73"/>
      <c r="M148" s="73"/>
      <c r="N148" s="73"/>
      <c r="O148" s="73"/>
      <c r="P148" s="73"/>
      <c r="Q148" s="73"/>
      <c r="R148" s="73"/>
      <c r="S148" s="73"/>
      <c r="T148" s="73"/>
      <c r="U148" s="73"/>
      <c r="V148" s="73"/>
      <c r="W148" s="73"/>
      <c r="X148" s="73"/>
      <c r="Y148" s="73"/>
      <c r="Z148" s="73"/>
      <c r="AA148" s="73"/>
      <c r="AB148" s="73" t="s">
        <v>700</v>
      </c>
      <c r="AC148" s="73"/>
      <c r="AD148" s="73" t="s">
        <v>700</v>
      </c>
      <c r="AE148" s="73"/>
      <c r="AF148" s="73"/>
      <c r="AG148" s="73"/>
      <c r="AH148" s="73"/>
      <c r="AI148" s="73"/>
      <c r="AJ148" s="73"/>
      <c r="AK148" s="73"/>
      <c r="AL148" s="73"/>
      <c r="AM148" t="s">
        <v>883</v>
      </c>
      <c r="AN148" t="s">
        <v>121</v>
      </c>
      <c r="AO148" t="s">
        <v>695</v>
      </c>
    </row>
    <row r="149" spans="1:41" ht="18" customHeight="1" outlineLevel="1">
      <c r="A149" s="65">
        <f>ROW(Rohdaten!$A$126)</f>
        <v>126</v>
      </c>
      <c r="B149" s="66">
        <f>IF(Rohdaten!$A$126="","",Rohdaten!$A$126)</f>
        <v/>
      </c>
      <c r="C149" s="74" t="s">
        <v>884</v>
      </c>
      <c r="D149" s="68" t="str">
        <f>IF(Rohdaten!$E$126="","",Rohdaten!$E$126)</f>
        <v>Richartz/ Mey</v>
      </c>
      <c r="E149" s="69" t="str">
        <f t="array" ref="E149">_xlfn.TEXTJOIN(" / ",TRUE,IF($I149:$AL149="●",$I$4:$AL$4,""))</f>
        <v>Mey / Richartz</v>
      </c>
      <c r="F149" s="70" t="s">
        <v>767</v>
      </c>
      <c r="G149" s="71" t="s">
        <v>698</v>
      </c>
      <c r="H149" s="72">
        <f>IF($F149="automatisch",IF(ISNA(MATCH(Stichtag,RD_Kopf,0)),"automatisch",IF(SUMPRODUCT((RD_Kopf&gt;=IF($G149="monatlich",DATE(YEAR(Stichtag),MONTH(Stichtag),1),IF($G149="quartalsweise",DATE(YEAR(Stichtag),INT((MONTH(Stichtag)-1)/3)*3+1,1),Stichtag)))*(RD_Kopf&lt;=Stichtag)*ISNUMBER(Rohdaten!$A$126:$LJ$126))&gt;0,"erledigt","automatisch")),IF($F149&lt;&gt;"ja","",IF(ISNA(MATCH(Stichtag,RD_Kopf,0)),"keine Spalte",IF(SUMPRODUCT((RD_Kopf&gt;=IF($G149="monatlich",DATE(YEAR(Stichtag),MONTH(Stichtag),1),IF($G149="quartalsweise",DATE(YEAR(Stichtag),INT((MONTH(Stichtag)-1)/3)*3+1,1),Stichtag)))*(RD_Kopf&lt;=Stichtag)*ISNUMBER(Rohdaten!$A$126:$LJ$126))&gt;0,"erledigt","offen"))))</f>
        <v/>
      </c>
      <c r="I149" s="73"/>
      <c r="J149" s="73"/>
      <c r="K149" s="73"/>
      <c r="L149" s="73"/>
      <c r="M149" s="73"/>
      <c r="N149" s="73"/>
      <c r="O149" s="73"/>
      <c r="P149" s="73"/>
      <c r="Q149" s="73"/>
      <c r="R149" s="73"/>
      <c r="S149" s="73"/>
      <c r="T149" s="73"/>
      <c r="U149" s="73"/>
      <c r="V149" s="73"/>
      <c r="W149" s="73"/>
      <c r="X149" s="73"/>
      <c r="Y149" s="73"/>
      <c r="Z149" s="73"/>
      <c r="AA149" s="73"/>
      <c r="AB149" s="73" t="s">
        <v>700</v>
      </c>
      <c r="AC149" s="73"/>
      <c r="AD149" s="73" t="s">
        <v>700</v>
      </c>
      <c r="AE149" s="73"/>
      <c r="AF149" s="73"/>
      <c r="AG149" s="73"/>
      <c r="AH149" s="73"/>
      <c r="AI149" s="73"/>
      <c r="AJ149" s="73"/>
      <c r="AK149" s="73"/>
      <c r="AL149" s="73"/>
      <c r="AM149" t="s">
        <v>885</v>
      </c>
      <c r="AO149" t="s">
        <v>695</v>
      </c>
    </row>
    <row r="150" spans="1:41" ht="18" customHeight="1" outlineLevel="1">
      <c r="A150" s="65">
        <f>ROW(Rohdaten!$A$127)</f>
        <v>127</v>
      </c>
      <c r="B150" s="66">
        <f>IF(Rohdaten!$A$127="","",Rohdaten!$A$127)</f>
        <v/>
      </c>
      <c r="C150" s="74" t="s">
        <v>886</v>
      </c>
      <c r="D150" s="68" t="str">
        <f>IF(Rohdaten!$E$127="","",Rohdaten!$E$127)</f>
        <v>Richartz/ Mey</v>
      </c>
      <c r="E150" s="69" t="str">
        <f t="array" ref="E150">_xlfn.TEXTJOIN(" / ",TRUE,IF($I150:$AL150="●",$I$4:$AL$4,""))</f>
        <v>Mey / Richartz</v>
      </c>
      <c r="F150" s="70" t="s">
        <v>767</v>
      </c>
      <c r="G150" s="71" t="s">
        <v>698</v>
      </c>
      <c r="H150" s="72">
        <f>IF($F150="automatisch",IF(ISNA(MATCH(Stichtag,RD_Kopf,0)),"automatisch",IF(SUMPRODUCT((RD_Kopf&gt;=IF($G150="monatlich",DATE(YEAR(Stichtag),MONTH(Stichtag),1),IF($G150="quartalsweise",DATE(YEAR(Stichtag),INT((MONTH(Stichtag)-1)/3)*3+1,1),Stichtag)))*(RD_Kopf&lt;=Stichtag)*ISNUMBER(Rohdaten!$A$127:$LJ$127))&gt;0,"erledigt","automatisch")),IF($F150&lt;&gt;"ja","",IF(ISNA(MATCH(Stichtag,RD_Kopf,0)),"keine Spalte",IF(SUMPRODUCT((RD_Kopf&gt;=IF($G150="monatlich",DATE(YEAR(Stichtag),MONTH(Stichtag),1),IF($G150="quartalsweise",DATE(YEAR(Stichtag),INT((MONTH(Stichtag)-1)/3)*3+1,1),Stichtag)))*(RD_Kopf&lt;=Stichtag)*ISNUMBER(Rohdaten!$A$127:$LJ$127))&gt;0,"erledigt","offen"))))</f>
        <v/>
      </c>
      <c r="I150" s="73"/>
      <c r="J150" s="73"/>
      <c r="K150" s="73"/>
      <c r="L150" s="73"/>
      <c r="M150" s="73"/>
      <c r="N150" s="73"/>
      <c r="O150" s="73"/>
      <c r="P150" s="73"/>
      <c r="Q150" s="73"/>
      <c r="R150" s="73"/>
      <c r="S150" s="73"/>
      <c r="T150" s="73"/>
      <c r="U150" s="73"/>
      <c r="V150" s="73"/>
      <c r="W150" s="73"/>
      <c r="X150" s="73"/>
      <c r="Y150" s="73"/>
      <c r="Z150" s="73"/>
      <c r="AA150" s="73"/>
      <c r="AB150" s="73" t="s">
        <v>700</v>
      </c>
      <c r="AC150" s="73"/>
      <c r="AD150" s="73" t="s">
        <v>700</v>
      </c>
      <c r="AE150" s="73"/>
      <c r="AF150" s="73"/>
      <c r="AG150" s="73"/>
      <c r="AH150" s="73"/>
      <c r="AI150" s="73"/>
      <c r="AJ150" s="73"/>
      <c r="AK150" s="73"/>
      <c r="AL150" s="73"/>
      <c r="AM150" t="s">
        <v>887</v>
      </c>
      <c r="AO150" t="s">
        <v>695</v>
      </c>
    </row>
    <row r="151" spans="1:41" ht="18" customHeight="1" outlineLevel="1">
      <c r="A151" s="65">
        <f>ROW(Rohdaten!$A$128)</f>
        <v>128</v>
      </c>
      <c r="B151" s="66">
        <f>IF(Rohdaten!$A$128="","",Rohdaten!$A$128)</f>
        <v/>
      </c>
      <c r="C151" s="74" t="s">
        <v>888</v>
      </c>
      <c r="D151" s="68" t="str">
        <f>IF(Rohdaten!$E$128="","",Rohdaten!$E$128)</f>
        <v>Richartz/ Mey</v>
      </c>
      <c r="E151" s="69" t="str">
        <f t="array" ref="E151">_xlfn.TEXTJOIN(" / ",TRUE,IF($I151:$AL151="●",$I$4:$AL$4,""))</f>
        <v>Mey / Richartz</v>
      </c>
      <c r="F151" s="70" t="s">
        <v>767</v>
      </c>
      <c r="G151" s="71" t="s">
        <v>698</v>
      </c>
      <c r="H151" s="72">
        <f>IF($F151="automatisch",IF(ISNA(MATCH(Stichtag,RD_Kopf,0)),"automatisch",IF(SUMPRODUCT((RD_Kopf&gt;=IF($G151="monatlich",DATE(YEAR(Stichtag),MONTH(Stichtag),1),IF($G151="quartalsweise",DATE(YEAR(Stichtag),INT((MONTH(Stichtag)-1)/3)*3+1,1),Stichtag)))*(RD_Kopf&lt;=Stichtag)*ISNUMBER(Rohdaten!$A$128:$LJ$128))&gt;0,"erledigt","automatisch")),IF($F151&lt;&gt;"ja","",IF(ISNA(MATCH(Stichtag,RD_Kopf,0)),"keine Spalte",IF(SUMPRODUCT((RD_Kopf&gt;=IF($G151="monatlich",DATE(YEAR(Stichtag),MONTH(Stichtag),1),IF($G151="quartalsweise",DATE(YEAR(Stichtag),INT((MONTH(Stichtag)-1)/3)*3+1,1),Stichtag)))*(RD_Kopf&lt;=Stichtag)*ISNUMBER(Rohdaten!$A$128:$LJ$128))&gt;0,"erledigt","offen"))))</f>
        <v/>
      </c>
      <c r="I151" s="73"/>
      <c r="J151" s="73"/>
      <c r="K151" s="73"/>
      <c r="L151" s="73"/>
      <c r="M151" s="73"/>
      <c r="N151" s="73"/>
      <c r="O151" s="73"/>
      <c r="P151" s="73"/>
      <c r="Q151" s="73"/>
      <c r="R151" s="73"/>
      <c r="S151" s="73"/>
      <c r="T151" s="73"/>
      <c r="U151" s="73"/>
      <c r="V151" s="73"/>
      <c r="W151" s="73"/>
      <c r="X151" s="73"/>
      <c r="Y151" s="73"/>
      <c r="Z151" s="73"/>
      <c r="AA151" s="73"/>
      <c r="AB151" s="73" t="s">
        <v>700</v>
      </c>
      <c r="AC151" s="73"/>
      <c r="AD151" s="73" t="s">
        <v>700</v>
      </c>
      <c r="AE151" s="73"/>
      <c r="AF151" s="73"/>
      <c r="AG151" s="73"/>
      <c r="AH151" s="73"/>
      <c r="AI151" s="73"/>
      <c r="AJ151" s="73"/>
      <c r="AK151" s="73"/>
      <c r="AL151" s="73"/>
      <c r="AM151" t="s">
        <v>889</v>
      </c>
      <c r="AO151" t="s">
        <v>695</v>
      </c>
    </row>
    <row r="152" spans="1:41" ht="22" customHeight="1">
      <c r="A152" s="60" t="s">
        <v>890</v>
      </c>
      <c r="B152" s="60"/>
      <c r="C152" s="60"/>
      <c r="D152" s="60"/>
      <c r="E152" s="60"/>
      <c r="F152" s="60"/>
      <c r="G152" s="60"/>
      <c r="H152" s="60"/>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O152" t="s">
        <v>691</v>
      </c>
    </row>
    <row r="153" spans="1:41" ht="18" customHeight="1" outlineLevel="1">
      <c r="A153" s="65">
        <f>ROW(Rohdaten!$A$129)</f>
        <v>129</v>
      </c>
      <c r="B153" s="66" t="str">
        <f>IF(Rohdaten!$A$129="","",Rohdaten!$A$129)</f>
        <v>11g</v>
      </c>
      <c r="C153" s="74" t="s">
        <v>891</v>
      </c>
      <c r="D153" s="68" t="str">
        <f>IF(Rohdaten!$E$129="","",Rohdaten!$E$129)</f>
        <v>Richartz/ Mey</v>
      </c>
      <c r="E153" s="69" t="str">
        <f t="array" ref="E153">_xlfn.TEXTJOIN(" / ",TRUE,IF($I153:$AL153="●",$I$4:$AL$4,""))</f>
        <v>Mey / Richartz</v>
      </c>
      <c r="F153" s="70" t="s">
        <v>697</v>
      </c>
      <c r="G153" s="71" t="s">
        <v>698</v>
      </c>
      <c r="H153" s="72">
        <f>IF($F153="automatisch",IF(ISNA(MATCH(Stichtag,RD_Kopf,0)),"automatisch",IF(SUMPRODUCT((RD_Kopf&gt;=IF($G153="monatlich",DATE(YEAR(Stichtag),MONTH(Stichtag),1),IF($G153="quartalsweise",DATE(YEAR(Stichtag),INT((MONTH(Stichtag)-1)/3)*3+1,1),Stichtag)))*(RD_Kopf&lt;=Stichtag)*ISNUMBER(Rohdaten!$A$129:$LJ$129))&gt;0,"erledigt","automatisch")),IF($F153&lt;&gt;"ja","",IF(ISNA(MATCH(Stichtag,RD_Kopf,0)),"keine Spalte",IF(SUMPRODUCT((RD_Kopf&gt;=IF($G153="monatlich",DATE(YEAR(Stichtag),MONTH(Stichtag),1),IF($G153="quartalsweise",DATE(YEAR(Stichtag),INT((MONTH(Stichtag)-1)/3)*3+1,1),Stichtag)))*(RD_Kopf&lt;=Stichtag)*ISNUMBER(Rohdaten!$A$129:$LJ$129))&gt;0,"erledigt","offen"))))</f>
        <v/>
      </c>
      <c r="I153" s="73"/>
      <c r="J153" s="73"/>
      <c r="K153" s="73"/>
      <c r="L153" s="73"/>
      <c r="M153" s="73"/>
      <c r="N153" s="73"/>
      <c r="O153" s="73"/>
      <c r="P153" s="73"/>
      <c r="Q153" s="73"/>
      <c r="R153" s="73"/>
      <c r="S153" s="73"/>
      <c r="T153" s="73"/>
      <c r="U153" s="73"/>
      <c r="V153" s="73"/>
      <c r="W153" s="73"/>
      <c r="X153" s="73"/>
      <c r="Y153" s="73"/>
      <c r="Z153" s="73"/>
      <c r="AA153" s="73"/>
      <c r="AB153" s="73" t="s">
        <v>700</v>
      </c>
      <c r="AC153" s="73"/>
      <c r="AD153" s="73" t="s">
        <v>700</v>
      </c>
      <c r="AE153" s="73"/>
      <c r="AF153" s="73"/>
      <c r="AG153" s="73"/>
      <c r="AH153" s="73"/>
      <c r="AI153" s="73"/>
      <c r="AJ153" s="73"/>
      <c r="AK153" s="73"/>
      <c r="AL153" s="73"/>
      <c r="AM153" t="s">
        <v>892</v>
      </c>
      <c r="AN153" t="s">
        <v>122</v>
      </c>
      <c r="AO153" t="s">
        <v>695</v>
      </c>
    </row>
    <row r="154" spans="1:41" ht="18" customHeight="1" outlineLevel="1">
      <c r="A154" s="65">
        <f>ROW(Rohdaten!$A$130)</f>
        <v>130</v>
      </c>
      <c r="B154" s="66" t="str">
        <f>IF(Rohdaten!$A$130="","",Rohdaten!$A$130)</f>
        <v>11h</v>
      </c>
      <c r="C154" s="74" t="s">
        <v>893</v>
      </c>
      <c r="D154" s="68" t="str">
        <f>IF(Rohdaten!$E$130="","",Rohdaten!$E$130)</f>
        <v>Richartz/ Mey</v>
      </c>
      <c r="E154" s="69" t="str">
        <f t="array" ref="E154">_xlfn.TEXTJOIN(" / ",TRUE,IF($I154:$AL154="●",$I$4:$AL$4,""))</f>
        <v>Mey / Richartz</v>
      </c>
      <c r="F154" s="70" t="s">
        <v>767</v>
      </c>
      <c r="G154" s="71" t="s">
        <v>698</v>
      </c>
      <c r="H154" s="72">
        <f>IF($F154="automatisch",IF(ISNA(MATCH(Stichtag,RD_Kopf,0)),"automatisch",IF(SUMPRODUCT((RD_Kopf&gt;=IF($G154="monatlich",DATE(YEAR(Stichtag),MONTH(Stichtag),1),IF($G154="quartalsweise",DATE(YEAR(Stichtag),INT((MONTH(Stichtag)-1)/3)*3+1,1),Stichtag)))*(RD_Kopf&lt;=Stichtag)*ISNUMBER(Rohdaten!$A$130:$LJ$130))&gt;0,"erledigt","automatisch")),IF($F154&lt;&gt;"ja","",IF(ISNA(MATCH(Stichtag,RD_Kopf,0)),"keine Spalte",IF(SUMPRODUCT((RD_Kopf&gt;=IF($G154="monatlich",DATE(YEAR(Stichtag),MONTH(Stichtag),1),IF($G154="quartalsweise",DATE(YEAR(Stichtag),INT((MONTH(Stichtag)-1)/3)*3+1,1),Stichtag)))*(RD_Kopf&lt;=Stichtag)*ISNUMBER(Rohdaten!$A$130:$LJ$130))&gt;0,"erledigt","offen"))))</f>
        <v/>
      </c>
      <c r="I154" s="73"/>
      <c r="J154" s="73"/>
      <c r="K154" s="73"/>
      <c r="L154" s="73"/>
      <c r="M154" s="73"/>
      <c r="N154" s="73"/>
      <c r="O154" s="73"/>
      <c r="P154" s="73"/>
      <c r="Q154" s="73"/>
      <c r="R154" s="73"/>
      <c r="S154" s="73"/>
      <c r="T154" s="73"/>
      <c r="U154" s="73"/>
      <c r="V154" s="73"/>
      <c r="W154" s="73"/>
      <c r="X154" s="73"/>
      <c r="Y154" s="73"/>
      <c r="Z154" s="73"/>
      <c r="AA154" s="73"/>
      <c r="AB154" s="73" t="s">
        <v>700</v>
      </c>
      <c r="AC154" s="73"/>
      <c r="AD154" s="73" t="s">
        <v>700</v>
      </c>
      <c r="AE154" s="73"/>
      <c r="AF154" s="73"/>
      <c r="AG154" s="73"/>
      <c r="AH154" s="73"/>
      <c r="AI154" s="73"/>
      <c r="AJ154" s="73"/>
      <c r="AK154" s="73"/>
      <c r="AL154" s="73"/>
      <c r="AM154" t="s">
        <v>894</v>
      </c>
      <c r="AN154" t="s">
        <v>123</v>
      </c>
      <c r="AO154" t="s">
        <v>695</v>
      </c>
    </row>
    <row r="155" spans="1:41" ht="18" customHeight="1" outlineLevel="1">
      <c r="A155" s="65">
        <f>ROW(Rohdaten!$A$131)</f>
        <v>131</v>
      </c>
      <c r="B155" s="66" t="str">
        <f>IF(Rohdaten!$A$131="","",Rohdaten!$A$131)</f>
        <v>11i</v>
      </c>
      <c r="C155" s="74" t="s">
        <v>895</v>
      </c>
      <c r="D155" s="68" t="str">
        <f>IF(Rohdaten!$E$131="","",Rohdaten!$E$131)</f>
        <v>Richartz/ Mey</v>
      </c>
      <c r="E155" s="69" t="str">
        <f t="array" ref="E155">_xlfn.TEXTJOIN(" / ",TRUE,IF($I155:$AL155="●",$I$4:$AL$4,""))</f>
        <v>Mey / Richartz</v>
      </c>
      <c r="F155" s="70" t="s">
        <v>767</v>
      </c>
      <c r="G155" s="71" t="s">
        <v>698</v>
      </c>
      <c r="H155" s="72">
        <f>IF($F155="automatisch",IF(ISNA(MATCH(Stichtag,RD_Kopf,0)),"automatisch",IF(SUMPRODUCT((RD_Kopf&gt;=IF($G155="monatlich",DATE(YEAR(Stichtag),MONTH(Stichtag),1),IF($G155="quartalsweise",DATE(YEAR(Stichtag),INT((MONTH(Stichtag)-1)/3)*3+1,1),Stichtag)))*(RD_Kopf&lt;=Stichtag)*ISNUMBER(Rohdaten!$A$131:$LJ$131))&gt;0,"erledigt","automatisch")),IF($F155&lt;&gt;"ja","",IF(ISNA(MATCH(Stichtag,RD_Kopf,0)),"keine Spalte",IF(SUMPRODUCT((RD_Kopf&gt;=IF($G155="monatlich",DATE(YEAR(Stichtag),MONTH(Stichtag),1),IF($G155="quartalsweise",DATE(YEAR(Stichtag),INT((MONTH(Stichtag)-1)/3)*3+1,1),Stichtag)))*(RD_Kopf&lt;=Stichtag)*ISNUMBER(Rohdaten!$A$131:$LJ$131))&gt;0,"erledigt","offen"))))</f>
        <v/>
      </c>
      <c r="I155" s="73"/>
      <c r="J155" s="73"/>
      <c r="K155" s="73"/>
      <c r="L155" s="73"/>
      <c r="M155" s="73"/>
      <c r="N155" s="73"/>
      <c r="O155" s="73"/>
      <c r="P155" s="73"/>
      <c r="Q155" s="73"/>
      <c r="R155" s="73"/>
      <c r="S155" s="73"/>
      <c r="T155" s="73"/>
      <c r="U155" s="73"/>
      <c r="V155" s="73"/>
      <c r="W155" s="73"/>
      <c r="X155" s="73"/>
      <c r="Y155" s="73"/>
      <c r="Z155" s="73"/>
      <c r="AA155" s="73"/>
      <c r="AB155" s="73" t="s">
        <v>700</v>
      </c>
      <c r="AC155" s="73"/>
      <c r="AD155" s="73" t="s">
        <v>700</v>
      </c>
      <c r="AE155" s="73"/>
      <c r="AF155" s="73"/>
      <c r="AG155" s="73"/>
      <c r="AH155" s="73"/>
      <c r="AI155" s="73"/>
      <c r="AJ155" s="73"/>
      <c r="AK155" s="73"/>
      <c r="AL155" s="73"/>
      <c r="AM155" t="s">
        <v>896</v>
      </c>
      <c r="AN155" t="s">
        <v>124</v>
      </c>
      <c r="AO155" t="s">
        <v>695</v>
      </c>
    </row>
    <row r="156" spans="1:41" ht="18" customHeight="1" outlineLevel="1">
      <c r="A156" s="65">
        <f>ROW(Rohdaten!$A$132)</f>
        <v>132</v>
      </c>
      <c r="B156" s="66" t="str">
        <f>IF(Rohdaten!$A$132="","",Rohdaten!$A$132)</f>
        <v>11j</v>
      </c>
      <c r="C156" s="74" t="s">
        <v>897</v>
      </c>
      <c r="D156" s="68" t="str">
        <f>IF(Rohdaten!$E$132="","",Rohdaten!$E$132)</f>
        <v>Richartz/ Mey</v>
      </c>
      <c r="E156" s="69" t="str">
        <f t="array" ref="E156">_xlfn.TEXTJOIN(" / ",TRUE,IF($I156:$AL156="●",$I$4:$AL$4,""))</f>
        <v>Mey / Richartz</v>
      </c>
      <c r="F156" s="70" t="s">
        <v>767</v>
      </c>
      <c r="G156" s="71" t="s">
        <v>698</v>
      </c>
      <c r="H156" s="72">
        <f>IF($F156="automatisch",IF(ISNA(MATCH(Stichtag,RD_Kopf,0)),"automatisch",IF(SUMPRODUCT((RD_Kopf&gt;=IF($G156="monatlich",DATE(YEAR(Stichtag),MONTH(Stichtag),1),IF($G156="quartalsweise",DATE(YEAR(Stichtag),INT((MONTH(Stichtag)-1)/3)*3+1,1),Stichtag)))*(RD_Kopf&lt;=Stichtag)*ISNUMBER(Rohdaten!$A$132:$LJ$132))&gt;0,"erledigt","automatisch")),IF($F156&lt;&gt;"ja","",IF(ISNA(MATCH(Stichtag,RD_Kopf,0)),"keine Spalte",IF(SUMPRODUCT((RD_Kopf&gt;=IF($G156="monatlich",DATE(YEAR(Stichtag),MONTH(Stichtag),1),IF($G156="quartalsweise",DATE(YEAR(Stichtag),INT((MONTH(Stichtag)-1)/3)*3+1,1),Stichtag)))*(RD_Kopf&lt;=Stichtag)*ISNUMBER(Rohdaten!$A$132:$LJ$132))&gt;0,"erledigt","offen"))))</f>
        <v/>
      </c>
      <c r="I156" s="73"/>
      <c r="J156" s="73"/>
      <c r="K156" s="73"/>
      <c r="L156" s="73"/>
      <c r="M156" s="73"/>
      <c r="N156" s="73"/>
      <c r="O156" s="73"/>
      <c r="P156" s="73"/>
      <c r="Q156" s="73"/>
      <c r="R156" s="73"/>
      <c r="S156" s="73"/>
      <c r="T156" s="73"/>
      <c r="U156" s="73"/>
      <c r="V156" s="73"/>
      <c r="W156" s="73"/>
      <c r="X156" s="73"/>
      <c r="Y156" s="73"/>
      <c r="Z156" s="73"/>
      <c r="AA156" s="73"/>
      <c r="AB156" s="73" t="s">
        <v>700</v>
      </c>
      <c r="AC156" s="73"/>
      <c r="AD156" s="73" t="s">
        <v>700</v>
      </c>
      <c r="AE156" s="73"/>
      <c r="AF156" s="73"/>
      <c r="AG156" s="73"/>
      <c r="AH156" s="73"/>
      <c r="AI156" s="73"/>
      <c r="AJ156" s="73"/>
      <c r="AK156" s="73"/>
      <c r="AL156" s="73"/>
      <c r="AM156" t="s">
        <v>898</v>
      </c>
      <c r="AN156" t="s">
        <v>125</v>
      </c>
      <c r="AO156" t="s">
        <v>695</v>
      </c>
    </row>
    <row r="157" spans="1:41" ht="18" customHeight="1" outlineLevel="1">
      <c r="A157" s="65">
        <f>ROW(Rohdaten!$A$133)</f>
        <v>133</v>
      </c>
      <c r="B157" s="66" t="str">
        <f>IF(Rohdaten!$A$133="","",Rohdaten!$A$133)</f>
        <v>11k</v>
      </c>
      <c r="C157" s="74" t="s">
        <v>899</v>
      </c>
      <c r="D157" s="68" t="str">
        <f>IF(Rohdaten!$E$133="","",Rohdaten!$E$133)</f>
        <v>Richartz/ Mey</v>
      </c>
      <c r="E157" s="69" t="str">
        <f t="array" ref="E157">_xlfn.TEXTJOIN(" / ",TRUE,IF($I157:$AL157="●",$I$4:$AL$4,""))</f>
        <v>Mey / Richartz</v>
      </c>
      <c r="F157" s="70" t="s">
        <v>697</v>
      </c>
      <c r="G157" s="71" t="s">
        <v>698</v>
      </c>
      <c r="H157" s="72">
        <f>IF($F157="automatisch",IF(ISNA(MATCH(Stichtag,RD_Kopf,0)),"automatisch",IF(SUMPRODUCT((RD_Kopf&gt;=IF($G157="monatlich",DATE(YEAR(Stichtag),MONTH(Stichtag),1),IF($G157="quartalsweise",DATE(YEAR(Stichtag),INT((MONTH(Stichtag)-1)/3)*3+1,1),Stichtag)))*(RD_Kopf&lt;=Stichtag)*ISNUMBER(Rohdaten!$A$133:$LJ$133))&gt;0,"erledigt","automatisch")),IF($F157&lt;&gt;"ja","",IF(ISNA(MATCH(Stichtag,RD_Kopf,0)),"keine Spalte",IF(SUMPRODUCT((RD_Kopf&gt;=IF($G157="monatlich",DATE(YEAR(Stichtag),MONTH(Stichtag),1),IF($G157="quartalsweise",DATE(YEAR(Stichtag),INT((MONTH(Stichtag)-1)/3)*3+1,1),Stichtag)))*(RD_Kopf&lt;=Stichtag)*ISNUMBER(Rohdaten!$A$133:$LJ$133))&gt;0,"erledigt","offen"))))</f>
        <v/>
      </c>
      <c r="I157" s="73"/>
      <c r="J157" s="73"/>
      <c r="K157" s="73"/>
      <c r="L157" s="73"/>
      <c r="M157" s="73"/>
      <c r="N157" s="73"/>
      <c r="O157" s="73"/>
      <c r="P157" s="73"/>
      <c r="Q157" s="73"/>
      <c r="R157" s="73"/>
      <c r="S157" s="73"/>
      <c r="T157" s="73"/>
      <c r="U157" s="73"/>
      <c r="V157" s="73"/>
      <c r="W157" s="73"/>
      <c r="X157" s="73"/>
      <c r="Y157" s="73"/>
      <c r="Z157" s="73"/>
      <c r="AA157" s="73"/>
      <c r="AB157" s="73" t="s">
        <v>700</v>
      </c>
      <c r="AC157" s="73"/>
      <c r="AD157" s="73" t="s">
        <v>700</v>
      </c>
      <c r="AE157" s="73"/>
      <c r="AF157" s="73"/>
      <c r="AG157" s="73"/>
      <c r="AH157" s="73"/>
      <c r="AI157" s="73"/>
      <c r="AJ157" s="73"/>
      <c r="AK157" s="73"/>
      <c r="AL157" s="73"/>
      <c r="AM157" t="s">
        <v>900</v>
      </c>
      <c r="AN157" t="s">
        <v>126</v>
      </c>
      <c r="AO157" t="s">
        <v>695</v>
      </c>
    </row>
    <row r="158" spans="1:41" ht="18" customHeight="1" outlineLevel="1">
      <c r="A158" s="65">
        <f>ROW(Rohdaten!$A$134)</f>
        <v>134</v>
      </c>
      <c r="B158" s="66">
        <f>IF(Rohdaten!$A$134="","",Rohdaten!$A$134)</f>
        <v/>
      </c>
      <c r="C158" s="74" t="s">
        <v>901</v>
      </c>
      <c r="D158" s="68" t="str">
        <f>IF(Rohdaten!$E$134="","",Rohdaten!$E$134)</f>
        <v>Richartz/ Mey</v>
      </c>
      <c r="E158" s="69" t="str">
        <f t="array" ref="E158">_xlfn.TEXTJOIN(" / ",TRUE,IF($I158:$AL158="●",$I$4:$AL$4,""))</f>
        <v>Mey / Richartz</v>
      </c>
      <c r="F158" s="70" t="s">
        <v>767</v>
      </c>
      <c r="G158" s="71" t="s">
        <v>698</v>
      </c>
      <c r="H158" s="72">
        <f>IF($F158="automatisch",IF(ISNA(MATCH(Stichtag,RD_Kopf,0)),"automatisch",IF(SUMPRODUCT((RD_Kopf&gt;=IF($G158="monatlich",DATE(YEAR(Stichtag),MONTH(Stichtag),1),IF($G158="quartalsweise",DATE(YEAR(Stichtag),INT((MONTH(Stichtag)-1)/3)*3+1,1),Stichtag)))*(RD_Kopf&lt;=Stichtag)*ISNUMBER(Rohdaten!$A$134:$LJ$134))&gt;0,"erledigt","automatisch")),IF($F158&lt;&gt;"ja","",IF(ISNA(MATCH(Stichtag,RD_Kopf,0)),"keine Spalte",IF(SUMPRODUCT((RD_Kopf&gt;=IF($G158="monatlich",DATE(YEAR(Stichtag),MONTH(Stichtag),1),IF($G158="quartalsweise",DATE(YEAR(Stichtag),INT((MONTH(Stichtag)-1)/3)*3+1,1),Stichtag)))*(RD_Kopf&lt;=Stichtag)*ISNUMBER(Rohdaten!$A$134:$LJ$134))&gt;0,"erledigt","offen"))))</f>
        <v/>
      </c>
      <c r="I158" s="73"/>
      <c r="J158" s="73"/>
      <c r="K158" s="73"/>
      <c r="L158" s="73"/>
      <c r="M158" s="73"/>
      <c r="N158" s="73"/>
      <c r="O158" s="73"/>
      <c r="P158" s="73"/>
      <c r="Q158" s="73"/>
      <c r="R158" s="73"/>
      <c r="S158" s="73"/>
      <c r="T158" s="73"/>
      <c r="U158" s="73"/>
      <c r="V158" s="73"/>
      <c r="W158" s="73"/>
      <c r="X158" s="73"/>
      <c r="Y158" s="73"/>
      <c r="Z158" s="73"/>
      <c r="AA158" s="73"/>
      <c r="AB158" s="73" t="s">
        <v>700</v>
      </c>
      <c r="AC158" s="73"/>
      <c r="AD158" s="73" t="s">
        <v>700</v>
      </c>
      <c r="AE158" s="73"/>
      <c r="AF158" s="73"/>
      <c r="AG158" s="73"/>
      <c r="AH158" s="73"/>
      <c r="AI158" s="73"/>
      <c r="AJ158" s="73"/>
      <c r="AK158" s="73"/>
      <c r="AL158" s="73"/>
      <c r="AM158" t="s">
        <v>902</v>
      </c>
      <c r="AO158" t="s">
        <v>695</v>
      </c>
    </row>
    <row r="159" spans="1:41" ht="18" customHeight="1" outlineLevel="1">
      <c r="A159" s="65">
        <f>ROW(Rohdaten!$A$135)</f>
        <v>135</v>
      </c>
      <c r="B159" s="66">
        <f>IF(Rohdaten!$A$135="","",Rohdaten!$A$135)</f>
        <v/>
      </c>
      <c r="C159" s="74" t="s">
        <v>903</v>
      </c>
      <c r="D159" s="68" t="str">
        <f>IF(Rohdaten!$E$135="","",Rohdaten!$E$135)</f>
        <v>Richartz/ Mey</v>
      </c>
      <c r="E159" s="69" t="str">
        <f t="array" ref="E159">_xlfn.TEXTJOIN(" / ",TRUE,IF($I159:$AL159="●",$I$4:$AL$4,""))</f>
        <v>Mey / Richartz</v>
      </c>
      <c r="F159" s="70" t="s">
        <v>767</v>
      </c>
      <c r="G159" s="71" t="s">
        <v>698</v>
      </c>
      <c r="H159" s="72">
        <f>IF($F159="automatisch",IF(ISNA(MATCH(Stichtag,RD_Kopf,0)),"automatisch",IF(SUMPRODUCT((RD_Kopf&gt;=IF($G159="monatlich",DATE(YEAR(Stichtag),MONTH(Stichtag),1),IF($G159="quartalsweise",DATE(YEAR(Stichtag),INT((MONTH(Stichtag)-1)/3)*3+1,1),Stichtag)))*(RD_Kopf&lt;=Stichtag)*ISNUMBER(Rohdaten!$A$135:$LJ$135))&gt;0,"erledigt","automatisch")),IF($F159&lt;&gt;"ja","",IF(ISNA(MATCH(Stichtag,RD_Kopf,0)),"keine Spalte",IF(SUMPRODUCT((RD_Kopf&gt;=IF($G159="monatlich",DATE(YEAR(Stichtag),MONTH(Stichtag),1),IF($G159="quartalsweise",DATE(YEAR(Stichtag),INT((MONTH(Stichtag)-1)/3)*3+1,1),Stichtag)))*(RD_Kopf&lt;=Stichtag)*ISNUMBER(Rohdaten!$A$135:$LJ$135))&gt;0,"erledigt","offen"))))</f>
        <v/>
      </c>
      <c r="I159" s="73"/>
      <c r="J159" s="73"/>
      <c r="K159" s="73"/>
      <c r="L159" s="73"/>
      <c r="M159" s="73"/>
      <c r="N159" s="73"/>
      <c r="O159" s="73"/>
      <c r="P159" s="73"/>
      <c r="Q159" s="73"/>
      <c r="R159" s="73"/>
      <c r="S159" s="73"/>
      <c r="T159" s="73"/>
      <c r="U159" s="73"/>
      <c r="V159" s="73"/>
      <c r="W159" s="73"/>
      <c r="X159" s="73"/>
      <c r="Y159" s="73"/>
      <c r="Z159" s="73"/>
      <c r="AA159" s="73"/>
      <c r="AB159" s="73" t="s">
        <v>700</v>
      </c>
      <c r="AC159" s="73"/>
      <c r="AD159" s="73" t="s">
        <v>700</v>
      </c>
      <c r="AE159" s="73"/>
      <c r="AF159" s="73"/>
      <c r="AG159" s="73"/>
      <c r="AH159" s="73"/>
      <c r="AI159" s="73"/>
      <c r="AJ159" s="73"/>
      <c r="AK159" s="73"/>
      <c r="AL159" s="73"/>
      <c r="AM159" t="s">
        <v>904</v>
      </c>
      <c r="AO159" t="s">
        <v>695</v>
      </c>
    </row>
    <row r="160" spans="1:41" ht="18" customHeight="1" outlineLevel="1">
      <c r="A160" s="65">
        <f>ROW(Rohdaten!$A$136)</f>
        <v>136</v>
      </c>
      <c r="B160" s="66">
        <f>IF(Rohdaten!$A$136="","",Rohdaten!$A$136)</f>
        <v/>
      </c>
      <c r="C160" s="74" t="s">
        <v>905</v>
      </c>
      <c r="D160" s="68" t="str">
        <f>IF(Rohdaten!$E$136="","",Rohdaten!$E$136)</f>
        <v>Richartz/ Mey</v>
      </c>
      <c r="E160" s="69" t="str">
        <f t="array" ref="E160">_xlfn.TEXTJOIN(" / ",TRUE,IF($I160:$AL160="●",$I$4:$AL$4,""))</f>
        <v>Mey / Richartz</v>
      </c>
      <c r="F160" s="70" t="s">
        <v>767</v>
      </c>
      <c r="G160" s="71" t="s">
        <v>698</v>
      </c>
      <c r="H160" s="72">
        <f>IF($F160="automatisch",IF(ISNA(MATCH(Stichtag,RD_Kopf,0)),"automatisch",IF(SUMPRODUCT((RD_Kopf&gt;=IF($G160="monatlich",DATE(YEAR(Stichtag),MONTH(Stichtag),1),IF($G160="quartalsweise",DATE(YEAR(Stichtag),INT((MONTH(Stichtag)-1)/3)*3+1,1),Stichtag)))*(RD_Kopf&lt;=Stichtag)*ISNUMBER(Rohdaten!$A$136:$LJ$136))&gt;0,"erledigt","automatisch")),IF($F160&lt;&gt;"ja","",IF(ISNA(MATCH(Stichtag,RD_Kopf,0)),"keine Spalte",IF(SUMPRODUCT((RD_Kopf&gt;=IF($G160="monatlich",DATE(YEAR(Stichtag),MONTH(Stichtag),1),IF($G160="quartalsweise",DATE(YEAR(Stichtag),INT((MONTH(Stichtag)-1)/3)*3+1,1),Stichtag)))*(RD_Kopf&lt;=Stichtag)*ISNUMBER(Rohdaten!$A$136:$LJ$136))&gt;0,"erledigt","offen"))))</f>
        <v/>
      </c>
      <c r="I160" s="73"/>
      <c r="J160" s="73"/>
      <c r="K160" s="73"/>
      <c r="L160" s="73"/>
      <c r="M160" s="73"/>
      <c r="N160" s="73"/>
      <c r="O160" s="73"/>
      <c r="P160" s="73"/>
      <c r="Q160" s="73"/>
      <c r="R160" s="73"/>
      <c r="S160" s="73"/>
      <c r="T160" s="73"/>
      <c r="U160" s="73"/>
      <c r="V160" s="73"/>
      <c r="W160" s="73"/>
      <c r="X160" s="73"/>
      <c r="Y160" s="73"/>
      <c r="Z160" s="73"/>
      <c r="AA160" s="73"/>
      <c r="AB160" s="73" t="s">
        <v>700</v>
      </c>
      <c r="AC160" s="73"/>
      <c r="AD160" s="73" t="s">
        <v>700</v>
      </c>
      <c r="AE160" s="73"/>
      <c r="AF160" s="73"/>
      <c r="AG160" s="73"/>
      <c r="AH160" s="73"/>
      <c r="AI160" s="73"/>
      <c r="AJ160" s="73"/>
      <c r="AK160" s="73"/>
      <c r="AL160" s="73"/>
      <c r="AM160" t="s">
        <v>906</v>
      </c>
      <c r="AO160" t="s">
        <v>695</v>
      </c>
    </row>
    <row r="161" spans="1:41" ht="18" customHeight="1" outlineLevel="1">
      <c r="A161" s="65">
        <f>ROW(Rohdaten!$A$137)</f>
        <v>137</v>
      </c>
      <c r="B161" s="66" t="str">
        <f>IF(Rohdaten!$A$137="","",Rohdaten!$A$137)</f>
        <v>11l</v>
      </c>
      <c r="C161" s="74" t="s">
        <v>907</v>
      </c>
      <c r="D161" s="68" t="str">
        <f>IF(Rohdaten!$E$137="","",Rohdaten!$E$137)</f>
        <v>Richartz/ Mey</v>
      </c>
      <c r="E161" s="69" t="str">
        <f t="array" ref="E161">_xlfn.TEXTJOIN(" / ",TRUE,IF($I161:$AL161="●",$I$4:$AL$4,""))</f>
        <v>Mey / Richartz</v>
      </c>
      <c r="F161" s="70" t="s">
        <v>697</v>
      </c>
      <c r="G161" s="71" t="s">
        <v>698</v>
      </c>
      <c r="H161" s="72">
        <f>IF($F161="automatisch",IF(ISNA(MATCH(Stichtag,RD_Kopf,0)),"automatisch",IF(SUMPRODUCT((RD_Kopf&gt;=IF($G161="monatlich",DATE(YEAR(Stichtag),MONTH(Stichtag),1),IF($G161="quartalsweise",DATE(YEAR(Stichtag),INT((MONTH(Stichtag)-1)/3)*3+1,1),Stichtag)))*(RD_Kopf&lt;=Stichtag)*ISNUMBER(Rohdaten!$A$137:$LJ$137))&gt;0,"erledigt","automatisch")),IF($F161&lt;&gt;"ja","",IF(ISNA(MATCH(Stichtag,RD_Kopf,0)),"keine Spalte",IF(SUMPRODUCT((RD_Kopf&gt;=IF($G161="monatlich",DATE(YEAR(Stichtag),MONTH(Stichtag),1),IF($G161="quartalsweise",DATE(YEAR(Stichtag),INT((MONTH(Stichtag)-1)/3)*3+1,1),Stichtag)))*(RD_Kopf&lt;=Stichtag)*ISNUMBER(Rohdaten!$A$137:$LJ$137))&gt;0,"erledigt","offen"))))</f>
        <v/>
      </c>
      <c r="I161" s="73"/>
      <c r="J161" s="73"/>
      <c r="K161" s="73"/>
      <c r="L161" s="73"/>
      <c r="M161" s="73"/>
      <c r="N161" s="73"/>
      <c r="O161" s="73"/>
      <c r="P161" s="73"/>
      <c r="Q161" s="73"/>
      <c r="R161" s="73"/>
      <c r="S161" s="73"/>
      <c r="T161" s="73"/>
      <c r="U161" s="73"/>
      <c r="V161" s="73"/>
      <c r="W161" s="73"/>
      <c r="X161" s="73"/>
      <c r="Y161" s="73"/>
      <c r="Z161" s="73"/>
      <c r="AA161" s="73"/>
      <c r="AB161" s="73" t="s">
        <v>700</v>
      </c>
      <c r="AC161" s="73"/>
      <c r="AD161" s="73" t="s">
        <v>700</v>
      </c>
      <c r="AE161" s="73"/>
      <c r="AF161" s="73"/>
      <c r="AG161" s="73"/>
      <c r="AH161" s="73"/>
      <c r="AI161" s="73"/>
      <c r="AJ161" s="73"/>
      <c r="AK161" s="73"/>
      <c r="AL161" s="73"/>
      <c r="AM161" t="s">
        <v>908</v>
      </c>
      <c r="AN161" t="s">
        <v>127</v>
      </c>
      <c r="AO161" t="s">
        <v>695</v>
      </c>
    </row>
    <row r="162" spans="1:41" ht="18" customHeight="1" outlineLevel="1">
      <c r="A162" s="65">
        <f>ROW(Rohdaten!$A$138)</f>
        <v>138</v>
      </c>
      <c r="B162" s="66">
        <f>IF(Rohdaten!$A$138="","",Rohdaten!$A$138)</f>
        <v/>
      </c>
      <c r="C162" s="74" t="s">
        <v>909</v>
      </c>
      <c r="D162" s="68" t="str">
        <f>IF(Rohdaten!$E$138="","",Rohdaten!$E$138)</f>
        <v>Richartz/ Mey</v>
      </c>
      <c r="E162" s="69" t="str">
        <f t="array" ref="E162">_xlfn.TEXTJOIN(" / ",TRUE,IF($I162:$AL162="●",$I$4:$AL$4,""))</f>
        <v>Mey / Richartz</v>
      </c>
      <c r="F162" s="70" t="s">
        <v>767</v>
      </c>
      <c r="G162" s="71" t="s">
        <v>698</v>
      </c>
      <c r="H162" s="72">
        <f>IF($F162="automatisch",IF(ISNA(MATCH(Stichtag,RD_Kopf,0)),"automatisch",IF(SUMPRODUCT((RD_Kopf&gt;=IF($G162="monatlich",DATE(YEAR(Stichtag),MONTH(Stichtag),1),IF($G162="quartalsweise",DATE(YEAR(Stichtag),INT((MONTH(Stichtag)-1)/3)*3+1,1),Stichtag)))*(RD_Kopf&lt;=Stichtag)*ISNUMBER(Rohdaten!$A$138:$LJ$138))&gt;0,"erledigt","automatisch")),IF($F162&lt;&gt;"ja","",IF(ISNA(MATCH(Stichtag,RD_Kopf,0)),"keine Spalte",IF(SUMPRODUCT((RD_Kopf&gt;=IF($G162="monatlich",DATE(YEAR(Stichtag),MONTH(Stichtag),1),IF($G162="quartalsweise",DATE(YEAR(Stichtag),INT((MONTH(Stichtag)-1)/3)*3+1,1),Stichtag)))*(RD_Kopf&lt;=Stichtag)*ISNUMBER(Rohdaten!$A$138:$LJ$138))&gt;0,"erledigt","offen"))))</f>
        <v/>
      </c>
      <c r="I162" s="73"/>
      <c r="J162" s="73"/>
      <c r="K162" s="73"/>
      <c r="L162" s="73"/>
      <c r="M162" s="73"/>
      <c r="N162" s="73"/>
      <c r="O162" s="73"/>
      <c r="P162" s="73"/>
      <c r="Q162" s="73"/>
      <c r="R162" s="73"/>
      <c r="S162" s="73"/>
      <c r="T162" s="73"/>
      <c r="U162" s="73"/>
      <c r="V162" s="73"/>
      <c r="W162" s="73"/>
      <c r="X162" s="73"/>
      <c r="Y162" s="73"/>
      <c r="Z162" s="73"/>
      <c r="AA162" s="73"/>
      <c r="AB162" s="73" t="s">
        <v>700</v>
      </c>
      <c r="AC162" s="73"/>
      <c r="AD162" s="73" t="s">
        <v>700</v>
      </c>
      <c r="AE162" s="73"/>
      <c r="AF162" s="73"/>
      <c r="AG162" s="73"/>
      <c r="AH162" s="73"/>
      <c r="AI162" s="73"/>
      <c r="AJ162" s="73"/>
      <c r="AK162" s="73"/>
      <c r="AL162" s="73"/>
      <c r="AM162" t="s">
        <v>910</v>
      </c>
      <c r="AO162" t="s">
        <v>695</v>
      </c>
    </row>
    <row r="163" spans="1:41" ht="18" customHeight="1" outlineLevel="1">
      <c r="A163" s="65">
        <f>ROW(Rohdaten!$A$139)</f>
        <v>139</v>
      </c>
      <c r="B163" s="66">
        <f>IF(Rohdaten!$A$139="","",Rohdaten!$A$139)</f>
        <v/>
      </c>
      <c r="C163" s="74" t="s">
        <v>911</v>
      </c>
      <c r="D163" s="68" t="str">
        <f>IF(Rohdaten!$E$139="","",Rohdaten!$E$139)</f>
        <v>Richartz/ Mey</v>
      </c>
      <c r="E163" s="69" t="str">
        <f t="array" ref="E163">_xlfn.TEXTJOIN(" / ",TRUE,IF($I163:$AL163="●",$I$4:$AL$4,""))</f>
        <v>Mey / Richartz</v>
      </c>
      <c r="F163" s="70" t="s">
        <v>767</v>
      </c>
      <c r="G163" s="71" t="s">
        <v>698</v>
      </c>
      <c r="H163" s="72">
        <f>IF($F163="automatisch",IF(ISNA(MATCH(Stichtag,RD_Kopf,0)),"automatisch",IF(SUMPRODUCT((RD_Kopf&gt;=IF($G163="monatlich",DATE(YEAR(Stichtag),MONTH(Stichtag),1),IF($G163="quartalsweise",DATE(YEAR(Stichtag),INT((MONTH(Stichtag)-1)/3)*3+1,1),Stichtag)))*(RD_Kopf&lt;=Stichtag)*ISNUMBER(Rohdaten!$A$139:$LJ$139))&gt;0,"erledigt","automatisch")),IF($F163&lt;&gt;"ja","",IF(ISNA(MATCH(Stichtag,RD_Kopf,0)),"keine Spalte",IF(SUMPRODUCT((RD_Kopf&gt;=IF($G163="monatlich",DATE(YEAR(Stichtag),MONTH(Stichtag),1),IF($G163="quartalsweise",DATE(YEAR(Stichtag),INT((MONTH(Stichtag)-1)/3)*3+1,1),Stichtag)))*(RD_Kopf&lt;=Stichtag)*ISNUMBER(Rohdaten!$A$139:$LJ$139))&gt;0,"erledigt","offen"))))</f>
        <v/>
      </c>
      <c r="I163" s="73"/>
      <c r="J163" s="73"/>
      <c r="K163" s="73"/>
      <c r="L163" s="73"/>
      <c r="M163" s="73"/>
      <c r="N163" s="73"/>
      <c r="O163" s="73"/>
      <c r="P163" s="73"/>
      <c r="Q163" s="73"/>
      <c r="R163" s="73"/>
      <c r="S163" s="73"/>
      <c r="T163" s="73"/>
      <c r="U163" s="73"/>
      <c r="V163" s="73"/>
      <c r="W163" s="73"/>
      <c r="X163" s="73"/>
      <c r="Y163" s="73"/>
      <c r="Z163" s="73"/>
      <c r="AA163" s="73"/>
      <c r="AB163" s="73" t="s">
        <v>700</v>
      </c>
      <c r="AC163" s="73"/>
      <c r="AD163" s="73" t="s">
        <v>700</v>
      </c>
      <c r="AE163" s="73"/>
      <c r="AF163" s="73"/>
      <c r="AG163" s="73"/>
      <c r="AH163" s="73"/>
      <c r="AI163" s="73"/>
      <c r="AJ163" s="73"/>
      <c r="AK163" s="73"/>
      <c r="AL163" s="73"/>
      <c r="AM163" t="s">
        <v>912</v>
      </c>
      <c r="AO163" t="s">
        <v>695</v>
      </c>
    </row>
    <row r="164" spans="1:41" ht="18" customHeight="1" outlineLevel="1">
      <c r="A164" s="65">
        <f>ROW(Rohdaten!$A$140)</f>
        <v>140</v>
      </c>
      <c r="B164" s="66">
        <f>IF(Rohdaten!$A$140="","",Rohdaten!$A$140)</f>
        <v/>
      </c>
      <c r="C164" s="74" t="s">
        <v>913</v>
      </c>
      <c r="D164" s="68" t="str">
        <f>IF(Rohdaten!$E$140="","",Rohdaten!$E$140)</f>
        <v>Richartz/ Mey</v>
      </c>
      <c r="E164" s="69" t="str">
        <f t="array" ref="E164">_xlfn.TEXTJOIN(" / ",TRUE,IF($I164:$AL164="●",$I$4:$AL$4,""))</f>
        <v>Mey / Richartz</v>
      </c>
      <c r="F164" s="70" t="s">
        <v>767</v>
      </c>
      <c r="G164" s="71" t="s">
        <v>698</v>
      </c>
      <c r="H164" s="72">
        <f>IF($F164="automatisch",IF(ISNA(MATCH(Stichtag,RD_Kopf,0)),"automatisch",IF(SUMPRODUCT((RD_Kopf&gt;=IF($G164="monatlich",DATE(YEAR(Stichtag),MONTH(Stichtag),1),IF($G164="quartalsweise",DATE(YEAR(Stichtag),INT((MONTH(Stichtag)-1)/3)*3+1,1),Stichtag)))*(RD_Kopf&lt;=Stichtag)*ISNUMBER(Rohdaten!$A$140:$LJ$140))&gt;0,"erledigt","automatisch")),IF($F164&lt;&gt;"ja","",IF(ISNA(MATCH(Stichtag,RD_Kopf,0)),"keine Spalte",IF(SUMPRODUCT((RD_Kopf&gt;=IF($G164="monatlich",DATE(YEAR(Stichtag),MONTH(Stichtag),1),IF($G164="quartalsweise",DATE(YEAR(Stichtag),INT((MONTH(Stichtag)-1)/3)*3+1,1),Stichtag)))*(RD_Kopf&lt;=Stichtag)*ISNUMBER(Rohdaten!$A$140:$LJ$140))&gt;0,"erledigt","offen"))))</f>
        <v/>
      </c>
      <c r="I164" s="73"/>
      <c r="J164" s="73"/>
      <c r="K164" s="73"/>
      <c r="L164" s="73"/>
      <c r="M164" s="73"/>
      <c r="N164" s="73"/>
      <c r="O164" s="73"/>
      <c r="P164" s="73"/>
      <c r="Q164" s="73"/>
      <c r="R164" s="73"/>
      <c r="S164" s="73"/>
      <c r="T164" s="73"/>
      <c r="U164" s="73"/>
      <c r="V164" s="73"/>
      <c r="W164" s="73"/>
      <c r="X164" s="73"/>
      <c r="Y164" s="73"/>
      <c r="Z164" s="73"/>
      <c r="AA164" s="73"/>
      <c r="AB164" s="73" t="s">
        <v>700</v>
      </c>
      <c r="AC164" s="73"/>
      <c r="AD164" s="73" t="s">
        <v>700</v>
      </c>
      <c r="AE164" s="73"/>
      <c r="AF164" s="73"/>
      <c r="AG164" s="73"/>
      <c r="AH164" s="73"/>
      <c r="AI164" s="73"/>
      <c r="AJ164" s="73"/>
      <c r="AK164" s="73"/>
      <c r="AL164" s="73"/>
      <c r="AM164" t="s">
        <v>914</v>
      </c>
      <c r="AO164" t="s">
        <v>695</v>
      </c>
    </row>
    <row r="165" spans="1:41" ht="22" customHeight="1" collapsed="1">
      <c r="A165" s="60" t="s">
        <v>915</v>
      </c>
      <c r="B165" s="60"/>
      <c r="C165" s="60"/>
      <c r="D165" s="60"/>
      <c r="E165" s="60"/>
      <c r="F165" s="60"/>
      <c r="G165" s="60"/>
      <c r="H165" s="60"/>
      <c r="I165" s="61"/>
      <c r="J165" s="61"/>
      <c r="K165" s="61"/>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O165" t="s">
        <v>691</v>
      </c>
    </row>
    <row r="166" spans="1:41" ht="18" hidden="1" customHeight="1" outlineLevel="1">
      <c r="A166" s="65">
        <f>ROW(Rohdaten!$A$141)</f>
        <v>141</v>
      </c>
      <c r="B166" s="66">
        <f>IF(Rohdaten!$A$141="","",Rohdaten!$A$141)</f>
        <v>12</v>
      </c>
      <c r="C166" s="74" t="s">
        <v>916</v>
      </c>
      <c r="D166" s="68" t="str">
        <f>IF(Rohdaten!$E$141="","",Rohdaten!$E$141)</f>
        <v>Richartz/ Mey</v>
      </c>
      <c r="E166" s="69" t="str">
        <f t="array" ref="E166">_xlfn.TEXTJOIN(" / ",TRUE,IF($I166:$AL166="●",$I$4:$AL$4,""))</f>
        <v>Buchkremer / Wielpütz</v>
      </c>
      <c r="F166" s="70" t="s">
        <v>697</v>
      </c>
      <c r="G166" s="71" t="s">
        <v>698</v>
      </c>
      <c r="H166" s="72" t="str">
        <f>IF($F166="automatisch",IF(ISNA(MATCH(Stichtag,RD_Kopf,0)),"automatisch",IF(SUMPRODUCT((RD_Kopf&gt;=IF($G166="monatlich",DATE(YEAR(Stichtag),MONTH(Stichtag),1),IF($G166="quartalsweise",DATE(YEAR(Stichtag),INT((MONTH(Stichtag)-1)/3)*3+1,1),Stichtag)))*(RD_Kopf&lt;=Stichtag)*ISNUMBER(Rohdaten!$A$141:$LJ$141))&gt;0,"erledigt","automatisch")),IF($F166&lt;&gt;"ja","nicht berichtet",IF(ISNA(MATCH(Stichtag,RD_Kopf,0)),"keine Spalte",IF(SUMPRODUCT((RD_Kopf&gt;=IF($G166="monatlich",DATE(YEAR(Stichtag),MONTH(Stichtag),1),IF($G166="quartalsweise",DATE(YEAR(Stichtag),INT((MONTH(Stichtag)-1)/3)*3+1,1),Stichtag)))*(RD_Kopf&lt;=Stichtag)*ISNUMBER(Rohdaten!$A$141:$LJ$141))&gt;0,"erledigt","offen"))))</f>
        <v>nicht berichtet</v>
      </c>
      <c r="I166" s="73"/>
      <c r="J166" s="73"/>
      <c r="K166" s="73"/>
      <c r="L166" s="73"/>
      <c r="M166" s="73" t="s">
        <v>700</v>
      </c>
      <c r="N166" s="73"/>
      <c r="O166" s="73"/>
      <c r="P166" s="73"/>
      <c r="Q166" s="73"/>
      <c r="R166" s="73"/>
      <c r="S166" s="73"/>
      <c r="T166" s="73"/>
      <c r="U166" s="73"/>
      <c r="V166" s="73"/>
      <c r="W166" s="73"/>
      <c r="X166" s="73"/>
      <c r="Y166" s="73"/>
      <c r="Z166" s="73"/>
      <c r="AA166" s="73"/>
      <c r="AB166" s="73"/>
      <c r="AC166" s="73"/>
      <c r="AD166" s="73"/>
      <c r="AE166" s="73"/>
      <c r="AF166" s="73"/>
      <c r="AG166" s="73"/>
      <c r="AH166" s="73" t="s">
        <v>700</v>
      </c>
      <c r="AI166" s="73"/>
      <c r="AJ166" s="73"/>
      <c r="AK166" s="73"/>
      <c r="AL166" s="73"/>
      <c r="AM166" t="s">
        <v>917</v>
      </c>
      <c r="AN166" t="s">
        <v>918</v>
      </c>
      <c r="AO166" t="s">
        <v>695</v>
      </c>
    </row>
    <row r="167" spans="1:41" ht="22" customHeight="1">
      <c r="A167" s="60" t="s">
        <v>919</v>
      </c>
      <c r="B167" s="60"/>
      <c r="C167" s="60"/>
      <c r="D167" s="60"/>
      <c r="E167" s="60"/>
      <c r="F167" s="60"/>
      <c r="G167" s="60"/>
      <c r="H167" s="60"/>
      <c r="I167" s="61"/>
      <c r="J167" s="61"/>
      <c r="K167" s="61"/>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O167" t="s">
        <v>691</v>
      </c>
    </row>
    <row r="168" spans="1:41" ht="18" customHeight="1" outlineLevel="1">
      <c r="A168" s="65">
        <f>ROW(Rohdaten!$A$142)</f>
        <v>142</v>
      </c>
      <c r="B168" s="66" t="str">
        <f>IF(Rohdaten!$A$142="","",Rohdaten!$A$142)</f>
        <v>13a</v>
      </c>
      <c r="C168" s="74" t="s">
        <v>920</v>
      </c>
      <c r="D168" s="68" t="str">
        <f>IF(Rohdaten!$E$142="","",Rohdaten!$E$142)</f>
        <v>Richartz/ Mey</v>
      </c>
      <c r="E168" s="69" t="str">
        <f t="array" ref="E168">_xlfn.TEXTJOIN(" / ",TRUE,IF($I168:$AL168="●",$I$4:$AL$4,""))</f>
        <v>Mey / Richartz</v>
      </c>
      <c r="F168" s="70" t="s">
        <v>767</v>
      </c>
      <c r="G168" s="71" t="s">
        <v>698</v>
      </c>
      <c r="H168" s="72">
        <f>IF($F168="automatisch",IF(ISNA(MATCH(Stichtag,RD_Kopf,0)),"automatisch",IF(SUMPRODUCT((RD_Kopf&gt;=IF($G168="monatlich",DATE(YEAR(Stichtag),MONTH(Stichtag),1),IF($G168="quartalsweise",DATE(YEAR(Stichtag),INT((MONTH(Stichtag)-1)/3)*3+1,1),Stichtag)))*(RD_Kopf&lt;=Stichtag)*ISNUMBER(Rohdaten!$A$142:$LJ$142))&gt;0,"erledigt","automatisch")),IF($F168&lt;&gt;"ja","",IF(ISNA(MATCH(Stichtag,RD_Kopf,0)),"keine Spalte",IF(SUMPRODUCT((RD_Kopf&gt;=IF($G168="monatlich",DATE(YEAR(Stichtag),MONTH(Stichtag),1),IF($G168="quartalsweise",DATE(YEAR(Stichtag),INT((MONTH(Stichtag)-1)/3)*3+1,1),Stichtag)))*(RD_Kopf&lt;=Stichtag)*ISNUMBER(Rohdaten!$A$142:$LJ$142))&gt;0,"erledigt","offen"))))</f>
        <v/>
      </c>
      <c r="I168" s="73"/>
      <c r="J168" s="73"/>
      <c r="K168" s="73"/>
      <c r="L168" s="73"/>
      <c r="M168" s="73"/>
      <c r="N168" s="73"/>
      <c r="O168" s="73"/>
      <c r="P168" s="73"/>
      <c r="Q168" s="73"/>
      <c r="R168" s="73"/>
      <c r="S168" s="73"/>
      <c r="T168" s="73"/>
      <c r="U168" s="73"/>
      <c r="V168" s="73"/>
      <c r="W168" s="73"/>
      <c r="X168" s="73"/>
      <c r="Y168" s="73"/>
      <c r="Z168" s="73"/>
      <c r="AA168" s="73"/>
      <c r="AB168" s="73" t="s">
        <v>700</v>
      </c>
      <c r="AC168" s="73"/>
      <c r="AD168" s="73" t="s">
        <v>700</v>
      </c>
      <c r="AE168" s="73"/>
      <c r="AF168" s="73"/>
      <c r="AG168" s="73"/>
      <c r="AH168" s="73"/>
      <c r="AI168" s="73"/>
      <c r="AJ168" s="73"/>
      <c r="AK168" s="73"/>
      <c r="AL168" s="73"/>
      <c r="AM168" t="s">
        <v>921</v>
      </c>
      <c r="AN168" t="s">
        <v>112</v>
      </c>
      <c r="AO168" t="s">
        <v>695</v>
      </c>
    </row>
    <row r="169" spans="1:41" ht="18" customHeight="1" outlineLevel="1">
      <c r="A169" s="65">
        <f>ROW(Rohdaten!$A$143)</f>
        <v>143</v>
      </c>
      <c r="B169" s="66" t="str">
        <f>IF(Rohdaten!$A$143="","",Rohdaten!$A$143)</f>
        <v>13b</v>
      </c>
      <c r="C169" s="74" t="s">
        <v>922</v>
      </c>
      <c r="D169" s="68" t="str">
        <f>IF(Rohdaten!$E$143="","",Rohdaten!$E$143)</f>
        <v>Richartz/ Mey</v>
      </c>
      <c r="E169" s="69" t="str">
        <f t="array" ref="E169">_xlfn.TEXTJOIN(" / ",TRUE,IF($I169:$AL169="●",$I$4:$AL$4,""))</f>
        <v>Mey / Richartz</v>
      </c>
      <c r="F169" s="70" t="s">
        <v>767</v>
      </c>
      <c r="G169" s="71" t="s">
        <v>698</v>
      </c>
      <c r="H169" s="72">
        <f>IF($F169="automatisch",IF(ISNA(MATCH(Stichtag,RD_Kopf,0)),"automatisch",IF(SUMPRODUCT((RD_Kopf&gt;=IF($G169="monatlich",DATE(YEAR(Stichtag),MONTH(Stichtag),1),IF($G169="quartalsweise",DATE(YEAR(Stichtag),INT((MONTH(Stichtag)-1)/3)*3+1,1),Stichtag)))*(RD_Kopf&lt;=Stichtag)*ISNUMBER(Rohdaten!$A$143:$LJ$143))&gt;0,"erledigt","automatisch")),IF($F169&lt;&gt;"ja","",IF(ISNA(MATCH(Stichtag,RD_Kopf,0)),"keine Spalte",IF(SUMPRODUCT((RD_Kopf&gt;=IF($G169="monatlich",DATE(YEAR(Stichtag),MONTH(Stichtag),1),IF($G169="quartalsweise",DATE(YEAR(Stichtag),INT((MONTH(Stichtag)-1)/3)*3+1,1),Stichtag)))*(RD_Kopf&lt;=Stichtag)*ISNUMBER(Rohdaten!$A$143:$LJ$143))&gt;0,"erledigt","offen"))))</f>
        <v/>
      </c>
      <c r="I169" s="73"/>
      <c r="J169" s="73"/>
      <c r="K169" s="73"/>
      <c r="L169" s="73"/>
      <c r="M169" s="73"/>
      <c r="N169" s="73"/>
      <c r="O169" s="73"/>
      <c r="P169" s="73"/>
      <c r="Q169" s="73"/>
      <c r="R169" s="73"/>
      <c r="S169" s="73"/>
      <c r="T169" s="73"/>
      <c r="U169" s="73"/>
      <c r="V169" s="73"/>
      <c r="W169" s="73"/>
      <c r="X169" s="73"/>
      <c r="Y169" s="73"/>
      <c r="Z169" s="73"/>
      <c r="AA169" s="73"/>
      <c r="AB169" s="73" t="s">
        <v>700</v>
      </c>
      <c r="AC169" s="73"/>
      <c r="AD169" s="73" t="s">
        <v>700</v>
      </c>
      <c r="AE169" s="73"/>
      <c r="AF169" s="73"/>
      <c r="AG169" s="73"/>
      <c r="AH169" s="73"/>
      <c r="AI169" s="73"/>
      <c r="AJ169" s="73"/>
      <c r="AK169" s="73"/>
      <c r="AL169" s="73"/>
      <c r="AM169" t="s">
        <v>923</v>
      </c>
      <c r="AN169" t="s">
        <v>113</v>
      </c>
      <c r="AO169" t="s">
        <v>695</v>
      </c>
    </row>
    <row r="170" spans="1:41" ht="18" customHeight="1" outlineLevel="1">
      <c r="A170" s="65">
        <f>ROW(Rohdaten!$A$144)</f>
        <v>144</v>
      </c>
      <c r="B170" s="66" t="str">
        <f>IF(Rohdaten!$A$144="","",Rohdaten!$A$144)</f>
        <v>13c</v>
      </c>
      <c r="C170" s="74" t="s">
        <v>924</v>
      </c>
      <c r="D170" s="68" t="str">
        <f>IF(Rohdaten!$E$144="","",Rohdaten!$E$144)</f>
        <v>Richartz/ Mey</v>
      </c>
      <c r="E170" s="69" t="str">
        <f t="array" ref="E170">_xlfn.TEXTJOIN(" / ",TRUE,IF($I170:$AL170="●",$I$4:$AL$4,""))</f>
        <v>Mey / Richartz</v>
      </c>
      <c r="F170" s="70" t="s">
        <v>767</v>
      </c>
      <c r="G170" s="71" t="s">
        <v>698</v>
      </c>
      <c r="H170" s="72">
        <f>IF($F170="automatisch",IF(ISNA(MATCH(Stichtag,RD_Kopf,0)),"automatisch",IF(SUMPRODUCT((RD_Kopf&gt;=IF($G170="monatlich",DATE(YEAR(Stichtag),MONTH(Stichtag),1),IF($G170="quartalsweise",DATE(YEAR(Stichtag),INT((MONTH(Stichtag)-1)/3)*3+1,1),Stichtag)))*(RD_Kopf&lt;=Stichtag)*ISNUMBER(Rohdaten!$A$144:$LJ$144))&gt;0,"erledigt","automatisch")),IF($F170&lt;&gt;"ja","",IF(ISNA(MATCH(Stichtag,RD_Kopf,0)),"keine Spalte",IF(SUMPRODUCT((RD_Kopf&gt;=IF($G170="monatlich",DATE(YEAR(Stichtag),MONTH(Stichtag),1),IF($G170="quartalsweise",DATE(YEAR(Stichtag),INT((MONTH(Stichtag)-1)/3)*3+1,1),Stichtag)))*(RD_Kopf&lt;=Stichtag)*ISNUMBER(Rohdaten!$A$144:$LJ$144))&gt;0,"erledigt","offen"))))</f>
        <v/>
      </c>
      <c r="I170" s="73"/>
      <c r="J170" s="73"/>
      <c r="K170" s="73"/>
      <c r="L170" s="73"/>
      <c r="M170" s="73"/>
      <c r="N170" s="73"/>
      <c r="O170" s="73"/>
      <c r="P170" s="73"/>
      <c r="Q170" s="73"/>
      <c r="R170" s="73"/>
      <c r="S170" s="73"/>
      <c r="T170" s="73"/>
      <c r="U170" s="73"/>
      <c r="V170" s="73"/>
      <c r="W170" s="73"/>
      <c r="X170" s="73"/>
      <c r="Y170" s="73"/>
      <c r="Z170" s="73"/>
      <c r="AA170" s="73"/>
      <c r="AB170" s="73" t="s">
        <v>700</v>
      </c>
      <c r="AC170" s="73"/>
      <c r="AD170" s="73" t="s">
        <v>700</v>
      </c>
      <c r="AE170" s="73"/>
      <c r="AF170" s="73"/>
      <c r="AG170" s="73"/>
      <c r="AH170" s="73"/>
      <c r="AI170" s="73"/>
      <c r="AJ170" s="73"/>
      <c r="AK170" s="73"/>
      <c r="AL170" s="73"/>
      <c r="AM170" t="s">
        <v>925</v>
      </c>
      <c r="AN170" t="s">
        <v>114</v>
      </c>
      <c r="AO170" t="s">
        <v>695</v>
      </c>
    </row>
    <row r="171" spans="1:41" ht="18" customHeight="1" outlineLevel="1">
      <c r="A171" s="65">
        <f>ROW(Rohdaten!$A$145)</f>
        <v>145</v>
      </c>
      <c r="B171" s="66" t="str">
        <f>IF(Rohdaten!$A$145="","",Rohdaten!$A$145)</f>
        <v>13d</v>
      </c>
      <c r="C171" s="74" t="s">
        <v>926</v>
      </c>
      <c r="D171" s="68" t="str">
        <f>IF(Rohdaten!$E$145="","",Rohdaten!$E$145)</f>
        <v>Richartz/ Mey</v>
      </c>
      <c r="E171" s="69" t="str">
        <f t="array" ref="E171">_xlfn.TEXTJOIN(" / ",TRUE,IF($I171:$AL171="●",$I$4:$AL$4,""))</f>
        <v>Mey / Richartz</v>
      </c>
      <c r="F171" s="70" t="s">
        <v>767</v>
      </c>
      <c r="G171" s="71" t="s">
        <v>698</v>
      </c>
      <c r="H171" s="72">
        <f>IF($F171="automatisch",IF(ISNA(MATCH(Stichtag,RD_Kopf,0)),"automatisch",IF(SUMPRODUCT((RD_Kopf&gt;=IF($G171="monatlich",DATE(YEAR(Stichtag),MONTH(Stichtag),1),IF($G171="quartalsweise",DATE(YEAR(Stichtag),INT((MONTH(Stichtag)-1)/3)*3+1,1),Stichtag)))*(RD_Kopf&lt;=Stichtag)*ISNUMBER(Rohdaten!$A$145:$LJ$145))&gt;0,"erledigt","automatisch")),IF($F171&lt;&gt;"ja","",IF(ISNA(MATCH(Stichtag,RD_Kopf,0)),"keine Spalte",IF(SUMPRODUCT((RD_Kopf&gt;=IF($G171="monatlich",DATE(YEAR(Stichtag),MONTH(Stichtag),1),IF($G171="quartalsweise",DATE(YEAR(Stichtag),INT((MONTH(Stichtag)-1)/3)*3+1,1),Stichtag)))*(RD_Kopf&lt;=Stichtag)*ISNUMBER(Rohdaten!$A$145:$LJ$145))&gt;0,"erledigt","offen"))))</f>
        <v/>
      </c>
      <c r="I171" s="73"/>
      <c r="J171" s="73"/>
      <c r="K171" s="73"/>
      <c r="L171" s="73"/>
      <c r="M171" s="73"/>
      <c r="N171" s="73"/>
      <c r="O171" s="73"/>
      <c r="P171" s="73"/>
      <c r="Q171" s="73"/>
      <c r="R171" s="73"/>
      <c r="S171" s="73"/>
      <c r="T171" s="73"/>
      <c r="U171" s="73"/>
      <c r="V171" s="73"/>
      <c r="W171" s="73"/>
      <c r="X171" s="73"/>
      <c r="Y171" s="73"/>
      <c r="Z171" s="73"/>
      <c r="AA171" s="73"/>
      <c r="AB171" s="73" t="s">
        <v>700</v>
      </c>
      <c r="AC171" s="73"/>
      <c r="AD171" s="73" t="s">
        <v>700</v>
      </c>
      <c r="AE171" s="73"/>
      <c r="AF171" s="73"/>
      <c r="AG171" s="73"/>
      <c r="AH171" s="73"/>
      <c r="AI171" s="73"/>
      <c r="AJ171" s="73"/>
      <c r="AK171" s="73"/>
      <c r="AL171" s="73"/>
      <c r="AM171" t="s">
        <v>927</v>
      </c>
      <c r="AN171" t="s">
        <v>115</v>
      </c>
      <c r="AO171" t="s">
        <v>695</v>
      </c>
    </row>
    <row r="172" spans="1:41" ht="22" customHeight="1" collapsed="1">
      <c r="A172" s="60" t="s">
        <v>928</v>
      </c>
      <c r="B172" s="60"/>
      <c r="C172" s="60"/>
      <c r="D172" s="60"/>
      <c r="E172" s="60"/>
      <c r="F172" s="60"/>
      <c r="G172" s="60"/>
      <c r="H172" s="60"/>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O172" t="s">
        <v>691</v>
      </c>
    </row>
    <row r="173" spans="1:41" ht="18" hidden="1" customHeight="1" outlineLevel="1">
      <c r="A173" s="65">
        <f>ROW(Rohdaten!$A$146)</f>
        <v>146</v>
      </c>
      <c r="B173" s="66">
        <f>IF(Rohdaten!$A$146="","",Rohdaten!$A$146)</f>
        <v>14</v>
      </c>
      <c r="C173" s="74" t="s">
        <v>714</v>
      </c>
      <c r="D173" s="68" t="str">
        <f>IF(Rohdaten!$E$146="","",Rohdaten!$E$146)</f>
        <v>Bauer/ Richartz</v>
      </c>
      <c r="E173" s="69" t="str">
        <f t="array" ref="E173">_xlfn.TEXTJOIN(" / ",TRUE,IF($I173:$AL173="●",$I$4:$AL$4,""))</f>
        <v>Bauer / Richartz</v>
      </c>
      <c r="F173" s="70" t="s">
        <v>697</v>
      </c>
      <c r="G173" s="71" t="s">
        <v>698</v>
      </c>
      <c r="H173" s="72" t="str">
        <f>IF($F173="automatisch",IF(ISNA(MATCH(Stichtag,RD_Kopf,0)),"automatisch",IF(SUMPRODUCT((RD_Kopf&gt;=IF($G173="monatlich",DATE(YEAR(Stichtag),MONTH(Stichtag),1),IF($G173="quartalsweise",DATE(YEAR(Stichtag),INT((MONTH(Stichtag)-1)/3)*3+1,1),Stichtag)))*(RD_Kopf&lt;=Stichtag)*ISNUMBER(Rohdaten!$A$146:$LJ$146))&gt;0,"erledigt","automatisch")),IF($F173&lt;&gt;"ja","nicht berichtet",IF(ISNA(MATCH(Stichtag,RD_Kopf,0)),"keine Spalte",IF(SUMPRODUCT((RD_Kopf&gt;=IF($G173="monatlich",DATE(YEAR(Stichtag),MONTH(Stichtag),1),IF($G173="quartalsweise",DATE(YEAR(Stichtag),INT((MONTH(Stichtag)-1)/3)*3+1,1),Stichtag)))*(RD_Kopf&lt;=Stichtag)*ISNUMBER(Rohdaten!$A$146:$LJ$146))&gt;0,"erledigt","offen"))))</f>
        <v>nicht berichtet</v>
      </c>
      <c r="I173" s="73"/>
      <c r="J173" s="73" t="s">
        <v>700</v>
      </c>
      <c r="K173" s="73"/>
      <c r="L173" s="73"/>
      <c r="M173" s="73"/>
      <c r="N173" s="73"/>
      <c r="O173" s="73"/>
      <c r="P173" s="73"/>
      <c r="Q173" s="73"/>
      <c r="R173" s="73"/>
      <c r="S173" s="73"/>
      <c r="T173" s="73"/>
      <c r="U173" s="73"/>
      <c r="V173" s="73"/>
      <c r="W173" s="73"/>
      <c r="X173" s="73"/>
      <c r="Y173" s="73"/>
      <c r="Z173" s="73"/>
      <c r="AA173" s="73"/>
      <c r="AB173" s="73"/>
      <c r="AC173" s="73"/>
      <c r="AD173" s="73" t="s">
        <v>700</v>
      </c>
      <c r="AE173" s="73"/>
      <c r="AF173" s="73"/>
      <c r="AG173" s="73"/>
      <c r="AH173" s="73"/>
      <c r="AI173" s="73"/>
      <c r="AJ173" s="73"/>
      <c r="AK173" s="73"/>
      <c r="AL173" s="73"/>
      <c r="AM173" t="s">
        <v>929</v>
      </c>
      <c r="AN173" t="s">
        <v>930</v>
      </c>
      <c r="AO173" t="s">
        <v>695</v>
      </c>
    </row>
    <row r="174" spans="1:41" ht="22" customHeight="1" collapsed="1">
      <c r="A174" s="60" t="s">
        <v>931</v>
      </c>
      <c r="B174" s="60"/>
      <c r="C174" s="60"/>
      <c r="D174" s="60"/>
      <c r="E174" s="60"/>
      <c r="F174" s="60"/>
      <c r="G174" s="60"/>
      <c r="H174" s="60"/>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O174" t="s">
        <v>691</v>
      </c>
    </row>
    <row r="175" spans="1:41" ht="18" hidden="1" customHeight="1" outlineLevel="1">
      <c r="A175" s="65">
        <f>ROW(Rohdaten!$A$147)</f>
        <v>147</v>
      </c>
      <c r="B175" s="66">
        <f>IF(Rohdaten!$A$147="","",Rohdaten!$A$147)</f>
        <v>15</v>
      </c>
      <c r="C175" s="74" t="s">
        <v>714</v>
      </c>
      <c r="D175" s="68" t="str">
        <f>IF(Rohdaten!$E$147="","",Rohdaten!$E$147)</f>
        <v>Müßigbrodt</v>
      </c>
      <c r="E175" s="69" t="str">
        <f t="array" ref="E175">_xlfn.TEXTJOIN(" / ",TRUE,IF($I175:$AL175="●",$I$4:$AL$4,""))</f>
        <v>Müßigbrodt</v>
      </c>
      <c r="F175" s="70" t="s">
        <v>697</v>
      </c>
      <c r="G175" s="71" t="s">
        <v>698</v>
      </c>
      <c r="H175" s="72" t="str">
        <f>IF($F175="automatisch",IF(ISNA(MATCH(Stichtag,RD_Kopf,0)),"automatisch",IF(SUMPRODUCT((RD_Kopf&gt;=IF($G175="monatlich",DATE(YEAR(Stichtag),MONTH(Stichtag),1),IF($G175="quartalsweise",DATE(YEAR(Stichtag),INT((MONTH(Stichtag)-1)/3)*3+1,1),Stichtag)))*(RD_Kopf&lt;=Stichtag)*ISNUMBER(Rohdaten!$A$147:$LJ$147))&gt;0,"erledigt","automatisch")),IF($F175&lt;&gt;"ja","nicht berichtet",IF(ISNA(MATCH(Stichtag,RD_Kopf,0)),"keine Spalte",IF(SUMPRODUCT((RD_Kopf&gt;=IF($G175="monatlich",DATE(YEAR(Stichtag),MONTH(Stichtag),1),IF($G175="quartalsweise",DATE(YEAR(Stichtag),INT((MONTH(Stichtag)-1)/3)*3+1,1),Stichtag)))*(RD_Kopf&lt;=Stichtag)*ISNUMBER(Rohdaten!$A$147:$LJ$147))&gt;0,"erledigt","offen"))))</f>
        <v>nicht berichtet</v>
      </c>
      <c r="I175" s="73"/>
      <c r="J175" s="73"/>
      <c r="K175" s="73"/>
      <c r="L175" s="73"/>
      <c r="M175" s="73"/>
      <c r="N175" s="73"/>
      <c r="O175" s="73"/>
      <c r="P175" s="73"/>
      <c r="Q175" s="73"/>
      <c r="R175" s="73"/>
      <c r="S175" s="73"/>
      <c r="T175" s="73"/>
      <c r="U175" s="73"/>
      <c r="V175" s="73"/>
      <c r="W175" s="73"/>
      <c r="X175" s="73"/>
      <c r="Y175" s="73"/>
      <c r="Z175" s="73"/>
      <c r="AA175" s="73"/>
      <c r="AB175" s="73"/>
      <c r="AC175" s="73" t="s">
        <v>700</v>
      </c>
      <c r="AD175" s="73"/>
      <c r="AE175" s="73"/>
      <c r="AF175" s="73"/>
      <c r="AG175" s="73"/>
      <c r="AH175" s="73"/>
      <c r="AI175" s="73"/>
      <c r="AJ175" s="73"/>
      <c r="AK175" s="73"/>
      <c r="AL175" s="73"/>
      <c r="AM175" t="s">
        <v>932</v>
      </c>
      <c r="AN175" t="s">
        <v>131</v>
      </c>
      <c r="AO175" t="s">
        <v>695</v>
      </c>
    </row>
    <row r="176" spans="1:41" ht="18" hidden="1" customHeight="1" outlineLevel="1">
      <c r="A176" s="65">
        <f>ROW(Rohdaten!$A$148)</f>
        <v>148</v>
      </c>
      <c r="B176" s="66">
        <f>IF(Rohdaten!$A$148="","",Rohdaten!$A$148)</f>
        <v>16</v>
      </c>
      <c r="C176" s="74" t="s">
        <v>933</v>
      </c>
      <c r="D176" s="68">
        <f>IF(Rohdaten!$E$148="","",Rohdaten!$E$148)</f>
        <v/>
      </c>
      <c r="E176" s="69" t="str">
        <f t="array" ref="E176">_xlfn.TEXTJOIN(" / ",TRUE,IF($I176:$AL176="●",$I$4:$AL$4,""))</f>
        <v/>
      </c>
      <c r="F176" s="70" t="s">
        <v>697</v>
      </c>
      <c r="G176" s="71" t="s">
        <v>698</v>
      </c>
      <c r="H176" s="72">
        <f>IF($F176="automatisch",IF(ISNA(MATCH(Stichtag,RD_Kopf,0)),"automatisch",IF(SUMPRODUCT((RD_Kopf&gt;=IF($G176="monatlich",DATE(YEAR(Stichtag),MONTH(Stichtag),1),IF($G176="quartalsweise",DATE(YEAR(Stichtag),INT((MONTH(Stichtag)-1)/3)*3+1,1),Stichtag)))*(RD_Kopf&lt;=Stichtag)*ISNUMBER(Rohdaten!$A$148:$LJ$148))&gt;0,"erledigt","automatisch")),IF($F176&lt;&gt;"ja","",IF(ISNA(MATCH(Stichtag,RD_Kopf,0)),"keine Spalte",IF(SUMPRODUCT((RD_Kopf&gt;=IF($G176="monatlich",DATE(YEAR(Stichtag),MONTH(Stichtag),1),IF($G176="quartalsweise",DATE(YEAR(Stichtag),INT((MONTH(Stichtag)-1)/3)*3+1,1),Stichtag)))*(RD_Kopf&lt;=Stichtag)*ISNUMBER(Rohdaten!$A$148:$LJ$148))&gt;0,"erledigt","offen"))))</f>
        <v/>
      </c>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t="s">
        <v>934</v>
      </c>
      <c r="AN176" t="s">
        <v>935</v>
      </c>
      <c r="AO176" t="s">
        <v>695</v>
      </c>
    </row>
    <row r="177" spans="1:41" ht="18" hidden="1" customHeight="1" outlineLevel="1">
      <c r="A177" s="65">
        <f>ROW(Rohdaten!$A$149)</f>
        <v>149</v>
      </c>
      <c r="B177" s="66">
        <f>IF(Rohdaten!$A$149="","",Rohdaten!$A$149)</f>
        <v>17</v>
      </c>
      <c r="C177" s="74" t="s">
        <v>933</v>
      </c>
      <c r="D177" s="68">
        <f>IF(Rohdaten!$E$149="","",Rohdaten!$E$149)</f>
        <v/>
      </c>
      <c r="E177" s="69" t="str">
        <f t="array" ref="E177">_xlfn.TEXTJOIN(" / ",TRUE,IF($I177:$AL177="●",$I$4:$AL$4,""))</f>
        <v/>
      </c>
      <c r="F177" s="70" t="s">
        <v>697</v>
      </c>
      <c r="G177" s="71" t="s">
        <v>698</v>
      </c>
      <c r="H177" s="72">
        <f>IF($F177="automatisch",IF(ISNA(MATCH(Stichtag,RD_Kopf,0)),"automatisch",IF(SUMPRODUCT((RD_Kopf&gt;=IF($G177="monatlich",DATE(YEAR(Stichtag),MONTH(Stichtag),1),IF($G177="quartalsweise",DATE(YEAR(Stichtag),INT((MONTH(Stichtag)-1)/3)*3+1,1),Stichtag)))*(RD_Kopf&lt;=Stichtag)*ISNUMBER(Rohdaten!$A$149:$LJ$149))&gt;0,"erledigt","automatisch")),IF($F177&lt;&gt;"ja","",IF(ISNA(MATCH(Stichtag,RD_Kopf,0)),"keine Spalte",IF(SUMPRODUCT((RD_Kopf&gt;=IF($G177="monatlich",DATE(YEAR(Stichtag),MONTH(Stichtag),1),IF($G177="quartalsweise",DATE(YEAR(Stichtag),INT((MONTH(Stichtag)-1)/3)*3+1,1),Stichtag)))*(RD_Kopf&lt;=Stichtag)*ISNUMBER(Rohdaten!$A$149:$LJ$149))&gt;0,"erledigt","offen"))))</f>
        <v/>
      </c>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t="s">
        <v>934</v>
      </c>
      <c r="AN177" t="s">
        <v>936</v>
      </c>
      <c r="AO177" t="s">
        <v>695</v>
      </c>
    </row>
    <row r="178" spans="1:41" ht="22" customHeight="1">
      <c r="A178" s="60" t="s">
        <v>937</v>
      </c>
      <c r="B178" s="60"/>
      <c r="C178" s="60"/>
      <c r="D178" s="60"/>
      <c r="E178" s="60"/>
      <c r="F178" s="60"/>
      <c r="G178" s="60"/>
      <c r="H178" s="60"/>
      <c r="I178" s="61"/>
      <c r="J178" s="61"/>
      <c r="K178" s="61"/>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O178" t="s">
        <v>691</v>
      </c>
    </row>
    <row r="179" spans="1:41" ht="18" customHeight="1" outlineLevel="1">
      <c r="A179" s="65">
        <f>ROW(Rohdaten!$A$150)</f>
        <v>150</v>
      </c>
      <c r="B179" s="66" t="str">
        <f>IF(Rohdaten!$A$150="","",Rohdaten!$A$150)</f>
        <v>18a</v>
      </c>
      <c r="C179" s="74" t="s">
        <v>938</v>
      </c>
      <c r="D179" s="68" t="str">
        <f>IF(Rohdaten!$E$150="","",Rohdaten!$E$150)</f>
        <v>Mey/ Richartz</v>
      </c>
      <c r="E179" s="69" t="str">
        <f t="array" ref="E179">_xlfn.TEXTJOIN(" / ",TRUE,IF($I179:$AL179="●",$I$4:$AL$4,""))</f>
        <v>Mey / Richartz</v>
      </c>
      <c r="F179" s="70" t="s">
        <v>697</v>
      </c>
      <c r="G179" s="71" t="s">
        <v>698</v>
      </c>
      <c r="H179" s="72" t="str">
        <f>IF($F179="automatisch",IF(ISNA(MATCH(Stichtag,RD_Kopf,0)),"automatisch",IF(SUMPRODUCT((RD_Kopf&gt;=IF($G179="monatlich",DATE(YEAR(Stichtag),MONTH(Stichtag),1),IF($G179="quartalsweise",DATE(YEAR(Stichtag),INT((MONTH(Stichtag)-1)/3)*3+1,1),Stichtag)))*(RD_Kopf&lt;=Stichtag)*ISNUMBER(Rohdaten!$A$150:$LJ$150))&gt;0,"erledigt","automatisch")),IF($F179&lt;&gt;"ja","nicht berichtet",IF(ISNA(MATCH(Stichtag,RD_Kopf,0)),"keine Spalte",IF(SUMPRODUCT((RD_Kopf&gt;=IF($G179="monatlich",DATE(YEAR(Stichtag),MONTH(Stichtag),1),IF($G179="quartalsweise",DATE(YEAR(Stichtag),INT((MONTH(Stichtag)-1)/3)*3+1,1),Stichtag)))*(RD_Kopf&lt;=Stichtag)*ISNUMBER(Rohdaten!$A$150:$LJ$150))&gt;0,"erledigt","offen"))))</f>
        <v>nicht berichtet</v>
      </c>
      <c r="I179" s="73"/>
      <c r="J179" s="73"/>
      <c r="K179" s="73"/>
      <c r="L179" s="73"/>
      <c r="M179" s="73"/>
      <c r="N179" s="73"/>
      <c r="O179" s="73"/>
      <c r="P179" s="73"/>
      <c r="Q179" s="73"/>
      <c r="R179" s="73"/>
      <c r="S179" s="73"/>
      <c r="T179" s="73"/>
      <c r="U179" s="73"/>
      <c r="V179" s="73"/>
      <c r="W179" s="73"/>
      <c r="X179" s="73"/>
      <c r="Y179" s="73"/>
      <c r="Z179" s="73"/>
      <c r="AA179" s="73"/>
      <c r="AB179" s="73" t="s">
        <v>700</v>
      </c>
      <c r="AC179" s="73"/>
      <c r="AD179" s="73" t="s">
        <v>700</v>
      </c>
      <c r="AE179" s="73"/>
      <c r="AF179" s="73"/>
      <c r="AG179" s="73"/>
      <c r="AH179" s="73"/>
      <c r="AI179" s="73"/>
      <c r="AJ179" s="73"/>
      <c r="AK179" s="73"/>
      <c r="AL179" s="73"/>
      <c r="AM179" t="s">
        <v>939</v>
      </c>
      <c r="AN179" t="s">
        <v>940</v>
      </c>
      <c r="AO179" t="s">
        <v>695</v>
      </c>
    </row>
    <row r="180" spans="1:41" ht="18" customHeight="1" outlineLevel="1">
      <c r="A180" s="65">
        <f>ROW(Rohdaten!$A$151)</f>
        <v>151</v>
      </c>
      <c r="B180" s="66" t="str">
        <f>IF(Rohdaten!$A$151="","",Rohdaten!$A$151)</f>
        <v>18b</v>
      </c>
      <c r="C180" s="74" t="s">
        <v>714</v>
      </c>
      <c r="D180" s="68" t="str">
        <f>IF(Rohdaten!$E$151="","",Rohdaten!$E$151)</f>
        <v>Mey/ Richartz</v>
      </c>
      <c r="E180" s="69" t="str">
        <f t="array" ref="E180">_xlfn.TEXTJOIN(" / ",TRUE,IF($I180:$AL180="●",$I$4:$AL$4,""))</f>
        <v>Mey / Richartz</v>
      </c>
      <c r="F180" s="70" t="s">
        <v>697</v>
      </c>
      <c r="G180" s="71" t="s">
        <v>698</v>
      </c>
      <c r="H180" s="72" t="str">
        <f>IF($F180="automatisch",IF(ISNA(MATCH(Stichtag,RD_Kopf,0)),"automatisch",IF(SUMPRODUCT((RD_Kopf&gt;=IF($G180="monatlich",DATE(YEAR(Stichtag),MONTH(Stichtag),1),IF($G180="quartalsweise",DATE(YEAR(Stichtag),INT((MONTH(Stichtag)-1)/3)*3+1,1),Stichtag)))*(RD_Kopf&lt;=Stichtag)*ISNUMBER(Rohdaten!$A$151:$LJ$151))&gt;0,"erledigt","automatisch")),IF($F180&lt;&gt;"ja","nicht berichtet",IF(ISNA(MATCH(Stichtag,RD_Kopf,0)),"keine Spalte",IF(SUMPRODUCT((RD_Kopf&gt;=IF($G180="monatlich",DATE(YEAR(Stichtag),MONTH(Stichtag),1),IF($G180="quartalsweise",DATE(YEAR(Stichtag),INT((MONTH(Stichtag)-1)/3)*3+1,1),Stichtag)))*(RD_Kopf&lt;=Stichtag)*ISNUMBER(Rohdaten!$A$151:$LJ$151))&gt;0,"erledigt","offen"))))</f>
        <v>nicht berichtet</v>
      </c>
      <c r="I180" s="73"/>
      <c r="J180" s="73"/>
      <c r="K180" s="73"/>
      <c r="L180" s="73"/>
      <c r="M180" s="73"/>
      <c r="N180" s="73"/>
      <c r="O180" s="73"/>
      <c r="P180" s="73"/>
      <c r="Q180" s="73"/>
      <c r="R180" s="73"/>
      <c r="S180" s="73"/>
      <c r="T180" s="73"/>
      <c r="U180" s="73"/>
      <c r="V180" s="73"/>
      <c r="W180" s="73"/>
      <c r="X180" s="73"/>
      <c r="Y180" s="73"/>
      <c r="Z180" s="73"/>
      <c r="AA180" s="73"/>
      <c r="AB180" s="73" t="s">
        <v>700</v>
      </c>
      <c r="AC180" s="73"/>
      <c r="AD180" s="73" t="s">
        <v>700</v>
      </c>
      <c r="AE180" s="73"/>
      <c r="AF180" s="73"/>
      <c r="AG180" s="73"/>
      <c r="AH180" s="73"/>
      <c r="AI180" s="73"/>
      <c r="AJ180" s="73"/>
      <c r="AK180" s="73"/>
      <c r="AL180" s="73"/>
      <c r="AM180" t="s">
        <v>941</v>
      </c>
      <c r="AN180" t="s">
        <v>942</v>
      </c>
      <c r="AO180" t="s">
        <v>695</v>
      </c>
    </row>
    <row r="181" spans="1:41" ht="18" customHeight="1" outlineLevel="1">
      <c r="A181" s="65">
        <f>ROW(Rohdaten!$A$152)</f>
        <v>152</v>
      </c>
      <c r="B181" s="66" t="str">
        <f>IF(Rohdaten!$A$152="","",Rohdaten!$A$152)</f>
        <v>18c</v>
      </c>
      <c r="C181" s="74" t="s">
        <v>943</v>
      </c>
      <c r="D181" s="68" t="str">
        <f>IF(Rohdaten!$E$152="","",Rohdaten!$E$152)</f>
        <v>Mey/ Richartz</v>
      </c>
      <c r="E181" s="69" t="str">
        <f t="array" ref="E181">_xlfn.TEXTJOIN(" / ",TRUE,IF($I181:$AL181="●",$I$4:$AL$4,""))</f>
        <v>Mey / Richartz</v>
      </c>
      <c r="F181" s="70" t="s">
        <v>767</v>
      </c>
      <c r="G181" s="71" t="s">
        <v>698</v>
      </c>
      <c r="H181" s="72">
        <f>IF($F181="automatisch",IF(ISNA(MATCH(Stichtag,RD_Kopf,0)),"automatisch",IF(SUMPRODUCT((RD_Kopf&gt;=IF($G181="monatlich",DATE(YEAR(Stichtag),MONTH(Stichtag),1),IF($G181="quartalsweise",DATE(YEAR(Stichtag),INT((MONTH(Stichtag)-1)/3)*3+1,1),Stichtag)))*(RD_Kopf&lt;=Stichtag)*ISNUMBER(Rohdaten!$A$152:$LJ$152))&gt;0,"erledigt","automatisch")),IF($F181&lt;&gt;"ja","",IF(ISNA(MATCH(Stichtag,RD_Kopf,0)),"keine Spalte",IF(SUMPRODUCT((RD_Kopf&gt;=IF($G181="monatlich",DATE(YEAR(Stichtag),MONTH(Stichtag),1),IF($G181="quartalsweise",DATE(YEAR(Stichtag),INT((MONTH(Stichtag)-1)/3)*3+1,1),Stichtag)))*(RD_Kopf&lt;=Stichtag)*ISNUMBER(Rohdaten!$A$152:$LJ$152))&gt;0,"erledigt","offen"))))</f>
        <v/>
      </c>
      <c r="I181" s="73"/>
      <c r="J181" s="73"/>
      <c r="K181" s="73"/>
      <c r="L181" s="73"/>
      <c r="M181" s="73"/>
      <c r="N181" s="73"/>
      <c r="O181" s="73"/>
      <c r="P181" s="73"/>
      <c r="Q181" s="73"/>
      <c r="R181" s="73"/>
      <c r="S181" s="73"/>
      <c r="T181" s="73"/>
      <c r="U181" s="73"/>
      <c r="V181" s="73"/>
      <c r="W181" s="73"/>
      <c r="X181" s="73"/>
      <c r="Y181" s="73"/>
      <c r="Z181" s="73"/>
      <c r="AA181" s="73"/>
      <c r="AB181" s="73" t="s">
        <v>700</v>
      </c>
      <c r="AC181" s="73"/>
      <c r="AD181" s="73" t="s">
        <v>700</v>
      </c>
      <c r="AE181" s="73"/>
      <c r="AF181" s="73"/>
      <c r="AG181" s="73"/>
      <c r="AH181" s="73"/>
      <c r="AI181" s="73"/>
      <c r="AJ181" s="73"/>
      <c r="AK181" s="73"/>
      <c r="AL181" s="73"/>
      <c r="AM181" t="s">
        <v>944</v>
      </c>
      <c r="AN181" t="s">
        <v>111</v>
      </c>
      <c r="AO181" t="s">
        <v>695</v>
      </c>
    </row>
    <row r="182" spans="1:41" ht="18" customHeight="1" outlineLevel="1">
      <c r="A182" s="65">
        <f>ROW(Rohdaten!$A$153)</f>
        <v>153</v>
      </c>
      <c r="B182" s="66" t="str">
        <f>IF(Rohdaten!$A$153="","",Rohdaten!$A$153)</f>
        <v>18d</v>
      </c>
      <c r="C182" s="74" t="s">
        <v>933</v>
      </c>
      <c r="D182" s="68">
        <f>IF(Rohdaten!$E$153="","",Rohdaten!$E$153)</f>
        <v/>
      </c>
      <c r="E182" s="69" t="str">
        <f t="array" ref="E182">_xlfn.TEXTJOIN(" / ",TRUE,IF($I182:$AL182="●",$I$4:$AL$4,""))</f>
        <v/>
      </c>
      <c r="F182" s="70" t="s">
        <v>697</v>
      </c>
      <c r="G182" s="71" t="s">
        <v>698</v>
      </c>
      <c r="H182" s="72">
        <f>IF($F182="automatisch",IF(ISNA(MATCH(Stichtag,RD_Kopf,0)),"automatisch",IF(SUMPRODUCT((RD_Kopf&gt;=IF($G182="monatlich",DATE(YEAR(Stichtag),MONTH(Stichtag),1),IF($G182="quartalsweise",DATE(YEAR(Stichtag),INT((MONTH(Stichtag)-1)/3)*3+1,1),Stichtag)))*(RD_Kopf&lt;=Stichtag)*ISNUMBER(Rohdaten!$A$153:$LJ$153))&gt;0,"erledigt","automatisch")),IF($F182&lt;&gt;"ja","",IF(ISNA(MATCH(Stichtag,RD_Kopf,0)),"keine Spalte",IF(SUMPRODUCT((RD_Kopf&gt;=IF($G182="monatlich",DATE(YEAR(Stichtag),MONTH(Stichtag),1),IF($G182="quartalsweise",DATE(YEAR(Stichtag),INT((MONTH(Stichtag)-1)/3)*3+1,1),Stichtag)))*(RD_Kopf&lt;=Stichtag)*ISNUMBER(Rohdaten!$A$153:$LJ$153))&gt;0,"erledigt","offen"))))</f>
        <v/>
      </c>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t="s">
        <v>945</v>
      </c>
      <c r="AN182" t="s">
        <v>946</v>
      </c>
      <c r="AO182" t="s">
        <v>695</v>
      </c>
    </row>
    <row r="183" spans="1:41" ht="18" customHeight="1" outlineLevel="1">
      <c r="A183" s="65">
        <f>ROW(Rohdaten!$A$154)</f>
        <v>154</v>
      </c>
      <c r="B183" s="66" t="str">
        <f>IF(Rohdaten!$A$154="","",Rohdaten!$A$154)</f>
        <v>18e</v>
      </c>
      <c r="C183" s="74" t="s">
        <v>947</v>
      </c>
      <c r="D183" s="68" t="str">
        <f>IF(Rohdaten!$E$154="","",Rohdaten!$E$154)</f>
        <v>Mey/ Richartz</v>
      </c>
      <c r="E183" s="69" t="str">
        <f t="array" ref="E183">_xlfn.TEXTJOIN(" / ",TRUE,IF($I183:$AL183="●",$I$4:$AL$4,""))</f>
        <v>Mey / Richartz</v>
      </c>
      <c r="F183" s="70" t="s">
        <v>697</v>
      </c>
      <c r="G183" s="71" t="s">
        <v>698</v>
      </c>
      <c r="H183" s="72" t="str">
        <f>IF($F183="automatisch",IF(ISNA(MATCH(Stichtag,RD_Kopf,0)),"automatisch",IF(SUMPRODUCT((RD_Kopf&gt;=IF($G183="monatlich",DATE(YEAR(Stichtag),MONTH(Stichtag),1),IF($G183="quartalsweise",DATE(YEAR(Stichtag),INT((MONTH(Stichtag)-1)/3)*3+1,1),Stichtag)))*(RD_Kopf&lt;=Stichtag)*ISNUMBER(Rohdaten!$A$154:$LJ$154))&gt;0,"erledigt","automatisch")),IF($F183&lt;&gt;"ja","nicht berichtet",IF(ISNA(MATCH(Stichtag,RD_Kopf,0)),"keine Spalte",IF(SUMPRODUCT((RD_Kopf&gt;=IF($G183="monatlich",DATE(YEAR(Stichtag),MONTH(Stichtag),1),IF($G183="quartalsweise",DATE(YEAR(Stichtag),INT((MONTH(Stichtag)-1)/3)*3+1,1),Stichtag)))*(RD_Kopf&lt;=Stichtag)*ISNUMBER(Rohdaten!$A$154:$LJ$154))&gt;0,"erledigt","offen"))))</f>
        <v>nicht berichtet</v>
      </c>
      <c r="I183" s="73"/>
      <c r="J183" s="73"/>
      <c r="K183" s="73"/>
      <c r="L183" s="73"/>
      <c r="M183" s="73"/>
      <c r="N183" s="73"/>
      <c r="O183" s="73"/>
      <c r="P183" s="73"/>
      <c r="Q183" s="73"/>
      <c r="R183" s="73"/>
      <c r="S183" s="73"/>
      <c r="T183" s="73"/>
      <c r="U183" s="73"/>
      <c r="V183" s="73"/>
      <c r="W183" s="73"/>
      <c r="X183" s="73"/>
      <c r="Y183" s="73"/>
      <c r="Z183" s="73"/>
      <c r="AA183" s="73"/>
      <c r="AB183" s="73" t="s">
        <v>700</v>
      </c>
      <c r="AC183" s="73"/>
      <c r="AD183" s="73" t="s">
        <v>700</v>
      </c>
      <c r="AE183" s="73"/>
      <c r="AF183" s="73"/>
      <c r="AG183" s="73"/>
      <c r="AH183" s="73"/>
      <c r="AI183" s="73"/>
      <c r="AJ183" s="73"/>
      <c r="AK183" s="73"/>
      <c r="AL183" s="73"/>
      <c r="AM183" t="s">
        <v>948</v>
      </c>
      <c r="AN183" t="s">
        <v>949</v>
      </c>
      <c r="AO183" t="s">
        <v>695</v>
      </c>
    </row>
    <row r="184" spans="1:41" ht="18" customHeight="1" outlineLevel="1">
      <c r="A184" s="65">
        <f>ROW(Rohdaten!$A$155)</f>
        <v>155</v>
      </c>
      <c r="B184" s="66" t="str">
        <f>IF(Rohdaten!$A$155="","",Rohdaten!$A$155)</f>
        <v>18f</v>
      </c>
      <c r="C184" s="74" t="s">
        <v>950</v>
      </c>
      <c r="D184" s="68" t="str">
        <f>IF(Rohdaten!$E$155="","",Rohdaten!$E$155)</f>
        <v>Mey/ Richartz</v>
      </c>
      <c r="E184" s="69" t="str">
        <f t="array" ref="E184">_xlfn.TEXTJOIN(" / ",TRUE,IF($I184:$AL184="●",$I$4:$AL$4,""))</f>
        <v>Mey / Richartz</v>
      </c>
      <c r="F184" s="70" t="s">
        <v>697</v>
      </c>
      <c r="G184" s="71" t="s">
        <v>698</v>
      </c>
      <c r="H184" s="72" t="str">
        <f>IF($F184="automatisch",IF(ISNA(MATCH(Stichtag,RD_Kopf,0)),"automatisch",IF(SUMPRODUCT((RD_Kopf&gt;=IF($G184="monatlich",DATE(YEAR(Stichtag),MONTH(Stichtag),1),IF($G184="quartalsweise",DATE(YEAR(Stichtag),INT((MONTH(Stichtag)-1)/3)*3+1,1),Stichtag)))*(RD_Kopf&lt;=Stichtag)*ISNUMBER(Rohdaten!$A$155:$LJ$155))&gt;0,"erledigt","automatisch")),IF($F184&lt;&gt;"ja","nicht berichtet",IF(ISNA(MATCH(Stichtag,RD_Kopf,0)),"keine Spalte",IF(SUMPRODUCT((RD_Kopf&gt;=IF($G184="monatlich",DATE(YEAR(Stichtag),MONTH(Stichtag),1),IF($G184="quartalsweise",DATE(YEAR(Stichtag),INT((MONTH(Stichtag)-1)/3)*3+1,1),Stichtag)))*(RD_Kopf&lt;=Stichtag)*ISNUMBER(Rohdaten!$A$155:$LJ$155))&gt;0,"erledigt","offen"))))</f>
        <v>nicht berichtet</v>
      </c>
      <c r="I184" s="73"/>
      <c r="J184" s="73"/>
      <c r="K184" s="73"/>
      <c r="L184" s="73"/>
      <c r="M184" s="73"/>
      <c r="N184" s="73"/>
      <c r="O184" s="73"/>
      <c r="P184" s="73"/>
      <c r="Q184" s="73"/>
      <c r="R184" s="73"/>
      <c r="S184" s="73"/>
      <c r="T184" s="73"/>
      <c r="U184" s="73"/>
      <c r="V184" s="73"/>
      <c r="W184" s="73"/>
      <c r="X184" s="73"/>
      <c r="Y184" s="73"/>
      <c r="Z184" s="73"/>
      <c r="AA184" s="73"/>
      <c r="AB184" s="73" t="s">
        <v>700</v>
      </c>
      <c r="AC184" s="73"/>
      <c r="AD184" s="73" t="s">
        <v>700</v>
      </c>
      <c r="AE184" s="73"/>
      <c r="AF184" s="73"/>
      <c r="AG184" s="73"/>
      <c r="AH184" s="73"/>
      <c r="AI184" s="73"/>
      <c r="AJ184" s="73"/>
      <c r="AK184" s="73"/>
      <c r="AL184" s="73"/>
      <c r="AM184" t="s">
        <v>951</v>
      </c>
      <c r="AN184" t="s">
        <v>952</v>
      </c>
      <c r="AO184" t="s">
        <v>695</v>
      </c>
    </row>
    <row r="185" spans="1:41" ht="22" customHeight="1">
      <c r="A185" s="60" t="s">
        <v>953</v>
      </c>
      <c r="B185" s="60"/>
      <c r="C185" s="60"/>
      <c r="D185" s="60"/>
      <c r="E185" s="60"/>
      <c r="F185" s="60"/>
      <c r="G185" s="60"/>
      <c r="H185" s="60"/>
      <c r="I185" s="61"/>
      <c r="J185" s="61"/>
      <c r="K185" s="61"/>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O185" t="s">
        <v>691</v>
      </c>
    </row>
    <row r="186" spans="1:41" ht="18" customHeight="1" outlineLevel="1">
      <c r="A186" s="65">
        <f>ROW(Rohdaten!$A$156)</f>
        <v>156</v>
      </c>
      <c r="B186" s="66">
        <f>IF(Rohdaten!$A$156="","",Rohdaten!$A$156)</f>
        <v>19</v>
      </c>
      <c r="C186" s="74" t="s">
        <v>714</v>
      </c>
      <c r="D186" s="68" t="str">
        <f>IF(Rohdaten!$E$156="","",Rohdaten!$E$156)</f>
        <v>Zeitz/ Köster</v>
      </c>
      <c r="E186" s="69" t="str">
        <f t="array" ref="E186">_xlfn.TEXTJOIN(" / ",TRUE,IF($I186:$AL186="●",$I$4:$AL$4,""))</f>
        <v>Köster / Zeitz</v>
      </c>
      <c r="F186" s="70" t="s">
        <v>767</v>
      </c>
      <c r="G186" s="71" t="s">
        <v>698</v>
      </c>
      <c r="H186" s="72">
        <f>IF($F186="automatisch",IF(ISNA(MATCH(Stichtag,RD_Kopf,0)),"automatisch",IF(SUMPRODUCT((RD_Kopf&gt;=IF($G186="monatlich",DATE(YEAR(Stichtag),MONTH(Stichtag),1),IF($G186="quartalsweise",DATE(YEAR(Stichtag),INT((MONTH(Stichtag)-1)/3)*3+1,1),Stichtag)))*(RD_Kopf&lt;=Stichtag)*ISNUMBER(Rohdaten!$A$156:$LJ$156))&gt;0,"erledigt","automatisch")),IF($F186&lt;&gt;"ja","",IF(ISNA(MATCH(Stichtag,RD_Kopf,0)),"keine Spalte",IF(SUMPRODUCT((RD_Kopf&gt;=IF($G186="monatlich",DATE(YEAR(Stichtag),MONTH(Stichtag),1),IF($G186="quartalsweise",DATE(YEAR(Stichtag),INT((MONTH(Stichtag)-1)/3)*3+1,1),Stichtag)))*(RD_Kopf&lt;=Stichtag)*ISNUMBER(Rohdaten!$A$156:$LJ$156))&gt;0,"erledigt","offen"))))</f>
        <v/>
      </c>
      <c r="I186" s="73"/>
      <c r="J186" s="73"/>
      <c r="K186" s="73"/>
      <c r="L186" s="73"/>
      <c r="M186" s="73"/>
      <c r="N186" s="73"/>
      <c r="O186" s="73"/>
      <c r="P186" s="73"/>
      <c r="Q186" s="73"/>
      <c r="R186" s="73"/>
      <c r="S186" s="73"/>
      <c r="T186" s="73"/>
      <c r="U186" s="73"/>
      <c r="V186" s="73"/>
      <c r="W186" s="73"/>
      <c r="X186" s="73" t="s">
        <v>700</v>
      </c>
      <c r="Y186" s="73"/>
      <c r="Z186" s="73"/>
      <c r="AA186" s="73"/>
      <c r="AB186" s="73"/>
      <c r="AC186" s="73"/>
      <c r="AD186" s="73"/>
      <c r="AE186" s="73"/>
      <c r="AF186" s="73"/>
      <c r="AG186" s="73"/>
      <c r="AH186" s="73"/>
      <c r="AI186" s="73" t="s">
        <v>700</v>
      </c>
      <c r="AJ186" s="73"/>
      <c r="AK186" s="73"/>
      <c r="AL186" s="73"/>
      <c r="AM186" t="s">
        <v>954</v>
      </c>
      <c r="AN186" t="s">
        <v>109</v>
      </c>
      <c r="AO186" t="s">
        <v>695</v>
      </c>
    </row>
    <row r="187" spans="1:41" ht="22" customHeight="1">
      <c r="A187" s="60" t="s">
        <v>955</v>
      </c>
      <c r="B187" s="60"/>
      <c r="C187" s="60"/>
      <c r="D187" s="60"/>
      <c r="E187" s="60"/>
      <c r="F187" s="60"/>
      <c r="G187" s="60"/>
      <c r="H187" s="60"/>
      <c r="I187" s="61"/>
      <c r="J187" s="61"/>
      <c r="K187" s="61"/>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O187" t="s">
        <v>691</v>
      </c>
    </row>
    <row r="188" spans="1:41" ht="18" customHeight="1" outlineLevel="1">
      <c r="A188" s="65">
        <f>ROW(Rohdaten!$A$157)</f>
        <v>157</v>
      </c>
      <c r="B188" s="66">
        <f>IF(Rohdaten!$A$157="","",Rohdaten!$A$157)</f>
        <v>20</v>
      </c>
      <c r="C188" s="74" t="s">
        <v>714</v>
      </c>
      <c r="D188" s="68" t="str">
        <f>IF(Rohdaten!$E$157="","",Rohdaten!$E$157)</f>
        <v>Kneissler/ Kirsten</v>
      </c>
      <c r="E188" s="69" t="str">
        <f t="array" ref="E188">_xlfn.TEXTJOIN(" / ",TRUE,IF($I188:$AL188="●",$I$4:$AL$4,""))</f>
        <v>Kirsten / Kneissler</v>
      </c>
      <c r="F188" s="70" t="s">
        <v>767</v>
      </c>
      <c r="G188" s="71" t="s">
        <v>698</v>
      </c>
      <c r="H188" s="72">
        <f>IF($F188="automatisch",IF(ISNA(MATCH(Stichtag,RD_Kopf,0)),"automatisch",IF(SUMPRODUCT((RD_Kopf&gt;=IF($G188="monatlich",DATE(YEAR(Stichtag),MONTH(Stichtag),1),IF($G188="quartalsweise",DATE(YEAR(Stichtag),INT((MONTH(Stichtag)-1)/3)*3+1,1),Stichtag)))*(RD_Kopf&lt;=Stichtag)*ISNUMBER(Rohdaten!$A$157:$LJ$157))&gt;0,"erledigt","automatisch")),IF($F188&lt;&gt;"ja","",IF(ISNA(MATCH(Stichtag,RD_Kopf,0)),"keine Spalte",IF(SUMPRODUCT((RD_Kopf&gt;=IF($G188="monatlich",DATE(YEAR(Stichtag),MONTH(Stichtag),1),IF($G188="quartalsweise",DATE(YEAR(Stichtag),INT((MONTH(Stichtag)-1)/3)*3+1,1),Stichtag)))*(RD_Kopf&lt;=Stichtag)*ISNUMBER(Rohdaten!$A$157:$LJ$157))&gt;0,"erledigt","offen"))))</f>
        <v/>
      </c>
      <c r="I188" s="73"/>
      <c r="J188" s="73"/>
      <c r="K188" s="73"/>
      <c r="L188" s="73"/>
      <c r="M188" s="73"/>
      <c r="N188" s="73"/>
      <c r="O188" s="73"/>
      <c r="P188" s="73"/>
      <c r="Q188" s="73"/>
      <c r="R188" s="73"/>
      <c r="S188" s="73"/>
      <c r="T188" s="73"/>
      <c r="U188" s="73"/>
      <c r="V188" s="73" t="s">
        <v>700</v>
      </c>
      <c r="W188" s="73" t="s">
        <v>700</v>
      </c>
      <c r="X188" s="73"/>
      <c r="Y188" s="73"/>
      <c r="Z188" s="73"/>
      <c r="AA188" s="73"/>
      <c r="AB188" s="73"/>
      <c r="AC188" s="73"/>
      <c r="AD188" s="73"/>
      <c r="AE188" s="73"/>
      <c r="AF188" s="73"/>
      <c r="AG188" s="73"/>
      <c r="AH188" s="73"/>
      <c r="AI188" s="73"/>
      <c r="AJ188" s="73"/>
      <c r="AK188" s="73"/>
      <c r="AL188" s="73"/>
      <c r="AM188" t="s">
        <v>956</v>
      </c>
      <c r="AN188" t="s">
        <v>110</v>
      </c>
      <c r="AO188" t="s">
        <v>695</v>
      </c>
    </row>
    <row r="189" spans="1:41" ht="22" customHeight="1">
      <c r="A189" s="60" t="s">
        <v>957</v>
      </c>
      <c r="B189" s="60"/>
      <c r="C189" s="60"/>
      <c r="D189" s="60"/>
      <c r="E189" s="60"/>
      <c r="F189" s="60"/>
      <c r="G189" s="60"/>
      <c r="H189" s="60"/>
      <c r="I189" s="61"/>
      <c r="J189" s="61"/>
      <c r="K189" s="61"/>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O189" t="s">
        <v>691</v>
      </c>
    </row>
    <row r="190" spans="1:41" ht="18" customHeight="1" outlineLevel="1">
      <c r="A190" s="65">
        <f>ROW(Rohdaten!$A$161)</f>
        <v>161</v>
      </c>
      <c r="B190" s="66" t="str">
        <f>IF(Rohdaten!$A$161="","",Rohdaten!$A$161)</f>
        <v>21a</v>
      </c>
      <c r="C190" s="74" t="s">
        <v>958</v>
      </c>
      <c r="D190" s="68" t="str">
        <f>IF(Rohdaten!$E$161="","",Rohdaten!$E$161)</f>
        <v>Buchkremer</v>
      </c>
      <c r="E190" s="69" t="str">
        <f t="array" ref="E190">_xlfn.TEXTJOIN(" / ",TRUE,IF($I190:$AL190="●",$I$4:$AL$4,""))</f>
        <v>Buchkremer</v>
      </c>
      <c r="F190" s="70" t="s">
        <v>777</v>
      </c>
      <c r="G190" s="71" t="s">
        <v>959</v>
      </c>
      <c r="H190" s="72">
        <f>IF($F190="automatisch",IF(ISNA(MATCH(IF($G190="quartalsweise",DATE(YEAR(Berichtstag),INT((MONTH(Berichtstag)-1)/3)*3,1),DATE(YEAR(Berichtstag),MONTH(Berichtstag)-1,1)),Rohdaten!$A$159:$LJ$159,0)),"automatisch",IF(ISNUMBER(INDEX(Rohdaten!$A$161:$LJ$161,MATCH(IF($G190="quartalsweise",DATE(YEAR(Berichtstag),INT((MONTH(Berichtstag)-1)/3)*3,1),DATE(YEAR(Berichtstag),MONTH(Berichtstag)-1,1)),Rohdaten!$A$159:$LJ$159,0))),"erledigt","automatisch")),IF($F190&lt;&gt;"ja","",IF(ISNA(MATCH(IF($G190="quartalsweise",DATE(YEAR(Berichtstag),INT((MONTH(Berichtstag)-1)/3)*3,1),DATE(YEAR(Berichtstag),MONTH(Berichtstag)-1,1)),Rohdaten!$A$159:$LJ$159,0)),"keine Spalte",IF(ISNUMBER(INDEX(Rohdaten!$A$161:$LJ$161,MATCH(IF($G190="quartalsweise",DATE(YEAR(Berichtstag),INT((MONTH(Berichtstag)-1)/3)*3,1),DATE(YEAR(Berichtstag),MONTH(Berichtstag)-1,1)),Rohdaten!$A$159:$LJ$159,0))),"erledigt","offen"))))</f>
        <v/>
      </c>
      <c r="I190" s="73"/>
      <c r="J190" s="73"/>
      <c r="K190" s="73"/>
      <c r="L190" s="73"/>
      <c r="M190" s="73" t="s">
        <v>700</v>
      </c>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t="s">
        <v>960</v>
      </c>
      <c r="AN190" t="s">
        <v>961</v>
      </c>
      <c r="AO190" t="s">
        <v>695</v>
      </c>
    </row>
    <row r="191" spans="1:41" ht="18" customHeight="1" outlineLevel="1">
      <c r="A191" s="65">
        <f>ROW(Rohdaten!$A$162)</f>
        <v>162</v>
      </c>
      <c r="B191" s="66" t="str">
        <f>IF(Rohdaten!$A$162="","",Rohdaten!$A$162)</f>
        <v>21b</v>
      </c>
      <c r="C191" s="74" t="s">
        <v>962</v>
      </c>
      <c r="D191" s="68" t="str">
        <f>IF(Rohdaten!$E$162="","",Rohdaten!$E$162)</f>
        <v>Buchkremer</v>
      </c>
      <c r="E191" s="69" t="str">
        <f t="array" ref="E191">_xlfn.TEXTJOIN(" / ",TRUE,IF($I191:$AL191="●",$I$4:$AL$4,""))</f>
        <v>Buchkremer</v>
      </c>
      <c r="F191" s="70" t="s">
        <v>777</v>
      </c>
      <c r="G191" s="71" t="s">
        <v>959</v>
      </c>
      <c r="H191" s="72">
        <f>IF($F191="automatisch",IF(ISNA(MATCH(IF($G191="quartalsweise",DATE(YEAR(Berichtstag),INT((MONTH(Berichtstag)-1)/3)*3,1),DATE(YEAR(Berichtstag),MONTH(Berichtstag)-1,1)),Rohdaten!$A$159:$LJ$159,0)),"automatisch",IF(ISNUMBER(INDEX(Rohdaten!$A$162:$LJ$162,MATCH(IF($G191="quartalsweise",DATE(YEAR(Berichtstag),INT((MONTH(Berichtstag)-1)/3)*3,1),DATE(YEAR(Berichtstag),MONTH(Berichtstag)-1,1)),Rohdaten!$A$159:$LJ$159,0))),"erledigt","automatisch")),IF($F191&lt;&gt;"ja","",IF(ISNA(MATCH(IF($G191="quartalsweise",DATE(YEAR(Berichtstag),INT((MONTH(Berichtstag)-1)/3)*3,1),DATE(YEAR(Berichtstag),MONTH(Berichtstag)-1,1)),Rohdaten!$A$159:$LJ$159,0)),"keine Spalte",IF(ISNUMBER(INDEX(Rohdaten!$A$162:$LJ$162,MATCH(IF($G191="quartalsweise",DATE(YEAR(Berichtstag),INT((MONTH(Berichtstag)-1)/3)*3,1),DATE(YEAR(Berichtstag),MONTH(Berichtstag)-1,1)),Rohdaten!$A$159:$LJ$159,0))),"erledigt","offen"))))</f>
        <v/>
      </c>
      <c r="I191" s="73"/>
      <c r="J191" s="73"/>
      <c r="K191" s="73"/>
      <c r="L191" s="73"/>
      <c r="M191" s="73" t="s">
        <v>700</v>
      </c>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t="s">
        <v>963</v>
      </c>
      <c r="AN191" t="s">
        <v>375</v>
      </c>
      <c r="AO191" t="s">
        <v>695</v>
      </c>
    </row>
    <row r="192" spans="1:41" ht="18" customHeight="1" outlineLevel="1">
      <c r="A192" s="65">
        <f>ROW(Rohdaten!$A$163)</f>
        <v>163</v>
      </c>
      <c r="B192" s="66" t="str">
        <f>IF(Rohdaten!$A$163="","",Rohdaten!$A$163)</f>
        <v>21c</v>
      </c>
      <c r="C192" s="74" t="s">
        <v>964</v>
      </c>
      <c r="D192" s="68" t="str">
        <f>IF(Rohdaten!$E$163="","",Rohdaten!$E$163)</f>
        <v>Buchkremer</v>
      </c>
      <c r="E192" s="69" t="str">
        <f t="array" ref="E192">_xlfn.TEXTJOIN(" / ",TRUE,IF($I192:$AL192="●",$I$4:$AL$4,""))</f>
        <v>Buchkremer</v>
      </c>
      <c r="F192" s="70" t="s">
        <v>777</v>
      </c>
      <c r="G192" s="71" t="s">
        <v>959</v>
      </c>
      <c r="H192" s="72">
        <f>IF($F192="automatisch",IF(ISNA(MATCH(IF($G192="quartalsweise",DATE(YEAR(Berichtstag),INT((MONTH(Berichtstag)-1)/3)*3,1),DATE(YEAR(Berichtstag),MONTH(Berichtstag)-1,1)),Rohdaten!$A$159:$LJ$159,0)),"automatisch",IF(ISNUMBER(INDEX(Rohdaten!$A$163:$LJ$163,MATCH(IF($G192="quartalsweise",DATE(YEAR(Berichtstag),INT((MONTH(Berichtstag)-1)/3)*3,1),DATE(YEAR(Berichtstag),MONTH(Berichtstag)-1,1)),Rohdaten!$A$159:$LJ$159,0))),"erledigt","automatisch")),IF($F192&lt;&gt;"ja","",IF(ISNA(MATCH(IF($G192="quartalsweise",DATE(YEAR(Berichtstag),INT((MONTH(Berichtstag)-1)/3)*3,1),DATE(YEAR(Berichtstag),MONTH(Berichtstag)-1,1)),Rohdaten!$A$159:$LJ$159,0)),"keine Spalte",IF(ISNUMBER(INDEX(Rohdaten!$A$163:$LJ$163,MATCH(IF($G192="quartalsweise",DATE(YEAR(Berichtstag),INT((MONTH(Berichtstag)-1)/3)*3,1),DATE(YEAR(Berichtstag),MONTH(Berichtstag)-1,1)),Rohdaten!$A$159:$LJ$159,0))),"erledigt","offen"))))</f>
        <v/>
      </c>
      <c r="I192" s="73"/>
      <c r="J192" s="73"/>
      <c r="K192" s="73"/>
      <c r="L192" s="73"/>
      <c r="M192" s="73" t="s">
        <v>700</v>
      </c>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t="s">
        <v>965</v>
      </c>
      <c r="AN192" t="s">
        <v>377</v>
      </c>
      <c r="AO192" t="s">
        <v>695</v>
      </c>
    </row>
    <row r="193" spans="1:41" ht="22" customHeight="1">
      <c r="A193" s="60" t="s">
        <v>966</v>
      </c>
      <c r="B193" s="60"/>
      <c r="C193" s="60"/>
      <c r="D193" s="60"/>
      <c r="E193" s="60"/>
      <c r="F193" s="60"/>
      <c r="G193" s="60"/>
      <c r="H193" s="60"/>
      <c r="I193" s="61"/>
      <c r="J193" s="61"/>
      <c r="K193" s="61"/>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O193" t="s">
        <v>691</v>
      </c>
    </row>
    <row r="194" spans="1:41" ht="18" customHeight="1" outlineLevel="1">
      <c r="A194" s="65">
        <f>ROW(Rohdaten!$A$167)</f>
        <v>167</v>
      </c>
      <c r="B194" s="66" t="str">
        <f>IF(Rohdaten!$A$167="","",Rohdaten!$A$167)</f>
        <v>18D</v>
      </c>
      <c r="C194" s="74" t="s">
        <v>967</v>
      </c>
      <c r="D194" s="68" t="str">
        <f>IF(Rohdaten!$E$167="","",Rohdaten!$E$167)</f>
        <v>Mey/ Richartz</v>
      </c>
      <c r="E194" s="69" t="str">
        <f t="array" ref="E194">_xlfn.TEXTJOIN(" / ",TRUE,IF($I194:$AL194="●",$I$4:$AL$4,""))</f>
        <v>Mey / Richartz</v>
      </c>
      <c r="F194" s="70" t="s">
        <v>767</v>
      </c>
      <c r="G194" s="71" t="s">
        <v>959</v>
      </c>
      <c r="H194" s="72">
        <f>IF($F194="automatisch",IF(ISNA(MATCH(IF($G194="quartalsweise",DATE(YEAR(Berichtstag),INT((MONTH(Berichtstag)-1)/3)*3,1),DATE(YEAR(Berichtstag),MONTH(Berichtstag)-1,1)),Rohdaten!$A$165:$LJ$165,0)),"automatisch",IF(ISNUMBER(INDEX(Rohdaten!$A$167:$LJ$167,MATCH(IF($G194="quartalsweise",DATE(YEAR(Berichtstag),INT((MONTH(Berichtstag)-1)/3)*3,1),DATE(YEAR(Berichtstag),MONTH(Berichtstag)-1,1)),Rohdaten!$A$165:$LJ$165,0))),"erledigt","automatisch")),IF($F194&lt;&gt;"ja","",IF(ISNA(MATCH(IF($G194="quartalsweise",DATE(YEAR(Berichtstag),INT((MONTH(Berichtstag)-1)/3)*3,1),DATE(YEAR(Berichtstag),MONTH(Berichtstag)-1,1)),Rohdaten!$A$165:$LJ$165,0)),"keine Spalte",IF(ISNUMBER(INDEX(Rohdaten!$A$167:$LJ$167,MATCH(IF($G194="quartalsweise",DATE(YEAR(Berichtstag),INT((MONTH(Berichtstag)-1)/3)*3,1),DATE(YEAR(Berichtstag),MONTH(Berichtstag)-1,1)),Rohdaten!$A$165:$LJ$165,0))),"erledigt","offen"))))</f>
        <v/>
      </c>
      <c r="I194" s="73"/>
      <c r="J194" s="73"/>
      <c r="K194" s="73"/>
      <c r="L194" s="73"/>
      <c r="M194" s="73"/>
      <c r="N194" s="73"/>
      <c r="O194" s="73"/>
      <c r="P194" s="73"/>
      <c r="Q194" s="73"/>
      <c r="R194" s="73"/>
      <c r="S194" s="73"/>
      <c r="T194" s="73"/>
      <c r="U194" s="73"/>
      <c r="V194" s="73"/>
      <c r="W194" s="73"/>
      <c r="X194" s="73"/>
      <c r="Y194" s="73"/>
      <c r="Z194" s="73"/>
      <c r="AA194" s="73"/>
      <c r="AB194" s="73" t="s">
        <v>700</v>
      </c>
      <c r="AC194" s="73"/>
      <c r="AD194" s="73" t="s">
        <v>700</v>
      </c>
      <c r="AE194" s="73"/>
      <c r="AF194" s="73"/>
      <c r="AG194" s="73"/>
      <c r="AH194" s="73"/>
      <c r="AI194" s="73"/>
      <c r="AJ194" s="73"/>
      <c r="AK194" s="73"/>
      <c r="AL194" s="73"/>
      <c r="AM194" t="s">
        <v>968</v>
      </c>
      <c r="AN194" t="s">
        <v>363</v>
      </c>
      <c r="AO194" t="s">
        <v>695</v>
      </c>
    </row>
    <row r="195" spans="1:41" ht="18" customHeight="1" outlineLevel="1">
      <c r="A195" s="65">
        <f>ROW(Rohdaten!$A$168)</f>
        <v>168</v>
      </c>
      <c r="B195" s="66">
        <f>IF(Rohdaten!$A$168="","",Rohdaten!$A$168)</f>
        <v/>
      </c>
      <c r="C195" s="74" t="s">
        <v>969</v>
      </c>
      <c r="D195" s="68" t="str">
        <f>IF(Rohdaten!$E$168="","",Rohdaten!$E$168)</f>
        <v>Mey/ Richartz</v>
      </c>
      <c r="E195" s="69" t="str">
        <f t="array" ref="E195">_xlfn.TEXTJOIN(" / ",TRUE,IF($I195:$AL195="●",$I$4:$AL$4,""))</f>
        <v>Mey / Richartz</v>
      </c>
      <c r="F195" s="70" t="s">
        <v>767</v>
      </c>
      <c r="G195" s="71" t="s">
        <v>959</v>
      </c>
      <c r="H195" s="72">
        <f>IF($F195="automatisch",IF(ISNA(MATCH(IF($G195="quartalsweise",DATE(YEAR(Berichtstag),INT((MONTH(Berichtstag)-1)/3)*3,1),DATE(YEAR(Berichtstag),MONTH(Berichtstag)-1,1)),Rohdaten!$A$165:$LJ$165,0)),"automatisch",IF(ISNUMBER(INDEX(Rohdaten!$A$168:$LJ$168,MATCH(IF($G195="quartalsweise",DATE(YEAR(Berichtstag),INT((MONTH(Berichtstag)-1)/3)*3,1),DATE(YEAR(Berichtstag),MONTH(Berichtstag)-1,1)),Rohdaten!$A$165:$LJ$165,0))),"erledigt","automatisch")),IF($F195&lt;&gt;"ja","",IF(ISNA(MATCH(IF($G195="quartalsweise",DATE(YEAR(Berichtstag),INT((MONTH(Berichtstag)-1)/3)*3,1),DATE(YEAR(Berichtstag),MONTH(Berichtstag)-1,1)),Rohdaten!$A$165:$LJ$165,0)),"keine Spalte",IF(ISNUMBER(INDEX(Rohdaten!$A$168:$LJ$168,MATCH(IF($G195="quartalsweise",DATE(YEAR(Berichtstag),INT((MONTH(Berichtstag)-1)/3)*3,1),DATE(YEAR(Berichtstag),MONTH(Berichtstag)-1,1)),Rohdaten!$A$165:$LJ$165,0))),"erledigt","offen"))))</f>
        <v/>
      </c>
      <c r="I195" s="73"/>
      <c r="J195" s="73"/>
      <c r="K195" s="73"/>
      <c r="L195" s="73"/>
      <c r="M195" s="73"/>
      <c r="N195" s="73"/>
      <c r="O195" s="73"/>
      <c r="P195" s="73"/>
      <c r="Q195" s="73"/>
      <c r="R195" s="73"/>
      <c r="S195" s="73"/>
      <c r="T195" s="73"/>
      <c r="U195" s="73"/>
      <c r="V195" s="73"/>
      <c r="W195" s="73"/>
      <c r="X195" s="73"/>
      <c r="Y195" s="73"/>
      <c r="Z195" s="73"/>
      <c r="AA195" s="73"/>
      <c r="AB195" s="73" t="s">
        <v>700</v>
      </c>
      <c r="AC195" s="73"/>
      <c r="AD195" s="73" t="s">
        <v>700</v>
      </c>
      <c r="AE195" s="73"/>
      <c r="AF195" s="73"/>
      <c r="AG195" s="73"/>
      <c r="AH195" s="73"/>
      <c r="AI195" s="73"/>
      <c r="AJ195" s="73"/>
      <c r="AK195" s="73"/>
      <c r="AL195" s="73"/>
      <c r="AM195" t="s">
        <v>970</v>
      </c>
      <c r="AO195" t="s">
        <v>695</v>
      </c>
    </row>
    <row r="196" spans="1:41" ht="18" customHeight="1" outlineLevel="1">
      <c r="A196" s="65">
        <f>ROW(Rohdaten!$A$169)</f>
        <v>169</v>
      </c>
      <c r="B196" s="66" t="str">
        <f>IF(Rohdaten!$A$169="","",Rohdaten!$A$169)</f>
        <v>18E</v>
      </c>
      <c r="C196" s="74" t="s">
        <v>971</v>
      </c>
      <c r="D196" s="68" t="str">
        <f>IF(Rohdaten!$E$169="","",Rohdaten!$E$169)</f>
        <v>Mey/ Richartz</v>
      </c>
      <c r="E196" s="69" t="str">
        <f t="array" ref="E196">_xlfn.TEXTJOIN(" / ",TRUE,IF($I196:$AL196="●",$I$4:$AL$4,""))</f>
        <v>Mey / Richartz</v>
      </c>
      <c r="F196" s="70" t="s">
        <v>697</v>
      </c>
      <c r="G196" s="71" t="s">
        <v>959</v>
      </c>
      <c r="H196" s="72">
        <f>IF($F196="automatisch",IF(ISNA(MATCH(IF($G196="quartalsweise",DATE(YEAR(Berichtstag),INT((MONTH(Berichtstag)-1)/3)*3,1),DATE(YEAR(Berichtstag),MONTH(Berichtstag)-1,1)),Rohdaten!$A$165:$LJ$165,0)),"automatisch",IF(ISNUMBER(INDEX(Rohdaten!$A$169:$LJ$169,MATCH(IF($G196="quartalsweise",DATE(YEAR(Berichtstag),INT((MONTH(Berichtstag)-1)/3)*3,1),DATE(YEAR(Berichtstag),MONTH(Berichtstag)-1,1)),Rohdaten!$A$165:$LJ$165,0))),"erledigt","automatisch")),IF($F196&lt;&gt;"ja","",IF(ISNA(MATCH(IF($G196="quartalsweise",DATE(YEAR(Berichtstag),INT((MONTH(Berichtstag)-1)/3)*3,1),DATE(YEAR(Berichtstag),MONTH(Berichtstag)-1,1)),Rohdaten!$A$165:$LJ$165,0)),"keine Spalte",IF(ISNUMBER(INDEX(Rohdaten!$A$169:$LJ$169,MATCH(IF($G196="quartalsweise",DATE(YEAR(Berichtstag),INT((MONTH(Berichtstag)-1)/3)*3,1),DATE(YEAR(Berichtstag),MONTH(Berichtstag)-1,1)),Rohdaten!$A$165:$LJ$165,0))),"erledigt","offen"))))</f>
        <v/>
      </c>
      <c r="I196" s="73"/>
      <c r="J196" s="73"/>
      <c r="K196" s="73"/>
      <c r="L196" s="73"/>
      <c r="M196" s="73"/>
      <c r="N196" s="73"/>
      <c r="O196" s="73"/>
      <c r="P196" s="73"/>
      <c r="Q196" s="73"/>
      <c r="R196" s="73"/>
      <c r="S196" s="73"/>
      <c r="T196" s="73"/>
      <c r="U196" s="73"/>
      <c r="V196" s="73"/>
      <c r="W196" s="73"/>
      <c r="X196" s="73"/>
      <c r="Y196" s="73"/>
      <c r="Z196" s="73"/>
      <c r="AA196" s="73"/>
      <c r="AB196" s="73" t="s">
        <v>700</v>
      </c>
      <c r="AC196" s="73"/>
      <c r="AD196" s="73" t="s">
        <v>700</v>
      </c>
      <c r="AE196" s="73"/>
      <c r="AF196" s="73"/>
      <c r="AG196" s="73"/>
      <c r="AH196" s="73"/>
      <c r="AI196" s="73"/>
      <c r="AJ196" s="73"/>
      <c r="AK196" s="73"/>
      <c r="AL196" s="73"/>
      <c r="AM196" t="s">
        <v>972</v>
      </c>
      <c r="AN196" t="s">
        <v>371</v>
      </c>
      <c r="AO196" t="s">
        <v>695</v>
      </c>
    </row>
    <row r="197" spans="1:41" ht="18" customHeight="1" outlineLevel="1">
      <c r="A197" s="65">
        <f>ROW(Rohdaten!$A$170)</f>
        <v>170</v>
      </c>
      <c r="B197" s="66">
        <f>IF(Rohdaten!$A$170="","",Rohdaten!$A$170)</f>
        <v/>
      </c>
      <c r="C197" s="74" t="s">
        <v>973</v>
      </c>
      <c r="D197" s="68" t="str">
        <f>IF(Rohdaten!$E$170="","",Rohdaten!$E$170)</f>
        <v>Mey/ Richartz</v>
      </c>
      <c r="E197" s="69" t="str">
        <f t="array" ref="E197">_xlfn.TEXTJOIN(" / ",TRUE,IF($I197:$AL197="●",$I$4:$AL$4,""))</f>
        <v>Mey / Richartz</v>
      </c>
      <c r="F197" s="70" t="s">
        <v>697</v>
      </c>
      <c r="G197" s="71" t="s">
        <v>959</v>
      </c>
      <c r="H197" s="72" t="str">
        <f>IF($F197="automatisch",IF(ISNA(MATCH(IF($G197="quartalsweise",DATE(YEAR(Berichtstag),INT((MONTH(Berichtstag)-1)/3)*3,1),DATE(YEAR(Berichtstag),MONTH(Berichtstag)-1,1)),Rohdaten!$A$165:$LJ$165,0)),"automatisch",IF(ISNUMBER(INDEX(Rohdaten!$A$170:$LJ$170,MATCH(IF($G197="quartalsweise",DATE(YEAR(Berichtstag),INT((MONTH(Berichtstag)-1)/3)*3,1),DATE(YEAR(Berichtstag),MONTH(Berichtstag)-1,1)),Rohdaten!$A$165:$LJ$165,0))),"erledigt","automatisch")),IF($F197&lt;&gt;"ja","nicht berichtet",IF(ISNA(MATCH(IF($G197="quartalsweise",DATE(YEAR(Berichtstag),INT((MONTH(Berichtstag)-1)/3)*3,1),DATE(YEAR(Berichtstag),MONTH(Berichtstag)-1,1)),Rohdaten!$A$165:$LJ$165,0)),"keine Spalte",IF(ISNUMBER(INDEX(Rohdaten!$A$170:$LJ$170,MATCH(IF($G197="quartalsweise",DATE(YEAR(Berichtstag),INT((MONTH(Berichtstag)-1)/3)*3,1),DATE(YEAR(Berichtstag),MONTH(Berichtstag)-1,1)),Rohdaten!$A$165:$LJ$165,0))),"erledigt","offen"))))</f>
        <v>nicht berichtet</v>
      </c>
      <c r="I197" s="73"/>
      <c r="J197" s="73"/>
      <c r="K197" s="73"/>
      <c r="L197" s="73"/>
      <c r="M197" s="73"/>
      <c r="N197" s="73"/>
      <c r="O197" s="73"/>
      <c r="P197" s="73"/>
      <c r="Q197" s="73"/>
      <c r="R197" s="73"/>
      <c r="S197" s="73"/>
      <c r="T197" s="73"/>
      <c r="U197" s="73"/>
      <c r="V197" s="73"/>
      <c r="W197" s="73"/>
      <c r="X197" s="73"/>
      <c r="Y197" s="73"/>
      <c r="Z197" s="73"/>
      <c r="AA197" s="73"/>
      <c r="AB197" s="73" t="s">
        <v>700</v>
      </c>
      <c r="AC197" s="73"/>
      <c r="AD197" s="73" t="s">
        <v>700</v>
      </c>
      <c r="AE197" s="73"/>
      <c r="AF197" s="73"/>
      <c r="AG197" s="73"/>
      <c r="AH197" s="73"/>
      <c r="AI197" s="73"/>
      <c r="AJ197" s="73"/>
      <c r="AK197" s="73"/>
      <c r="AL197" s="73"/>
      <c r="AM197" t="s">
        <v>974</v>
      </c>
      <c r="AO197" t="s">
        <v>695</v>
      </c>
    </row>
    <row r="198" spans="1:41" ht="18" customHeight="1" outlineLevel="1">
      <c r="A198" s="65">
        <f>ROW(Rohdaten!$A$171)</f>
        <v>171</v>
      </c>
      <c r="B198" s="66">
        <f>IF(Rohdaten!$A$171="","",Rohdaten!$A$171)</f>
        <v/>
      </c>
      <c r="C198" s="74" t="s">
        <v>975</v>
      </c>
      <c r="D198" s="68" t="str">
        <f>IF(Rohdaten!$E$171="","",Rohdaten!$E$171)</f>
        <v>Mey/ Richartz</v>
      </c>
      <c r="E198" s="69" t="str">
        <f t="array" ref="E198">_xlfn.TEXTJOIN(" / ",TRUE,IF($I198:$AL198="●",$I$4:$AL$4,""))</f>
        <v>Mey / Richartz</v>
      </c>
      <c r="F198" s="70" t="s">
        <v>697</v>
      </c>
      <c r="G198" s="71" t="s">
        <v>959</v>
      </c>
      <c r="H198" s="72" t="str">
        <f>IF($F198="automatisch",IF(ISNA(MATCH(IF($G198="quartalsweise",DATE(YEAR(Berichtstag),INT((MONTH(Berichtstag)-1)/3)*3,1),DATE(YEAR(Berichtstag),MONTH(Berichtstag)-1,1)),Rohdaten!$A$165:$LJ$165,0)),"automatisch",IF(ISNUMBER(INDEX(Rohdaten!$A$171:$LJ$171,MATCH(IF($G198="quartalsweise",DATE(YEAR(Berichtstag),INT((MONTH(Berichtstag)-1)/3)*3,1),DATE(YEAR(Berichtstag),MONTH(Berichtstag)-1,1)),Rohdaten!$A$165:$LJ$165,0))),"erledigt","automatisch")),IF($F198&lt;&gt;"ja","nicht berichtet",IF(ISNA(MATCH(IF($G198="quartalsweise",DATE(YEAR(Berichtstag),INT((MONTH(Berichtstag)-1)/3)*3,1),DATE(YEAR(Berichtstag),MONTH(Berichtstag)-1,1)),Rohdaten!$A$165:$LJ$165,0)),"keine Spalte",IF(ISNUMBER(INDEX(Rohdaten!$A$171:$LJ$171,MATCH(IF($G198="quartalsweise",DATE(YEAR(Berichtstag),INT((MONTH(Berichtstag)-1)/3)*3,1),DATE(YEAR(Berichtstag),MONTH(Berichtstag)-1,1)),Rohdaten!$A$165:$LJ$165,0))),"erledigt","offen"))))</f>
        <v>nicht berichtet</v>
      </c>
      <c r="I198" s="73"/>
      <c r="J198" s="73"/>
      <c r="K198" s="73"/>
      <c r="L198" s="73"/>
      <c r="M198" s="73"/>
      <c r="N198" s="73"/>
      <c r="O198" s="73"/>
      <c r="P198" s="73"/>
      <c r="Q198" s="73"/>
      <c r="R198" s="73"/>
      <c r="S198" s="73"/>
      <c r="T198" s="73"/>
      <c r="U198" s="73"/>
      <c r="V198" s="73"/>
      <c r="W198" s="73"/>
      <c r="X198" s="73"/>
      <c r="Y198" s="73"/>
      <c r="Z198" s="73"/>
      <c r="AA198" s="73"/>
      <c r="AB198" s="73" t="s">
        <v>700</v>
      </c>
      <c r="AC198" s="73"/>
      <c r="AD198" s="73" t="s">
        <v>700</v>
      </c>
      <c r="AE198" s="73"/>
      <c r="AF198" s="73"/>
      <c r="AG198" s="73"/>
      <c r="AH198" s="73"/>
      <c r="AI198" s="73"/>
      <c r="AJ198" s="73"/>
      <c r="AK198" s="73"/>
      <c r="AL198" s="73"/>
      <c r="AM198" t="s">
        <v>976</v>
      </c>
      <c r="AO198" t="s">
        <v>695</v>
      </c>
    </row>
  </sheetData>
  <sheetProtection sheet="1" scenarios="1" formatColumns="0" formatRows="0"/>
  <mergeCells count="42">
    <mergeCell ref="A5:H5"/>
    <mergeCell ref="C6:H6"/>
    <mergeCell ref="C14:H14"/>
    <mergeCell ref="A22:H22"/>
    <mergeCell ref="C23:H23"/>
    <mergeCell ref="C31:H31"/>
    <mergeCell ref="A39:H39"/>
    <mergeCell ref="C40:H40"/>
    <mergeCell ref="A48:H48"/>
    <mergeCell ref="C49:H49"/>
    <mergeCell ref="C57:H57"/>
    <mergeCell ref="A65:H65"/>
    <mergeCell ref="A67:H67"/>
    <mergeCell ref="A71:H71"/>
    <mergeCell ref="C73:H73"/>
    <mergeCell ref="C78:H78"/>
    <mergeCell ref="C83:H83"/>
    <mergeCell ref="C88:H88"/>
    <mergeCell ref="C93:H93"/>
    <mergeCell ref="C98:H98"/>
    <mergeCell ref="C102:H102"/>
    <mergeCell ref="C108:H108"/>
    <mergeCell ref="C113:H113"/>
    <mergeCell ref="A117:H117"/>
    <mergeCell ref="C118:H118"/>
    <mergeCell ref="C122:H122"/>
    <mergeCell ref="C126:H126"/>
    <mergeCell ref="A131:H131"/>
    <mergeCell ref="A133:H133"/>
    <mergeCell ref="A135:H135"/>
    <mergeCell ref="A137:H137"/>
    <mergeCell ref="A139:H139"/>
    <mergeCell ref="A152:H152"/>
    <mergeCell ref="A165:H165"/>
    <mergeCell ref="A167:H167"/>
    <mergeCell ref="A172:H172"/>
    <mergeCell ref="A174:H174"/>
    <mergeCell ref="A178:H178"/>
    <mergeCell ref="A185:H185"/>
    <mergeCell ref="A187:H187"/>
    <mergeCell ref="A189:H189"/>
    <mergeCell ref="A193:H193"/>
  </mergeCells>
  <conditionalFormatting sqref="F5:F199">
    <cfRule type="cellIs" dxfId="2" priority="3" operator="equal">
      <formula>"ja"</formula>
    </cfRule>
    <cfRule type="cellIs" dxfId="3" priority="4" operator="equal">
      <formula>"nein"</formula>
    </cfRule>
    <cfRule type="cellIs" dxfId="5" priority="6" operator="equal">
      <formula>"automatisch"</formula>
    </cfRule>
  </conditionalFormatting>
  <conditionalFormatting sqref="F5:G199">
    <cfRule type="expression" dxfId="9" priority="11">
      <formula>AND(ZuordnungOffen=1,$A5&lt;&gt;"")</formula>
    </cfRule>
  </conditionalFormatting>
  <conditionalFormatting sqref="H5:H19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9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Konfiguration">
    <tabColor rgb="FF0F94A7"/>
  </sheetPr>
  <dimension ref="A1:I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 min="8" max="9" width="12.7109375" customWidth="1"/>
  </cols>
  <sheetData>
    <row r="1" spans="1:9">
      <c r="A1" s="13" t="s">
        <v>977</v>
      </c>
    </row>
    <row r="2" spans="1:9">
      <c r="A2" s="8" t="s">
        <v>978</v>
      </c>
    </row>
    <row r="3" spans="1:9">
      <c r="B3" s="4" t="s">
        <v>979</v>
      </c>
      <c r="H3" s="8" t="s">
        <v>981</v>
      </c>
    </row>
    <row r="4" spans="1:9">
      <c r="B4" s="11" t="s">
        <v>980</v>
      </c>
      <c r="C4" s="16">
        <f>IF($I$4&gt;=TODAY(),$I$4,IF($I$5&gt;=TODAY(),$I$5,$I$6))</f>
        <v>0</v>
      </c>
      <c r="E4" s="11" t="s">
        <v>982</v>
      </c>
      <c r="F4" s="56" t="s">
        <v>983</v>
      </c>
      <c r="H4" s="8">
        <f>MOD(IFERROR(MATCH($F$4,{"Montag","Dienstag","Mittwoch","Donnerstag","Freitag"},0),1)-5,7)</f>
        <v>0</v>
      </c>
      <c r="I4" s="16">
        <f>WORKDAY(($H$5-7)+IF(($H$5-7)+$H$4&gt;=N($F$7),$H$4,0)-1,1,FeiertageBT)</f>
        <v>0</v>
      </c>
    </row>
    <row r="5" spans="1:9">
      <c r="B5" s="11" t="s">
        <v>988</v>
      </c>
      <c r="C5" s="77"/>
      <c r="E5" s="11" t="s">
        <v>984</v>
      </c>
      <c r="F5" s="56" t="s">
        <v>985</v>
      </c>
      <c r="H5" s="16">
        <f>TODAY()-MOD(WEEKDAY(TODAY(),2)-5,7)</f>
        <v>0</v>
      </c>
      <c r="I5" s="16">
        <f>WORKDAY(($H$5)+IF(($H$5)+$H$4&gt;=N($F$7),$H$4,0)-1,1,FeiertageBT)</f>
        <v>0</v>
      </c>
    </row>
    <row r="6" spans="1:9">
      <c r="B6" s="11" t="s">
        <v>989</v>
      </c>
      <c r="C6" s="6">
        <f>IF(C5&lt;&gt;"",C5,C4)</f>
        <v>0</v>
      </c>
      <c r="E6" s="11" t="s">
        <v>986</v>
      </c>
      <c r="F6" s="16">
        <f>Stichtag</f>
        <v>0</v>
      </c>
      <c r="H6" s="16">
        <f>IF($I$4&gt;=TODAY(),$H$5-7,IF($I$5&gt;=TODAY(),$H$5,$H$5+7))</f>
        <v>0</v>
      </c>
      <c r="I6" s="16">
        <f>WORKDAY(($H$5+7)+IF(($H$5+7)+$H$4&gt;=N($F$7),$H$4,0)-1,1,FeiertageBT)</f>
        <v>0</v>
      </c>
    </row>
    <row r="7" spans="1:9">
      <c r="E7" s="11" t="s">
        <v>987</v>
      </c>
      <c r="F7" s="77">
        <v>46314</v>
      </c>
      <c r="H7" s="16">
        <f>IF(N($C$5)=0,"",$C$5-MOD(WEEKDAY($C$5,2)+2,7)-7*(($C$5-MOD(WEEKDAY($C$5,2)+2,7)+IF($C$5-MOD(WEEKDAY($C$5,2)+2,7)+$H$4&gt;=N($F$7),$H$4,0))&gt;$C$5))</f>
        <v>0</v>
      </c>
    </row>
    <row r="8" spans="1:9">
      <c r="B8" s="4" t="s">
        <v>990</v>
      </c>
      <c r="E8" s="4" t="s">
        <v>992</v>
      </c>
    </row>
    <row r="9" spans="1:9">
      <c r="B9" s="11" t="s">
        <v>991</v>
      </c>
      <c r="C9" s="78">
        <v>500</v>
      </c>
      <c r="E9" s="11" t="s">
        <v>993</v>
      </c>
      <c r="F9" s="78">
        <v>5500</v>
      </c>
      <c r="G9" s="55">
        <f>IF(N(F9)&gt;0,"SLA "&amp;FIXED(F9/1000,1),"SLA: kein Wert")</f>
        <v>0</v>
      </c>
    </row>
    <row r="10" spans="1:9">
      <c r="B10" s="11" t="s">
        <v>996</v>
      </c>
      <c r="C10" s="55" t="s">
        <v>997</v>
      </c>
      <c r="E10" s="11" t="s">
        <v>994</v>
      </c>
      <c r="F10" s="78"/>
    </row>
    <row r="11" spans="1:9">
      <c r="B11" s="4" t="s">
        <v>998</v>
      </c>
      <c r="E11" s="11" t="s">
        <v>995</v>
      </c>
      <c r="F11" s="17">
        <f>IF(N(F10)&gt;0,F10,IFERROR(ROUND(F9*_xlfn.AGGREGATE(1,6,Dashboard_Daten!$U$134:$AD$134),-2),""))</f>
        <v>0</v>
      </c>
      <c r="G11" s="55">
        <f>IF(N(F11)&gt;0,IF(N(F10)&gt;0,"SLA "&amp;FIXED(F11/1000,1),"SLA "&amp;FIXED(F11/1000,1)&amp;" (Faktor "&amp;FIXED(_xlfn.AGGREGATE(1,6,Dashboard_Daten!$U$134:$AD$134),2)&amp;") TBC"),"SLA OPAG: noch kein Vorschlag")</f>
        <v>0</v>
      </c>
    </row>
    <row r="12" spans="1:9">
      <c r="B12" s="11" t="s">
        <v>999</v>
      </c>
      <c r="C12" s="57"/>
    </row>
    <row r="13" spans="1:9">
      <c r="B13" s="11" t="s">
        <v>1000</v>
      </c>
      <c r="C13" s="57"/>
    </row>
    <row r="14" spans="1:9">
      <c r="B14" s="4" t="s">
        <v>1001</v>
      </c>
    </row>
    <row r="15" spans="1:9">
      <c r="B15" s="11" t="s">
        <v>1002</v>
      </c>
      <c r="C15" s="57" t="s">
        <v>1003</v>
      </c>
    </row>
    <row r="16" spans="1:9">
      <c r="B16" s="11" t="s">
        <v>1004</v>
      </c>
      <c r="C16" s="57" t="s">
        <v>1005</v>
      </c>
    </row>
    <row r="17" spans="2:7">
      <c r="B17" s="11" t="s">
        <v>1006</v>
      </c>
      <c r="C17" s="55">
        <f>"Stand  "&amp;TEXT(DAY(Berichtstag),"00")&amp;"."&amp;TEXT(MONTH(Berichtstag),"00")&amp;"."&amp;YEAR(Berichtstag)</f>
        <v>0</v>
      </c>
    </row>
    <row r="19" spans="2:7">
      <c r="B19" s="4" t="s">
        <v>1007</v>
      </c>
    </row>
    <row r="20" spans="2:7">
      <c r="B20" s="9" t="s">
        <v>1008</v>
      </c>
      <c r="C20" s="9" t="s">
        <v>1009</v>
      </c>
      <c r="E20" s="9" t="s">
        <v>1010</v>
      </c>
      <c r="F20" s="9" t="s">
        <v>1011</v>
      </c>
    </row>
    <row r="21" spans="2:7">
      <c r="B21" s="55" t="s">
        <v>1012</v>
      </c>
      <c r="C21" s="55" t="s">
        <v>1013</v>
      </c>
      <c r="E21" s="57"/>
      <c r="F21" s="56" t="s">
        <v>767</v>
      </c>
      <c r="G21" s="3">
        <f>E21&amp;IF(E21="","","  ·  ")&amp;"STAND "&amp;TEXT(DAY(Berichtstag),"00")&amp;"."&amp;TEXT(MONTH(Berichtstag),"00")&amp;"."&amp;YEAR(Berichtstag)</f>
        <v>0</v>
      </c>
    </row>
    <row r="22" spans="2:7">
      <c r="B22" s="55" t="s">
        <v>1014</v>
      </c>
      <c r="C22" s="57" t="s">
        <v>1015</v>
      </c>
      <c r="E22" s="57" t="s">
        <v>1016</v>
      </c>
      <c r="F22" s="56" t="s">
        <v>767</v>
      </c>
      <c r="G22" s="3">
        <f>E22&amp;IF(E22="","","  ·  ")&amp;"STAND "&amp;TEXT(DAY(Berichtstag),"00")&amp;"."&amp;TEXT(MONTH(Berichtstag),"00")&amp;"."&amp;YEAR(Berichtstag)</f>
        <v>0</v>
      </c>
    </row>
    <row r="23" spans="2:7">
      <c r="B23" s="55" t="s">
        <v>1017</v>
      </c>
      <c r="C23" s="57" t="s">
        <v>1018</v>
      </c>
      <c r="E23" s="57" t="s">
        <v>1016</v>
      </c>
      <c r="F23" s="56" t="s">
        <v>767</v>
      </c>
      <c r="G23" s="3">
        <f>E23&amp;IF(E23="","","  ·  ")&amp;"STAND "&amp;TEXT(DAY(Berichtstag),"00")&amp;"."&amp;TEXT(MONTH(Berichtstag),"00")&amp;"."&amp;YEAR(Berichtstag)</f>
        <v>0</v>
      </c>
    </row>
    <row r="25" spans="2:7">
      <c r="B25" s="11" t="s">
        <v>1019</v>
      </c>
      <c r="C25" s="55">
        <f>"Wochenwerte: je Kachel die letzten KW mit Daten, höchstens bis KW "&amp;_xlfn.ISOWEEKNUM(Stichtag)&amp;"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1020</v>
      </c>
    </row>
    <row r="27" spans="2:7">
      <c r="B27" s="8" t="s">
        <v>1021</v>
      </c>
    </row>
    <row r="28" spans="2:7">
      <c r="B28" s="57" t="s">
        <v>1022</v>
      </c>
    </row>
    <row r="29" spans="2:7">
      <c r="B29" s="57" t="s">
        <v>1023</v>
      </c>
    </row>
    <row r="30" spans="2:7">
      <c r="B30" s="57" t="s">
        <v>1024</v>
      </c>
    </row>
    <row r="31" spans="2:7">
      <c r="B31" s="57" t="s">
        <v>1025</v>
      </c>
    </row>
    <row r="32" spans="2:7">
      <c r="B32" s="57" t="s">
        <v>1026</v>
      </c>
    </row>
    <row r="33" spans="2:2">
      <c r="B33" s="57" t="s">
        <v>1027</v>
      </c>
    </row>
    <row r="34" spans="2:2">
      <c r="B34" s="57" t="s">
        <v>1028</v>
      </c>
    </row>
    <row r="35" spans="2:2">
      <c r="B35" s="57" t="s">
        <v>1029</v>
      </c>
    </row>
    <row r="36" spans="2:2">
      <c r="B36" s="57" t="s">
        <v>1030</v>
      </c>
    </row>
    <row r="37" spans="2:2">
      <c r="B37" s="57" t="s">
        <v>1031</v>
      </c>
    </row>
    <row r="38" spans="2:2">
      <c r="B38" s="57" t="s">
        <v>1032</v>
      </c>
    </row>
    <row r="39" spans="2:2">
      <c r="B39" s="57" t="s">
        <v>1033</v>
      </c>
    </row>
    <row r="40" spans="2:2">
      <c r="B40" s="57" t="s">
        <v>1034</v>
      </c>
    </row>
    <row r="41" spans="2:2">
      <c r="B41" s="57" t="s">
        <v>1035</v>
      </c>
    </row>
    <row r="42" spans="2:2">
      <c r="B42" s="57" t="s">
        <v>1036</v>
      </c>
    </row>
    <row r="43" spans="2:2">
      <c r="B43" s="57" t="s">
        <v>1037</v>
      </c>
    </row>
    <row r="44" spans="2:2">
      <c r="B44" s="57" t="s">
        <v>1038</v>
      </c>
    </row>
    <row r="45" spans="2:2">
      <c r="B45" s="57" t="s">
        <v>1039</v>
      </c>
    </row>
    <row r="46" spans="2:2">
      <c r="B46" s="57" t="s">
        <v>1040</v>
      </c>
    </row>
    <row r="47" spans="2:2">
      <c r="B47" s="57" t="s">
        <v>1041</v>
      </c>
    </row>
    <row r="48" spans="2:2">
      <c r="B48" s="57" t="s">
        <v>1042</v>
      </c>
    </row>
    <row r="49" spans="2:3">
      <c r="B49" s="57" t="s">
        <v>1043</v>
      </c>
    </row>
    <row r="50" spans="2:3">
      <c r="B50" s="57" t="s">
        <v>1044</v>
      </c>
    </row>
    <row r="51" spans="2:3">
      <c r="B51" s="57" t="s">
        <v>1045</v>
      </c>
    </row>
    <row r="52" spans="2:3">
      <c r="B52" s="57" t="s">
        <v>1046</v>
      </c>
    </row>
    <row r="53" spans="2:3">
      <c r="B53" s="57" t="s">
        <v>1047</v>
      </c>
    </row>
    <row r="54" spans="2:3">
      <c r="B54" s="57" t="s">
        <v>1048</v>
      </c>
    </row>
    <row r="55" spans="2:3">
      <c r="B55" s="57"/>
    </row>
    <row r="56" spans="2:3">
      <c r="B56" s="57"/>
    </row>
    <row r="57" spans="2:3">
      <c r="B57" s="57"/>
    </row>
    <row r="59" spans="2:3">
      <c r="B59" s="11" t="s">
        <v>1049</v>
      </c>
      <c r="C59" s="55">
        <v>0</v>
      </c>
    </row>
    <row r="61" spans="2:3">
      <c r="B61" s="4" t="s">
        <v>1050</v>
      </c>
    </row>
    <row r="62" spans="2:3">
      <c r="B62" s="11" t="s">
        <v>1051</v>
      </c>
      <c r="C62" s="57" t="s">
        <v>1052</v>
      </c>
    </row>
    <row r="63" spans="2:3">
      <c r="B63" s="11" t="s">
        <v>1053</v>
      </c>
      <c r="C63" s="55"/>
    </row>
    <row r="64" spans="2:3">
      <c r="B64" s="8" t="s">
        <v>1054</v>
      </c>
    </row>
  </sheetData>
  <dataValidations count="3">
    <dataValidation type="list" allowBlank="1" showInputMessage="1" showErrorMessage="1" sqref="F4">
      <formula1>"Montag,Dienstag,Mittwoch,Donnerstag,Freitag"</formula1>
    </dataValidation>
    <dataValidation type="list" allowBlank="1" showInputMessage="1" showErrorMessage="1" sqref="F5">
      <formula1>"K,D,M,HH,B,MA"</formula1>
    </dataValidation>
    <dataValidation type="list" allowBlank="1" showInputMessage="1" showErrorMessage="1" sqref="F21:F23">
      <formula1>"ja,nein"</formula1>
    </dataValidation>
  </dataValidations>
  <hyperlinks>
    <hyperlink ref="C10" r:id="rId1"/>
    <hyperlink ref="C62"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1228</v>
      </c>
    </row>
    <row r="2" spans="2:12">
      <c r="B2" s="2">
        <f>"Werte aus Rohdaten (Zeilen 7VA bis 7OL) · KW "&amp;_xlfn.ISOWEEKNUM(Stichtag)&amp;" (Stand "&amp;TEXT(DAY(Stichtag),"00")&amp;"."&amp;TEXT(MONTH(Stichtag),"00")&amp;".) · Berichtstag "&amp;TEXT(DAY(Berichtstag),"00")&amp;"."&amp;TEXT(MONTH(Berichtstag),"00")&amp;"."&amp;YEAR(Berichtstag)</f>
        <v>0</v>
      </c>
    </row>
    <row r="4" spans="2:12">
      <c r="B4" s="4" t="s">
        <v>1229</v>
      </c>
      <c r="H4" s="4" t="s">
        <v>1236</v>
      </c>
    </row>
    <row r="5" spans="2:12">
      <c r="B5" s="9" t="s">
        <v>681</v>
      </c>
      <c r="C5" s="10" t="s">
        <v>818</v>
      </c>
      <c r="D5" s="10" t="s">
        <v>1230</v>
      </c>
      <c r="E5" s="10" t="s">
        <v>1231</v>
      </c>
      <c r="F5" s="10" t="s">
        <v>1232</v>
      </c>
      <c r="H5" s="9" t="s">
        <v>681</v>
      </c>
      <c r="I5" s="10" t="s">
        <v>818</v>
      </c>
      <c r="J5" s="10" t="s">
        <v>1230</v>
      </c>
      <c r="K5" s="10" t="s">
        <v>1231</v>
      </c>
      <c r="L5" s="10" t="s">
        <v>1232</v>
      </c>
    </row>
    <row r="6" spans="2:12">
      <c r="B6" s="55" t="s">
        <v>1233</v>
      </c>
      <c r="C6" s="17">
        <f>IFERROR(IF(ISNUMBER(INDEX(Rohdaten!$A$67:$LJ$67,MATCH(Stichtag,RD_Kopf,0))),INDEX(Rohdaten!$A$67:$LJ$67,MATCH(Stichtag,RD_Kopf,0)),"–"),"–")</f>
        <v>0</v>
      </c>
      <c r="D6" s="17">
        <f>IFERROR(IF(ISNUMBER(INDEX(Rohdaten!$A$68:$LJ$68,MATCH(Stichtag,RD_Kopf,0))),INDEX(Rohdaten!$A$68:$LJ$68,MATCH(Stichtag,RD_Kopf,0)),"–"),"–")</f>
        <v>0</v>
      </c>
      <c r="E6" s="17">
        <f>IFERROR(IF(ISNUMBER(INDEX(Rohdaten!$A$69:$LJ$69,MATCH(Stichtag,RD_Kopf,0))),INDEX(Rohdaten!$A$69:$LJ$69,MATCH(Stichtag,RD_Kopf,0)),"–"),"–")</f>
        <v>0</v>
      </c>
      <c r="F6" s="17">
        <f>IFERROR(IF(ISNUMBER(INDEX(Rohdaten!$A$70:$LJ$70,MATCH(Stichtag,RD_Kopf,0))),INDEX(Rohdaten!$A$70:$LJ$70,MATCH(Stichtag,RD_Kopf,0)),"–"),"–")</f>
        <v>0</v>
      </c>
      <c r="H6" s="55" t="s">
        <v>1233</v>
      </c>
      <c r="I6" s="17">
        <f>IFERROR(IF(ISNUMBER(INDEX(Rohdaten!$A$79:$LJ$79,MATCH(Stichtag,RD_Kopf,0))),INDEX(Rohdaten!$A$79:$LJ$79,MATCH(Stichtag,RD_Kopf,0)),"–"),"–")</f>
        <v>0</v>
      </c>
      <c r="J6" s="17">
        <f>IFERROR(IF(ISNUMBER(INDEX(Rohdaten!$A$80:$LJ$80,MATCH(Stichtag,RD_Kopf,0))),INDEX(Rohdaten!$A$80:$LJ$80,MATCH(Stichtag,RD_Kopf,0)),"–"),"–")</f>
        <v>0</v>
      </c>
      <c r="K6" s="17">
        <f>IFERROR(IF(ISNUMBER(INDEX(Rohdaten!$A$81:$LJ$81,MATCH(Stichtag,RD_Kopf,0))),INDEX(Rohdaten!$A$81:$LJ$81,MATCH(Stichtag,RD_Kopf,0)),"–"),"–")</f>
        <v>0</v>
      </c>
      <c r="L6" s="17">
        <f>IFERROR(IF(ISNUMBER(INDEX(Rohdaten!$A$82:$LJ$82,MATCH(Stichtag,RD_Kopf,0))),INDEX(Rohdaten!$A$82:$LJ$82,MATCH(Stichtag,RD_Kopf,0)),"–"),"–")</f>
        <v>0</v>
      </c>
    </row>
    <row r="7" spans="2:12">
      <c r="B7" s="55" t="s">
        <v>1234</v>
      </c>
      <c r="C7" s="17">
        <f>IFERROR(IF(ISNUMBER(INDEX(Rohdaten!$A$71:$LJ$71,MATCH(Stichtag,RD_Kopf,0))),INDEX(Rohdaten!$A$71:$LJ$71,MATCH(Stichtag,RD_Kopf,0)),"–"),"–")</f>
        <v>0</v>
      </c>
      <c r="D7" s="17">
        <f>IFERROR(IF(ISNUMBER(INDEX(Rohdaten!$A$72:$LJ$72,MATCH(Stichtag,RD_Kopf,0))),INDEX(Rohdaten!$A$72:$LJ$72,MATCH(Stichtag,RD_Kopf,0)),"–"),"–")</f>
        <v>0</v>
      </c>
      <c r="E7" s="17">
        <f>IFERROR(IF(ISNUMBER(INDEX(Rohdaten!$A$73:$LJ$73,MATCH(Stichtag,RD_Kopf,0))),INDEX(Rohdaten!$A$73:$LJ$73,MATCH(Stichtag,RD_Kopf,0)),"–"),"–")</f>
        <v>0</v>
      </c>
      <c r="F7" s="17">
        <f>IFERROR(IF(ISNUMBER(INDEX(Rohdaten!$A$74:$LJ$74,MATCH(Stichtag,RD_Kopf,0))),INDEX(Rohdaten!$A$74:$LJ$74,MATCH(Stichtag,RD_Kopf,0)),"–"),"–")</f>
        <v>0</v>
      </c>
      <c r="H7" s="55" t="s">
        <v>1234</v>
      </c>
      <c r="I7" s="17">
        <f>IFERROR(IF(ISNUMBER(INDEX(Rohdaten!$A$83:$LJ$83,MATCH(Stichtag,RD_Kopf,0))),INDEX(Rohdaten!$A$83:$LJ$83,MATCH(Stichtag,RD_Kopf,0)),"–"),"–")</f>
        <v>0</v>
      </c>
      <c r="J7" s="17">
        <f>IFERROR(IF(ISNUMBER(INDEX(Rohdaten!$A$84:$LJ$84,MATCH(Stichtag,RD_Kopf,0))),INDEX(Rohdaten!$A$84:$LJ$84,MATCH(Stichtag,RD_Kopf,0)),"–"),"–")</f>
        <v>0</v>
      </c>
      <c r="K7" s="17">
        <f>IFERROR(IF(ISNUMBER(INDEX(Rohdaten!$A$85:$LJ$85,MATCH(Stichtag,RD_Kopf,0))),INDEX(Rohdaten!$A$85:$LJ$85,MATCH(Stichtag,RD_Kopf,0)),"–"),"–")</f>
        <v>0</v>
      </c>
      <c r="L7" s="17">
        <f>IFERROR(IF(ISNUMBER(INDEX(Rohdaten!$A$86:$LJ$86,MATCH(Stichtag,RD_Kopf,0))),INDEX(Rohdaten!$A$86:$LJ$86,MATCH(Stichtag,RD_Kopf,0)),"–"),"–")</f>
        <v>0</v>
      </c>
    </row>
    <row r="8" spans="2:12">
      <c r="B8" s="55" t="s">
        <v>772</v>
      </c>
      <c r="C8" s="17">
        <f>IFERROR(IF(ISNUMBER(INDEX(Rohdaten!$A$75:$LJ$75,MATCH(Stichtag,RD_Kopf,0))),INDEX(Rohdaten!$A$75:$LJ$75,MATCH(Stichtag,RD_Kopf,0)),"–"),"–")</f>
        <v>0</v>
      </c>
      <c r="D8" s="17">
        <f>IFERROR(IF(ISNUMBER(INDEX(Rohdaten!$A$76:$LJ$76,MATCH(Stichtag,RD_Kopf,0))),INDEX(Rohdaten!$A$76:$LJ$76,MATCH(Stichtag,RD_Kopf,0)),"–"),"–")</f>
        <v>0</v>
      </c>
      <c r="E8" s="17">
        <f>IFERROR(IF(ISNUMBER(INDEX(Rohdaten!$A$77:$LJ$77,MATCH(Stichtag,RD_Kopf,0))),INDEX(Rohdaten!$A$77:$LJ$77,MATCH(Stichtag,RD_Kopf,0)),"–"),"–")</f>
        <v>0</v>
      </c>
      <c r="F8" s="17">
        <f>IFERROR(IF(ISNUMBER(INDEX(Rohdaten!$A$78:$LJ$78,MATCH(Stichtag,RD_Kopf,0))),INDEX(Rohdaten!$A$78:$LJ$78,MATCH(Stichtag,RD_Kopf,0)),"–"),"–")</f>
        <v>0</v>
      </c>
      <c r="H8" s="55" t="s">
        <v>772</v>
      </c>
      <c r="I8" s="17">
        <f>IFERROR(IF(ISNUMBER(INDEX(Rohdaten!$A$87:$LJ$87,MATCH(Stichtag,RD_Kopf,0))),INDEX(Rohdaten!$A$87:$LJ$87,MATCH(Stichtag,RD_Kopf,0)),"–"),"–")</f>
        <v>0</v>
      </c>
      <c r="J8" s="17">
        <f>IFERROR(IF(ISNUMBER(INDEX(Rohdaten!$A$88:$LJ$88,MATCH(Stichtag,RD_Kopf,0))),INDEX(Rohdaten!$A$88:$LJ$88,MATCH(Stichtag,RD_Kopf,0)),"–"),"–")</f>
        <v>0</v>
      </c>
      <c r="K8" s="17">
        <f>IFERROR(IF(ISNUMBER(INDEX(Rohdaten!$A$89:$LJ$89,MATCH(Stichtag,RD_Kopf,0))),INDEX(Rohdaten!$A$89:$LJ$89,MATCH(Stichtag,RD_Kopf,0)),"–"),"–")</f>
        <v>0</v>
      </c>
      <c r="L8" s="17">
        <f>IFERROR(IF(ISNUMBER(INDEX(Rohdaten!$A$90:$LJ$90,MATCH(Stichtag,RD_Kopf,0))),INDEX(Rohdaten!$A$90:$LJ$90,MATCH(Stichtag,RD_Kopf,0)),"–"),"–")</f>
        <v>0</v>
      </c>
    </row>
    <row r="10" spans="2:12">
      <c r="B10" s="55" t="s">
        <v>1235</v>
      </c>
      <c r="C10" s="18">
        <f>IFERROR(C6-IFERROR(IF(ISNUMBER(INDEX(Rohdaten!$A$67:$LJ$67,MATCH(Stichtag-7,RD_Kopf,0))),INDEX(Rohdaten!$A$67:$LJ$67,MATCH(Stichtag-7,RD_Kopf,0)),"–"),"–"),"–")</f>
        <v>0</v>
      </c>
      <c r="H10" s="55" t="s">
        <v>1235</v>
      </c>
      <c r="I10" s="18">
        <f>IFERROR(I6-IFERROR(IF(ISNUMBER(INDEX(Rohdaten!$A$79:$LJ$79,MATCH(Stichtag-7,RD_Kopf,0))),INDEX(Rohdaten!$A$79:$LJ$79,MATCH(Stichtag-7,RD_Kopf,0)),"–"),"–"),"–")</f>
        <v>0</v>
      </c>
    </row>
    <row r="12" spans="2:12">
      <c r="B12" s="8" t="s">
        <v>1237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Dashboard_Daten">
    <tabColor rgb="FF9AA3AD"/>
  </sheetPr>
  <dimension ref="A1:DI306"/>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1337</v>
      </c>
      <c r="CY2" s="3" t="s">
        <v>1338</v>
      </c>
      <c r="CZ2" s="3" t="s">
        <v>1339</v>
      </c>
      <c r="DA2" s="3" t="s">
        <v>1340</v>
      </c>
      <c r="DB2" s="3" t="s">
        <v>1341</v>
      </c>
      <c r="DC2" s="3" t="s">
        <v>1342</v>
      </c>
      <c r="DD2" s="3" t="s">
        <v>1343</v>
      </c>
      <c r="DE2" s="3" t="s">
        <v>1344</v>
      </c>
      <c r="DF2" s="3" t="s">
        <v>1345</v>
      </c>
    </row>
    <row r="3" spans="1:110">
      <c r="A3" s="9" t="s">
        <v>4</v>
      </c>
      <c r="B3" s="5">
        <v>10</v>
      </c>
      <c r="C3" s="3" t="s">
        <v>101</v>
      </c>
      <c r="D3" s="55">
        <f>""&amp;_xlfn.ISOWEEKNUM(D4)</f>
        <v>0</v>
      </c>
      <c r="E3" s="55">
        <f>""&amp;_xlfn.ISOWEEKNUM(E4)</f>
        <v>0</v>
      </c>
      <c r="F3" s="55">
        <f>""&amp;_xlfn.ISOWEEKNUM(F4)</f>
        <v>0</v>
      </c>
      <c r="G3" s="55">
        <f>""&amp;_xlfn.ISOWEEKNUM(G4)</f>
        <v>0</v>
      </c>
      <c r="H3" s="55">
        <f>""&amp;_xlfn.ISOWEEKNUM(H4)</f>
        <v>0</v>
      </c>
      <c r="I3" s="55">
        <f>""&amp;_xlfn.ISOWEEKNUM(I4)</f>
        <v>0</v>
      </c>
      <c r="J3" s="55">
        <f>""&amp;_xlfn.ISOWEEKNUM(J4)</f>
        <v>0</v>
      </c>
      <c r="K3" s="55">
        <f>""&amp;_xlfn.ISOWEEKNUM(K4)</f>
        <v>0</v>
      </c>
      <c r="L3" s="55">
        <f>""&amp;_xlfn.ISOWEEKNUM(L4)</f>
        <v>0</v>
      </c>
      <c r="M3" s="55">
        <f>""&amp;_xlfn.ISOWEEKNUM(M4)</f>
        <v>0</v>
      </c>
      <c r="N3" s="55">
        <f>""&amp;_xlfn.ISOWEEKNUM(N4)</f>
        <v>0</v>
      </c>
      <c r="O3" s="55">
        <f>""&amp;_xlfn.ISOWEEKNUM(O4)</f>
        <v>0</v>
      </c>
      <c r="P3" s="55">
        <f>""&amp;_xlfn.ISOWEEKNUM(P4)</f>
        <v>0</v>
      </c>
      <c r="Q3" s="55">
        <f>""&amp;_xlfn.ISOWEEKNUM(Q4)</f>
        <v>0</v>
      </c>
      <c r="R3" s="55">
        <f>""&amp;_xlfn.ISOWEEKNUM(R4)</f>
        <v>0</v>
      </c>
      <c r="S3" s="55">
        <f>""&amp;_xlfn.ISOWEEKNUM(S4)</f>
        <v>0</v>
      </c>
      <c r="T3" s="55">
        <f>""&amp;_xlfn.ISOWEEKNUM(T4)</f>
        <v>0</v>
      </c>
      <c r="U3" s="55">
        <f>""&amp;_xlfn.ISOWEEKNUM(U4)</f>
        <v>0</v>
      </c>
      <c r="V3" s="55">
        <f>""&amp;_xlfn.ISOWEEKNUM(V4)</f>
        <v>0</v>
      </c>
      <c r="W3" s="55">
        <f>""&amp;_xlfn.ISOWEEKNUM(W4)</f>
        <v>0</v>
      </c>
      <c r="X3" s="55">
        <f>""&amp;_xlfn.ISOWEEKNUM(X4)</f>
        <v>0</v>
      </c>
      <c r="Y3" s="55">
        <f>""&amp;_xlfn.ISOWEEKNUM(Y4)</f>
        <v>0</v>
      </c>
      <c r="Z3" s="55">
        <f>""&amp;_xlfn.ISOWEEKNUM(Z4)</f>
        <v>0</v>
      </c>
      <c r="AA3" s="55">
        <f>""&amp;_xlfn.ISOWEEKNUM(AA4)</f>
        <v>0</v>
      </c>
      <c r="AB3" s="55">
        <f>""&amp;_xlfn.ISOWEEKNUM(AB4)</f>
        <v>0</v>
      </c>
      <c r="AC3" s="55">
        <f>""&amp;_xlfn.ISOWEEKNUM(AC4)</f>
        <v>0</v>
      </c>
      <c r="AD3" s="55">
        <f>""&amp;_xlfn.ISOWEEKNUM(AD4)</f>
        <v>0</v>
      </c>
      <c r="CX3" s="5">
        <v>70</v>
      </c>
      <c r="CY3" s="5">
        <v>95</v>
      </c>
      <c r="CZ3" s="5">
        <v>41</v>
      </c>
      <c r="DA3" s="5">
        <v>43</v>
      </c>
      <c r="DB3" s="5">
        <v>4</v>
      </c>
      <c r="DC3" s="5">
        <v>26</v>
      </c>
      <c r="DD3" s="5">
        <v>10</v>
      </c>
      <c r="DE3" s="5">
        <v>97</v>
      </c>
      <c r="DF3" s="5">
        <v>4</v>
      </c>
    </row>
    <row r="4" spans="1:110">
      <c r="A4" s="9" t="s">
        <v>2</v>
      </c>
      <c r="D4" s="16">
        <f>E4-7</f>
        <v>0</v>
      </c>
      <c r="E4" s="16">
        <f>F4-7</f>
        <v>0</v>
      </c>
      <c r="F4" s="16">
        <f>G4-7</f>
        <v>0</v>
      </c>
      <c r="G4" s="16">
        <f>H4-7</f>
        <v>0</v>
      </c>
      <c r="H4" s="16">
        <f>I4-7</f>
        <v>0</v>
      </c>
      <c r="I4" s="16">
        <f>J4-7</f>
        <v>0</v>
      </c>
      <c r="J4" s="16">
        <f>K4-7</f>
        <v>0</v>
      </c>
      <c r="K4" s="16">
        <f>L4-7</f>
        <v>0</v>
      </c>
      <c r="L4" s="16">
        <f>M4-7</f>
        <v>0</v>
      </c>
      <c r="M4" s="16">
        <f>N4-7</f>
        <v>0</v>
      </c>
      <c r="N4" s="16">
        <f>O4-7</f>
        <v>0</v>
      </c>
      <c r="O4" s="16">
        <f>P4-7</f>
        <v>0</v>
      </c>
      <c r="P4" s="16">
        <f>Q4-7</f>
        <v>0</v>
      </c>
      <c r="Q4" s="16">
        <f>R4-7</f>
        <v>0</v>
      </c>
      <c r="R4" s="16">
        <f>S4-7</f>
        <v>0</v>
      </c>
      <c r="S4" s="16">
        <f>T4-7</f>
        <v>0</v>
      </c>
      <c r="T4" s="16">
        <f>U4-7</f>
        <v>0</v>
      </c>
      <c r="U4" s="16">
        <f>V4-7</f>
        <v>0</v>
      </c>
      <c r="V4" s="16">
        <f>W4-7</f>
        <v>0</v>
      </c>
      <c r="W4" s="16">
        <f>X4-7</f>
        <v>0</v>
      </c>
      <c r="X4" s="16">
        <f>Y4-7</f>
        <v>0</v>
      </c>
      <c r="Y4" s="16">
        <f>Z4-7</f>
        <v>0</v>
      </c>
      <c r="Z4" s="16">
        <f>AA4-7</f>
        <v>0</v>
      </c>
      <c r="AA4" s="16">
        <f>AB4-7</f>
        <v>0</v>
      </c>
      <c r="AB4" s="16">
        <f>AC4-7</f>
        <v>0</v>
      </c>
      <c r="AC4" s="16">
        <f>AD4-7</f>
        <v>0</v>
      </c>
      <c r="AD4" s="16">
        <f>Stichtag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55">
        <f>"KW "&amp;_xlfn.ISOWEEKNUM(D4)</f>
        <v>0</v>
      </c>
      <c r="E5" s="55">
        <f>"KW "&amp;_xlfn.ISOWEEKNUM(E4)</f>
        <v>0</v>
      </c>
      <c r="F5" s="55">
        <f>"KW "&amp;_xlfn.ISOWEEKNUM(F4)</f>
        <v>0</v>
      </c>
      <c r="G5" s="55">
        <f>"KW "&amp;_xlfn.ISOWEEKNUM(G4)</f>
        <v>0</v>
      </c>
      <c r="H5" s="55">
        <f>"KW "&amp;_xlfn.ISOWEEKNUM(H4)</f>
        <v>0</v>
      </c>
      <c r="I5" s="55">
        <f>"KW "&amp;_xlfn.ISOWEEKNUM(I4)</f>
        <v>0</v>
      </c>
      <c r="J5" s="55">
        <f>"KW "&amp;_xlfn.ISOWEEKNUM(J4)</f>
        <v>0</v>
      </c>
      <c r="K5" s="55">
        <f>"KW "&amp;_xlfn.ISOWEEKNUM(K4)</f>
        <v>0</v>
      </c>
      <c r="L5" s="55">
        <f>"KW "&amp;_xlfn.ISOWEEKNUM(L4)</f>
        <v>0</v>
      </c>
      <c r="M5" s="55">
        <f>"KW "&amp;_xlfn.ISOWEEKNUM(M4)</f>
        <v>0</v>
      </c>
      <c r="N5" s="55">
        <f>"KW "&amp;_xlfn.ISOWEEKNUM(N4)</f>
        <v>0</v>
      </c>
      <c r="O5" s="55">
        <f>"KW "&amp;_xlfn.ISOWEEKNUM(O4)</f>
        <v>0</v>
      </c>
      <c r="P5" s="55">
        <f>"KW "&amp;_xlfn.ISOWEEKNUM(P4)</f>
        <v>0</v>
      </c>
      <c r="Q5" s="55">
        <f>"KW "&amp;_xlfn.ISOWEEKNUM(Q4)</f>
        <v>0</v>
      </c>
      <c r="R5" s="55">
        <f>"KW "&amp;_xlfn.ISOWEEKNUM(R4)</f>
        <v>0</v>
      </c>
      <c r="S5" s="55">
        <f>"KW "&amp;_xlfn.ISOWEEKNUM(S4)</f>
        <v>0</v>
      </c>
      <c r="T5" s="55">
        <f>"KW "&amp;_xlfn.ISOWEEKNUM(T4)</f>
        <v>0</v>
      </c>
      <c r="U5" s="55">
        <f>"KW "&amp;_xlfn.ISOWEEKNUM(U4)</f>
        <v>0</v>
      </c>
      <c r="V5" s="55">
        <f>"KW "&amp;_xlfn.ISOWEEKNUM(V4)</f>
        <v>0</v>
      </c>
      <c r="W5" s="55">
        <f>"KW "&amp;_xlfn.ISOWEEKNUM(W4)</f>
        <v>0</v>
      </c>
      <c r="X5" s="55">
        <f>"KW "&amp;_xlfn.ISOWEEKNUM(X4)</f>
        <v>0</v>
      </c>
      <c r="Y5" s="55">
        <f>"KW "&amp;_xlfn.ISOWEEKNUM(Y4)</f>
        <v>0</v>
      </c>
      <c r="Z5" s="55">
        <f>"KW "&amp;_xlfn.ISOWEEKNUM(Z4)</f>
        <v>0</v>
      </c>
      <c r="AA5" s="55">
        <f>"KW "&amp;_xlfn.ISOWEEKNUM(AA4)</f>
        <v>0</v>
      </c>
      <c r="AB5" s="55">
        <f>"KW "&amp;_xlfn.ISOWEEKNUM(AB4)</f>
        <v>0</v>
      </c>
      <c r="AC5" s="55">
        <f>"KW "&amp;_xlfn.ISOWEEKNUM(AC4)</f>
        <v>0</v>
      </c>
      <c r="AD5" s="55">
        <f>"KW "&amp;_xlfn.ISOWEEKNUM(AD4)</f>
        <v>0</v>
      </c>
      <c r="AF5" s="55">
        <f>CHOOSE(MONTH(AF4),"Jan","Feb","Mär","Apr","Mai","Jun","Jul","Aug","Sep","Okt","Nov","Dez")&amp;" "&amp;RIGHT(YEAR(AF4),2)</f>
        <v>0</v>
      </c>
      <c r="AG5" s="55">
        <f>CHOOSE(MONTH(AG4),"Jan","Feb","Mär","Apr","Mai","Jun","Jul","Aug","Sep","Okt","Nov","Dez")&amp;" "&amp;RIGHT(YEAR(AG4),2)</f>
        <v>0</v>
      </c>
      <c r="AH5" s="55">
        <f>CHOOSE(MONTH(AH4),"Jan","Feb","Mär","Apr","Mai","Jun","Jul","Aug","Sep","Okt","Nov","Dez")&amp;" "&amp;RIGHT(YEAR(AH4),2)</f>
        <v>0</v>
      </c>
      <c r="AI5" s="55">
        <f>CHOOSE(MONTH(AI4),"Jan","Feb","Mär","Apr","Mai","Jun","Jul","Aug","Sep","Okt","Nov","Dez")&amp;" "&amp;RIGHT(YEAR(AI4),2)</f>
        <v>0</v>
      </c>
      <c r="AJ5" s="55">
        <f>CHOOSE(MONTH(AJ4),"Jan","Feb","Mär","Apr","Mai","Jun","Jul","Aug","Sep","Okt","Nov","Dez")&amp;" "&amp;RIGHT(YEAR(AJ4),2)</f>
        <v>0</v>
      </c>
      <c r="AK5" s="55">
        <f>CHOOSE(MONTH(AK4),"Jan","Feb","Mär","Apr","Mai","Jun","Jul","Aug","Sep","Okt","Nov","Dez")&amp;" "&amp;RIGHT(YEAR(AK4),2)</f>
        <v>0</v>
      </c>
      <c r="AL5" s="55">
        <f>CHOOSE(MONTH(AL4),"Jan","Feb","Mär","Apr","Mai","Jun","Jul","Aug","Sep","Okt","Nov","Dez")&amp;" "&amp;RIGHT(YEAR(AL4),2)</f>
        <v>0</v>
      </c>
      <c r="AM5" s="55">
        <f>CHOOSE(MONTH(AM4),"Jan","Feb","Mär","Apr","Mai","Jun","Jul","Aug","Sep","Okt","Nov","Dez")&amp;" "&amp;RIGHT(YEAR(AM4),2)</f>
        <v>0</v>
      </c>
      <c r="AN5" s="55">
        <f>CHOOSE(MONTH(AN4),"Jan","Feb","Mär","Apr","Mai","Jun","Jul","Aug","Sep","Okt","Nov","Dez")&amp;" "&amp;RIGHT(YEAR(AN4),2)</f>
        <v>0</v>
      </c>
      <c r="AO5" s="55">
        <f>CHOOSE(MONTH(AO4),"Jan","Feb","Mär","Apr","Mai","Jun","Jul","Aug","Sep","Okt","Nov","Dez")&amp;" "&amp;RIGHT(YEAR(AO4),2)</f>
        <v>0</v>
      </c>
      <c r="CS5" s="55">
        <f>CHOOSE(MONTH(CS4),"Jan","Feb","Mär","Apr","Mai","Jun","Jul","Aug","Sep","Okt","Nov","Dez")&amp;" "&amp;RIGHT(YEAR(CS4),2)</f>
        <v>0</v>
      </c>
      <c r="CT5" s="55">
        <f>CHOOSE(MONTH(CT4),"Jan","Feb","Mär","Apr","Mai","Jun","Jul","Aug","Sep","Okt","Nov","Dez")&amp;" "&amp;RIGHT(YEAR(CT4),2)</f>
        <v>0</v>
      </c>
      <c r="CU5" s="55">
        <f>CHOOSE(MONTH(CU4),"Jan","Feb","Mär","Apr","Mai","Jun","Jul","Aug","Sep","Okt","Nov","Dez")&amp;" "&amp;RIGHT(YEAR(CU4),2)&amp;" (Plan)"</f>
        <v>0</v>
      </c>
      <c r="CV5" s="55">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1346</v>
      </c>
      <c r="CY6" s="9" t="s">
        <v>1165</v>
      </c>
      <c r="CZ6" s="9" t="s">
        <v>1002</v>
      </c>
      <c r="DA6" s="9" t="s">
        <v>1347</v>
      </c>
      <c r="DB6" s="9" t="s">
        <v>1348</v>
      </c>
      <c r="DC6" s="9" t="s">
        <v>1349</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1014</v>
      </c>
      <c r="CY7" s="5">
        <v>1</v>
      </c>
      <c r="CZ7" s="11" t="s">
        <v>1173</v>
      </c>
      <c r="DA7" s="11" t="s">
        <v>1350</v>
      </c>
      <c r="DB7" s="11" t="s">
        <v>1351</v>
      </c>
      <c r="DC7" s="11" t="s">
        <v>1352</v>
      </c>
      <c r="DD7" s="11" t="s">
        <v>1353</v>
      </c>
      <c r="DE7" s="11" t="s">
        <v>1354</v>
      </c>
      <c r="DF7" s="11" t="s">
        <v>1355</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1014</v>
      </c>
      <c r="CY8" s="5">
        <v>2</v>
      </c>
      <c r="CZ8" s="11" t="s">
        <v>1174</v>
      </c>
      <c r="DA8" s="11" t="s">
        <v>1356</v>
      </c>
      <c r="DB8" s="11" t="s">
        <v>1357</v>
      </c>
      <c r="DC8" s="11" t="s">
        <v>1358</v>
      </c>
      <c r="DD8" s="11" t="s">
        <v>1359</v>
      </c>
      <c r="DE8" s="11" t="s">
        <v>1360</v>
      </c>
      <c r="DF8" s="11" t="s">
        <v>1361</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1014</v>
      </c>
      <c r="CY9" s="5">
        <v>3</v>
      </c>
      <c r="CZ9" s="11" t="s">
        <v>1139</v>
      </c>
      <c r="DA9" s="11" t="s">
        <v>1362</v>
      </c>
      <c r="DB9" s="11"/>
      <c r="DC9" s="11" t="s">
        <v>1363</v>
      </c>
      <c r="DD9" s="11" t="s">
        <v>1364</v>
      </c>
      <c r="DE9" s="11" t="s">
        <v>1365</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1014</v>
      </c>
      <c r="CY10" s="5">
        <v>4</v>
      </c>
      <c r="CZ10" s="11" t="s">
        <v>1108</v>
      </c>
      <c r="DA10" s="11" t="s">
        <v>1366</v>
      </c>
      <c r="DB10" s="11" t="s">
        <v>1367</v>
      </c>
      <c r="DC10" s="11" t="s">
        <v>1368</v>
      </c>
      <c r="DD10" s="11" t="s">
        <v>1369</v>
      </c>
      <c r="DE10" s="11" t="s">
        <v>1370</v>
      </c>
      <c r="DF10" s="11" t="s">
        <v>1371</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1014</v>
      </c>
      <c r="CY11" s="5">
        <v>5</v>
      </c>
      <c r="CZ11" s="11" t="s">
        <v>1113</v>
      </c>
      <c r="DA11" s="11" t="s">
        <v>1372</v>
      </c>
      <c r="DB11" s="11" t="s">
        <v>1373</v>
      </c>
      <c r="DC11" s="11" t="s">
        <v>1374</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1014</v>
      </c>
      <c r="CY12" s="5">
        <v>6</v>
      </c>
      <c r="CZ12" s="11" t="s">
        <v>1141</v>
      </c>
      <c r="DA12" s="11" t="s">
        <v>1375</v>
      </c>
      <c r="DB12" s="11"/>
      <c r="DC12" s="11" t="s">
        <v>1376</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1014</v>
      </c>
      <c r="CY13" s="5">
        <v>7</v>
      </c>
      <c r="CZ13" s="11" t="s">
        <v>1143</v>
      </c>
      <c r="DA13" s="11" t="s">
        <v>1377</v>
      </c>
      <c r="DB13" s="11"/>
      <c r="DC13" s="11" t="s">
        <v>1378</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1017</v>
      </c>
      <c r="CY14" s="5">
        <v>1</v>
      </c>
      <c r="CZ14" s="11" t="s">
        <v>1089</v>
      </c>
      <c r="DA14" s="11" t="s">
        <v>1379</v>
      </c>
      <c r="DB14" s="11"/>
      <c r="DC14" s="11" t="s">
        <v>1380</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1017</v>
      </c>
      <c r="CY15" s="5">
        <v>2</v>
      </c>
      <c r="CZ15" s="11" t="s">
        <v>1130</v>
      </c>
      <c r="DA15" s="11" t="s">
        <v>1381</v>
      </c>
      <c r="DB15" s="11"/>
      <c r="DC15" s="11" t="s">
        <v>1382</v>
      </c>
      <c r="DD15" s="11" t="s">
        <v>1383</v>
      </c>
      <c r="DE15" s="11" t="s">
        <v>1384</v>
      </c>
      <c r="DF15" s="11" t="s">
        <v>1385</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1017</v>
      </c>
      <c r="CY16" s="5">
        <v>3</v>
      </c>
      <c r="CZ16" s="11" t="s">
        <v>1188</v>
      </c>
      <c r="DA16" s="11" t="s">
        <v>1386</v>
      </c>
      <c r="DB16" s="11"/>
      <c r="DC16" s="11" t="s">
        <v>1387</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1017</v>
      </c>
      <c r="CY17" s="5">
        <v>4</v>
      </c>
      <c r="CZ17" s="11" t="s">
        <v>1190</v>
      </c>
      <c r="DA17" s="11" t="s">
        <v>1388</v>
      </c>
      <c r="DB17" s="11" t="s">
        <v>1389</v>
      </c>
      <c r="DC17" s="11" t="s">
        <v>1390</v>
      </c>
      <c r="DD17" s="11" t="s">
        <v>1391</v>
      </c>
      <c r="DE17" s="11" t="s">
        <v>1392</v>
      </c>
      <c r="DF17" s="11" t="s">
        <v>1393</v>
      </c>
      <c r="DG17" s="11" t="s">
        <v>1394</v>
      </c>
      <c r="DH17" s="11" t="s">
        <v>1395</v>
      </c>
      <c r="DI17" s="11" t="s">
        <v>1396</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1017</v>
      </c>
      <c r="CY18" s="5">
        <v>5</v>
      </c>
      <c r="CZ18" s="11" t="s">
        <v>1192</v>
      </c>
      <c r="DA18" s="11" t="s">
        <v>1397</v>
      </c>
      <c r="DB18" s="11" t="s">
        <v>1398</v>
      </c>
      <c r="DC18" s="11" t="s">
        <v>1399</v>
      </c>
      <c r="DD18" s="11" t="s">
        <v>1400</v>
      </c>
      <c r="DE18" s="11" t="s">
        <v>1401</v>
      </c>
      <c r="DF18" s="11" t="s">
        <v>1402</v>
      </c>
      <c r="DG18" s="11" t="s">
        <v>1403</v>
      </c>
      <c r="DH18" s="11" t="s">
        <v>1404</v>
      </c>
      <c r="DI18" s="11" t="s">
        <v>1405</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1017</v>
      </c>
      <c r="CY19" s="5">
        <v>6</v>
      </c>
      <c r="CZ19" s="11" t="s">
        <v>1194</v>
      </c>
      <c r="DA19" s="11" t="s">
        <v>1406</v>
      </c>
      <c r="DB19" s="11"/>
      <c r="DC19" s="11" t="s">
        <v>1407</v>
      </c>
      <c r="DD19" s="11" t="s">
        <v>1408</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IF(OR(ISNUMBER(D53),ISNUMBER(D51),ISNUMBER(D52)),1,0)</f>
        <v>0</v>
      </c>
      <c r="E38" s="5">
        <f>IF(OR(ISNUMBER(E53),ISNUMBER(E51),ISNUMBER(E52)),2,0)</f>
        <v>0</v>
      </c>
      <c r="F38" s="5">
        <f>IF(OR(ISNUMBER(F53),ISNUMBER(F51),ISNUMBER(F52)),3,0)</f>
        <v>0</v>
      </c>
      <c r="G38" s="5">
        <f>IF(OR(ISNUMBER(G53),ISNUMBER(G51),ISNUMBER(G52)),4,0)</f>
        <v>0</v>
      </c>
      <c r="H38" s="5">
        <f>IF(OR(ISNUMBER(H53),ISNUMBER(H51),ISNUMBER(H52)),5,0)</f>
        <v>0</v>
      </c>
      <c r="I38" s="5">
        <f>IF(OR(ISNUMBER(I53),ISNUMBER(I51),ISNUMBER(I52)),6,0)</f>
        <v>0</v>
      </c>
      <c r="J38" s="5">
        <f>IF(OR(ISNUMBER(J53),ISNUMBER(J51),ISNUMBER(J52)),7,0)</f>
        <v>0</v>
      </c>
      <c r="K38" s="5">
        <f>IF(OR(ISNUMBER(K53),ISNUMBER(K51),ISNUMBER(K52)),8,0)</f>
        <v>0</v>
      </c>
      <c r="L38" s="5">
        <f>IF(OR(ISNUMBER(L53),ISNUMBER(L51),ISNUMBER(L52)),9,0)</f>
        <v>0</v>
      </c>
      <c r="M38" s="5">
        <f>IF(OR(ISNUMBER(M53),ISNUMBER(M51),ISNUMBER(M52)),10,0)</f>
        <v>0</v>
      </c>
      <c r="N38" s="5">
        <f>IF(OR(ISNUMBER(N53),ISNUMBER(N51),ISNUMBER(N52)),11,0)</f>
        <v>0</v>
      </c>
      <c r="O38" s="5">
        <f>IF(OR(ISNUMBER(O53),ISNUMBER(O51),ISNUMBER(O52)),12,0)</f>
        <v>0</v>
      </c>
      <c r="P38" s="5">
        <f>IF(OR(ISNUMBER(P53),ISNUMBER(P51),ISNUMBER(P52)),13,0)</f>
        <v>0</v>
      </c>
      <c r="Q38" s="5">
        <f>IF(OR(ISNUMBER(Q53),ISNUMBER(Q51),ISNUMBER(Q52)),14,0)</f>
        <v>0</v>
      </c>
      <c r="R38" s="5">
        <f>IF(OR(ISNUMBER(R53),ISNUMBER(R51),ISNUMBER(R52)),15,0)</f>
        <v>0</v>
      </c>
      <c r="S38" s="5">
        <f>IF(OR(ISNUMBER(S53),ISNUMBER(S51),ISNUMBER(S52)),16,0)</f>
        <v>0</v>
      </c>
      <c r="T38" s="5">
        <f>IF(OR(ISNUMBER(T53),ISNUMBER(T51),ISNUMBER(T52)),17,0)</f>
        <v>0</v>
      </c>
      <c r="U38" s="5">
        <f>IF(OR(ISNUMBER(U53),ISNUMBER(U51),ISNUMBER(U52)),18,0)</f>
        <v>0</v>
      </c>
      <c r="V38" s="5">
        <f>IF(OR(ISNUMBER(V53),ISNUMBER(V51),ISNUMBER(V52)),19,0)</f>
        <v>0</v>
      </c>
      <c r="W38" s="5">
        <f>IF(OR(ISNUMBER(W53),ISNUMBER(W51),ISNUMBER(W52)),20,0)</f>
        <v>0</v>
      </c>
      <c r="X38" s="5">
        <f>IF(OR(ISNUMBER(X53),ISNUMBER(X51),ISNUMBER(X52)),21,0)</f>
        <v>0</v>
      </c>
      <c r="Y38" s="5">
        <f>IF(OR(ISNUMBER(Y53),ISNUMBER(Y51),ISNUMBER(Y52)),22,0)</f>
        <v>0</v>
      </c>
      <c r="Z38" s="5">
        <f>IF(OR(ISNUMBER(Z53),ISNUMBER(Z51),ISNUMBER(Z52)),23,0)</f>
        <v>0</v>
      </c>
      <c r="AA38" s="5">
        <f>IF(OR(ISNUMBER(AA53),ISNUMBER(AA51),ISNUMBER(AA52)),24,0)</f>
        <v>0</v>
      </c>
      <c r="AB38" s="5">
        <f>IF(OR(ISNUMBER(AB53),ISNUMBER(AB51),ISNUMBER(AB52)),25,0)</f>
        <v>0</v>
      </c>
      <c r="AC38" s="5">
        <f>IF(OR(ISNUMBER(AC53),ISNUMBER(AC51),ISNUMBER(AC52)),26,0)</f>
        <v>0</v>
      </c>
      <c r="AD38" s="5">
        <f>IF(OR(ISNUMBER(AD53),ISNUMBER(AD51),ISNUMBER(AD52)),27,0)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
        <v>137</v>
      </c>
      <c r="D51" s="5">
        <f>IF(COUNT(D45,D47,D49)=0,NA(),SUM(D45,D47,D49))</f>
        <v>0</v>
      </c>
      <c r="E51" s="5">
        <f>IF(COUNT(E45,E47,E49)=0,NA(),SUM(E45,E47,E49))</f>
        <v>0</v>
      </c>
      <c r="F51" s="5">
        <f>IF(COUNT(F45,F47,F49)=0,NA(),SUM(F45,F47,F49))</f>
        <v>0</v>
      </c>
      <c r="G51" s="5">
        <f>IF(COUNT(G45,G47,G49)=0,NA(),SUM(G45,G47,G49))</f>
        <v>0</v>
      </c>
      <c r="H51" s="5">
        <f>IF(COUNT(H45,H47,H49)=0,NA(),SUM(H45,H47,H49))</f>
        <v>0</v>
      </c>
      <c r="I51" s="5">
        <f>IF(COUNT(I45,I47,I49)=0,NA(),SUM(I45,I47,I49))</f>
        <v>0</v>
      </c>
      <c r="J51" s="5">
        <f>IF(COUNT(J45,J47,J49)=0,NA(),SUM(J45,J47,J49))</f>
        <v>0</v>
      </c>
      <c r="K51" s="5">
        <f>IF(COUNT(K45,K47,K49)=0,NA(),SUM(K45,K47,K49))</f>
        <v>0</v>
      </c>
      <c r="L51" s="5">
        <f>IF(COUNT(L45,L47,L49)=0,NA(),SUM(L45,L47,L49))</f>
        <v>0</v>
      </c>
      <c r="M51" s="5">
        <f>IF(COUNT(M45,M47,M49)=0,NA(),SUM(M45,M47,M49))</f>
        <v>0</v>
      </c>
      <c r="N51" s="5">
        <f>IF(COUNT(N45,N47,N49)=0,NA(),SUM(N45,N47,N49))</f>
        <v>0</v>
      </c>
      <c r="O51" s="5">
        <f>IF(COUNT(O45,O47,O49)=0,NA(),SUM(O45,O47,O49))</f>
        <v>0</v>
      </c>
      <c r="P51" s="5">
        <f>IF(COUNT(P45,P47,P49)=0,NA(),SUM(P45,P47,P49))</f>
        <v>0</v>
      </c>
      <c r="Q51" s="5">
        <f>IF(COUNT(Q45,Q47,Q49)=0,NA(),SUM(Q45,Q47,Q49))</f>
        <v>0</v>
      </c>
      <c r="R51" s="5">
        <f>IF(COUNT(R45,R47,R49)=0,NA(),SUM(R45,R47,R49))</f>
        <v>0</v>
      </c>
      <c r="S51" s="5">
        <f>IF(COUNT(S45,S47,S49)=0,NA(),SUM(S45,S47,S49))</f>
        <v>0</v>
      </c>
      <c r="T51" s="5">
        <f>IF(COUNT(T45,T47,T49)=0,NA(),SUM(T45,T47,T49))</f>
        <v>0</v>
      </c>
      <c r="U51" s="5">
        <f>IF(COUNT(U45,U47,U49)=0,NA(),SUM(U45,U47,U49))</f>
        <v>0</v>
      </c>
      <c r="V51" s="5">
        <f>IF(COUNT(V45,V47,V49)=0,NA(),SUM(V45,V47,V49))</f>
        <v>0</v>
      </c>
      <c r="W51" s="5">
        <f>IF(COUNT(W45,W47,W49)=0,NA(),SUM(W45,W47,W49))</f>
        <v>0</v>
      </c>
      <c r="X51" s="5">
        <f>IF(COUNT(X45,X47,X49)=0,NA(),SUM(X45,X47,X49))</f>
        <v>0</v>
      </c>
      <c r="Y51" s="5">
        <f>IF(COUNT(Y45,Y47,Y49)=0,NA(),SUM(Y45,Y47,Y49))</f>
        <v>0</v>
      </c>
      <c r="Z51" s="5">
        <f>IF(COUNT(Z45,Z47,Z49)=0,NA(),SUM(Z45,Z47,Z49))</f>
        <v>0</v>
      </c>
      <c r="AA51" s="5">
        <f>IF(COUNT(AA45,AA47,AA49)=0,NA(),SUM(AA45,AA47,AA49))</f>
        <v>0</v>
      </c>
      <c r="AB51" s="5">
        <f>IF(COUNT(AB45,AB47,AB49)=0,NA(),SUM(AB45,AB47,AB49))</f>
        <v>0</v>
      </c>
      <c r="AC51" s="5">
        <f>IF(COUNT(AC45,AC47,AC49)=0,NA(),SUM(AC45,AC47,AC49))</f>
        <v>0</v>
      </c>
      <c r="AD51" s="5">
        <f>IF(COUNT(AD45,AD47,AD49)=0,NA(),SUM(AD45,AD47,AD49))</f>
        <v>0</v>
      </c>
    </row>
    <row r="52" spans="1:68">
      <c r="A52" s="11" t="s">
        <v>167</v>
      </c>
      <c r="B52" s="11" t="s">
        <v>168</v>
      </c>
      <c r="C52" s="3" t="s">
        <v>137</v>
      </c>
      <c r="D52" s="5">
        <f>IF(COUNT(D46,D48,D50)=0,NA(),SUM(D46,D48,D50))</f>
        <v>0</v>
      </c>
      <c r="E52" s="5">
        <f>IF(COUNT(E46,E48,E50)=0,NA(),SUM(E46,E48,E50))</f>
        <v>0</v>
      </c>
      <c r="F52" s="5">
        <f>IF(COUNT(F46,F48,F50)=0,NA(),SUM(F46,F48,F50))</f>
        <v>0</v>
      </c>
      <c r="G52" s="5">
        <f>IF(COUNT(G46,G48,G50)=0,NA(),SUM(G46,G48,G50))</f>
        <v>0</v>
      </c>
      <c r="H52" s="5">
        <f>IF(COUNT(H46,H48,H50)=0,NA(),SUM(H46,H48,H50))</f>
        <v>0</v>
      </c>
      <c r="I52" s="5">
        <f>IF(COUNT(I46,I48,I50)=0,NA(),SUM(I46,I48,I50))</f>
        <v>0</v>
      </c>
      <c r="J52" s="5">
        <f>IF(COUNT(J46,J48,J50)=0,NA(),SUM(J46,J48,J50))</f>
        <v>0</v>
      </c>
      <c r="K52" s="5">
        <f>IF(COUNT(K46,K48,K50)=0,NA(),SUM(K46,K48,K50))</f>
        <v>0</v>
      </c>
      <c r="L52" s="5">
        <f>IF(COUNT(L46,L48,L50)=0,NA(),SUM(L46,L48,L50))</f>
        <v>0</v>
      </c>
      <c r="M52" s="5">
        <f>IF(COUNT(M46,M48,M50)=0,NA(),SUM(M46,M48,M50))</f>
        <v>0</v>
      </c>
      <c r="N52" s="5">
        <f>IF(COUNT(N46,N48,N50)=0,NA(),SUM(N46,N48,N50))</f>
        <v>0</v>
      </c>
      <c r="O52" s="5">
        <f>IF(COUNT(O46,O48,O50)=0,NA(),SUM(O46,O48,O50))</f>
        <v>0</v>
      </c>
      <c r="P52" s="5">
        <f>IF(COUNT(P46,P48,P50)=0,NA(),SUM(P46,P48,P50))</f>
        <v>0</v>
      </c>
      <c r="Q52" s="5">
        <f>IF(COUNT(Q46,Q48,Q50)=0,NA(),SUM(Q46,Q48,Q50))</f>
        <v>0</v>
      </c>
      <c r="R52" s="5">
        <f>IF(COUNT(R46,R48,R50)=0,NA(),SUM(R46,R48,R50))</f>
        <v>0</v>
      </c>
      <c r="S52" s="5">
        <f>IF(COUNT(S46,S48,S50)=0,NA(),SUM(S46,S48,S50))</f>
        <v>0</v>
      </c>
      <c r="T52" s="5">
        <f>IF(COUNT(T46,T48,T50)=0,NA(),SUM(T46,T48,T50))</f>
        <v>0</v>
      </c>
      <c r="U52" s="5">
        <f>IF(COUNT(U46,U48,U50)=0,NA(),SUM(U46,U48,U50))</f>
        <v>0</v>
      </c>
      <c r="V52" s="5">
        <f>IF(COUNT(V46,V48,V50)=0,NA(),SUM(V46,V48,V50))</f>
        <v>0</v>
      </c>
      <c r="W52" s="5">
        <f>IF(COUNT(W46,W48,W50)=0,NA(),SUM(W46,W48,W50))</f>
        <v>0</v>
      </c>
      <c r="X52" s="5">
        <f>IF(COUNT(X46,X48,X50)=0,NA(),SUM(X46,X48,X50))</f>
        <v>0</v>
      </c>
      <c r="Y52" s="5">
        <f>IF(COUNT(Y46,Y48,Y50)=0,NA(),SUM(Y46,Y48,Y50))</f>
        <v>0</v>
      </c>
      <c r="Z52" s="5">
        <f>IF(COUNT(Z46,Z48,Z50)=0,NA(),SUM(Z46,Z48,Z50))</f>
        <v>0</v>
      </c>
      <c r="AA52" s="5">
        <f>IF(COUNT(AA46,AA48,AA50)=0,NA(),SUM(AA46,AA48,AA50))</f>
        <v>0</v>
      </c>
      <c r="AB52" s="5">
        <f>IF(COUNT(AB46,AB48,AB50)=0,NA(),SUM(AB46,AB48,AB50))</f>
        <v>0</v>
      </c>
      <c r="AC52" s="5">
        <f>IF(COUNT(AC46,AC48,AC50)=0,NA(),SUM(AC46,AC48,AC50))</f>
        <v>0</v>
      </c>
      <c r="AD52" s="5">
        <f>IF(COUNT(AD46,AD48,AD50)=0,NA(),SUM(AD46,AD48,AD50))</f>
        <v>0</v>
      </c>
    </row>
    <row r="53" spans="1:68">
      <c r="A53" s="11" t="s">
        <v>169</v>
      </c>
      <c r="B53" s="11" t="s">
        <v>170</v>
      </c>
      <c r="C53" s="3" t="s">
        <v>137</v>
      </c>
      <c r="D53" s="5">
        <f>IF(COUNT(D42,D43,D44)=0,NA(),SUM(D42,D43,D44))</f>
        <v>0</v>
      </c>
      <c r="E53" s="5">
        <f>IF(COUNT(E42,E43,E44)=0,NA(),SUM(E42,E43,E44))</f>
        <v>0</v>
      </c>
      <c r="F53" s="5">
        <f>IF(COUNT(F42,F43,F44)=0,NA(),SUM(F42,F43,F44))</f>
        <v>0</v>
      </c>
      <c r="G53" s="5">
        <f>IF(COUNT(G42,G43,G44)=0,NA(),SUM(G42,G43,G44))</f>
        <v>0</v>
      </c>
      <c r="H53" s="5">
        <f>IF(COUNT(H42,H43,H44)=0,NA(),SUM(H42,H43,H44))</f>
        <v>0</v>
      </c>
      <c r="I53" s="5">
        <f>IF(COUNT(I42,I43,I44)=0,NA(),SUM(I42,I43,I44))</f>
        <v>0</v>
      </c>
      <c r="J53" s="5">
        <f>IF(COUNT(J42,J43,J44)=0,NA(),SUM(J42,J43,J44))</f>
        <v>0</v>
      </c>
      <c r="K53" s="5">
        <f>IF(COUNT(K42,K43,K44)=0,NA(),SUM(K42,K43,K44))</f>
        <v>0</v>
      </c>
      <c r="L53" s="5">
        <f>IF(COUNT(L42,L43,L44)=0,NA(),SUM(L42,L43,L44))</f>
        <v>0</v>
      </c>
      <c r="M53" s="5">
        <f>IF(COUNT(M42,M43,M44)=0,NA(),SUM(M42,M43,M44))</f>
        <v>0</v>
      </c>
      <c r="N53" s="5">
        <f>IF(COUNT(N42,N43,N44)=0,NA(),SUM(N42,N43,N44))</f>
        <v>0</v>
      </c>
      <c r="O53" s="5">
        <f>IF(COUNT(O42,O43,O44)=0,NA(),SUM(O42,O43,O44))</f>
        <v>0</v>
      </c>
      <c r="P53" s="5">
        <f>IF(COUNT(P42,P43,P44)=0,NA(),SUM(P42,P43,P44))</f>
        <v>0</v>
      </c>
      <c r="Q53" s="5">
        <f>IF(COUNT(Q42,Q43,Q44)=0,NA(),SUM(Q42,Q43,Q44))</f>
        <v>0</v>
      </c>
      <c r="R53" s="5">
        <f>IF(COUNT(R42,R43,R44)=0,NA(),SUM(R42,R43,R44))</f>
        <v>0</v>
      </c>
      <c r="S53" s="5">
        <f>IF(COUNT(S42,S43,S44)=0,NA(),SUM(S42,S43,S44))</f>
        <v>0</v>
      </c>
      <c r="T53" s="5">
        <f>IF(COUNT(T42,T43,T44)=0,NA(),SUM(T42,T43,T44))</f>
        <v>0</v>
      </c>
      <c r="U53" s="5">
        <f>IF(COUNT(U42,U43,U44)=0,NA(),SUM(U42,U43,U44))</f>
        <v>0</v>
      </c>
      <c r="V53" s="5">
        <f>IF(COUNT(V42,V43,V44)=0,NA(),SUM(V42,V43,V44))</f>
        <v>0</v>
      </c>
      <c r="W53" s="5">
        <f>IF(COUNT(W42,W43,W44)=0,NA(),SUM(W42,W43,W44))</f>
        <v>0</v>
      </c>
      <c r="X53" s="5">
        <f>IF(COUNT(X42,X43,X44)=0,NA(),SUM(X42,X43,X44))</f>
        <v>0</v>
      </c>
      <c r="Y53" s="5">
        <f>IF(COUNT(Y42,Y43,Y44)=0,NA(),SUM(Y42,Y43,Y44))</f>
        <v>0</v>
      </c>
      <c r="Z53" s="5">
        <f>IF(COUNT(Z42,Z43,Z44)=0,NA(),SUM(Z42,Z43,Z44))</f>
        <v>0</v>
      </c>
      <c r="AA53" s="5">
        <f>IF(COUNT(AA42,AA43,AA44)=0,NA(),SUM(AA42,AA43,AA44))</f>
        <v>0</v>
      </c>
      <c r="AB53" s="5">
        <f>IF(COUNT(AB42,AB43,AB44)=0,NA(),SUM(AB42,AB43,AB44))</f>
        <v>0</v>
      </c>
      <c r="AC53" s="5">
        <f>IF(COUNT(AC42,AC43,AC44)=0,NA(),SUM(AC42,AC43,AC44))</f>
        <v>0</v>
      </c>
      <c r="AD53" s="5">
        <f>IF(COUNT(AD42,AD43,AD44)=0,NA(),SUM(AD42,AD43,AD44))</f>
        <v>0</v>
      </c>
    </row>
    <row r="54" spans="1:68">
      <c r="A54" s="11" t="s">
        <v>171</v>
      </c>
      <c r="B54" s="11" t="s">
        <v>172</v>
      </c>
      <c r="C54" s="3" t="s">
        <v>137</v>
      </c>
      <c r="D54" s="5">
        <f>IF(AND(ISNUMBER(D51),ISNUMBER(D52)),D51-D52,NA())</f>
        <v>0</v>
      </c>
      <c r="E54" s="5">
        <f>IF(AND(ISNUMBER(E51),ISNUMBER(E52)),E51-E52,NA())</f>
        <v>0</v>
      </c>
      <c r="F54" s="5">
        <f>IF(AND(ISNUMBER(F51),ISNUMBER(F52)),F51-F52,NA())</f>
        <v>0</v>
      </c>
      <c r="G54" s="5">
        <f>IF(AND(ISNUMBER(G51),ISNUMBER(G52)),G51-G52,NA())</f>
        <v>0</v>
      </c>
      <c r="H54" s="5">
        <f>IF(AND(ISNUMBER(H51),ISNUMBER(H52)),H51-H52,NA())</f>
        <v>0</v>
      </c>
      <c r="I54" s="5">
        <f>IF(AND(ISNUMBER(I51),ISNUMBER(I52)),I51-I52,NA())</f>
        <v>0</v>
      </c>
      <c r="J54" s="5">
        <f>IF(AND(ISNUMBER(J51),ISNUMBER(J52)),J51-J52,NA())</f>
        <v>0</v>
      </c>
      <c r="K54" s="5">
        <f>IF(AND(ISNUMBER(K51),ISNUMBER(K52)),K51-K52,NA())</f>
        <v>0</v>
      </c>
      <c r="L54" s="5">
        <f>IF(AND(ISNUMBER(L51),ISNUMBER(L52)),L51-L52,NA())</f>
        <v>0</v>
      </c>
      <c r="M54" s="5">
        <f>IF(AND(ISNUMBER(M51),ISNUMBER(M52)),M51-M52,NA())</f>
        <v>0</v>
      </c>
      <c r="N54" s="5">
        <f>IF(AND(ISNUMBER(N51),ISNUMBER(N52)),N51-N52,NA())</f>
        <v>0</v>
      </c>
      <c r="O54" s="5">
        <f>IF(AND(ISNUMBER(O51),ISNUMBER(O52)),O51-O52,NA())</f>
        <v>0</v>
      </c>
      <c r="P54" s="5">
        <f>IF(AND(ISNUMBER(P51),ISNUMBER(P52)),P51-P52,NA())</f>
        <v>0</v>
      </c>
      <c r="Q54" s="5">
        <f>IF(AND(ISNUMBER(Q51),ISNUMBER(Q52)),Q51-Q52,NA())</f>
        <v>0</v>
      </c>
      <c r="R54" s="5">
        <f>IF(AND(ISNUMBER(R51),ISNUMBER(R52)),R51-R52,NA())</f>
        <v>0</v>
      </c>
      <c r="S54" s="5">
        <f>IF(AND(ISNUMBER(S51),ISNUMBER(S52)),S51-S52,NA())</f>
        <v>0</v>
      </c>
      <c r="T54" s="5">
        <f>IF(AND(ISNUMBER(T51),ISNUMBER(T52)),T51-T52,NA())</f>
        <v>0</v>
      </c>
      <c r="U54" s="5">
        <f>IF(AND(ISNUMBER(U51),ISNUMBER(U52)),U51-U52,NA())</f>
        <v>0</v>
      </c>
      <c r="V54" s="5">
        <f>IF(AND(ISNUMBER(V51),ISNUMBER(V52)),V51-V52,NA())</f>
        <v>0</v>
      </c>
      <c r="W54" s="5">
        <f>IF(AND(ISNUMBER(W51),ISNUMBER(W52)),W51-W52,NA())</f>
        <v>0</v>
      </c>
      <c r="X54" s="5">
        <f>IF(AND(ISNUMBER(X51),ISNUMBER(X52)),X51-X52,NA())</f>
        <v>0</v>
      </c>
      <c r="Y54" s="5">
        <f>IF(AND(ISNUMBER(Y51),ISNUMBER(Y52)),Y51-Y52,NA())</f>
        <v>0</v>
      </c>
      <c r="Z54" s="5">
        <f>IF(AND(ISNUMBER(Z51),ISNUMBER(Z52)),Z51-Z52,NA())</f>
        <v>0</v>
      </c>
      <c r="AA54" s="5">
        <f>IF(AND(ISNUMBER(AA51),ISNUMBER(AA52)),AA51-AA52,NA())</f>
        <v>0</v>
      </c>
      <c r="AB54" s="5">
        <f>IF(AND(ISNUMBER(AB51),ISNUMBER(AB52)),AB51-AB52,NA())</f>
        <v>0</v>
      </c>
      <c r="AC54" s="5">
        <f>IF(AND(ISNUMBER(AC51),ISNUMBER(AC52)),AC51-AC52,NA())</f>
        <v>0</v>
      </c>
      <c r="AD54" s="5">
        <f>IF(AND(ISNUMBER(AD51),ISNUMBER(AD52)),AD51-AD52,NA())</f>
        <v>0</v>
      </c>
    </row>
    <row r="55" spans="1:68">
      <c r="A55" s="11" t="s">
        <v>173</v>
      </c>
      <c r="B55" s="11" t="s">
        <v>174</v>
      </c>
      <c r="C55" s="3" t="s">
        <v>144</v>
      </c>
      <c r="AQ55" s="5">
        <f>IF(AQ$39=0,NA(),MAX(1,_xlfn.AGGREGATE(4,6,INDEX($D$53:$AD$53,MAX(1,$D$37+1-$D$36)):INDEX($D$53:$AD$53,$D$37)),N(Konfiguration!$F$9)))</f>
        <v>0</v>
      </c>
      <c r="AR55" s="5">
        <f>IF(AR$39=0,NA(),MAX(1,_xlfn.AGGREGATE(4,6,INDEX($D$53:$AD$53,MAX(1,$D$37+1-$D$36)):INDEX($D$53:$AD$53,$D$37)),N(Konfiguration!$F$9)))</f>
        <v>0</v>
      </c>
      <c r="AS55" s="5">
        <f>IF(AS$39=0,NA(),MAX(1,_xlfn.AGGREGATE(4,6,INDEX($D$53:$AD$53,MAX(1,$D$37+1-$D$36)):INDEX($D$53:$AD$53,$D$37)),N(Konfiguration!$F$9)))</f>
        <v>0</v>
      </c>
      <c r="AT55" s="5">
        <f>IF(AT$39=0,NA(),MAX(1,_xlfn.AGGREGATE(4,6,INDEX($D$53:$AD$53,MAX(1,$D$37+1-$D$36)):INDEX($D$53:$AD$53,$D$37)),N(Konfiguration!$F$9)))</f>
        <v>0</v>
      </c>
      <c r="AU55" s="5">
        <f>IF(AU$39=0,NA(),MAX(1,_xlfn.AGGREGATE(4,6,INDEX($D$53:$AD$53,MAX(1,$D$37+1-$D$36)):INDEX($D$53:$AD$53,$D$37)),N(Konfiguration!$F$9)))</f>
        <v>0</v>
      </c>
      <c r="AV55" s="5">
        <f>IF(AV$39=0,NA(),MAX(1,_xlfn.AGGREGATE(4,6,INDEX($D$53:$AD$53,MAX(1,$D$37+1-$D$36)):INDEX($D$53:$AD$53,$D$37)),N(Konfiguration!$F$9)))</f>
        <v>0</v>
      </c>
      <c r="AW55" s="5">
        <f>IF(AW$39=0,NA(),MAX(1,_xlfn.AGGREGATE(4,6,INDEX($D$53:$AD$53,MAX(1,$D$37+1-$D$36)):INDEX($D$53:$AD$53,$D$37)),N(Konfiguration!$F$9)))</f>
        <v>0</v>
      </c>
      <c r="AX55" s="5">
        <f>IF(AX$39=0,NA(),MAX(1,_xlfn.AGGREGATE(4,6,INDEX($D$53:$AD$53,MAX(1,$D$37+1-$D$36)):INDEX($D$53:$AD$53,$D$37)),N(Konfiguration!$F$9)))</f>
        <v>0</v>
      </c>
      <c r="AY55" s="5">
        <f>IF(AY$39=0,NA(),MAX(1,_xlfn.AGGREGATE(4,6,INDEX($D$53:$AD$53,MAX(1,$D$37+1-$D$36)):INDEX($D$53:$AD$53,$D$37)),N(Konfiguration!$F$9)))</f>
        <v>0</v>
      </c>
      <c r="AZ55" s="5">
        <f>IF(AZ$39=0,NA(),MAX(1,_xlfn.AGGREGATE(4,6,INDEX($D$53:$AD$53,MAX(1,$D$37+1-$D$36)):INDEX($D$53:$AD$53,$D$37)),N(Konfiguration!$F$9)))</f>
        <v>0</v>
      </c>
      <c r="BA55" s="5">
        <f>IF(BA$39=0,NA(),MAX(1,_xlfn.AGGREGATE(4,6,INDEX($D$53:$AD$53,MAX(1,$D$37+1-$D$36)):INDEX($D$53:$AD$53,$D$37)),N(Konfiguration!$F$9)))</f>
        <v>0</v>
      </c>
      <c r="BB55" s="5">
        <f>IF(BB$39=0,NA(),MAX(1,_xlfn.AGGREGATE(4,6,INDEX($D$53:$AD$53,MAX(1,$D$37+1-$D$36)):INDEX($D$53:$AD$53,$D$37)),N(Konfiguration!$F$9)))</f>
        <v>0</v>
      </c>
      <c r="BC55" s="5">
        <f>IF(BC$39=0,NA(),MAX(1,_xlfn.AGGREGATE(4,6,INDEX($D$53:$AD$53,MAX(1,$D$37+1-$D$36)):INDEX($D$53:$AD$53,$D$37)),N(Konfiguration!$F$9)))</f>
        <v>0</v>
      </c>
      <c r="BD55" s="5">
        <f>IF(BD$39=0,NA(),MAX(1,_xlfn.AGGREGATE(4,6,INDEX($D$53:$AD$53,MAX(1,$D$37+1-$D$36)):INDEX($D$53:$AD$53,$D$37)),N(Konfiguration!$F$9)))</f>
        <v>0</v>
      </c>
      <c r="BE55" s="5">
        <f>IF(BE$39=0,NA(),MAX(1,_xlfn.AGGREGATE(4,6,INDEX($D$53:$AD$53,MAX(1,$D$37+1-$D$36)):INDEX($D$53:$AD$53,$D$37)),N(Konfiguration!$F$9)))</f>
        <v>0</v>
      </c>
      <c r="BF55" s="5">
        <f>IF(BF$39=0,NA(),MAX(1,_xlfn.AGGREGATE(4,6,INDEX($D$53:$AD$53,MAX(1,$D$37+1-$D$36)):INDEX($D$53:$AD$53,$D$37)),N(Konfiguration!$F$9)))</f>
        <v>0</v>
      </c>
      <c r="BG55" s="5">
        <f>IF(BG$39=0,NA(),MAX(1,_xlfn.AGGREGATE(4,6,INDEX($D$53:$AD$53,MAX(1,$D$37+1-$D$36)):INDEX($D$53:$AD$53,$D$37)),N(Konfiguration!$F$9)))</f>
        <v>0</v>
      </c>
      <c r="BH55" s="5">
        <f>IF(BH$39=0,NA(),MAX(1,_xlfn.AGGREGATE(4,6,INDEX($D$53:$AD$53,MAX(1,$D$37+1-$D$36)):INDEX($D$53:$AD$53,$D$37)),N(Konfiguration!$F$9)))</f>
        <v>0</v>
      </c>
      <c r="BI55" s="5">
        <f>IF(BI$39=0,NA(),MAX(1,_xlfn.AGGREGATE(4,6,INDEX($D$53:$AD$53,MAX(1,$D$37+1-$D$36)):INDEX($D$53:$AD$53,$D$37)),N(Konfiguration!$F$9)))</f>
        <v>0</v>
      </c>
      <c r="BJ55" s="5">
        <f>IF(BJ$39=0,NA(),MAX(1,_xlfn.AGGREGATE(4,6,INDEX($D$53:$AD$53,MAX(1,$D$37+1-$D$36)):INDEX($D$53:$AD$53,$D$37)),N(Konfiguration!$F$9)))</f>
        <v>0</v>
      </c>
      <c r="BK55" s="5">
        <f>IF(BK$39=0,NA(),MAX(1,_xlfn.AGGREGATE(4,6,INDEX($D$53:$AD$53,MAX(1,$D$37+1-$D$36)):INDEX($D$53:$AD$53,$D$37)),N(Konfiguration!$F$9)))</f>
        <v>0</v>
      </c>
      <c r="BL55" s="5">
        <f>IF(BL$39=0,NA(),MAX(1,_xlfn.AGGREGATE(4,6,INDEX($D$53:$AD$53,MAX(1,$D$37+1-$D$36)):INDEX($D$53:$AD$53,$D$37)),N(Konfiguration!$F$9)))</f>
        <v>0</v>
      </c>
      <c r="BM55" s="5">
        <f>IF(BM$39=0,NA(),MAX(1,_xlfn.AGGREGATE(4,6,INDEX($D$53:$AD$53,MAX(1,$D$37+1-$D$36)):INDEX($D$53:$AD$53,$D$37)),N(Konfiguration!$F$9)))</f>
        <v>0</v>
      </c>
      <c r="BN55" s="5">
        <f>IF(BN$39=0,NA(),MAX(1,_xlfn.AGGREGATE(4,6,INDEX($D$53:$AD$53,MAX(1,$D$37+1-$D$36)):INDEX($D$53:$AD$53,$D$37)),N(Konfiguration!$F$9)))</f>
        <v>0</v>
      </c>
      <c r="BO55" s="5">
        <f>IF(BO$39=0,NA(),MAX(1,_xlfn.AGGREGATE(4,6,INDEX($D$53:$AD$53,MAX(1,$D$37+1-$D$36)):INDEX($D$53:$AD$53,$D$37)),N(Konfiguration!$F$9)))</f>
        <v>0</v>
      </c>
      <c r="BP55" s="5">
        <f>IF(BP$39=0,NA(),MAX(1,_xlfn.AGGREGATE(4,6,INDEX($D$53:$AD$53,MAX(1,$D$37+1-$D$36)):INDEX($D$53:$AD$53,$D$37)),N(Konfiguration!$F$9)))</f>
        <v>0</v>
      </c>
    </row>
    <row r="56" spans="1:68">
      <c r="A56" s="11" t="s">
        <v>175</v>
      </c>
      <c r="B56" s="11" t="s">
        <v>176</v>
      </c>
      <c r="C56" s="3" t="s">
        <v>144</v>
      </c>
      <c r="AQ56" s="5">
        <f>IF(AQ$39=0,NA(),IF(ISNUMBER(INDEX($D$43:$AD$43,AQ$39)),INDEX($D$43:$AD$43,AQ$39)/AQ55,NA()))</f>
        <v>0</v>
      </c>
      <c r="AR56" s="5">
        <f>IF(AR$39=0,NA(),IF(ISNUMBER(INDEX($D$43:$AD$43,AR$39)),INDEX($D$43:$AD$43,AR$39)/AR55,NA()))</f>
        <v>0</v>
      </c>
      <c r="AS56" s="5">
        <f>IF(AS$39=0,NA(),IF(ISNUMBER(INDEX($D$43:$AD$43,AS$39)),INDEX($D$43:$AD$43,AS$39)/AS55,NA()))</f>
        <v>0</v>
      </c>
      <c r="AT56" s="5">
        <f>IF(AT$39=0,NA(),IF(ISNUMBER(INDEX($D$43:$AD$43,AT$39)),INDEX($D$43:$AD$43,AT$39)/AT55,NA()))</f>
        <v>0</v>
      </c>
      <c r="AU56" s="5">
        <f>IF(AU$39=0,NA(),IF(ISNUMBER(INDEX($D$43:$AD$43,AU$39)),INDEX($D$43:$AD$43,AU$39)/AU55,NA()))</f>
        <v>0</v>
      </c>
      <c r="AV56" s="5">
        <f>IF(AV$39=0,NA(),IF(ISNUMBER(INDEX($D$43:$AD$43,AV$39)),INDEX($D$43:$AD$43,AV$39)/AV55,NA()))</f>
        <v>0</v>
      </c>
      <c r="AW56" s="5">
        <f>IF(AW$39=0,NA(),IF(ISNUMBER(INDEX($D$43:$AD$43,AW$39)),INDEX($D$43:$AD$43,AW$39)/AW55,NA()))</f>
        <v>0</v>
      </c>
      <c r="AX56" s="5">
        <f>IF(AX$39=0,NA(),IF(ISNUMBER(INDEX($D$43:$AD$43,AX$39)),INDEX($D$43:$AD$43,AX$39)/AX55,NA()))</f>
        <v>0</v>
      </c>
      <c r="AY56" s="5">
        <f>IF(AY$39=0,NA(),IF(ISNUMBER(INDEX($D$43:$AD$43,AY$39)),INDEX($D$43:$AD$43,AY$39)/AY55,NA()))</f>
        <v>0</v>
      </c>
      <c r="AZ56" s="5">
        <f>IF(AZ$39=0,NA(),IF(ISNUMBER(INDEX($D$43:$AD$43,AZ$39)),INDEX($D$43:$AD$43,AZ$39)/AZ55,NA()))</f>
        <v>0</v>
      </c>
      <c r="BA56" s="5">
        <f>IF(BA$39=0,NA(),IF(ISNUMBER(INDEX($D$43:$AD$43,BA$39)),INDEX($D$43:$AD$43,BA$39)/BA55,NA()))</f>
        <v>0</v>
      </c>
      <c r="BB56" s="5">
        <f>IF(BB$39=0,NA(),IF(ISNUMBER(INDEX($D$43:$AD$43,BB$39)),INDEX($D$43:$AD$43,BB$39)/BB55,NA()))</f>
        <v>0</v>
      </c>
      <c r="BC56" s="5">
        <f>IF(BC$39=0,NA(),IF(ISNUMBER(INDEX($D$43:$AD$43,BC$39)),INDEX($D$43:$AD$43,BC$39)/BC55,NA()))</f>
        <v>0</v>
      </c>
      <c r="BD56" s="5">
        <f>IF(BD$39=0,NA(),IF(ISNUMBER(INDEX($D$43:$AD$43,BD$39)),INDEX($D$43:$AD$43,BD$39)/BD55,NA()))</f>
        <v>0</v>
      </c>
      <c r="BE56" s="5">
        <f>IF(BE$39=0,NA(),IF(ISNUMBER(INDEX($D$43:$AD$43,BE$39)),INDEX($D$43:$AD$43,BE$39)/BE55,NA()))</f>
        <v>0</v>
      </c>
      <c r="BF56" s="5">
        <f>IF(BF$39=0,NA(),IF(ISNUMBER(INDEX($D$43:$AD$43,BF$39)),INDEX($D$43:$AD$43,BF$39)/BF55,NA()))</f>
        <v>0</v>
      </c>
      <c r="BG56" s="5">
        <f>IF(BG$39=0,NA(),IF(ISNUMBER(INDEX($D$43:$AD$43,BG$39)),INDEX($D$43:$AD$43,BG$39)/BG55,NA()))</f>
        <v>0</v>
      </c>
      <c r="BH56" s="5">
        <f>IF(BH$39=0,NA(),IF(ISNUMBER(INDEX($D$43:$AD$43,BH$39)),INDEX($D$43:$AD$43,BH$39)/BH55,NA()))</f>
        <v>0</v>
      </c>
      <c r="BI56" s="5">
        <f>IF(BI$39=0,NA(),IF(ISNUMBER(INDEX($D$43:$AD$43,BI$39)),INDEX($D$43:$AD$43,BI$39)/BI55,NA()))</f>
        <v>0</v>
      </c>
      <c r="BJ56" s="5">
        <f>IF(BJ$39=0,NA(),IF(ISNUMBER(INDEX($D$43:$AD$43,BJ$39)),INDEX($D$43:$AD$43,BJ$39)/BJ55,NA()))</f>
        <v>0</v>
      </c>
      <c r="BK56" s="5">
        <f>IF(BK$39=0,NA(),IF(ISNUMBER(INDEX($D$43:$AD$43,BK$39)),INDEX($D$43:$AD$43,BK$39)/BK55,NA()))</f>
        <v>0</v>
      </c>
      <c r="BL56" s="5">
        <f>IF(BL$39=0,NA(),IF(ISNUMBER(INDEX($D$43:$AD$43,BL$39)),INDEX($D$43:$AD$43,BL$39)/BL55,NA()))</f>
        <v>0</v>
      </c>
      <c r="BM56" s="5">
        <f>IF(BM$39=0,NA(),IF(ISNUMBER(INDEX($D$43:$AD$43,BM$39)),INDEX($D$43:$AD$43,BM$39)/BM55,NA()))</f>
        <v>0</v>
      </c>
      <c r="BN56" s="5">
        <f>IF(BN$39=0,NA(),IF(ISNUMBER(INDEX($D$43:$AD$43,BN$39)),INDEX($D$43:$AD$43,BN$39)/BN55,NA()))</f>
        <v>0</v>
      </c>
      <c r="BO56" s="5">
        <f>IF(BO$39=0,NA(),IF(ISNUMBER(INDEX($D$43:$AD$43,BO$39)),INDEX($D$43:$AD$43,BO$39)/BO55,NA()))</f>
        <v>0</v>
      </c>
      <c r="BP56" s="5">
        <f>IF(BP$39=0,NA(),IF(ISNUMBER(INDEX($D$43:$AD$43,BP$39)),INDEX($D$43:$AD$43,BP$39)/BP55,NA()))</f>
        <v>0</v>
      </c>
    </row>
    <row r="57" spans="1:68">
      <c r="A57" s="11" t="s">
        <v>177</v>
      </c>
      <c r="B57" s="11" t="s">
        <v>178</v>
      </c>
      <c r="C57" s="3" t="s">
        <v>144</v>
      </c>
      <c r="AQ57" s="5">
        <f>IF(AQ$39=0,NA(),IF(ISNUMBER(INDEX($D$42:$AD$42,AQ$39)),INDEX($D$42:$AD$42,AQ$39)/AQ55,NA()))</f>
        <v>0</v>
      </c>
      <c r="AR57" s="5">
        <f>IF(AR$39=0,NA(),IF(ISNUMBER(INDEX($D$42:$AD$42,AR$39)),INDEX($D$42:$AD$42,AR$39)/AR55,NA()))</f>
        <v>0</v>
      </c>
      <c r="AS57" s="5">
        <f>IF(AS$39=0,NA(),IF(ISNUMBER(INDEX($D$42:$AD$42,AS$39)),INDEX($D$42:$AD$42,AS$39)/AS55,NA()))</f>
        <v>0</v>
      </c>
      <c r="AT57" s="5">
        <f>IF(AT$39=0,NA(),IF(ISNUMBER(INDEX($D$42:$AD$42,AT$39)),INDEX($D$42:$AD$42,AT$39)/AT55,NA()))</f>
        <v>0</v>
      </c>
      <c r="AU57" s="5">
        <f>IF(AU$39=0,NA(),IF(ISNUMBER(INDEX($D$42:$AD$42,AU$39)),INDEX($D$42:$AD$42,AU$39)/AU55,NA()))</f>
        <v>0</v>
      </c>
      <c r="AV57" s="5">
        <f>IF(AV$39=0,NA(),IF(ISNUMBER(INDEX($D$42:$AD$42,AV$39)),INDEX($D$42:$AD$42,AV$39)/AV55,NA()))</f>
        <v>0</v>
      </c>
      <c r="AW57" s="5">
        <f>IF(AW$39=0,NA(),IF(ISNUMBER(INDEX($D$42:$AD$42,AW$39)),INDEX($D$42:$AD$42,AW$39)/AW55,NA()))</f>
        <v>0</v>
      </c>
      <c r="AX57" s="5">
        <f>IF(AX$39=0,NA(),IF(ISNUMBER(INDEX($D$42:$AD$42,AX$39)),INDEX($D$42:$AD$42,AX$39)/AX55,NA()))</f>
        <v>0</v>
      </c>
      <c r="AY57" s="5">
        <f>IF(AY$39=0,NA(),IF(ISNUMBER(INDEX($D$42:$AD$42,AY$39)),INDEX($D$42:$AD$42,AY$39)/AY55,NA()))</f>
        <v>0</v>
      </c>
      <c r="AZ57" s="5">
        <f>IF(AZ$39=0,NA(),IF(ISNUMBER(INDEX($D$42:$AD$42,AZ$39)),INDEX($D$42:$AD$42,AZ$39)/AZ55,NA()))</f>
        <v>0</v>
      </c>
      <c r="BA57" s="5">
        <f>IF(BA$39=0,NA(),IF(ISNUMBER(INDEX($D$42:$AD$42,BA$39)),INDEX($D$42:$AD$42,BA$39)/BA55,NA()))</f>
        <v>0</v>
      </c>
      <c r="BB57" s="5">
        <f>IF(BB$39=0,NA(),IF(ISNUMBER(INDEX($D$42:$AD$42,BB$39)),INDEX($D$42:$AD$42,BB$39)/BB55,NA()))</f>
        <v>0</v>
      </c>
      <c r="BC57" s="5">
        <f>IF(BC$39=0,NA(),IF(ISNUMBER(INDEX($D$42:$AD$42,BC$39)),INDEX($D$42:$AD$42,BC$39)/BC55,NA()))</f>
        <v>0</v>
      </c>
      <c r="BD57" s="5">
        <f>IF(BD$39=0,NA(),IF(ISNUMBER(INDEX($D$42:$AD$42,BD$39)),INDEX($D$42:$AD$42,BD$39)/BD55,NA()))</f>
        <v>0</v>
      </c>
      <c r="BE57" s="5">
        <f>IF(BE$39=0,NA(),IF(ISNUMBER(INDEX($D$42:$AD$42,BE$39)),INDEX($D$42:$AD$42,BE$39)/BE55,NA()))</f>
        <v>0</v>
      </c>
      <c r="BF57" s="5">
        <f>IF(BF$39=0,NA(),IF(ISNUMBER(INDEX($D$42:$AD$42,BF$39)),INDEX($D$42:$AD$42,BF$39)/BF55,NA()))</f>
        <v>0</v>
      </c>
      <c r="BG57" s="5">
        <f>IF(BG$39=0,NA(),IF(ISNUMBER(INDEX($D$42:$AD$42,BG$39)),INDEX($D$42:$AD$42,BG$39)/BG55,NA()))</f>
        <v>0</v>
      </c>
      <c r="BH57" s="5">
        <f>IF(BH$39=0,NA(),IF(ISNUMBER(INDEX($D$42:$AD$42,BH$39)),INDEX($D$42:$AD$42,BH$39)/BH55,NA()))</f>
        <v>0</v>
      </c>
      <c r="BI57" s="5">
        <f>IF(BI$39=0,NA(),IF(ISNUMBER(INDEX($D$42:$AD$42,BI$39)),INDEX($D$42:$AD$42,BI$39)/BI55,NA()))</f>
        <v>0</v>
      </c>
      <c r="BJ57" s="5">
        <f>IF(BJ$39=0,NA(),IF(ISNUMBER(INDEX($D$42:$AD$42,BJ$39)),INDEX($D$42:$AD$42,BJ$39)/BJ55,NA()))</f>
        <v>0</v>
      </c>
      <c r="BK57" s="5">
        <f>IF(BK$39=0,NA(),IF(ISNUMBER(INDEX($D$42:$AD$42,BK$39)),INDEX($D$42:$AD$42,BK$39)/BK55,NA()))</f>
        <v>0</v>
      </c>
      <c r="BL57" s="5">
        <f>IF(BL$39=0,NA(),IF(ISNUMBER(INDEX($D$42:$AD$42,BL$39)),INDEX($D$42:$AD$42,BL$39)/BL55,NA()))</f>
        <v>0</v>
      </c>
      <c r="BM57" s="5">
        <f>IF(BM$39=0,NA(),IF(ISNUMBER(INDEX($D$42:$AD$42,BM$39)),INDEX($D$42:$AD$42,BM$39)/BM55,NA()))</f>
        <v>0</v>
      </c>
      <c r="BN57" s="5">
        <f>IF(BN$39=0,NA(),IF(ISNUMBER(INDEX($D$42:$AD$42,BN$39)),INDEX($D$42:$AD$42,BN$39)/BN55,NA()))</f>
        <v>0</v>
      </c>
      <c r="BO57" s="5">
        <f>IF(BO$39=0,NA(),IF(ISNUMBER(INDEX($D$42:$AD$42,BO$39)),INDEX($D$42:$AD$42,BO$39)/BO55,NA()))</f>
        <v>0</v>
      </c>
      <c r="BP57" s="5">
        <f>IF(BP$39=0,NA(),IF(ISNUMBER(INDEX($D$42:$AD$42,BP$39)),INDEX($D$42:$AD$42,BP$39)/BP55,NA()))</f>
        <v>0</v>
      </c>
    </row>
    <row r="58" spans="1:68">
      <c r="A58" s="11" t="s">
        <v>179</v>
      </c>
      <c r="B58" s="11" t="s">
        <v>180</v>
      </c>
      <c r="C58" s="3" t="s">
        <v>144</v>
      </c>
      <c r="AQ58" s="5">
        <f>IF(AQ$39=0,NA(),IF(ISNUMBER(INDEX($D$44:$AD$44,AQ$39)),INDEX($D$44:$AD$44,AQ$39)/AQ55,NA()))</f>
        <v>0</v>
      </c>
      <c r="AR58" s="5">
        <f>IF(AR$39=0,NA(),IF(ISNUMBER(INDEX($D$44:$AD$44,AR$39)),INDEX($D$44:$AD$44,AR$39)/AR55,NA()))</f>
        <v>0</v>
      </c>
      <c r="AS58" s="5">
        <f>IF(AS$39=0,NA(),IF(ISNUMBER(INDEX($D$44:$AD$44,AS$39)),INDEX($D$44:$AD$44,AS$39)/AS55,NA()))</f>
        <v>0</v>
      </c>
      <c r="AT58" s="5">
        <f>IF(AT$39=0,NA(),IF(ISNUMBER(INDEX($D$44:$AD$44,AT$39)),INDEX($D$44:$AD$44,AT$39)/AT55,NA()))</f>
        <v>0</v>
      </c>
      <c r="AU58" s="5">
        <f>IF(AU$39=0,NA(),IF(ISNUMBER(INDEX($D$44:$AD$44,AU$39)),INDEX($D$44:$AD$44,AU$39)/AU55,NA()))</f>
        <v>0</v>
      </c>
      <c r="AV58" s="5">
        <f>IF(AV$39=0,NA(),IF(ISNUMBER(INDEX($D$44:$AD$44,AV$39)),INDEX($D$44:$AD$44,AV$39)/AV55,NA()))</f>
        <v>0</v>
      </c>
      <c r="AW58" s="5">
        <f>IF(AW$39=0,NA(),IF(ISNUMBER(INDEX($D$44:$AD$44,AW$39)),INDEX($D$44:$AD$44,AW$39)/AW55,NA()))</f>
        <v>0</v>
      </c>
      <c r="AX58" s="5">
        <f>IF(AX$39=0,NA(),IF(ISNUMBER(INDEX($D$44:$AD$44,AX$39)),INDEX($D$44:$AD$44,AX$39)/AX55,NA()))</f>
        <v>0</v>
      </c>
      <c r="AY58" s="5">
        <f>IF(AY$39=0,NA(),IF(ISNUMBER(INDEX($D$44:$AD$44,AY$39)),INDEX($D$44:$AD$44,AY$39)/AY55,NA()))</f>
        <v>0</v>
      </c>
      <c r="AZ58" s="5">
        <f>IF(AZ$39=0,NA(),IF(ISNUMBER(INDEX($D$44:$AD$44,AZ$39)),INDEX($D$44:$AD$44,AZ$39)/AZ55,NA()))</f>
        <v>0</v>
      </c>
      <c r="BA58" s="5">
        <f>IF(BA$39=0,NA(),IF(ISNUMBER(INDEX($D$44:$AD$44,BA$39)),INDEX($D$44:$AD$44,BA$39)/BA55,NA()))</f>
        <v>0</v>
      </c>
      <c r="BB58" s="5">
        <f>IF(BB$39=0,NA(),IF(ISNUMBER(INDEX($D$44:$AD$44,BB$39)),INDEX($D$44:$AD$44,BB$39)/BB55,NA()))</f>
        <v>0</v>
      </c>
      <c r="BC58" s="5">
        <f>IF(BC$39=0,NA(),IF(ISNUMBER(INDEX($D$44:$AD$44,BC$39)),INDEX($D$44:$AD$44,BC$39)/BC55,NA()))</f>
        <v>0</v>
      </c>
      <c r="BD58" s="5">
        <f>IF(BD$39=0,NA(),IF(ISNUMBER(INDEX($D$44:$AD$44,BD$39)),INDEX($D$44:$AD$44,BD$39)/BD55,NA()))</f>
        <v>0</v>
      </c>
      <c r="BE58" s="5">
        <f>IF(BE$39=0,NA(),IF(ISNUMBER(INDEX($D$44:$AD$44,BE$39)),INDEX($D$44:$AD$44,BE$39)/BE55,NA()))</f>
        <v>0</v>
      </c>
      <c r="BF58" s="5">
        <f>IF(BF$39=0,NA(),IF(ISNUMBER(INDEX($D$44:$AD$44,BF$39)),INDEX($D$44:$AD$44,BF$39)/BF55,NA()))</f>
        <v>0</v>
      </c>
      <c r="BG58" s="5">
        <f>IF(BG$39=0,NA(),IF(ISNUMBER(INDEX($D$44:$AD$44,BG$39)),INDEX($D$44:$AD$44,BG$39)/BG55,NA()))</f>
        <v>0</v>
      </c>
      <c r="BH58" s="5">
        <f>IF(BH$39=0,NA(),IF(ISNUMBER(INDEX($D$44:$AD$44,BH$39)),INDEX($D$44:$AD$44,BH$39)/BH55,NA()))</f>
        <v>0</v>
      </c>
      <c r="BI58" s="5">
        <f>IF(BI$39=0,NA(),IF(ISNUMBER(INDEX($D$44:$AD$44,BI$39)),INDEX($D$44:$AD$44,BI$39)/BI55,NA()))</f>
        <v>0</v>
      </c>
      <c r="BJ58" s="5">
        <f>IF(BJ$39=0,NA(),IF(ISNUMBER(INDEX($D$44:$AD$44,BJ$39)),INDEX($D$44:$AD$44,BJ$39)/BJ55,NA()))</f>
        <v>0</v>
      </c>
      <c r="BK58" s="5">
        <f>IF(BK$39=0,NA(),IF(ISNUMBER(INDEX($D$44:$AD$44,BK$39)),INDEX($D$44:$AD$44,BK$39)/BK55,NA()))</f>
        <v>0</v>
      </c>
      <c r="BL58" s="5">
        <f>IF(BL$39=0,NA(),IF(ISNUMBER(INDEX($D$44:$AD$44,BL$39)),INDEX($D$44:$AD$44,BL$39)/BL55,NA()))</f>
        <v>0</v>
      </c>
      <c r="BM58" s="5">
        <f>IF(BM$39=0,NA(),IF(ISNUMBER(INDEX($D$44:$AD$44,BM$39)),INDEX($D$44:$AD$44,BM$39)/BM55,NA()))</f>
        <v>0</v>
      </c>
      <c r="BN58" s="5">
        <f>IF(BN$39=0,NA(),IF(ISNUMBER(INDEX($D$44:$AD$44,BN$39)),INDEX($D$44:$AD$44,BN$39)/BN55,NA()))</f>
        <v>0</v>
      </c>
      <c r="BO58" s="5">
        <f>IF(BO$39=0,NA(),IF(ISNUMBER(INDEX($D$44:$AD$44,BO$39)),INDEX($D$44:$AD$44,BO$39)/BO55,NA()))</f>
        <v>0</v>
      </c>
      <c r="BP58" s="5">
        <f>IF(BP$39=0,NA(),IF(ISNUMBER(INDEX($D$44:$AD$44,BP$39)),INDEX($D$44:$AD$44,BP$39)/BP55,NA()))</f>
        <v>0</v>
      </c>
    </row>
    <row r="59" spans="1:68">
      <c r="A59" s="11" t="s">
        <v>181</v>
      </c>
      <c r="B59" s="11" t="s">
        <v>182</v>
      </c>
      <c r="C59" s="3" t="s">
        <v>144</v>
      </c>
      <c r="AQ59"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183</v>
      </c>
      <c r="B60" s="11" t="s">
        <v>184</v>
      </c>
      <c r="C60" s="3" t="s">
        <v>144</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185</v>
      </c>
      <c r="B61" s="11" t="s">
        <v>186</v>
      </c>
      <c r="C61" s="3" t="s">
        <v>144</v>
      </c>
      <c r="AQ61"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187</v>
      </c>
      <c r="B62" s="11" t="s">
        <v>188</v>
      </c>
      <c r="C62" s="3" t="s">
        <v>144</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189</v>
      </c>
      <c r="B63" s="11" t="s">
        <v>190</v>
      </c>
      <c r="C63" s="3" t="s">
        <v>144</v>
      </c>
      <c r="AQ63" s="5">
        <f>IF(AQ$39=0,NA(),(_xlfn.AGGREGATE(9,6,INDEX($D$44:$AD$44,MAX(1,$D$37+1-$D$36)):INDEX($D$44:$AD$44,$D$37))&gt;_xlfn.AGGREGATE(9,6,INDEX($D$42:$AD$42,MAX(1,$D$37+1-$D$36)):INDEX($D$42:$AD$42,$D$37)))+(_xlfn.AGGREGATE(9,6,INDEX($D$44:$AD$44,MAX(1,$D$37+1-$D$36)):INDEX($D$44:$AD$44,$D$37))&gt;_xlfn.AGGREGATE(9,6,INDEX($D$43:$AD$43,MAX(1,$D$37+1-$D$36)):INDEX($D$43:$AD$43,$D$37))))</f>
        <v>0</v>
      </c>
      <c r="AR63" s="5">
        <f>IF(AR$39=0,NA(),(_xlfn.AGGREGATE(9,6,INDEX($D$44:$AD$44,MAX(1,$D$37+1-$D$36)):INDEX($D$44:$AD$44,$D$37))&gt;_xlfn.AGGREGATE(9,6,INDEX($D$42:$AD$42,MAX(1,$D$37+1-$D$36)):INDEX($D$42:$AD$42,$D$37)))+(_xlfn.AGGREGATE(9,6,INDEX($D$44:$AD$44,MAX(1,$D$37+1-$D$36)):INDEX($D$44:$AD$44,$D$37))&gt;_xlfn.AGGREGATE(9,6,INDEX($D$43:$AD$43,MAX(1,$D$37+1-$D$36)):INDEX($D$43:$AD$43,$D$37))))</f>
        <v>0</v>
      </c>
      <c r="AS63" s="5">
        <f>IF(AS$39=0,NA(),(_xlfn.AGGREGATE(9,6,INDEX($D$44:$AD$44,MAX(1,$D$37+1-$D$36)):INDEX($D$44:$AD$44,$D$37))&gt;_xlfn.AGGREGATE(9,6,INDEX($D$42:$AD$42,MAX(1,$D$37+1-$D$36)):INDEX($D$42:$AD$42,$D$37)))+(_xlfn.AGGREGATE(9,6,INDEX($D$44:$AD$44,MAX(1,$D$37+1-$D$36)):INDEX($D$44:$AD$44,$D$37))&gt;_xlfn.AGGREGATE(9,6,INDEX($D$43:$AD$43,MAX(1,$D$37+1-$D$36)):INDEX($D$43:$AD$43,$D$37))))</f>
        <v>0</v>
      </c>
      <c r="AT63" s="5">
        <f>IF(AT$39=0,NA(),(_xlfn.AGGREGATE(9,6,INDEX($D$44:$AD$44,MAX(1,$D$37+1-$D$36)):INDEX($D$44:$AD$44,$D$37))&gt;_xlfn.AGGREGATE(9,6,INDEX($D$42:$AD$42,MAX(1,$D$37+1-$D$36)):INDEX($D$42:$AD$42,$D$37)))+(_xlfn.AGGREGATE(9,6,INDEX($D$44:$AD$44,MAX(1,$D$37+1-$D$36)):INDEX($D$44:$AD$44,$D$37))&gt;_xlfn.AGGREGATE(9,6,INDEX($D$43:$AD$43,MAX(1,$D$37+1-$D$36)):INDEX($D$43:$AD$43,$D$37))))</f>
        <v>0</v>
      </c>
      <c r="AU63" s="5">
        <f>IF(AU$39=0,NA(),(_xlfn.AGGREGATE(9,6,INDEX($D$44:$AD$44,MAX(1,$D$37+1-$D$36)):INDEX($D$44:$AD$44,$D$37))&gt;_xlfn.AGGREGATE(9,6,INDEX($D$42:$AD$42,MAX(1,$D$37+1-$D$36)):INDEX($D$42:$AD$42,$D$37)))+(_xlfn.AGGREGATE(9,6,INDEX($D$44:$AD$44,MAX(1,$D$37+1-$D$36)):INDEX($D$44:$AD$44,$D$37))&gt;_xlfn.AGGREGATE(9,6,INDEX($D$43:$AD$43,MAX(1,$D$37+1-$D$36)):INDEX($D$43:$AD$43,$D$37))))</f>
        <v>0</v>
      </c>
      <c r="AV63" s="5">
        <f>IF(AV$39=0,NA(),(_xlfn.AGGREGATE(9,6,INDEX($D$44:$AD$44,MAX(1,$D$37+1-$D$36)):INDEX($D$44:$AD$44,$D$37))&gt;_xlfn.AGGREGATE(9,6,INDEX($D$42:$AD$42,MAX(1,$D$37+1-$D$36)):INDEX($D$42:$AD$42,$D$37)))+(_xlfn.AGGREGATE(9,6,INDEX($D$44:$AD$44,MAX(1,$D$37+1-$D$36)):INDEX($D$44:$AD$44,$D$37))&gt;_xlfn.AGGREGATE(9,6,INDEX($D$43:$AD$43,MAX(1,$D$37+1-$D$36)):INDEX($D$43:$AD$43,$D$37))))</f>
        <v>0</v>
      </c>
      <c r="AW63" s="5">
        <f>IF(AW$39=0,NA(),(_xlfn.AGGREGATE(9,6,INDEX($D$44:$AD$44,MAX(1,$D$37+1-$D$36)):INDEX($D$44:$AD$44,$D$37))&gt;_xlfn.AGGREGATE(9,6,INDEX($D$42:$AD$42,MAX(1,$D$37+1-$D$36)):INDEX($D$42:$AD$42,$D$37)))+(_xlfn.AGGREGATE(9,6,INDEX($D$44:$AD$44,MAX(1,$D$37+1-$D$36)):INDEX($D$44:$AD$44,$D$37))&gt;_xlfn.AGGREGATE(9,6,INDEX($D$43:$AD$43,MAX(1,$D$37+1-$D$36)):INDEX($D$43:$AD$43,$D$37))))</f>
        <v>0</v>
      </c>
      <c r="AX63" s="5">
        <f>IF(AX$39=0,NA(),(_xlfn.AGGREGATE(9,6,INDEX($D$44:$AD$44,MAX(1,$D$37+1-$D$36)):INDEX($D$44:$AD$44,$D$37))&gt;_xlfn.AGGREGATE(9,6,INDEX($D$42:$AD$42,MAX(1,$D$37+1-$D$36)):INDEX($D$42:$AD$42,$D$37)))+(_xlfn.AGGREGATE(9,6,INDEX($D$44:$AD$44,MAX(1,$D$37+1-$D$36)):INDEX($D$44:$AD$44,$D$37))&gt;_xlfn.AGGREGATE(9,6,INDEX($D$43:$AD$43,MAX(1,$D$37+1-$D$36)):INDEX($D$43:$AD$43,$D$37))))</f>
        <v>0</v>
      </c>
      <c r="AY63" s="5">
        <f>IF(AY$39=0,NA(),(_xlfn.AGGREGATE(9,6,INDEX($D$44:$AD$44,MAX(1,$D$37+1-$D$36)):INDEX($D$44:$AD$44,$D$37))&gt;_xlfn.AGGREGATE(9,6,INDEX($D$42:$AD$42,MAX(1,$D$37+1-$D$36)):INDEX($D$42:$AD$42,$D$37)))+(_xlfn.AGGREGATE(9,6,INDEX($D$44:$AD$44,MAX(1,$D$37+1-$D$36)):INDEX($D$44:$AD$44,$D$37))&gt;_xlfn.AGGREGATE(9,6,INDEX($D$43:$AD$43,MAX(1,$D$37+1-$D$36)):INDEX($D$43:$AD$43,$D$37))))</f>
        <v>0</v>
      </c>
      <c r="AZ63" s="5">
        <f>IF(AZ$39=0,NA(),(_xlfn.AGGREGATE(9,6,INDEX($D$44:$AD$44,MAX(1,$D$37+1-$D$36)):INDEX($D$44:$AD$44,$D$37))&gt;_xlfn.AGGREGATE(9,6,INDEX($D$42:$AD$42,MAX(1,$D$37+1-$D$36)):INDEX($D$42:$AD$42,$D$37)))+(_xlfn.AGGREGATE(9,6,INDEX($D$44:$AD$44,MAX(1,$D$37+1-$D$36)):INDEX($D$44:$AD$44,$D$37))&gt;_xlfn.AGGREGATE(9,6,INDEX($D$43:$AD$43,MAX(1,$D$37+1-$D$36)):INDEX($D$43:$AD$43,$D$37))))</f>
        <v>0</v>
      </c>
      <c r="BA63" s="5">
        <f>IF(BA$39=0,NA(),(_xlfn.AGGREGATE(9,6,INDEX($D$44:$AD$44,MAX(1,$D$37+1-$D$36)):INDEX($D$44:$AD$44,$D$37))&gt;_xlfn.AGGREGATE(9,6,INDEX($D$42:$AD$42,MAX(1,$D$37+1-$D$36)):INDEX($D$42:$AD$42,$D$37)))+(_xlfn.AGGREGATE(9,6,INDEX($D$44:$AD$44,MAX(1,$D$37+1-$D$36)):INDEX($D$44:$AD$44,$D$37))&gt;_xlfn.AGGREGATE(9,6,INDEX($D$43:$AD$43,MAX(1,$D$37+1-$D$36)):INDEX($D$43:$AD$43,$D$37))))</f>
        <v>0</v>
      </c>
      <c r="BB63" s="5">
        <f>IF(BB$39=0,NA(),(_xlfn.AGGREGATE(9,6,INDEX($D$44:$AD$44,MAX(1,$D$37+1-$D$36)):INDEX($D$44:$AD$44,$D$37))&gt;_xlfn.AGGREGATE(9,6,INDEX($D$42:$AD$42,MAX(1,$D$37+1-$D$36)):INDEX($D$42:$AD$42,$D$37)))+(_xlfn.AGGREGATE(9,6,INDEX($D$44:$AD$44,MAX(1,$D$37+1-$D$36)):INDEX($D$44:$AD$44,$D$37))&gt;_xlfn.AGGREGATE(9,6,INDEX($D$43:$AD$43,MAX(1,$D$37+1-$D$36)):INDEX($D$43:$AD$43,$D$37))))</f>
        <v>0</v>
      </c>
      <c r="BC63" s="5">
        <f>IF(BC$39=0,NA(),(_xlfn.AGGREGATE(9,6,INDEX($D$44:$AD$44,MAX(1,$D$37+1-$D$36)):INDEX($D$44:$AD$44,$D$37))&gt;_xlfn.AGGREGATE(9,6,INDEX($D$42:$AD$42,MAX(1,$D$37+1-$D$36)):INDEX($D$42:$AD$42,$D$37)))+(_xlfn.AGGREGATE(9,6,INDEX($D$44:$AD$44,MAX(1,$D$37+1-$D$36)):INDEX($D$44:$AD$44,$D$37))&gt;_xlfn.AGGREGATE(9,6,INDEX($D$43:$AD$43,MAX(1,$D$37+1-$D$36)):INDEX($D$43:$AD$43,$D$37))))</f>
        <v>0</v>
      </c>
      <c r="BD63" s="5">
        <f>IF(BD$39=0,NA(),(_xlfn.AGGREGATE(9,6,INDEX($D$44:$AD$44,MAX(1,$D$37+1-$D$36)):INDEX($D$44:$AD$44,$D$37))&gt;_xlfn.AGGREGATE(9,6,INDEX($D$42:$AD$42,MAX(1,$D$37+1-$D$36)):INDEX($D$42:$AD$42,$D$37)))+(_xlfn.AGGREGATE(9,6,INDEX($D$44:$AD$44,MAX(1,$D$37+1-$D$36)):INDEX($D$44:$AD$44,$D$37))&gt;_xlfn.AGGREGATE(9,6,INDEX($D$43:$AD$43,MAX(1,$D$37+1-$D$36)):INDEX($D$43:$AD$43,$D$37))))</f>
        <v>0</v>
      </c>
      <c r="BE63" s="5">
        <f>IF(BE$39=0,NA(),(_xlfn.AGGREGATE(9,6,INDEX($D$44:$AD$44,MAX(1,$D$37+1-$D$36)):INDEX($D$44:$AD$44,$D$37))&gt;_xlfn.AGGREGATE(9,6,INDEX($D$42:$AD$42,MAX(1,$D$37+1-$D$36)):INDEX($D$42:$AD$42,$D$37)))+(_xlfn.AGGREGATE(9,6,INDEX($D$44:$AD$44,MAX(1,$D$37+1-$D$36)):INDEX($D$44:$AD$44,$D$37))&gt;_xlfn.AGGREGATE(9,6,INDEX($D$43:$AD$43,MAX(1,$D$37+1-$D$36)):INDEX($D$43:$AD$43,$D$37))))</f>
        <v>0</v>
      </c>
      <c r="BF63" s="5">
        <f>IF(BF$39=0,NA(),(_xlfn.AGGREGATE(9,6,INDEX($D$44:$AD$44,MAX(1,$D$37+1-$D$36)):INDEX($D$44:$AD$44,$D$37))&gt;_xlfn.AGGREGATE(9,6,INDEX($D$42:$AD$42,MAX(1,$D$37+1-$D$36)):INDEX($D$42:$AD$42,$D$37)))+(_xlfn.AGGREGATE(9,6,INDEX($D$44:$AD$44,MAX(1,$D$37+1-$D$36)):INDEX($D$44:$AD$44,$D$37))&gt;_xlfn.AGGREGATE(9,6,INDEX($D$43:$AD$43,MAX(1,$D$37+1-$D$36)):INDEX($D$43:$AD$43,$D$37))))</f>
        <v>0</v>
      </c>
      <c r="BG63" s="5">
        <f>IF(BG$39=0,NA(),(_xlfn.AGGREGATE(9,6,INDEX($D$44:$AD$44,MAX(1,$D$37+1-$D$36)):INDEX($D$44:$AD$44,$D$37))&gt;_xlfn.AGGREGATE(9,6,INDEX($D$42:$AD$42,MAX(1,$D$37+1-$D$36)):INDEX($D$42:$AD$42,$D$37)))+(_xlfn.AGGREGATE(9,6,INDEX($D$44:$AD$44,MAX(1,$D$37+1-$D$36)):INDEX($D$44:$AD$44,$D$37))&gt;_xlfn.AGGREGATE(9,6,INDEX($D$43:$AD$43,MAX(1,$D$37+1-$D$36)):INDEX($D$43:$AD$43,$D$37))))</f>
        <v>0</v>
      </c>
      <c r="BH63" s="5">
        <f>IF(BH$39=0,NA(),(_xlfn.AGGREGATE(9,6,INDEX($D$44:$AD$44,MAX(1,$D$37+1-$D$36)):INDEX($D$44:$AD$44,$D$37))&gt;_xlfn.AGGREGATE(9,6,INDEX($D$42:$AD$42,MAX(1,$D$37+1-$D$36)):INDEX($D$42:$AD$42,$D$37)))+(_xlfn.AGGREGATE(9,6,INDEX($D$44:$AD$44,MAX(1,$D$37+1-$D$36)):INDEX($D$44:$AD$44,$D$37))&gt;_xlfn.AGGREGATE(9,6,INDEX($D$43:$AD$43,MAX(1,$D$37+1-$D$36)):INDEX($D$43:$AD$43,$D$37))))</f>
        <v>0</v>
      </c>
      <c r="BI63" s="5">
        <f>IF(BI$39=0,NA(),(_xlfn.AGGREGATE(9,6,INDEX($D$44:$AD$44,MAX(1,$D$37+1-$D$36)):INDEX($D$44:$AD$44,$D$37))&gt;_xlfn.AGGREGATE(9,6,INDEX($D$42:$AD$42,MAX(1,$D$37+1-$D$36)):INDEX($D$42:$AD$42,$D$37)))+(_xlfn.AGGREGATE(9,6,INDEX($D$44:$AD$44,MAX(1,$D$37+1-$D$36)):INDEX($D$44:$AD$44,$D$37))&gt;_xlfn.AGGREGATE(9,6,INDEX($D$43:$AD$43,MAX(1,$D$37+1-$D$36)):INDEX($D$43:$AD$43,$D$37))))</f>
        <v>0</v>
      </c>
      <c r="BJ63" s="5">
        <f>IF(BJ$39=0,NA(),(_xlfn.AGGREGATE(9,6,INDEX($D$44:$AD$44,MAX(1,$D$37+1-$D$36)):INDEX($D$44:$AD$44,$D$37))&gt;_xlfn.AGGREGATE(9,6,INDEX($D$42:$AD$42,MAX(1,$D$37+1-$D$36)):INDEX($D$42:$AD$42,$D$37)))+(_xlfn.AGGREGATE(9,6,INDEX($D$44:$AD$44,MAX(1,$D$37+1-$D$36)):INDEX($D$44:$AD$44,$D$37))&gt;_xlfn.AGGREGATE(9,6,INDEX($D$43:$AD$43,MAX(1,$D$37+1-$D$36)):INDEX($D$43:$AD$43,$D$37))))</f>
        <v>0</v>
      </c>
      <c r="BK63" s="5">
        <f>IF(BK$39=0,NA(),(_xlfn.AGGREGATE(9,6,INDEX($D$44:$AD$44,MAX(1,$D$37+1-$D$36)):INDEX($D$44:$AD$44,$D$37))&gt;_xlfn.AGGREGATE(9,6,INDEX($D$42:$AD$42,MAX(1,$D$37+1-$D$36)):INDEX($D$42:$AD$42,$D$37)))+(_xlfn.AGGREGATE(9,6,INDEX($D$44:$AD$44,MAX(1,$D$37+1-$D$36)):INDEX($D$44:$AD$44,$D$37))&gt;_xlfn.AGGREGATE(9,6,INDEX($D$43:$AD$43,MAX(1,$D$37+1-$D$36)):INDEX($D$43:$AD$43,$D$37))))</f>
        <v>0</v>
      </c>
      <c r="BL63" s="5">
        <f>IF(BL$39=0,NA(),(_xlfn.AGGREGATE(9,6,INDEX($D$44:$AD$44,MAX(1,$D$37+1-$D$36)):INDEX($D$44:$AD$44,$D$37))&gt;_xlfn.AGGREGATE(9,6,INDEX($D$42:$AD$42,MAX(1,$D$37+1-$D$36)):INDEX($D$42:$AD$42,$D$37)))+(_xlfn.AGGREGATE(9,6,INDEX($D$44:$AD$44,MAX(1,$D$37+1-$D$36)):INDEX($D$44:$AD$44,$D$37))&gt;_xlfn.AGGREGATE(9,6,INDEX($D$43:$AD$43,MAX(1,$D$37+1-$D$36)):INDEX($D$43:$AD$43,$D$37))))</f>
        <v>0</v>
      </c>
      <c r="BM63" s="5">
        <f>IF(BM$39=0,NA(),(_xlfn.AGGREGATE(9,6,INDEX($D$44:$AD$44,MAX(1,$D$37+1-$D$36)):INDEX($D$44:$AD$44,$D$37))&gt;_xlfn.AGGREGATE(9,6,INDEX($D$42:$AD$42,MAX(1,$D$37+1-$D$36)):INDEX($D$42:$AD$42,$D$37)))+(_xlfn.AGGREGATE(9,6,INDEX($D$44:$AD$44,MAX(1,$D$37+1-$D$36)):INDEX($D$44:$AD$44,$D$37))&gt;_xlfn.AGGREGATE(9,6,INDEX($D$43:$AD$43,MAX(1,$D$37+1-$D$36)):INDEX($D$43:$AD$43,$D$37))))</f>
        <v>0</v>
      </c>
      <c r="BN63" s="5">
        <f>IF(BN$39=0,NA(),(_xlfn.AGGREGATE(9,6,INDEX($D$44:$AD$44,MAX(1,$D$37+1-$D$36)):INDEX($D$44:$AD$44,$D$37))&gt;_xlfn.AGGREGATE(9,6,INDEX($D$42:$AD$42,MAX(1,$D$37+1-$D$36)):INDEX($D$42:$AD$42,$D$37)))+(_xlfn.AGGREGATE(9,6,INDEX($D$44:$AD$44,MAX(1,$D$37+1-$D$36)):INDEX($D$44:$AD$44,$D$37))&gt;_xlfn.AGGREGATE(9,6,INDEX($D$43:$AD$43,MAX(1,$D$37+1-$D$36)):INDEX($D$43:$AD$43,$D$37))))</f>
        <v>0</v>
      </c>
      <c r="BO63" s="5">
        <f>IF(BO$39=0,NA(),(_xlfn.AGGREGATE(9,6,INDEX($D$44:$AD$44,MAX(1,$D$37+1-$D$36)):INDEX($D$44:$AD$44,$D$37))&gt;_xlfn.AGGREGATE(9,6,INDEX($D$42:$AD$42,MAX(1,$D$37+1-$D$36)):INDEX($D$42:$AD$42,$D$37)))+(_xlfn.AGGREGATE(9,6,INDEX($D$44:$AD$44,MAX(1,$D$37+1-$D$36)):INDEX($D$44:$AD$44,$D$37))&gt;_xlfn.AGGREGATE(9,6,INDEX($D$43:$AD$43,MAX(1,$D$37+1-$D$36)):INDEX($D$43:$AD$43,$D$37))))</f>
        <v>0</v>
      </c>
      <c r="BP63" s="5">
        <f>IF(BP$39=0,NA(),(_xlfn.AGGREGATE(9,6,INDEX($D$44:$AD$44,MAX(1,$D$37+1-$D$36)):INDEX($D$44:$AD$44,$D$37))&gt;_xlfn.AGGREGATE(9,6,INDEX($D$42:$AD$42,MAX(1,$D$37+1-$D$36)):INDEX($D$42:$AD$42,$D$37)))+(_xlfn.AGGREGATE(9,6,INDEX($D$44:$AD$44,MAX(1,$D$37+1-$D$36)):INDEX($D$44:$AD$44,$D$37))&gt;_xlfn.AGGREGATE(9,6,INDEX($D$43:$AD$43,MAX(1,$D$37+1-$D$36)):INDEX($D$43:$AD$43,$D$37))))</f>
        <v>0</v>
      </c>
    </row>
    <row r="64" spans="1:68">
      <c r="A64" s="11" t="s">
        <v>191</v>
      </c>
      <c r="B64" s="11" t="s">
        <v>192</v>
      </c>
      <c r="C64" s="3" t="s">
        <v>144</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193</v>
      </c>
      <c r="B65" s="11" t="s">
        <v>194</v>
      </c>
      <c r="C65" s="3" t="s">
        <v>144</v>
      </c>
      <c r="AQ65" s="5">
        <f>IF(AQ$39=0,NA(),IF(ISNUMBER(INDEX($D$43:$AD$43,AQ$39)),(IF(AQ61&gt;AQ59,N(INDEX($D$42:$AD$42,AQ$39)),0)+IF(AQ63&gt;AQ59,N(INDEX($D$44:$AD$44,AQ$39)),0)+INDEX($D$43:$AD$43,AQ$39)/2)/AQ55,NA()))</f>
        <v>0</v>
      </c>
      <c r="AR65" s="5">
        <f>IF(AR$39=0,NA(),IF(ISNUMBER(INDEX($D$43:$AD$43,AR$39)),(IF(AR61&gt;AR59,N(INDEX($D$42:$AD$42,AR$39)),0)+IF(AR63&gt;AR59,N(INDEX($D$44:$AD$44,AR$39)),0)+INDEX($D$43:$AD$43,AR$39)/2)/AR55,NA()))</f>
        <v>0</v>
      </c>
      <c r="AS65" s="5">
        <f>IF(AS$39=0,NA(),IF(ISNUMBER(INDEX($D$43:$AD$43,AS$39)),(IF(AS61&gt;AS59,N(INDEX($D$42:$AD$42,AS$39)),0)+IF(AS63&gt;AS59,N(INDEX($D$44:$AD$44,AS$39)),0)+INDEX($D$43:$AD$43,AS$39)/2)/AS55,NA()))</f>
        <v>0</v>
      </c>
      <c r="AT65" s="5">
        <f>IF(AT$39=0,NA(),IF(ISNUMBER(INDEX($D$43:$AD$43,AT$39)),(IF(AT61&gt;AT59,N(INDEX($D$42:$AD$42,AT$39)),0)+IF(AT63&gt;AT59,N(INDEX($D$44:$AD$44,AT$39)),0)+INDEX($D$43:$AD$43,AT$39)/2)/AT55,NA()))</f>
        <v>0</v>
      </c>
      <c r="AU65" s="5">
        <f>IF(AU$39=0,NA(),IF(ISNUMBER(INDEX($D$43:$AD$43,AU$39)),(IF(AU61&gt;AU59,N(INDEX($D$42:$AD$42,AU$39)),0)+IF(AU63&gt;AU59,N(INDEX($D$44:$AD$44,AU$39)),0)+INDEX($D$43:$AD$43,AU$39)/2)/AU55,NA()))</f>
        <v>0</v>
      </c>
      <c r="AV65" s="5">
        <f>IF(AV$39=0,NA(),IF(ISNUMBER(INDEX($D$43:$AD$43,AV$39)),(IF(AV61&gt;AV59,N(INDEX($D$42:$AD$42,AV$39)),0)+IF(AV63&gt;AV59,N(INDEX($D$44:$AD$44,AV$39)),0)+INDEX($D$43:$AD$43,AV$39)/2)/AV55,NA()))</f>
        <v>0</v>
      </c>
      <c r="AW65" s="5">
        <f>IF(AW$39=0,NA(),IF(ISNUMBER(INDEX($D$43:$AD$43,AW$39)),(IF(AW61&gt;AW59,N(INDEX($D$42:$AD$42,AW$39)),0)+IF(AW63&gt;AW59,N(INDEX($D$44:$AD$44,AW$39)),0)+INDEX($D$43:$AD$43,AW$39)/2)/AW55,NA()))</f>
        <v>0</v>
      </c>
      <c r="AX65" s="5">
        <f>IF(AX$39=0,NA(),IF(ISNUMBER(INDEX($D$43:$AD$43,AX$39)),(IF(AX61&gt;AX59,N(INDEX($D$42:$AD$42,AX$39)),0)+IF(AX63&gt;AX59,N(INDEX($D$44:$AD$44,AX$39)),0)+INDEX($D$43:$AD$43,AX$39)/2)/AX55,NA()))</f>
        <v>0</v>
      </c>
      <c r="AY65" s="5">
        <f>IF(AY$39=0,NA(),IF(ISNUMBER(INDEX($D$43:$AD$43,AY$39)),(IF(AY61&gt;AY59,N(INDEX($D$42:$AD$42,AY$39)),0)+IF(AY63&gt;AY59,N(INDEX($D$44:$AD$44,AY$39)),0)+INDEX($D$43:$AD$43,AY$39)/2)/AY55,NA()))</f>
        <v>0</v>
      </c>
      <c r="AZ65" s="5">
        <f>IF(AZ$39=0,NA(),IF(ISNUMBER(INDEX($D$43:$AD$43,AZ$39)),(IF(AZ61&gt;AZ59,N(INDEX($D$42:$AD$42,AZ$39)),0)+IF(AZ63&gt;AZ59,N(INDEX($D$44:$AD$44,AZ$39)),0)+INDEX($D$43:$AD$43,AZ$39)/2)/AZ55,NA()))</f>
        <v>0</v>
      </c>
      <c r="BA65" s="5">
        <f>IF(BA$39=0,NA(),IF(ISNUMBER(INDEX($D$43:$AD$43,BA$39)),(IF(BA61&gt;BA59,N(INDEX($D$42:$AD$42,BA$39)),0)+IF(BA63&gt;BA59,N(INDEX($D$44:$AD$44,BA$39)),0)+INDEX($D$43:$AD$43,BA$39)/2)/BA55,NA()))</f>
        <v>0</v>
      </c>
      <c r="BB65" s="5">
        <f>IF(BB$39=0,NA(),IF(ISNUMBER(INDEX($D$43:$AD$43,BB$39)),(IF(BB61&gt;BB59,N(INDEX($D$42:$AD$42,BB$39)),0)+IF(BB63&gt;BB59,N(INDEX($D$44:$AD$44,BB$39)),0)+INDEX($D$43:$AD$43,BB$39)/2)/BB55,NA()))</f>
        <v>0</v>
      </c>
      <c r="BC65" s="5">
        <f>IF(BC$39=0,NA(),IF(ISNUMBER(INDEX($D$43:$AD$43,BC$39)),(IF(BC61&gt;BC59,N(INDEX($D$42:$AD$42,BC$39)),0)+IF(BC63&gt;BC59,N(INDEX($D$44:$AD$44,BC$39)),0)+INDEX($D$43:$AD$43,BC$39)/2)/BC55,NA()))</f>
        <v>0</v>
      </c>
      <c r="BD65" s="5">
        <f>IF(BD$39=0,NA(),IF(ISNUMBER(INDEX($D$43:$AD$43,BD$39)),(IF(BD61&gt;BD59,N(INDEX($D$42:$AD$42,BD$39)),0)+IF(BD63&gt;BD59,N(INDEX($D$44:$AD$44,BD$39)),0)+INDEX($D$43:$AD$43,BD$39)/2)/BD55,NA()))</f>
        <v>0</v>
      </c>
      <c r="BE65" s="5">
        <f>IF(BE$39=0,NA(),IF(ISNUMBER(INDEX($D$43:$AD$43,BE$39)),(IF(BE61&gt;BE59,N(INDEX($D$42:$AD$42,BE$39)),0)+IF(BE63&gt;BE59,N(INDEX($D$44:$AD$44,BE$39)),0)+INDEX($D$43:$AD$43,BE$39)/2)/BE55,NA()))</f>
        <v>0</v>
      </c>
      <c r="BF65" s="5">
        <f>IF(BF$39=0,NA(),IF(ISNUMBER(INDEX($D$43:$AD$43,BF$39)),(IF(BF61&gt;BF59,N(INDEX($D$42:$AD$42,BF$39)),0)+IF(BF63&gt;BF59,N(INDEX($D$44:$AD$44,BF$39)),0)+INDEX($D$43:$AD$43,BF$39)/2)/BF55,NA()))</f>
        <v>0</v>
      </c>
      <c r="BG65" s="5">
        <f>IF(BG$39=0,NA(),IF(ISNUMBER(INDEX($D$43:$AD$43,BG$39)),(IF(BG61&gt;BG59,N(INDEX($D$42:$AD$42,BG$39)),0)+IF(BG63&gt;BG59,N(INDEX($D$44:$AD$44,BG$39)),0)+INDEX($D$43:$AD$43,BG$39)/2)/BG55,NA()))</f>
        <v>0</v>
      </c>
      <c r="BH65" s="5">
        <f>IF(BH$39=0,NA(),IF(ISNUMBER(INDEX($D$43:$AD$43,BH$39)),(IF(BH61&gt;BH59,N(INDEX($D$42:$AD$42,BH$39)),0)+IF(BH63&gt;BH59,N(INDEX($D$44:$AD$44,BH$39)),0)+INDEX($D$43:$AD$43,BH$39)/2)/BH55,NA()))</f>
        <v>0</v>
      </c>
      <c r="BI65" s="5">
        <f>IF(BI$39=0,NA(),IF(ISNUMBER(INDEX($D$43:$AD$43,BI$39)),(IF(BI61&gt;BI59,N(INDEX($D$42:$AD$42,BI$39)),0)+IF(BI63&gt;BI59,N(INDEX($D$44:$AD$44,BI$39)),0)+INDEX($D$43:$AD$43,BI$39)/2)/BI55,NA()))</f>
        <v>0</v>
      </c>
      <c r="BJ65" s="5">
        <f>IF(BJ$39=0,NA(),IF(ISNUMBER(INDEX($D$43:$AD$43,BJ$39)),(IF(BJ61&gt;BJ59,N(INDEX($D$42:$AD$42,BJ$39)),0)+IF(BJ63&gt;BJ59,N(INDEX($D$44:$AD$44,BJ$39)),0)+INDEX($D$43:$AD$43,BJ$39)/2)/BJ55,NA()))</f>
        <v>0</v>
      </c>
      <c r="BK65" s="5">
        <f>IF(BK$39=0,NA(),IF(ISNUMBER(INDEX($D$43:$AD$43,BK$39)),(IF(BK61&gt;BK59,N(INDEX($D$42:$AD$42,BK$39)),0)+IF(BK63&gt;BK59,N(INDEX($D$44:$AD$44,BK$39)),0)+INDEX($D$43:$AD$43,BK$39)/2)/BK55,NA()))</f>
        <v>0</v>
      </c>
      <c r="BL65" s="5">
        <f>IF(BL$39=0,NA(),IF(ISNUMBER(INDEX($D$43:$AD$43,BL$39)),(IF(BL61&gt;BL59,N(INDEX($D$42:$AD$42,BL$39)),0)+IF(BL63&gt;BL59,N(INDEX($D$44:$AD$44,BL$39)),0)+INDEX($D$43:$AD$43,BL$39)/2)/BL55,NA()))</f>
        <v>0</v>
      </c>
      <c r="BM65" s="5">
        <f>IF(BM$39=0,NA(),IF(ISNUMBER(INDEX($D$43:$AD$43,BM$39)),(IF(BM61&gt;BM59,N(INDEX($D$42:$AD$42,BM$39)),0)+IF(BM63&gt;BM59,N(INDEX($D$44:$AD$44,BM$39)),0)+INDEX($D$43:$AD$43,BM$39)/2)/BM55,NA()))</f>
        <v>0</v>
      </c>
      <c r="BN65" s="5">
        <f>IF(BN$39=0,NA(),IF(ISNUMBER(INDEX($D$43:$AD$43,BN$39)),(IF(BN61&gt;BN59,N(INDEX($D$42:$AD$42,BN$39)),0)+IF(BN63&gt;BN59,N(INDEX($D$44:$AD$44,BN$39)),0)+INDEX($D$43:$AD$43,BN$39)/2)/BN55,NA()))</f>
        <v>0</v>
      </c>
      <c r="BO65" s="5">
        <f>IF(BO$39=0,NA(),IF(ISNUMBER(INDEX($D$43:$AD$43,BO$39)),(IF(BO61&gt;BO59,N(INDEX($D$42:$AD$42,BO$39)),0)+IF(BO63&gt;BO59,N(INDEX($D$44:$AD$44,BO$39)),0)+INDEX($D$43:$AD$43,BO$39)/2)/BO55,NA()))</f>
        <v>0</v>
      </c>
      <c r="BP65" s="5">
        <f>IF(BP$39=0,NA(),IF(ISNUMBER(INDEX($D$43:$AD$43,BP$39)),(IF(BP61&gt;BP59,N(INDEX($D$42:$AD$42,BP$39)),0)+IF(BP63&gt;BP59,N(INDEX($D$44:$AD$44,BP$39)),0)+INDEX($D$43:$AD$43,BP$39)/2)/BP55,NA()))</f>
        <v>0</v>
      </c>
    </row>
    <row r="66" spans="1:68">
      <c r="A66" s="11" t="s">
        <v>195</v>
      </c>
      <c r="B66" s="11" t="s">
        <v>196</v>
      </c>
      <c r="C66" s="3" t="s">
        <v>144</v>
      </c>
      <c r="AQ66" s="5">
        <f>IF(AQ$39=0,NA(),IF(ISNUMBER(INDEX($D$42:$AD$42,AQ$39)),(IF(AQ59&gt;AQ61,N(INDEX($D$43:$AD$43,AQ$39)),0)+IF(AQ63&gt;AQ61,N(INDEX($D$44:$AD$44,AQ$39)),0)+INDEX($D$42:$AD$42,AQ$39)/2)/AQ55,NA()))</f>
        <v>0</v>
      </c>
      <c r="AR66" s="5">
        <f>IF(AR$39=0,NA(),IF(ISNUMBER(INDEX($D$42:$AD$42,AR$39)),(IF(AR59&gt;AR61,N(INDEX($D$43:$AD$43,AR$39)),0)+IF(AR63&gt;AR61,N(INDEX($D$44:$AD$44,AR$39)),0)+INDEX($D$42:$AD$42,AR$39)/2)/AR55,NA()))</f>
        <v>0</v>
      </c>
      <c r="AS66" s="5">
        <f>IF(AS$39=0,NA(),IF(ISNUMBER(INDEX($D$42:$AD$42,AS$39)),(IF(AS59&gt;AS61,N(INDEX($D$43:$AD$43,AS$39)),0)+IF(AS63&gt;AS61,N(INDEX($D$44:$AD$44,AS$39)),0)+INDEX($D$42:$AD$42,AS$39)/2)/AS55,NA()))</f>
        <v>0</v>
      </c>
      <c r="AT66" s="5">
        <f>IF(AT$39=0,NA(),IF(ISNUMBER(INDEX($D$42:$AD$42,AT$39)),(IF(AT59&gt;AT61,N(INDEX($D$43:$AD$43,AT$39)),0)+IF(AT63&gt;AT61,N(INDEX($D$44:$AD$44,AT$39)),0)+INDEX($D$42:$AD$42,AT$39)/2)/AT55,NA()))</f>
        <v>0</v>
      </c>
      <c r="AU66" s="5">
        <f>IF(AU$39=0,NA(),IF(ISNUMBER(INDEX($D$42:$AD$42,AU$39)),(IF(AU59&gt;AU61,N(INDEX($D$43:$AD$43,AU$39)),0)+IF(AU63&gt;AU61,N(INDEX($D$44:$AD$44,AU$39)),0)+INDEX($D$42:$AD$42,AU$39)/2)/AU55,NA()))</f>
        <v>0</v>
      </c>
      <c r="AV66" s="5">
        <f>IF(AV$39=0,NA(),IF(ISNUMBER(INDEX($D$42:$AD$42,AV$39)),(IF(AV59&gt;AV61,N(INDEX($D$43:$AD$43,AV$39)),0)+IF(AV63&gt;AV61,N(INDEX($D$44:$AD$44,AV$39)),0)+INDEX($D$42:$AD$42,AV$39)/2)/AV55,NA()))</f>
        <v>0</v>
      </c>
      <c r="AW66" s="5">
        <f>IF(AW$39=0,NA(),IF(ISNUMBER(INDEX($D$42:$AD$42,AW$39)),(IF(AW59&gt;AW61,N(INDEX($D$43:$AD$43,AW$39)),0)+IF(AW63&gt;AW61,N(INDEX($D$44:$AD$44,AW$39)),0)+INDEX($D$42:$AD$42,AW$39)/2)/AW55,NA()))</f>
        <v>0</v>
      </c>
      <c r="AX66" s="5">
        <f>IF(AX$39=0,NA(),IF(ISNUMBER(INDEX($D$42:$AD$42,AX$39)),(IF(AX59&gt;AX61,N(INDEX($D$43:$AD$43,AX$39)),0)+IF(AX63&gt;AX61,N(INDEX($D$44:$AD$44,AX$39)),0)+INDEX($D$42:$AD$42,AX$39)/2)/AX55,NA()))</f>
        <v>0</v>
      </c>
      <c r="AY66" s="5">
        <f>IF(AY$39=0,NA(),IF(ISNUMBER(INDEX($D$42:$AD$42,AY$39)),(IF(AY59&gt;AY61,N(INDEX($D$43:$AD$43,AY$39)),0)+IF(AY63&gt;AY61,N(INDEX($D$44:$AD$44,AY$39)),0)+INDEX($D$42:$AD$42,AY$39)/2)/AY55,NA()))</f>
        <v>0</v>
      </c>
      <c r="AZ66" s="5">
        <f>IF(AZ$39=0,NA(),IF(ISNUMBER(INDEX($D$42:$AD$42,AZ$39)),(IF(AZ59&gt;AZ61,N(INDEX($D$43:$AD$43,AZ$39)),0)+IF(AZ63&gt;AZ61,N(INDEX($D$44:$AD$44,AZ$39)),0)+INDEX($D$42:$AD$42,AZ$39)/2)/AZ55,NA()))</f>
        <v>0</v>
      </c>
      <c r="BA66" s="5">
        <f>IF(BA$39=0,NA(),IF(ISNUMBER(INDEX($D$42:$AD$42,BA$39)),(IF(BA59&gt;BA61,N(INDEX($D$43:$AD$43,BA$39)),0)+IF(BA63&gt;BA61,N(INDEX($D$44:$AD$44,BA$39)),0)+INDEX($D$42:$AD$42,BA$39)/2)/BA55,NA()))</f>
        <v>0</v>
      </c>
      <c r="BB66" s="5">
        <f>IF(BB$39=0,NA(),IF(ISNUMBER(INDEX($D$42:$AD$42,BB$39)),(IF(BB59&gt;BB61,N(INDEX($D$43:$AD$43,BB$39)),0)+IF(BB63&gt;BB61,N(INDEX($D$44:$AD$44,BB$39)),0)+INDEX($D$42:$AD$42,BB$39)/2)/BB55,NA()))</f>
        <v>0</v>
      </c>
      <c r="BC66" s="5">
        <f>IF(BC$39=0,NA(),IF(ISNUMBER(INDEX($D$42:$AD$42,BC$39)),(IF(BC59&gt;BC61,N(INDEX($D$43:$AD$43,BC$39)),0)+IF(BC63&gt;BC61,N(INDEX($D$44:$AD$44,BC$39)),0)+INDEX($D$42:$AD$42,BC$39)/2)/BC55,NA()))</f>
        <v>0</v>
      </c>
      <c r="BD66" s="5">
        <f>IF(BD$39=0,NA(),IF(ISNUMBER(INDEX($D$42:$AD$42,BD$39)),(IF(BD59&gt;BD61,N(INDEX($D$43:$AD$43,BD$39)),0)+IF(BD63&gt;BD61,N(INDEX($D$44:$AD$44,BD$39)),0)+INDEX($D$42:$AD$42,BD$39)/2)/BD55,NA()))</f>
        <v>0</v>
      </c>
      <c r="BE66" s="5">
        <f>IF(BE$39=0,NA(),IF(ISNUMBER(INDEX($D$42:$AD$42,BE$39)),(IF(BE59&gt;BE61,N(INDEX($D$43:$AD$43,BE$39)),0)+IF(BE63&gt;BE61,N(INDEX($D$44:$AD$44,BE$39)),0)+INDEX($D$42:$AD$42,BE$39)/2)/BE55,NA()))</f>
        <v>0</v>
      </c>
      <c r="BF66" s="5">
        <f>IF(BF$39=0,NA(),IF(ISNUMBER(INDEX($D$42:$AD$42,BF$39)),(IF(BF59&gt;BF61,N(INDEX($D$43:$AD$43,BF$39)),0)+IF(BF63&gt;BF61,N(INDEX($D$44:$AD$44,BF$39)),0)+INDEX($D$42:$AD$42,BF$39)/2)/BF55,NA()))</f>
        <v>0</v>
      </c>
      <c r="BG66" s="5">
        <f>IF(BG$39=0,NA(),IF(ISNUMBER(INDEX($D$42:$AD$42,BG$39)),(IF(BG59&gt;BG61,N(INDEX($D$43:$AD$43,BG$39)),0)+IF(BG63&gt;BG61,N(INDEX($D$44:$AD$44,BG$39)),0)+INDEX($D$42:$AD$42,BG$39)/2)/BG55,NA()))</f>
        <v>0</v>
      </c>
      <c r="BH66" s="5">
        <f>IF(BH$39=0,NA(),IF(ISNUMBER(INDEX($D$42:$AD$42,BH$39)),(IF(BH59&gt;BH61,N(INDEX($D$43:$AD$43,BH$39)),0)+IF(BH63&gt;BH61,N(INDEX($D$44:$AD$44,BH$39)),0)+INDEX($D$42:$AD$42,BH$39)/2)/BH55,NA()))</f>
        <v>0</v>
      </c>
      <c r="BI66" s="5">
        <f>IF(BI$39=0,NA(),IF(ISNUMBER(INDEX($D$42:$AD$42,BI$39)),(IF(BI59&gt;BI61,N(INDEX($D$43:$AD$43,BI$39)),0)+IF(BI63&gt;BI61,N(INDEX($D$44:$AD$44,BI$39)),0)+INDEX($D$42:$AD$42,BI$39)/2)/BI55,NA()))</f>
        <v>0</v>
      </c>
      <c r="BJ66" s="5">
        <f>IF(BJ$39=0,NA(),IF(ISNUMBER(INDEX($D$42:$AD$42,BJ$39)),(IF(BJ59&gt;BJ61,N(INDEX($D$43:$AD$43,BJ$39)),0)+IF(BJ63&gt;BJ61,N(INDEX($D$44:$AD$44,BJ$39)),0)+INDEX($D$42:$AD$42,BJ$39)/2)/BJ55,NA()))</f>
        <v>0</v>
      </c>
      <c r="BK66" s="5">
        <f>IF(BK$39=0,NA(),IF(ISNUMBER(INDEX($D$42:$AD$42,BK$39)),(IF(BK59&gt;BK61,N(INDEX($D$43:$AD$43,BK$39)),0)+IF(BK63&gt;BK61,N(INDEX($D$44:$AD$44,BK$39)),0)+INDEX($D$42:$AD$42,BK$39)/2)/BK55,NA()))</f>
        <v>0</v>
      </c>
      <c r="BL66" s="5">
        <f>IF(BL$39=0,NA(),IF(ISNUMBER(INDEX($D$42:$AD$42,BL$39)),(IF(BL59&gt;BL61,N(INDEX($D$43:$AD$43,BL$39)),0)+IF(BL63&gt;BL61,N(INDEX($D$44:$AD$44,BL$39)),0)+INDEX($D$42:$AD$42,BL$39)/2)/BL55,NA()))</f>
        <v>0</v>
      </c>
      <c r="BM66" s="5">
        <f>IF(BM$39=0,NA(),IF(ISNUMBER(INDEX($D$42:$AD$42,BM$39)),(IF(BM59&gt;BM61,N(INDEX($D$43:$AD$43,BM$39)),0)+IF(BM63&gt;BM61,N(INDEX($D$44:$AD$44,BM$39)),0)+INDEX($D$42:$AD$42,BM$39)/2)/BM55,NA()))</f>
        <v>0</v>
      </c>
      <c r="BN66" s="5">
        <f>IF(BN$39=0,NA(),IF(ISNUMBER(INDEX($D$42:$AD$42,BN$39)),(IF(BN59&gt;BN61,N(INDEX($D$43:$AD$43,BN$39)),0)+IF(BN63&gt;BN61,N(INDEX($D$44:$AD$44,BN$39)),0)+INDEX($D$42:$AD$42,BN$39)/2)/BN55,NA()))</f>
        <v>0</v>
      </c>
      <c r="BO66" s="5">
        <f>IF(BO$39=0,NA(),IF(ISNUMBER(INDEX($D$42:$AD$42,BO$39)),(IF(BO59&gt;BO61,N(INDEX($D$43:$AD$43,BO$39)),0)+IF(BO63&gt;BO61,N(INDEX($D$44:$AD$44,BO$39)),0)+INDEX($D$42:$AD$42,BO$39)/2)/BO55,NA()))</f>
        <v>0</v>
      </c>
      <c r="BP66" s="5">
        <f>IF(BP$39=0,NA(),IF(ISNUMBER(INDEX($D$42:$AD$42,BP$39)),(IF(BP59&gt;BP61,N(INDEX($D$43:$AD$43,BP$39)),0)+IF(BP63&gt;BP61,N(INDEX($D$44:$AD$44,BP$39)),0)+INDEX($D$42:$AD$42,BP$39)/2)/BP55,NA()))</f>
        <v>0</v>
      </c>
    </row>
    <row r="67" spans="1:68">
      <c r="A67" s="11" t="s">
        <v>197</v>
      </c>
      <c r="B67" s="11" t="s">
        <v>198</v>
      </c>
      <c r="C67" s="3" t="s">
        <v>144</v>
      </c>
      <c r="AQ67" s="5">
        <f>IF(AQ$39=0,NA(),IF(ISNUMBER(INDEX($D$44:$AD$44,AQ$39)),(IF(AQ61&gt;AQ63,N(INDEX($D$42:$AD$42,AQ$39)),0)+IF(AQ59&gt;AQ63,N(INDEX($D$43:$AD$43,AQ$39)),0)+INDEX($D$44:$AD$44,AQ$39)/2)/AQ55,NA()))</f>
        <v>0</v>
      </c>
      <c r="AR67" s="5">
        <f>IF(AR$39=0,NA(),IF(ISNUMBER(INDEX($D$44:$AD$44,AR$39)),(IF(AR61&gt;AR63,N(INDEX($D$42:$AD$42,AR$39)),0)+IF(AR59&gt;AR63,N(INDEX($D$43:$AD$43,AR$39)),0)+INDEX($D$44:$AD$44,AR$39)/2)/AR55,NA()))</f>
        <v>0</v>
      </c>
      <c r="AS67" s="5">
        <f>IF(AS$39=0,NA(),IF(ISNUMBER(INDEX($D$44:$AD$44,AS$39)),(IF(AS61&gt;AS63,N(INDEX($D$42:$AD$42,AS$39)),0)+IF(AS59&gt;AS63,N(INDEX($D$43:$AD$43,AS$39)),0)+INDEX($D$44:$AD$44,AS$39)/2)/AS55,NA()))</f>
        <v>0</v>
      </c>
      <c r="AT67" s="5">
        <f>IF(AT$39=0,NA(),IF(ISNUMBER(INDEX($D$44:$AD$44,AT$39)),(IF(AT61&gt;AT63,N(INDEX($D$42:$AD$42,AT$39)),0)+IF(AT59&gt;AT63,N(INDEX($D$43:$AD$43,AT$39)),0)+INDEX($D$44:$AD$44,AT$39)/2)/AT55,NA()))</f>
        <v>0</v>
      </c>
      <c r="AU67" s="5">
        <f>IF(AU$39=0,NA(),IF(ISNUMBER(INDEX($D$44:$AD$44,AU$39)),(IF(AU61&gt;AU63,N(INDEX($D$42:$AD$42,AU$39)),0)+IF(AU59&gt;AU63,N(INDEX($D$43:$AD$43,AU$39)),0)+INDEX($D$44:$AD$44,AU$39)/2)/AU55,NA()))</f>
        <v>0</v>
      </c>
      <c r="AV67" s="5">
        <f>IF(AV$39=0,NA(),IF(ISNUMBER(INDEX($D$44:$AD$44,AV$39)),(IF(AV61&gt;AV63,N(INDEX($D$42:$AD$42,AV$39)),0)+IF(AV59&gt;AV63,N(INDEX($D$43:$AD$43,AV$39)),0)+INDEX($D$44:$AD$44,AV$39)/2)/AV55,NA()))</f>
        <v>0</v>
      </c>
      <c r="AW67" s="5">
        <f>IF(AW$39=0,NA(),IF(ISNUMBER(INDEX($D$44:$AD$44,AW$39)),(IF(AW61&gt;AW63,N(INDEX($D$42:$AD$42,AW$39)),0)+IF(AW59&gt;AW63,N(INDEX($D$43:$AD$43,AW$39)),0)+INDEX($D$44:$AD$44,AW$39)/2)/AW55,NA()))</f>
        <v>0</v>
      </c>
      <c r="AX67" s="5">
        <f>IF(AX$39=0,NA(),IF(ISNUMBER(INDEX($D$44:$AD$44,AX$39)),(IF(AX61&gt;AX63,N(INDEX($D$42:$AD$42,AX$39)),0)+IF(AX59&gt;AX63,N(INDEX($D$43:$AD$43,AX$39)),0)+INDEX($D$44:$AD$44,AX$39)/2)/AX55,NA()))</f>
        <v>0</v>
      </c>
      <c r="AY67" s="5">
        <f>IF(AY$39=0,NA(),IF(ISNUMBER(INDEX($D$44:$AD$44,AY$39)),(IF(AY61&gt;AY63,N(INDEX($D$42:$AD$42,AY$39)),0)+IF(AY59&gt;AY63,N(INDEX($D$43:$AD$43,AY$39)),0)+INDEX($D$44:$AD$44,AY$39)/2)/AY55,NA()))</f>
        <v>0</v>
      </c>
      <c r="AZ67" s="5">
        <f>IF(AZ$39=0,NA(),IF(ISNUMBER(INDEX($D$44:$AD$44,AZ$39)),(IF(AZ61&gt;AZ63,N(INDEX($D$42:$AD$42,AZ$39)),0)+IF(AZ59&gt;AZ63,N(INDEX($D$43:$AD$43,AZ$39)),0)+INDEX($D$44:$AD$44,AZ$39)/2)/AZ55,NA()))</f>
        <v>0</v>
      </c>
      <c r="BA67" s="5">
        <f>IF(BA$39=0,NA(),IF(ISNUMBER(INDEX($D$44:$AD$44,BA$39)),(IF(BA61&gt;BA63,N(INDEX($D$42:$AD$42,BA$39)),0)+IF(BA59&gt;BA63,N(INDEX($D$43:$AD$43,BA$39)),0)+INDEX($D$44:$AD$44,BA$39)/2)/BA55,NA()))</f>
        <v>0</v>
      </c>
      <c r="BB67" s="5">
        <f>IF(BB$39=0,NA(),IF(ISNUMBER(INDEX($D$44:$AD$44,BB$39)),(IF(BB61&gt;BB63,N(INDEX($D$42:$AD$42,BB$39)),0)+IF(BB59&gt;BB63,N(INDEX($D$43:$AD$43,BB$39)),0)+INDEX($D$44:$AD$44,BB$39)/2)/BB55,NA()))</f>
        <v>0</v>
      </c>
      <c r="BC67" s="5">
        <f>IF(BC$39=0,NA(),IF(ISNUMBER(INDEX($D$44:$AD$44,BC$39)),(IF(BC61&gt;BC63,N(INDEX($D$42:$AD$42,BC$39)),0)+IF(BC59&gt;BC63,N(INDEX($D$43:$AD$43,BC$39)),0)+INDEX($D$44:$AD$44,BC$39)/2)/BC55,NA()))</f>
        <v>0</v>
      </c>
      <c r="BD67" s="5">
        <f>IF(BD$39=0,NA(),IF(ISNUMBER(INDEX($D$44:$AD$44,BD$39)),(IF(BD61&gt;BD63,N(INDEX($D$42:$AD$42,BD$39)),0)+IF(BD59&gt;BD63,N(INDEX($D$43:$AD$43,BD$39)),0)+INDEX($D$44:$AD$44,BD$39)/2)/BD55,NA()))</f>
        <v>0</v>
      </c>
      <c r="BE67" s="5">
        <f>IF(BE$39=0,NA(),IF(ISNUMBER(INDEX($D$44:$AD$44,BE$39)),(IF(BE61&gt;BE63,N(INDEX($D$42:$AD$42,BE$39)),0)+IF(BE59&gt;BE63,N(INDEX($D$43:$AD$43,BE$39)),0)+INDEX($D$44:$AD$44,BE$39)/2)/BE55,NA()))</f>
        <v>0</v>
      </c>
      <c r="BF67" s="5">
        <f>IF(BF$39=0,NA(),IF(ISNUMBER(INDEX($D$44:$AD$44,BF$39)),(IF(BF61&gt;BF63,N(INDEX($D$42:$AD$42,BF$39)),0)+IF(BF59&gt;BF63,N(INDEX($D$43:$AD$43,BF$39)),0)+INDEX($D$44:$AD$44,BF$39)/2)/BF55,NA()))</f>
        <v>0</v>
      </c>
      <c r="BG67" s="5">
        <f>IF(BG$39=0,NA(),IF(ISNUMBER(INDEX($D$44:$AD$44,BG$39)),(IF(BG61&gt;BG63,N(INDEX($D$42:$AD$42,BG$39)),0)+IF(BG59&gt;BG63,N(INDEX($D$43:$AD$43,BG$39)),0)+INDEX($D$44:$AD$44,BG$39)/2)/BG55,NA()))</f>
        <v>0</v>
      </c>
      <c r="BH67" s="5">
        <f>IF(BH$39=0,NA(),IF(ISNUMBER(INDEX($D$44:$AD$44,BH$39)),(IF(BH61&gt;BH63,N(INDEX($D$42:$AD$42,BH$39)),0)+IF(BH59&gt;BH63,N(INDEX($D$43:$AD$43,BH$39)),0)+INDEX($D$44:$AD$44,BH$39)/2)/BH55,NA()))</f>
        <v>0</v>
      </c>
      <c r="BI67" s="5">
        <f>IF(BI$39=0,NA(),IF(ISNUMBER(INDEX($D$44:$AD$44,BI$39)),(IF(BI61&gt;BI63,N(INDEX($D$42:$AD$42,BI$39)),0)+IF(BI59&gt;BI63,N(INDEX($D$43:$AD$43,BI$39)),0)+INDEX($D$44:$AD$44,BI$39)/2)/BI55,NA()))</f>
        <v>0</v>
      </c>
      <c r="BJ67" s="5">
        <f>IF(BJ$39=0,NA(),IF(ISNUMBER(INDEX($D$44:$AD$44,BJ$39)),(IF(BJ61&gt;BJ63,N(INDEX($D$42:$AD$42,BJ$39)),0)+IF(BJ59&gt;BJ63,N(INDEX($D$43:$AD$43,BJ$39)),0)+INDEX($D$44:$AD$44,BJ$39)/2)/BJ55,NA()))</f>
        <v>0</v>
      </c>
      <c r="BK67" s="5">
        <f>IF(BK$39=0,NA(),IF(ISNUMBER(INDEX($D$44:$AD$44,BK$39)),(IF(BK61&gt;BK63,N(INDEX($D$42:$AD$42,BK$39)),0)+IF(BK59&gt;BK63,N(INDEX($D$43:$AD$43,BK$39)),0)+INDEX($D$44:$AD$44,BK$39)/2)/BK55,NA()))</f>
        <v>0</v>
      </c>
      <c r="BL67" s="5">
        <f>IF(BL$39=0,NA(),IF(ISNUMBER(INDEX($D$44:$AD$44,BL$39)),(IF(BL61&gt;BL63,N(INDEX($D$42:$AD$42,BL$39)),0)+IF(BL59&gt;BL63,N(INDEX($D$43:$AD$43,BL$39)),0)+INDEX($D$44:$AD$44,BL$39)/2)/BL55,NA()))</f>
        <v>0</v>
      </c>
      <c r="BM67" s="5">
        <f>IF(BM$39=0,NA(),IF(ISNUMBER(INDEX($D$44:$AD$44,BM$39)),(IF(BM61&gt;BM63,N(INDEX($D$42:$AD$42,BM$39)),0)+IF(BM59&gt;BM63,N(INDEX($D$43:$AD$43,BM$39)),0)+INDEX($D$44:$AD$44,BM$39)/2)/BM55,NA()))</f>
        <v>0</v>
      </c>
      <c r="BN67" s="5">
        <f>IF(BN$39=0,NA(),IF(ISNUMBER(INDEX($D$44:$AD$44,BN$39)),(IF(BN61&gt;BN63,N(INDEX($D$42:$AD$42,BN$39)),0)+IF(BN59&gt;BN63,N(INDEX($D$43:$AD$43,BN$39)),0)+INDEX($D$44:$AD$44,BN$39)/2)/BN55,NA()))</f>
        <v>0</v>
      </c>
      <c r="BO67" s="5">
        <f>IF(BO$39=0,NA(),IF(ISNUMBER(INDEX($D$44:$AD$44,BO$39)),(IF(BO61&gt;BO63,N(INDEX($D$42:$AD$42,BO$39)),0)+IF(BO59&gt;BO63,N(INDEX($D$43:$AD$43,BO$39)),0)+INDEX($D$44:$AD$44,BO$39)/2)/BO55,NA()))</f>
        <v>0</v>
      </c>
      <c r="BP67" s="5">
        <f>IF(BP$39=0,NA(),IF(ISNUMBER(INDEX($D$44:$AD$44,BP$39)),(IF(BP61&gt;BP63,N(INDEX($D$42:$AD$42,BP$39)),0)+IF(BP59&gt;BP63,N(INDEX($D$43:$AD$43,BP$39)),0)+INDEX($D$44:$AD$44,BP$39)/2)/BP55,NA()))</f>
        <v>0</v>
      </c>
    </row>
    <row r="68" spans="1:68">
      <c r="A68" s="11" t="s">
        <v>199</v>
      </c>
      <c r="B68" s="11" t="s">
        <v>200</v>
      </c>
      <c r="C68" s="3" t="s">
        <v>144</v>
      </c>
      <c r="AQ68" s="5">
        <f>IF(AQ$39=0,NA(),IF(ISNUMBER(INDEX($D$43:$AD$43,AQ$39)),MAX(MIN(AQ65,IFERROR(INDEX($D$53:$AD$53,AQ$39)/AQ55,1)-0.08721-AQ59*0.17442,IF(AQ61&lt;AQ59,IFERROR(AQ66,9)-(AQ59-AQ61)*0.17442,9),IF(AQ63&lt;AQ59,IFERROR(AQ67,9)-(AQ59-AQ63)*0.17442,9)),0.08721+(2-AQ59)*0.17442),NA()))</f>
        <v>0</v>
      </c>
      <c r="AR68" s="5">
        <f>IF(AR$39=0,NA(),IF(ISNUMBER(INDEX($D$43:$AD$43,AR$39)),MAX(MIN(AR65,IFERROR(INDEX($D$53:$AD$53,AR$39)/AR55,1)-0.08721-AR59*0.17442,IF(AR61&lt;AR59,IFERROR(AR66,9)-(AR59-AR61)*0.17442,9),IF(AR63&lt;AR59,IFERROR(AR67,9)-(AR59-AR63)*0.17442,9)),0.08721+(2-AR59)*0.17442),NA()))</f>
        <v>0</v>
      </c>
      <c r="AS68" s="5">
        <f>IF(AS$39=0,NA(),IF(ISNUMBER(INDEX($D$43:$AD$43,AS$39)),MAX(MIN(AS65,IFERROR(INDEX($D$53:$AD$53,AS$39)/AS55,1)-0.08721-AS59*0.17442,IF(AS61&lt;AS59,IFERROR(AS66,9)-(AS59-AS61)*0.17442,9),IF(AS63&lt;AS59,IFERROR(AS67,9)-(AS59-AS63)*0.17442,9)),0.08721+(2-AS59)*0.17442),NA()))</f>
        <v>0</v>
      </c>
      <c r="AT68" s="5">
        <f>IF(AT$39=0,NA(),IF(ISNUMBER(INDEX($D$43:$AD$43,AT$39)),MAX(MIN(AT65,IFERROR(INDEX($D$53:$AD$53,AT$39)/AT55,1)-0.08721-AT59*0.17442,IF(AT61&lt;AT59,IFERROR(AT66,9)-(AT59-AT61)*0.17442,9),IF(AT63&lt;AT59,IFERROR(AT67,9)-(AT59-AT63)*0.17442,9)),0.08721+(2-AT59)*0.17442),NA()))</f>
        <v>0</v>
      </c>
      <c r="AU68" s="5">
        <f>IF(AU$39=0,NA(),IF(ISNUMBER(INDEX($D$43:$AD$43,AU$39)),MAX(MIN(AU65,IFERROR(INDEX($D$53:$AD$53,AU$39)/AU55,1)-0.08721-AU59*0.17442,IF(AU61&lt;AU59,IFERROR(AU66,9)-(AU59-AU61)*0.17442,9),IF(AU63&lt;AU59,IFERROR(AU67,9)-(AU59-AU63)*0.17442,9)),0.08721+(2-AU59)*0.17442),NA()))</f>
        <v>0</v>
      </c>
      <c r="AV68" s="5">
        <f>IF(AV$39=0,NA(),IF(ISNUMBER(INDEX($D$43:$AD$43,AV$39)),MAX(MIN(AV65,IFERROR(INDEX($D$53:$AD$53,AV$39)/AV55,1)-0.08721-AV59*0.17442,IF(AV61&lt;AV59,IFERROR(AV66,9)-(AV59-AV61)*0.17442,9),IF(AV63&lt;AV59,IFERROR(AV67,9)-(AV59-AV63)*0.17442,9)),0.08721+(2-AV59)*0.17442),NA()))</f>
        <v>0</v>
      </c>
      <c r="AW68" s="5">
        <f>IF(AW$39=0,NA(),IF(ISNUMBER(INDEX($D$43:$AD$43,AW$39)),MAX(MIN(AW65,IFERROR(INDEX($D$53:$AD$53,AW$39)/AW55,1)-0.08721-AW59*0.17442,IF(AW61&lt;AW59,IFERROR(AW66,9)-(AW59-AW61)*0.17442,9),IF(AW63&lt;AW59,IFERROR(AW67,9)-(AW59-AW63)*0.17442,9)),0.08721+(2-AW59)*0.17442),NA()))</f>
        <v>0</v>
      </c>
      <c r="AX68" s="5">
        <f>IF(AX$39=0,NA(),IF(ISNUMBER(INDEX($D$43:$AD$43,AX$39)),MAX(MIN(AX65,IFERROR(INDEX($D$53:$AD$53,AX$39)/AX55,1)-0.08721-AX59*0.17442,IF(AX61&lt;AX59,IFERROR(AX66,9)-(AX59-AX61)*0.17442,9),IF(AX63&lt;AX59,IFERROR(AX67,9)-(AX59-AX63)*0.17442,9)),0.08721+(2-AX59)*0.17442),NA()))</f>
        <v>0</v>
      </c>
      <c r="AY68" s="5">
        <f>IF(AY$39=0,NA(),IF(ISNUMBER(INDEX($D$43:$AD$43,AY$39)),MAX(MIN(AY65,IFERROR(INDEX($D$53:$AD$53,AY$39)/AY55,1)-0.08721-AY59*0.17442,IF(AY61&lt;AY59,IFERROR(AY66,9)-(AY59-AY61)*0.17442,9),IF(AY63&lt;AY59,IFERROR(AY67,9)-(AY59-AY63)*0.17442,9)),0.08721+(2-AY59)*0.17442),NA()))</f>
        <v>0</v>
      </c>
      <c r="AZ68" s="5">
        <f>IF(AZ$39=0,NA(),IF(ISNUMBER(INDEX($D$43:$AD$43,AZ$39)),MAX(MIN(AZ65,IFERROR(INDEX($D$53:$AD$53,AZ$39)/AZ55,1)-0.08721-AZ59*0.17442,IF(AZ61&lt;AZ59,IFERROR(AZ66,9)-(AZ59-AZ61)*0.17442,9),IF(AZ63&lt;AZ59,IFERROR(AZ67,9)-(AZ59-AZ63)*0.17442,9)),0.08721+(2-AZ59)*0.17442),NA()))</f>
        <v>0</v>
      </c>
      <c r="BA68" s="5">
        <f>IF(BA$39=0,NA(),IF(ISNUMBER(INDEX($D$43:$AD$43,BA$39)),MAX(MIN(BA65,IFERROR(INDEX($D$53:$AD$53,BA$39)/BA55,1)-0.08721-BA59*0.17442,IF(BA61&lt;BA59,IFERROR(BA66,9)-(BA59-BA61)*0.17442,9),IF(BA63&lt;BA59,IFERROR(BA67,9)-(BA59-BA63)*0.17442,9)),0.08721+(2-BA59)*0.17442),NA()))</f>
        <v>0</v>
      </c>
      <c r="BB68" s="5">
        <f>IF(BB$39=0,NA(),IF(ISNUMBER(INDEX($D$43:$AD$43,BB$39)),MAX(MIN(BB65,IFERROR(INDEX($D$53:$AD$53,BB$39)/BB55,1)-0.08721-BB59*0.17442,IF(BB61&lt;BB59,IFERROR(BB66,9)-(BB59-BB61)*0.17442,9),IF(BB63&lt;BB59,IFERROR(BB67,9)-(BB59-BB63)*0.17442,9)),0.08721+(2-BB59)*0.17442),NA()))</f>
        <v>0</v>
      </c>
      <c r="BC68" s="5">
        <f>IF(BC$39=0,NA(),IF(ISNUMBER(INDEX($D$43:$AD$43,BC$39)),MAX(MIN(BC65,IFERROR(INDEX($D$53:$AD$53,BC$39)/BC55,1)-0.08721-BC59*0.17442,IF(BC61&lt;BC59,IFERROR(BC66,9)-(BC59-BC61)*0.17442,9),IF(BC63&lt;BC59,IFERROR(BC67,9)-(BC59-BC63)*0.17442,9)),0.08721+(2-BC59)*0.17442),NA()))</f>
        <v>0</v>
      </c>
      <c r="BD68" s="5">
        <f>IF(BD$39=0,NA(),IF(ISNUMBER(INDEX($D$43:$AD$43,BD$39)),MAX(MIN(BD65,IFERROR(INDEX($D$53:$AD$53,BD$39)/BD55,1)-0.08721-BD59*0.17442,IF(BD61&lt;BD59,IFERROR(BD66,9)-(BD59-BD61)*0.17442,9),IF(BD63&lt;BD59,IFERROR(BD67,9)-(BD59-BD63)*0.17442,9)),0.08721+(2-BD59)*0.17442),NA()))</f>
        <v>0</v>
      </c>
      <c r="BE68" s="5">
        <f>IF(BE$39=0,NA(),IF(ISNUMBER(INDEX($D$43:$AD$43,BE$39)),MAX(MIN(BE65,IFERROR(INDEX($D$53:$AD$53,BE$39)/BE55,1)-0.08721-BE59*0.17442,IF(BE61&lt;BE59,IFERROR(BE66,9)-(BE59-BE61)*0.17442,9),IF(BE63&lt;BE59,IFERROR(BE67,9)-(BE59-BE63)*0.17442,9)),0.08721+(2-BE59)*0.17442),NA()))</f>
        <v>0</v>
      </c>
      <c r="BF68" s="5">
        <f>IF(BF$39=0,NA(),IF(ISNUMBER(INDEX($D$43:$AD$43,BF$39)),MAX(MIN(BF65,IFERROR(INDEX($D$53:$AD$53,BF$39)/BF55,1)-0.08721-BF59*0.17442,IF(BF61&lt;BF59,IFERROR(BF66,9)-(BF59-BF61)*0.17442,9),IF(BF63&lt;BF59,IFERROR(BF67,9)-(BF59-BF63)*0.17442,9)),0.08721+(2-BF59)*0.17442),NA()))</f>
        <v>0</v>
      </c>
      <c r="BG68" s="5">
        <f>IF(BG$39=0,NA(),IF(ISNUMBER(INDEX($D$43:$AD$43,BG$39)),MAX(MIN(BG65,IFERROR(INDEX($D$53:$AD$53,BG$39)/BG55,1)-0.08721-BG59*0.17442,IF(BG61&lt;BG59,IFERROR(BG66,9)-(BG59-BG61)*0.17442,9),IF(BG63&lt;BG59,IFERROR(BG67,9)-(BG59-BG63)*0.17442,9)),0.08721+(2-BG59)*0.17442),NA()))</f>
        <v>0</v>
      </c>
      <c r="BH68" s="5">
        <f>IF(BH$39=0,NA(),IF(ISNUMBER(INDEX($D$43:$AD$43,BH$39)),MAX(MIN(BH65,IFERROR(INDEX($D$53:$AD$53,BH$39)/BH55,1)-0.08721-BH59*0.17442,IF(BH61&lt;BH59,IFERROR(BH66,9)-(BH59-BH61)*0.17442,9),IF(BH63&lt;BH59,IFERROR(BH67,9)-(BH59-BH63)*0.17442,9)),0.08721+(2-BH59)*0.17442),NA()))</f>
        <v>0</v>
      </c>
      <c r="BI68" s="5">
        <f>IF(BI$39=0,NA(),IF(ISNUMBER(INDEX($D$43:$AD$43,BI$39)),MAX(MIN(BI65,IFERROR(INDEX($D$53:$AD$53,BI$39)/BI55,1)-0.08721-BI59*0.17442,IF(BI61&lt;BI59,IFERROR(BI66,9)-(BI59-BI61)*0.17442,9),IF(BI63&lt;BI59,IFERROR(BI67,9)-(BI59-BI63)*0.17442,9)),0.08721+(2-BI59)*0.17442),NA()))</f>
        <v>0</v>
      </c>
      <c r="BJ68" s="5">
        <f>IF(BJ$39=0,NA(),IF(ISNUMBER(INDEX($D$43:$AD$43,BJ$39)),MAX(MIN(BJ65,IFERROR(INDEX($D$53:$AD$53,BJ$39)/BJ55,1)-0.08721-BJ59*0.17442,IF(BJ61&lt;BJ59,IFERROR(BJ66,9)-(BJ59-BJ61)*0.17442,9),IF(BJ63&lt;BJ59,IFERROR(BJ67,9)-(BJ59-BJ63)*0.17442,9)),0.08721+(2-BJ59)*0.17442),NA()))</f>
        <v>0</v>
      </c>
      <c r="BK68" s="5">
        <f>IF(BK$39=0,NA(),IF(ISNUMBER(INDEX($D$43:$AD$43,BK$39)),MAX(MIN(BK65,IFERROR(INDEX($D$53:$AD$53,BK$39)/BK55,1)-0.08721-BK59*0.17442,IF(BK61&lt;BK59,IFERROR(BK66,9)-(BK59-BK61)*0.17442,9),IF(BK63&lt;BK59,IFERROR(BK67,9)-(BK59-BK63)*0.17442,9)),0.08721+(2-BK59)*0.17442),NA()))</f>
        <v>0</v>
      </c>
      <c r="BL68" s="5">
        <f>IF(BL$39=0,NA(),IF(ISNUMBER(INDEX($D$43:$AD$43,BL$39)),MAX(MIN(BL65,IFERROR(INDEX($D$53:$AD$53,BL$39)/BL55,1)-0.08721-BL59*0.17442,IF(BL61&lt;BL59,IFERROR(BL66,9)-(BL59-BL61)*0.17442,9),IF(BL63&lt;BL59,IFERROR(BL67,9)-(BL59-BL63)*0.17442,9)),0.08721+(2-BL59)*0.17442),NA()))</f>
        <v>0</v>
      </c>
      <c r="BM68" s="5">
        <f>IF(BM$39=0,NA(),IF(ISNUMBER(INDEX($D$43:$AD$43,BM$39)),MAX(MIN(BM65,IFERROR(INDEX($D$53:$AD$53,BM$39)/BM55,1)-0.08721-BM59*0.17442,IF(BM61&lt;BM59,IFERROR(BM66,9)-(BM59-BM61)*0.17442,9),IF(BM63&lt;BM59,IFERROR(BM67,9)-(BM59-BM63)*0.17442,9)),0.08721+(2-BM59)*0.17442),NA()))</f>
        <v>0</v>
      </c>
      <c r="BN68" s="5">
        <f>IF(BN$39=0,NA(),IF(ISNUMBER(INDEX($D$43:$AD$43,BN$39)),MAX(MIN(BN65,IFERROR(INDEX($D$53:$AD$53,BN$39)/BN55,1)-0.08721-BN59*0.17442,IF(BN61&lt;BN59,IFERROR(BN66,9)-(BN59-BN61)*0.17442,9),IF(BN63&lt;BN59,IFERROR(BN67,9)-(BN59-BN63)*0.17442,9)),0.08721+(2-BN59)*0.17442),NA()))</f>
        <v>0</v>
      </c>
      <c r="BO68" s="5">
        <f>IF(BO$39=0,NA(),IF(ISNUMBER(INDEX($D$43:$AD$43,BO$39)),MAX(MIN(BO65,IFERROR(INDEX($D$53:$AD$53,BO$39)/BO55,1)-0.08721-BO59*0.17442,IF(BO61&lt;BO59,IFERROR(BO66,9)-(BO59-BO61)*0.17442,9),IF(BO63&lt;BO59,IFERROR(BO67,9)-(BO59-BO63)*0.17442,9)),0.08721+(2-BO59)*0.17442),NA()))</f>
        <v>0</v>
      </c>
      <c r="BP68" s="5">
        <f>IF(BP$39=0,NA(),IF(ISNUMBER(INDEX($D$43:$AD$43,BP$39)),MAX(MIN(BP65,IFERROR(INDEX($D$53:$AD$53,BP$39)/BP55,1)-0.08721-BP59*0.17442,IF(BP61&lt;BP59,IFERROR(BP66,9)-(BP59-BP61)*0.17442,9),IF(BP63&lt;BP59,IFERROR(BP67,9)-(BP59-BP63)*0.17442,9)),0.08721+(2-BP59)*0.17442),NA()))</f>
        <v>0</v>
      </c>
    </row>
    <row r="69" spans="1:68">
      <c r="A69" s="11" t="s">
        <v>201</v>
      </c>
      <c r="B69" s="11" t="s">
        <v>202</v>
      </c>
      <c r="C69" s="3" t="s">
        <v>144</v>
      </c>
      <c r="AQ69" s="5">
        <f>IF(AQ$39=0,NA(),IF(ISNUMBER(INDEX($D$42:$AD$42,AQ$39)),MAX(MIN(AQ66,IFERROR(INDEX($D$53:$AD$53,AQ$39)/AQ55,1)-0.08721-AQ61*0.17442,IF(AQ59&lt;AQ61,IFERROR(AQ65,9)-(AQ61-AQ59)*0.17442,9),IF(AQ63&lt;AQ61,IFERROR(AQ67,9)-(AQ61-AQ63)*0.17442,9)),0.08721+(2-AQ61)*0.17442),NA()))</f>
        <v>0</v>
      </c>
      <c r="AR69" s="5">
        <f>IF(AR$39=0,NA(),IF(ISNUMBER(INDEX($D$42:$AD$42,AR$39)),MAX(MIN(AR66,IFERROR(INDEX($D$53:$AD$53,AR$39)/AR55,1)-0.08721-AR61*0.17442,IF(AR59&lt;AR61,IFERROR(AR65,9)-(AR61-AR59)*0.17442,9),IF(AR63&lt;AR61,IFERROR(AR67,9)-(AR61-AR63)*0.17442,9)),0.08721+(2-AR61)*0.17442),NA()))</f>
        <v>0</v>
      </c>
      <c r="AS69" s="5">
        <f>IF(AS$39=0,NA(),IF(ISNUMBER(INDEX($D$42:$AD$42,AS$39)),MAX(MIN(AS66,IFERROR(INDEX($D$53:$AD$53,AS$39)/AS55,1)-0.08721-AS61*0.17442,IF(AS59&lt;AS61,IFERROR(AS65,9)-(AS61-AS59)*0.17442,9),IF(AS63&lt;AS61,IFERROR(AS67,9)-(AS61-AS63)*0.17442,9)),0.08721+(2-AS61)*0.17442),NA()))</f>
        <v>0</v>
      </c>
      <c r="AT69" s="5">
        <f>IF(AT$39=0,NA(),IF(ISNUMBER(INDEX($D$42:$AD$42,AT$39)),MAX(MIN(AT66,IFERROR(INDEX($D$53:$AD$53,AT$39)/AT55,1)-0.08721-AT61*0.17442,IF(AT59&lt;AT61,IFERROR(AT65,9)-(AT61-AT59)*0.17442,9),IF(AT63&lt;AT61,IFERROR(AT67,9)-(AT61-AT63)*0.17442,9)),0.08721+(2-AT61)*0.17442),NA()))</f>
        <v>0</v>
      </c>
      <c r="AU69" s="5">
        <f>IF(AU$39=0,NA(),IF(ISNUMBER(INDEX($D$42:$AD$42,AU$39)),MAX(MIN(AU66,IFERROR(INDEX($D$53:$AD$53,AU$39)/AU55,1)-0.08721-AU61*0.17442,IF(AU59&lt;AU61,IFERROR(AU65,9)-(AU61-AU59)*0.17442,9),IF(AU63&lt;AU61,IFERROR(AU67,9)-(AU61-AU63)*0.17442,9)),0.08721+(2-AU61)*0.17442),NA()))</f>
        <v>0</v>
      </c>
      <c r="AV69" s="5">
        <f>IF(AV$39=0,NA(),IF(ISNUMBER(INDEX($D$42:$AD$42,AV$39)),MAX(MIN(AV66,IFERROR(INDEX($D$53:$AD$53,AV$39)/AV55,1)-0.08721-AV61*0.17442,IF(AV59&lt;AV61,IFERROR(AV65,9)-(AV61-AV59)*0.17442,9),IF(AV63&lt;AV61,IFERROR(AV67,9)-(AV61-AV63)*0.17442,9)),0.08721+(2-AV61)*0.17442),NA()))</f>
        <v>0</v>
      </c>
      <c r="AW69" s="5">
        <f>IF(AW$39=0,NA(),IF(ISNUMBER(INDEX($D$42:$AD$42,AW$39)),MAX(MIN(AW66,IFERROR(INDEX($D$53:$AD$53,AW$39)/AW55,1)-0.08721-AW61*0.17442,IF(AW59&lt;AW61,IFERROR(AW65,9)-(AW61-AW59)*0.17442,9),IF(AW63&lt;AW61,IFERROR(AW67,9)-(AW61-AW63)*0.17442,9)),0.08721+(2-AW61)*0.17442),NA()))</f>
        <v>0</v>
      </c>
      <c r="AX69" s="5">
        <f>IF(AX$39=0,NA(),IF(ISNUMBER(INDEX($D$42:$AD$42,AX$39)),MAX(MIN(AX66,IFERROR(INDEX($D$53:$AD$53,AX$39)/AX55,1)-0.08721-AX61*0.17442,IF(AX59&lt;AX61,IFERROR(AX65,9)-(AX61-AX59)*0.17442,9),IF(AX63&lt;AX61,IFERROR(AX67,9)-(AX61-AX63)*0.17442,9)),0.08721+(2-AX61)*0.17442),NA()))</f>
        <v>0</v>
      </c>
      <c r="AY69" s="5">
        <f>IF(AY$39=0,NA(),IF(ISNUMBER(INDEX($D$42:$AD$42,AY$39)),MAX(MIN(AY66,IFERROR(INDEX($D$53:$AD$53,AY$39)/AY55,1)-0.08721-AY61*0.17442,IF(AY59&lt;AY61,IFERROR(AY65,9)-(AY61-AY59)*0.17442,9),IF(AY63&lt;AY61,IFERROR(AY67,9)-(AY61-AY63)*0.17442,9)),0.08721+(2-AY61)*0.17442),NA()))</f>
        <v>0</v>
      </c>
      <c r="AZ69" s="5">
        <f>IF(AZ$39=0,NA(),IF(ISNUMBER(INDEX($D$42:$AD$42,AZ$39)),MAX(MIN(AZ66,IFERROR(INDEX($D$53:$AD$53,AZ$39)/AZ55,1)-0.08721-AZ61*0.17442,IF(AZ59&lt;AZ61,IFERROR(AZ65,9)-(AZ61-AZ59)*0.17442,9),IF(AZ63&lt;AZ61,IFERROR(AZ67,9)-(AZ61-AZ63)*0.17442,9)),0.08721+(2-AZ61)*0.17442),NA()))</f>
        <v>0</v>
      </c>
      <c r="BA69" s="5">
        <f>IF(BA$39=0,NA(),IF(ISNUMBER(INDEX($D$42:$AD$42,BA$39)),MAX(MIN(BA66,IFERROR(INDEX($D$53:$AD$53,BA$39)/BA55,1)-0.08721-BA61*0.17442,IF(BA59&lt;BA61,IFERROR(BA65,9)-(BA61-BA59)*0.17442,9),IF(BA63&lt;BA61,IFERROR(BA67,9)-(BA61-BA63)*0.17442,9)),0.08721+(2-BA61)*0.17442),NA()))</f>
        <v>0</v>
      </c>
      <c r="BB69" s="5">
        <f>IF(BB$39=0,NA(),IF(ISNUMBER(INDEX($D$42:$AD$42,BB$39)),MAX(MIN(BB66,IFERROR(INDEX($D$53:$AD$53,BB$39)/BB55,1)-0.08721-BB61*0.17442,IF(BB59&lt;BB61,IFERROR(BB65,9)-(BB61-BB59)*0.17442,9),IF(BB63&lt;BB61,IFERROR(BB67,9)-(BB61-BB63)*0.17442,9)),0.08721+(2-BB61)*0.17442),NA()))</f>
        <v>0</v>
      </c>
      <c r="BC69" s="5">
        <f>IF(BC$39=0,NA(),IF(ISNUMBER(INDEX($D$42:$AD$42,BC$39)),MAX(MIN(BC66,IFERROR(INDEX($D$53:$AD$53,BC$39)/BC55,1)-0.08721-BC61*0.17442,IF(BC59&lt;BC61,IFERROR(BC65,9)-(BC61-BC59)*0.17442,9),IF(BC63&lt;BC61,IFERROR(BC67,9)-(BC61-BC63)*0.17442,9)),0.08721+(2-BC61)*0.17442),NA()))</f>
        <v>0</v>
      </c>
      <c r="BD69" s="5">
        <f>IF(BD$39=0,NA(),IF(ISNUMBER(INDEX($D$42:$AD$42,BD$39)),MAX(MIN(BD66,IFERROR(INDEX($D$53:$AD$53,BD$39)/BD55,1)-0.08721-BD61*0.17442,IF(BD59&lt;BD61,IFERROR(BD65,9)-(BD61-BD59)*0.17442,9),IF(BD63&lt;BD61,IFERROR(BD67,9)-(BD61-BD63)*0.17442,9)),0.08721+(2-BD61)*0.17442),NA()))</f>
        <v>0</v>
      </c>
      <c r="BE69" s="5">
        <f>IF(BE$39=0,NA(),IF(ISNUMBER(INDEX($D$42:$AD$42,BE$39)),MAX(MIN(BE66,IFERROR(INDEX($D$53:$AD$53,BE$39)/BE55,1)-0.08721-BE61*0.17442,IF(BE59&lt;BE61,IFERROR(BE65,9)-(BE61-BE59)*0.17442,9),IF(BE63&lt;BE61,IFERROR(BE67,9)-(BE61-BE63)*0.17442,9)),0.08721+(2-BE61)*0.17442),NA()))</f>
        <v>0</v>
      </c>
      <c r="BF69" s="5">
        <f>IF(BF$39=0,NA(),IF(ISNUMBER(INDEX($D$42:$AD$42,BF$39)),MAX(MIN(BF66,IFERROR(INDEX($D$53:$AD$53,BF$39)/BF55,1)-0.08721-BF61*0.17442,IF(BF59&lt;BF61,IFERROR(BF65,9)-(BF61-BF59)*0.17442,9),IF(BF63&lt;BF61,IFERROR(BF67,9)-(BF61-BF63)*0.17442,9)),0.08721+(2-BF61)*0.17442),NA()))</f>
        <v>0</v>
      </c>
      <c r="BG69" s="5">
        <f>IF(BG$39=0,NA(),IF(ISNUMBER(INDEX($D$42:$AD$42,BG$39)),MAX(MIN(BG66,IFERROR(INDEX($D$53:$AD$53,BG$39)/BG55,1)-0.08721-BG61*0.17442,IF(BG59&lt;BG61,IFERROR(BG65,9)-(BG61-BG59)*0.17442,9),IF(BG63&lt;BG61,IFERROR(BG67,9)-(BG61-BG63)*0.17442,9)),0.08721+(2-BG61)*0.17442),NA()))</f>
        <v>0</v>
      </c>
      <c r="BH69" s="5">
        <f>IF(BH$39=0,NA(),IF(ISNUMBER(INDEX($D$42:$AD$42,BH$39)),MAX(MIN(BH66,IFERROR(INDEX($D$53:$AD$53,BH$39)/BH55,1)-0.08721-BH61*0.17442,IF(BH59&lt;BH61,IFERROR(BH65,9)-(BH61-BH59)*0.17442,9),IF(BH63&lt;BH61,IFERROR(BH67,9)-(BH61-BH63)*0.17442,9)),0.08721+(2-BH61)*0.17442),NA()))</f>
        <v>0</v>
      </c>
      <c r="BI69" s="5">
        <f>IF(BI$39=0,NA(),IF(ISNUMBER(INDEX($D$42:$AD$42,BI$39)),MAX(MIN(BI66,IFERROR(INDEX($D$53:$AD$53,BI$39)/BI55,1)-0.08721-BI61*0.17442,IF(BI59&lt;BI61,IFERROR(BI65,9)-(BI61-BI59)*0.17442,9),IF(BI63&lt;BI61,IFERROR(BI67,9)-(BI61-BI63)*0.17442,9)),0.08721+(2-BI61)*0.17442),NA()))</f>
        <v>0</v>
      </c>
      <c r="BJ69" s="5">
        <f>IF(BJ$39=0,NA(),IF(ISNUMBER(INDEX($D$42:$AD$42,BJ$39)),MAX(MIN(BJ66,IFERROR(INDEX($D$53:$AD$53,BJ$39)/BJ55,1)-0.08721-BJ61*0.17442,IF(BJ59&lt;BJ61,IFERROR(BJ65,9)-(BJ61-BJ59)*0.17442,9),IF(BJ63&lt;BJ61,IFERROR(BJ67,9)-(BJ61-BJ63)*0.17442,9)),0.08721+(2-BJ61)*0.17442),NA()))</f>
        <v>0</v>
      </c>
      <c r="BK69" s="5">
        <f>IF(BK$39=0,NA(),IF(ISNUMBER(INDEX($D$42:$AD$42,BK$39)),MAX(MIN(BK66,IFERROR(INDEX($D$53:$AD$53,BK$39)/BK55,1)-0.08721-BK61*0.17442,IF(BK59&lt;BK61,IFERROR(BK65,9)-(BK61-BK59)*0.17442,9),IF(BK63&lt;BK61,IFERROR(BK67,9)-(BK61-BK63)*0.17442,9)),0.08721+(2-BK61)*0.17442),NA()))</f>
        <v>0</v>
      </c>
      <c r="BL69" s="5">
        <f>IF(BL$39=0,NA(),IF(ISNUMBER(INDEX($D$42:$AD$42,BL$39)),MAX(MIN(BL66,IFERROR(INDEX($D$53:$AD$53,BL$39)/BL55,1)-0.08721-BL61*0.17442,IF(BL59&lt;BL61,IFERROR(BL65,9)-(BL61-BL59)*0.17442,9),IF(BL63&lt;BL61,IFERROR(BL67,9)-(BL61-BL63)*0.17442,9)),0.08721+(2-BL61)*0.17442),NA()))</f>
        <v>0</v>
      </c>
      <c r="BM69" s="5">
        <f>IF(BM$39=0,NA(),IF(ISNUMBER(INDEX($D$42:$AD$42,BM$39)),MAX(MIN(BM66,IFERROR(INDEX($D$53:$AD$53,BM$39)/BM55,1)-0.08721-BM61*0.17442,IF(BM59&lt;BM61,IFERROR(BM65,9)-(BM61-BM59)*0.17442,9),IF(BM63&lt;BM61,IFERROR(BM67,9)-(BM61-BM63)*0.17442,9)),0.08721+(2-BM61)*0.17442),NA()))</f>
        <v>0</v>
      </c>
      <c r="BN69" s="5">
        <f>IF(BN$39=0,NA(),IF(ISNUMBER(INDEX($D$42:$AD$42,BN$39)),MAX(MIN(BN66,IFERROR(INDEX($D$53:$AD$53,BN$39)/BN55,1)-0.08721-BN61*0.17442,IF(BN59&lt;BN61,IFERROR(BN65,9)-(BN61-BN59)*0.17442,9),IF(BN63&lt;BN61,IFERROR(BN67,9)-(BN61-BN63)*0.17442,9)),0.08721+(2-BN61)*0.17442),NA()))</f>
        <v>0</v>
      </c>
      <c r="BO69" s="5">
        <f>IF(BO$39=0,NA(),IF(ISNUMBER(INDEX($D$42:$AD$42,BO$39)),MAX(MIN(BO66,IFERROR(INDEX($D$53:$AD$53,BO$39)/BO55,1)-0.08721-BO61*0.17442,IF(BO59&lt;BO61,IFERROR(BO65,9)-(BO61-BO59)*0.17442,9),IF(BO63&lt;BO61,IFERROR(BO67,9)-(BO61-BO63)*0.17442,9)),0.08721+(2-BO61)*0.17442),NA()))</f>
        <v>0</v>
      </c>
      <c r="BP69" s="5">
        <f>IF(BP$39=0,NA(),IF(ISNUMBER(INDEX($D$42:$AD$42,BP$39)),MAX(MIN(BP66,IFERROR(INDEX($D$53:$AD$53,BP$39)/BP55,1)-0.08721-BP61*0.17442,IF(BP59&lt;BP61,IFERROR(BP65,9)-(BP61-BP59)*0.17442,9),IF(BP63&lt;BP61,IFERROR(BP67,9)-(BP61-BP63)*0.17442,9)),0.08721+(2-BP61)*0.17442),NA()))</f>
        <v>0</v>
      </c>
    </row>
    <row r="70" spans="1:68">
      <c r="A70" s="11" t="s">
        <v>203</v>
      </c>
      <c r="B70" s="11" t="s">
        <v>204</v>
      </c>
      <c r="C70" s="3" t="s">
        <v>144</v>
      </c>
      <c r="AQ70" s="5">
        <f>IF(AQ$39=0,NA(),IF(ISNUMBER(INDEX($D$44:$AD$44,AQ$39)),MAX(MIN(AQ67,IFERROR(INDEX($D$53:$AD$53,AQ$39)/AQ55,1)-0.08721-AQ63*0.17442,IF(AQ61&lt;AQ63,IFERROR(AQ66,9)-(AQ63-AQ61)*0.17442,9),IF(AQ59&lt;AQ63,IFERROR(AQ65,9)-(AQ63-AQ59)*0.17442,9)),0.08721+(2-AQ63)*0.17442),NA()))</f>
        <v>0</v>
      </c>
      <c r="AR70" s="5">
        <f>IF(AR$39=0,NA(),IF(ISNUMBER(INDEX($D$44:$AD$44,AR$39)),MAX(MIN(AR67,IFERROR(INDEX($D$53:$AD$53,AR$39)/AR55,1)-0.08721-AR63*0.17442,IF(AR61&lt;AR63,IFERROR(AR66,9)-(AR63-AR61)*0.17442,9),IF(AR59&lt;AR63,IFERROR(AR65,9)-(AR63-AR59)*0.17442,9)),0.08721+(2-AR63)*0.17442),NA()))</f>
        <v>0</v>
      </c>
      <c r="AS70" s="5">
        <f>IF(AS$39=0,NA(),IF(ISNUMBER(INDEX($D$44:$AD$44,AS$39)),MAX(MIN(AS67,IFERROR(INDEX($D$53:$AD$53,AS$39)/AS55,1)-0.08721-AS63*0.17442,IF(AS61&lt;AS63,IFERROR(AS66,9)-(AS63-AS61)*0.17442,9),IF(AS59&lt;AS63,IFERROR(AS65,9)-(AS63-AS59)*0.17442,9)),0.08721+(2-AS63)*0.17442),NA()))</f>
        <v>0</v>
      </c>
      <c r="AT70" s="5">
        <f>IF(AT$39=0,NA(),IF(ISNUMBER(INDEX($D$44:$AD$44,AT$39)),MAX(MIN(AT67,IFERROR(INDEX($D$53:$AD$53,AT$39)/AT55,1)-0.08721-AT63*0.17442,IF(AT61&lt;AT63,IFERROR(AT66,9)-(AT63-AT61)*0.17442,9),IF(AT59&lt;AT63,IFERROR(AT65,9)-(AT63-AT59)*0.17442,9)),0.08721+(2-AT63)*0.17442),NA()))</f>
        <v>0</v>
      </c>
      <c r="AU70" s="5">
        <f>IF(AU$39=0,NA(),IF(ISNUMBER(INDEX($D$44:$AD$44,AU$39)),MAX(MIN(AU67,IFERROR(INDEX($D$53:$AD$53,AU$39)/AU55,1)-0.08721-AU63*0.17442,IF(AU61&lt;AU63,IFERROR(AU66,9)-(AU63-AU61)*0.17442,9),IF(AU59&lt;AU63,IFERROR(AU65,9)-(AU63-AU59)*0.17442,9)),0.08721+(2-AU63)*0.17442),NA()))</f>
        <v>0</v>
      </c>
      <c r="AV70" s="5">
        <f>IF(AV$39=0,NA(),IF(ISNUMBER(INDEX($D$44:$AD$44,AV$39)),MAX(MIN(AV67,IFERROR(INDEX($D$53:$AD$53,AV$39)/AV55,1)-0.08721-AV63*0.17442,IF(AV61&lt;AV63,IFERROR(AV66,9)-(AV63-AV61)*0.17442,9),IF(AV59&lt;AV63,IFERROR(AV65,9)-(AV63-AV59)*0.17442,9)),0.08721+(2-AV63)*0.17442),NA()))</f>
        <v>0</v>
      </c>
      <c r="AW70" s="5">
        <f>IF(AW$39=0,NA(),IF(ISNUMBER(INDEX($D$44:$AD$44,AW$39)),MAX(MIN(AW67,IFERROR(INDEX($D$53:$AD$53,AW$39)/AW55,1)-0.08721-AW63*0.17442,IF(AW61&lt;AW63,IFERROR(AW66,9)-(AW63-AW61)*0.17442,9),IF(AW59&lt;AW63,IFERROR(AW65,9)-(AW63-AW59)*0.17442,9)),0.08721+(2-AW63)*0.17442),NA()))</f>
        <v>0</v>
      </c>
      <c r="AX70" s="5">
        <f>IF(AX$39=0,NA(),IF(ISNUMBER(INDEX($D$44:$AD$44,AX$39)),MAX(MIN(AX67,IFERROR(INDEX($D$53:$AD$53,AX$39)/AX55,1)-0.08721-AX63*0.17442,IF(AX61&lt;AX63,IFERROR(AX66,9)-(AX63-AX61)*0.17442,9),IF(AX59&lt;AX63,IFERROR(AX65,9)-(AX63-AX59)*0.17442,9)),0.08721+(2-AX63)*0.17442),NA()))</f>
        <v>0</v>
      </c>
      <c r="AY70" s="5">
        <f>IF(AY$39=0,NA(),IF(ISNUMBER(INDEX($D$44:$AD$44,AY$39)),MAX(MIN(AY67,IFERROR(INDEX($D$53:$AD$53,AY$39)/AY55,1)-0.08721-AY63*0.17442,IF(AY61&lt;AY63,IFERROR(AY66,9)-(AY63-AY61)*0.17442,9),IF(AY59&lt;AY63,IFERROR(AY65,9)-(AY63-AY59)*0.17442,9)),0.08721+(2-AY63)*0.17442),NA()))</f>
        <v>0</v>
      </c>
      <c r="AZ70" s="5">
        <f>IF(AZ$39=0,NA(),IF(ISNUMBER(INDEX($D$44:$AD$44,AZ$39)),MAX(MIN(AZ67,IFERROR(INDEX($D$53:$AD$53,AZ$39)/AZ55,1)-0.08721-AZ63*0.17442,IF(AZ61&lt;AZ63,IFERROR(AZ66,9)-(AZ63-AZ61)*0.17442,9),IF(AZ59&lt;AZ63,IFERROR(AZ65,9)-(AZ63-AZ59)*0.17442,9)),0.08721+(2-AZ63)*0.17442),NA()))</f>
        <v>0</v>
      </c>
      <c r="BA70" s="5">
        <f>IF(BA$39=0,NA(),IF(ISNUMBER(INDEX($D$44:$AD$44,BA$39)),MAX(MIN(BA67,IFERROR(INDEX($D$53:$AD$53,BA$39)/BA55,1)-0.08721-BA63*0.17442,IF(BA61&lt;BA63,IFERROR(BA66,9)-(BA63-BA61)*0.17442,9),IF(BA59&lt;BA63,IFERROR(BA65,9)-(BA63-BA59)*0.17442,9)),0.08721+(2-BA63)*0.17442),NA()))</f>
        <v>0</v>
      </c>
      <c r="BB70" s="5">
        <f>IF(BB$39=0,NA(),IF(ISNUMBER(INDEX($D$44:$AD$44,BB$39)),MAX(MIN(BB67,IFERROR(INDEX($D$53:$AD$53,BB$39)/BB55,1)-0.08721-BB63*0.17442,IF(BB61&lt;BB63,IFERROR(BB66,9)-(BB63-BB61)*0.17442,9),IF(BB59&lt;BB63,IFERROR(BB65,9)-(BB63-BB59)*0.17442,9)),0.08721+(2-BB63)*0.17442),NA()))</f>
        <v>0</v>
      </c>
      <c r="BC70" s="5">
        <f>IF(BC$39=0,NA(),IF(ISNUMBER(INDEX($D$44:$AD$44,BC$39)),MAX(MIN(BC67,IFERROR(INDEX($D$53:$AD$53,BC$39)/BC55,1)-0.08721-BC63*0.17442,IF(BC61&lt;BC63,IFERROR(BC66,9)-(BC63-BC61)*0.17442,9),IF(BC59&lt;BC63,IFERROR(BC65,9)-(BC63-BC59)*0.17442,9)),0.08721+(2-BC63)*0.17442),NA()))</f>
        <v>0</v>
      </c>
      <c r="BD70" s="5">
        <f>IF(BD$39=0,NA(),IF(ISNUMBER(INDEX($D$44:$AD$44,BD$39)),MAX(MIN(BD67,IFERROR(INDEX($D$53:$AD$53,BD$39)/BD55,1)-0.08721-BD63*0.17442,IF(BD61&lt;BD63,IFERROR(BD66,9)-(BD63-BD61)*0.17442,9),IF(BD59&lt;BD63,IFERROR(BD65,9)-(BD63-BD59)*0.17442,9)),0.08721+(2-BD63)*0.17442),NA()))</f>
        <v>0</v>
      </c>
      <c r="BE70" s="5">
        <f>IF(BE$39=0,NA(),IF(ISNUMBER(INDEX($D$44:$AD$44,BE$39)),MAX(MIN(BE67,IFERROR(INDEX($D$53:$AD$53,BE$39)/BE55,1)-0.08721-BE63*0.17442,IF(BE61&lt;BE63,IFERROR(BE66,9)-(BE63-BE61)*0.17442,9),IF(BE59&lt;BE63,IFERROR(BE65,9)-(BE63-BE59)*0.17442,9)),0.08721+(2-BE63)*0.17442),NA()))</f>
        <v>0</v>
      </c>
      <c r="BF70" s="5">
        <f>IF(BF$39=0,NA(),IF(ISNUMBER(INDEX($D$44:$AD$44,BF$39)),MAX(MIN(BF67,IFERROR(INDEX($D$53:$AD$53,BF$39)/BF55,1)-0.08721-BF63*0.17442,IF(BF61&lt;BF63,IFERROR(BF66,9)-(BF63-BF61)*0.17442,9),IF(BF59&lt;BF63,IFERROR(BF65,9)-(BF63-BF59)*0.17442,9)),0.08721+(2-BF63)*0.17442),NA()))</f>
        <v>0</v>
      </c>
      <c r="BG70" s="5">
        <f>IF(BG$39=0,NA(),IF(ISNUMBER(INDEX($D$44:$AD$44,BG$39)),MAX(MIN(BG67,IFERROR(INDEX($D$53:$AD$53,BG$39)/BG55,1)-0.08721-BG63*0.17442,IF(BG61&lt;BG63,IFERROR(BG66,9)-(BG63-BG61)*0.17442,9),IF(BG59&lt;BG63,IFERROR(BG65,9)-(BG63-BG59)*0.17442,9)),0.08721+(2-BG63)*0.17442),NA()))</f>
        <v>0</v>
      </c>
      <c r="BH70" s="5">
        <f>IF(BH$39=0,NA(),IF(ISNUMBER(INDEX($D$44:$AD$44,BH$39)),MAX(MIN(BH67,IFERROR(INDEX($D$53:$AD$53,BH$39)/BH55,1)-0.08721-BH63*0.17442,IF(BH61&lt;BH63,IFERROR(BH66,9)-(BH63-BH61)*0.17442,9),IF(BH59&lt;BH63,IFERROR(BH65,9)-(BH63-BH59)*0.17442,9)),0.08721+(2-BH63)*0.17442),NA()))</f>
        <v>0</v>
      </c>
      <c r="BI70" s="5">
        <f>IF(BI$39=0,NA(),IF(ISNUMBER(INDEX($D$44:$AD$44,BI$39)),MAX(MIN(BI67,IFERROR(INDEX($D$53:$AD$53,BI$39)/BI55,1)-0.08721-BI63*0.17442,IF(BI61&lt;BI63,IFERROR(BI66,9)-(BI63-BI61)*0.17442,9),IF(BI59&lt;BI63,IFERROR(BI65,9)-(BI63-BI59)*0.17442,9)),0.08721+(2-BI63)*0.17442),NA()))</f>
        <v>0</v>
      </c>
      <c r="BJ70" s="5">
        <f>IF(BJ$39=0,NA(),IF(ISNUMBER(INDEX($D$44:$AD$44,BJ$39)),MAX(MIN(BJ67,IFERROR(INDEX($D$53:$AD$53,BJ$39)/BJ55,1)-0.08721-BJ63*0.17442,IF(BJ61&lt;BJ63,IFERROR(BJ66,9)-(BJ63-BJ61)*0.17442,9),IF(BJ59&lt;BJ63,IFERROR(BJ65,9)-(BJ63-BJ59)*0.17442,9)),0.08721+(2-BJ63)*0.17442),NA()))</f>
        <v>0</v>
      </c>
      <c r="BK70" s="5">
        <f>IF(BK$39=0,NA(),IF(ISNUMBER(INDEX($D$44:$AD$44,BK$39)),MAX(MIN(BK67,IFERROR(INDEX($D$53:$AD$53,BK$39)/BK55,1)-0.08721-BK63*0.17442,IF(BK61&lt;BK63,IFERROR(BK66,9)-(BK63-BK61)*0.17442,9),IF(BK59&lt;BK63,IFERROR(BK65,9)-(BK63-BK59)*0.17442,9)),0.08721+(2-BK63)*0.17442),NA()))</f>
        <v>0</v>
      </c>
      <c r="BL70" s="5">
        <f>IF(BL$39=0,NA(),IF(ISNUMBER(INDEX($D$44:$AD$44,BL$39)),MAX(MIN(BL67,IFERROR(INDEX($D$53:$AD$53,BL$39)/BL55,1)-0.08721-BL63*0.17442,IF(BL61&lt;BL63,IFERROR(BL66,9)-(BL63-BL61)*0.17442,9),IF(BL59&lt;BL63,IFERROR(BL65,9)-(BL63-BL59)*0.17442,9)),0.08721+(2-BL63)*0.17442),NA()))</f>
        <v>0</v>
      </c>
      <c r="BM70" s="5">
        <f>IF(BM$39=0,NA(),IF(ISNUMBER(INDEX($D$44:$AD$44,BM$39)),MAX(MIN(BM67,IFERROR(INDEX($D$53:$AD$53,BM$39)/BM55,1)-0.08721-BM63*0.17442,IF(BM61&lt;BM63,IFERROR(BM66,9)-(BM63-BM61)*0.17442,9),IF(BM59&lt;BM63,IFERROR(BM65,9)-(BM63-BM59)*0.17442,9)),0.08721+(2-BM63)*0.17442),NA()))</f>
        <v>0</v>
      </c>
      <c r="BN70" s="5">
        <f>IF(BN$39=0,NA(),IF(ISNUMBER(INDEX($D$44:$AD$44,BN$39)),MAX(MIN(BN67,IFERROR(INDEX($D$53:$AD$53,BN$39)/BN55,1)-0.08721-BN63*0.17442,IF(BN61&lt;BN63,IFERROR(BN66,9)-(BN63-BN61)*0.17442,9),IF(BN59&lt;BN63,IFERROR(BN65,9)-(BN63-BN59)*0.17442,9)),0.08721+(2-BN63)*0.17442),NA()))</f>
        <v>0</v>
      </c>
      <c r="BO70" s="5">
        <f>IF(BO$39=0,NA(),IF(ISNUMBER(INDEX($D$44:$AD$44,BO$39)),MAX(MIN(BO67,IFERROR(INDEX($D$53:$AD$53,BO$39)/BO55,1)-0.08721-BO63*0.17442,IF(BO61&lt;BO63,IFERROR(BO66,9)-(BO63-BO61)*0.17442,9),IF(BO59&lt;BO63,IFERROR(BO65,9)-(BO63-BO59)*0.17442,9)),0.08721+(2-BO63)*0.17442),NA()))</f>
        <v>0</v>
      </c>
      <c r="BP70" s="5">
        <f>IF(BP$39=0,NA(),IF(ISNUMBER(INDEX($D$44:$AD$44,BP$39)),MAX(MIN(BP67,IFERROR(INDEX($D$53:$AD$53,BP$39)/BP55,1)-0.08721-BP63*0.17442,IF(BP61&lt;BP63,IFERROR(BP66,9)-(BP63-BP61)*0.17442,9),IF(BP59&lt;BP63,IFERROR(BP65,9)-(BP63-BP59)*0.17442,9)),0.08721+(2-BP63)*0.17442),NA()))</f>
        <v>0</v>
      </c>
    </row>
    <row r="71" spans="1:68">
      <c r="A71" s="11" t="s">
        <v>205</v>
      </c>
      <c r="B71" s="11" t="s">
        <v>206</v>
      </c>
      <c r="C71" s="3" t="s">
        <v>144</v>
      </c>
      <c r="AQ71" s="5">
        <f>IF(AQ$39=0,NA(),IF(ISNUMBER(INDEX($D$53:$AD$53,AQ$39)),MAX(INDEX($D$53:$AD$53,AQ$39)/AQ55,IFERROR(_xlfn.AGGREGATE(4,6,AQ69,AQ68,AQ70),0)+0.08721),NA()))</f>
        <v>0</v>
      </c>
      <c r="AR71" s="5">
        <f>IF(AR$39=0,NA(),IF(ISNUMBER(INDEX($D$53:$AD$53,AR$39)),MAX(INDEX($D$53:$AD$53,AR$39)/AR55,IFERROR(_xlfn.AGGREGATE(4,6,AR69,AR68,AR70),0)+0.08721),NA()))</f>
        <v>0</v>
      </c>
      <c r="AS71" s="5">
        <f>IF(AS$39=0,NA(),IF(ISNUMBER(INDEX($D$53:$AD$53,AS$39)),MAX(INDEX($D$53:$AD$53,AS$39)/AS55,IFERROR(_xlfn.AGGREGATE(4,6,AS69,AS68,AS70),0)+0.08721),NA()))</f>
        <v>0</v>
      </c>
      <c r="AT71" s="5">
        <f>IF(AT$39=0,NA(),IF(ISNUMBER(INDEX($D$53:$AD$53,AT$39)),MAX(INDEX($D$53:$AD$53,AT$39)/AT55,IFERROR(_xlfn.AGGREGATE(4,6,AT69,AT68,AT70),0)+0.08721),NA()))</f>
        <v>0</v>
      </c>
      <c r="AU71" s="5">
        <f>IF(AU$39=0,NA(),IF(ISNUMBER(INDEX($D$53:$AD$53,AU$39)),MAX(INDEX($D$53:$AD$53,AU$39)/AU55,IFERROR(_xlfn.AGGREGATE(4,6,AU69,AU68,AU70),0)+0.08721),NA()))</f>
        <v>0</v>
      </c>
      <c r="AV71" s="5">
        <f>IF(AV$39=0,NA(),IF(ISNUMBER(INDEX($D$53:$AD$53,AV$39)),MAX(INDEX($D$53:$AD$53,AV$39)/AV55,IFERROR(_xlfn.AGGREGATE(4,6,AV69,AV68,AV70),0)+0.08721),NA()))</f>
        <v>0</v>
      </c>
      <c r="AW71" s="5">
        <f>IF(AW$39=0,NA(),IF(ISNUMBER(INDEX($D$53:$AD$53,AW$39)),MAX(INDEX($D$53:$AD$53,AW$39)/AW55,IFERROR(_xlfn.AGGREGATE(4,6,AW69,AW68,AW70),0)+0.08721),NA()))</f>
        <v>0</v>
      </c>
      <c r="AX71" s="5">
        <f>IF(AX$39=0,NA(),IF(ISNUMBER(INDEX($D$53:$AD$53,AX$39)),MAX(INDEX($D$53:$AD$53,AX$39)/AX55,IFERROR(_xlfn.AGGREGATE(4,6,AX69,AX68,AX70),0)+0.08721),NA()))</f>
        <v>0</v>
      </c>
      <c r="AY71" s="5">
        <f>IF(AY$39=0,NA(),IF(ISNUMBER(INDEX($D$53:$AD$53,AY$39)),MAX(INDEX($D$53:$AD$53,AY$39)/AY55,IFERROR(_xlfn.AGGREGATE(4,6,AY69,AY68,AY70),0)+0.08721),NA()))</f>
        <v>0</v>
      </c>
      <c r="AZ71" s="5">
        <f>IF(AZ$39=0,NA(),IF(ISNUMBER(INDEX($D$53:$AD$53,AZ$39)),MAX(INDEX($D$53:$AD$53,AZ$39)/AZ55,IFERROR(_xlfn.AGGREGATE(4,6,AZ69,AZ68,AZ70),0)+0.08721),NA()))</f>
        <v>0</v>
      </c>
      <c r="BA71" s="5">
        <f>IF(BA$39=0,NA(),IF(ISNUMBER(INDEX($D$53:$AD$53,BA$39)),MAX(INDEX($D$53:$AD$53,BA$39)/BA55,IFERROR(_xlfn.AGGREGATE(4,6,BA69,BA68,BA70),0)+0.08721),NA()))</f>
        <v>0</v>
      </c>
      <c r="BB71" s="5">
        <f>IF(BB$39=0,NA(),IF(ISNUMBER(INDEX($D$53:$AD$53,BB$39)),MAX(INDEX($D$53:$AD$53,BB$39)/BB55,IFERROR(_xlfn.AGGREGATE(4,6,BB69,BB68,BB70),0)+0.08721),NA()))</f>
        <v>0</v>
      </c>
      <c r="BC71" s="5">
        <f>IF(BC$39=0,NA(),IF(ISNUMBER(INDEX($D$53:$AD$53,BC$39)),MAX(INDEX($D$53:$AD$53,BC$39)/BC55,IFERROR(_xlfn.AGGREGATE(4,6,BC69,BC68,BC70),0)+0.08721),NA()))</f>
        <v>0</v>
      </c>
      <c r="BD71" s="5">
        <f>IF(BD$39=0,NA(),IF(ISNUMBER(INDEX($D$53:$AD$53,BD$39)),MAX(INDEX($D$53:$AD$53,BD$39)/BD55,IFERROR(_xlfn.AGGREGATE(4,6,BD69,BD68,BD70),0)+0.08721),NA()))</f>
        <v>0</v>
      </c>
      <c r="BE71" s="5">
        <f>IF(BE$39=0,NA(),IF(ISNUMBER(INDEX($D$53:$AD$53,BE$39)),MAX(INDEX($D$53:$AD$53,BE$39)/BE55,IFERROR(_xlfn.AGGREGATE(4,6,BE69,BE68,BE70),0)+0.08721),NA()))</f>
        <v>0</v>
      </c>
      <c r="BF71" s="5">
        <f>IF(BF$39=0,NA(),IF(ISNUMBER(INDEX($D$53:$AD$53,BF$39)),MAX(INDEX($D$53:$AD$53,BF$39)/BF55,IFERROR(_xlfn.AGGREGATE(4,6,BF69,BF68,BF70),0)+0.08721),NA()))</f>
        <v>0</v>
      </c>
      <c r="BG71" s="5">
        <f>IF(BG$39=0,NA(),IF(ISNUMBER(INDEX($D$53:$AD$53,BG$39)),MAX(INDEX($D$53:$AD$53,BG$39)/BG55,IFERROR(_xlfn.AGGREGATE(4,6,BG69,BG68,BG70),0)+0.08721),NA()))</f>
        <v>0</v>
      </c>
      <c r="BH71" s="5">
        <f>IF(BH$39=0,NA(),IF(ISNUMBER(INDEX($D$53:$AD$53,BH$39)),MAX(INDEX($D$53:$AD$53,BH$39)/BH55,IFERROR(_xlfn.AGGREGATE(4,6,BH69,BH68,BH70),0)+0.08721),NA()))</f>
        <v>0</v>
      </c>
      <c r="BI71" s="5">
        <f>IF(BI$39=0,NA(),IF(ISNUMBER(INDEX($D$53:$AD$53,BI$39)),MAX(INDEX($D$53:$AD$53,BI$39)/BI55,IFERROR(_xlfn.AGGREGATE(4,6,BI69,BI68,BI70),0)+0.08721),NA()))</f>
        <v>0</v>
      </c>
      <c r="BJ71" s="5">
        <f>IF(BJ$39=0,NA(),IF(ISNUMBER(INDEX($D$53:$AD$53,BJ$39)),MAX(INDEX($D$53:$AD$53,BJ$39)/BJ55,IFERROR(_xlfn.AGGREGATE(4,6,BJ69,BJ68,BJ70),0)+0.08721),NA()))</f>
        <v>0</v>
      </c>
      <c r="BK71" s="5">
        <f>IF(BK$39=0,NA(),IF(ISNUMBER(INDEX($D$53:$AD$53,BK$39)),MAX(INDEX($D$53:$AD$53,BK$39)/BK55,IFERROR(_xlfn.AGGREGATE(4,6,BK69,BK68,BK70),0)+0.08721),NA()))</f>
        <v>0</v>
      </c>
      <c r="BL71" s="5">
        <f>IF(BL$39=0,NA(),IF(ISNUMBER(INDEX($D$53:$AD$53,BL$39)),MAX(INDEX($D$53:$AD$53,BL$39)/BL55,IFERROR(_xlfn.AGGREGATE(4,6,BL69,BL68,BL70),0)+0.08721),NA()))</f>
        <v>0</v>
      </c>
      <c r="BM71" s="5">
        <f>IF(BM$39=0,NA(),IF(ISNUMBER(INDEX($D$53:$AD$53,BM$39)),MAX(INDEX($D$53:$AD$53,BM$39)/BM55,IFERROR(_xlfn.AGGREGATE(4,6,BM69,BM68,BM70),0)+0.08721),NA()))</f>
        <v>0</v>
      </c>
      <c r="BN71" s="5">
        <f>IF(BN$39=0,NA(),IF(ISNUMBER(INDEX($D$53:$AD$53,BN$39)),MAX(INDEX($D$53:$AD$53,BN$39)/BN55,IFERROR(_xlfn.AGGREGATE(4,6,BN69,BN68,BN70),0)+0.08721),NA()))</f>
        <v>0</v>
      </c>
      <c r="BO71" s="5">
        <f>IF(BO$39=0,NA(),IF(ISNUMBER(INDEX($D$53:$AD$53,BO$39)),MAX(INDEX($D$53:$AD$53,BO$39)/BO55,IFERROR(_xlfn.AGGREGATE(4,6,BO69,BO68,BO70),0)+0.08721),NA()))</f>
        <v>0</v>
      </c>
      <c r="BP71" s="5">
        <f>IF(BP$39=0,NA(),IF(ISNUMBER(INDEX($D$53:$AD$53,BP$39)),MAX(INDEX($D$53:$AD$53,BP$39)/BP55,IFERROR(_xlfn.AGGREGATE(4,6,BP69,BP68,BP70),0)+0.08721),NA()))</f>
        <v>0</v>
      </c>
    </row>
    <row r="72" spans="1:68">
      <c r="A72" s="11" t="s">
        <v>207</v>
      </c>
      <c r="B72" s="11" t="s">
        <v>208</v>
      </c>
      <c r="C72" s="3" t="s">
        <v>144</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209</v>
      </c>
      <c r="B73" s="11" t="s">
        <v>210</v>
      </c>
      <c r="C73" s="3" t="s">
        <v>144</v>
      </c>
      <c r="AQ73" s="5">
        <f>IF(AQ$39=0,NA(),IF(N(Konfiguration!$F$9)&gt;0,N(Konfiguration!$F$9)/AQ55,NA()))</f>
        <v>0</v>
      </c>
      <c r="AR73" s="5">
        <f>IF(AR$39=0,NA(),IF(N(Konfiguration!$F$9)&gt;0,N(Konfiguration!$F$9)/AR55,NA()))</f>
        <v>0</v>
      </c>
      <c r="AS73" s="5">
        <f>IF(AS$39=0,NA(),IF(N(Konfiguration!$F$9)&gt;0,N(Konfiguration!$F$9)/AS55,NA()))</f>
        <v>0</v>
      </c>
      <c r="AT73" s="5">
        <f>IF(AT$39=0,NA(),IF(N(Konfiguration!$F$9)&gt;0,N(Konfiguration!$F$9)/AT55,NA()))</f>
        <v>0</v>
      </c>
      <c r="AU73" s="5">
        <f>IF(AU$39=0,NA(),IF(N(Konfiguration!$F$9)&gt;0,N(Konfiguration!$F$9)/AU55,NA()))</f>
        <v>0</v>
      </c>
      <c r="AV73" s="5">
        <f>IF(AV$39=0,NA(),IF(N(Konfiguration!$F$9)&gt;0,N(Konfiguration!$F$9)/AV55,NA()))</f>
        <v>0</v>
      </c>
      <c r="AW73" s="5">
        <f>IF(AW$39=0,NA(),IF(N(Konfiguration!$F$9)&gt;0,N(Konfiguration!$F$9)/AW55,NA()))</f>
        <v>0</v>
      </c>
      <c r="AX73" s="5">
        <f>IF(AX$39=0,NA(),IF(N(Konfiguration!$F$9)&gt;0,N(Konfiguration!$F$9)/AX55,NA()))</f>
        <v>0</v>
      </c>
      <c r="AY73" s="5">
        <f>IF(AY$39=0,NA(),IF(N(Konfiguration!$F$9)&gt;0,N(Konfiguration!$F$9)/AY55,NA()))</f>
        <v>0</v>
      </c>
      <c r="AZ73" s="5">
        <f>IF(AZ$39=0,NA(),IF(N(Konfiguration!$F$9)&gt;0,N(Konfiguration!$F$9)/AZ55,NA()))</f>
        <v>0</v>
      </c>
      <c r="BA73" s="5">
        <f>IF(BA$39=0,NA(),IF(N(Konfiguration!$F$9)&gt;0,N(Konfiguration!$F$9)/BA55,NA()))</f>
        <v>0</v>
      </c>
      <c r="BB73" s="5">
        <f>IF(BB$39=0,NA(),IF(N(Konfiguration!$F$9)&gt;0,N(Konfiguration!$F$9)/BB55,NA()))</f>
        <v>0</v>
      </c>
      <c r="BC73" s="5">
        <f>IF(BC$39=0,NA(),IF(N(Konfiguration!$F$9)&gt;0,N(Konfiguration!$F$9)/BC55,NA()))</f>
        <v>0</v>
      </c>
      <c r="BD73" s="5">
        <f>IF(BD$39=0,NA(),IF(N(Konfiguration!$F$9)&gt;0,N(Konfiguration!$F$9)/BD55,NA()))</f>
        <v>0</v>
      </c>
      <c r="BE73" s="5">
        <f>IF(BE$39=0,NA(),IF(N(Konfiguration!$F$9)&gt;0,N(Konfiguration!$F$9)/BE55,NA()))</f>
        <v>0</v>
      </c>
      <c r="BF73" s="5">
        <f>IF(BF$39=0,NA(),IF(N(Konfiguration!$F$9)&gt;0,N(Konfiguration!$F$9)/BF55,NA()))</f>
        <v>0</v>
      </c>
      <c r="BG73" s="5">
        <f>IF(BG$39=0,NA(),IF(N(Konfiguration!$F$9)&gt;0,N(Konfiguration!$F$9)/BG55,NA()))</f>
        <v>0</v>
      </c>
      <c r="BH73" s="5">
        <f>IF(BH$39=0,NA(),IF(N(Konfiguration!$F$9)&gt;0,N(Konfiguration!$F$9)/BH55,NA()))</f>
        <v>0</v>
      </c>
      <c r="BI73" s="5">
        <f>IF(BI$39=0,NA(),IF(N(Konfiguration!$F$9)&gt;0,N(Konfiguration!$F$9)/BI55,NA()))</f>
        <v>0</v>
      </c>
      <c r="BJ73" s="5">
        <f>IF(BJ$39=0,NA(),IF(N(Konfiguration!$F$9)&gt;0,N(Konfiguration!$F$9)/BJ55,NA()))</f>
        <v>0</v>
      </c>
      <c r="BK73" s="5">
        <f>IF(BK$39=0,NA(),IF(N(Konfiguration!$F$9)&gt;0,N(Konfiguration!$F$9)/BK55,NA()))</f>
        <v>0</v>
      </c>
      <c r="BL73" s="5">
        <f>IF(BL$39=0,NA(),IF(N(Konfiguration!$F$9)&gt;0,N(Konfiguration!$F$9)/BL55,NA()))</f>
        <v>0</v>
      </c>
      <c r="BM73" s="5">
        <f>IF(BM$39=0,NA(),IF(N(Konfiguration!$F$9)&gt;0,N(Konfiguration!$F$9)/BM55,NA()))</f>
        <v>0</v>
      </c>
      <c r="BN73" s="5">
        <f>IF(BN$39=0,NA(),IF(N(Konfiguration!$F$9)&gt;0,N(Konfiguration!$F$9)/BN55,NA()))</f>
        <v>0</v>
      </c>
      <c r="BO73" s="5">
        <f>IF(BO$39=0,NA(),IF(N(Konfiguration!$F$9)&gt;0,N(Konfiguration!$F$9)/BO55,NA()))</f>
        <v>0</v>
      </c>
      <c r="BP73" s="5">
        <f>IF(BP$39=0,NA(),IF(N(Konfiguration!$F$9)&gt;0,N(Konfiguration!$F$9)/BP55,NA()))</f>
        <v>0</v>
      </c>
    </row>
    <row r="74" spans="1:68">
      <c r="A74" s="11" t="s">
        <v>211</v>
      </c>
      <c r="B74" s="11" t="s">
        <v>212</v>
      </c>
      <c r="C74" s="3" t="s">
        <v>144</v>
      </c>
      <c r="AQ74" s="5">
        <f>IF(AQ$39=0,NA(),MAX(1,_xlfn.AGGREGATE(4,6,INDEX($D$51:$AD$51,MAX(1,$D$37+1-$D$36)):INDEX($D$51:$AD$51,$D$37)),_xlfn.AGGREGATE(4,6,INDEX($D$52:$AD$52,MAX(1,$D$37+1-$D$36)):INDEX($D$52:$AD$52,$D$37))))</f>
        <v>0</v>
      </c>
      <c r="AR74" s="5">
        <f>IF(AR$39=0,NA(),MAX(1,_xlfn.AGGREGATE(4,6,INDEX($D$51:$AD$51,MAX(1,$D$37+1-$D$36)):INDEX($D$51:$AD$51,$D$37)),_xlfn.AGGREGATE(4,6,INDEX($D$52:$AD$52,MAX(1,$D$37+1-$D$36)):INDEX($D$52:$AD$52,$D$37))))</f>
        <v>0</v>
      </c>
      <c r="AS74" s="5">
        <f>IF(AS$39=0,NA(),MAX(1,_xlfn.AGGREGATE(4,6,INDEX($D$51:$AD$51,MAX(1,$D$37+1-$D$36)):INDEX($D$51:$AD$51,$D$37)),_xlfn.AGGREGATE(4,6,INDEX($D$52:$AD$52,MAX(1,$D$37+1-$D$36)):INDEX($D$52:$AD$52,$D$37))))</f>
        <v>0</v>
      </c>
      <c r="AT74" s="5">
        <f>IF(AT$39=0,NA(),MAX(1,_xlfn.AGGREGATE(4,6,INDEX($D$51:$AD$51,MAX(1,$D$37+1-$D$36)):INDEX($D$51:$AD$51,$D$37)),_xlfn.AGGREGATE(4,6,INDEX($D$52:$AD$52,MAX(1,$D$37+1-$D$36)):INDEX($D$52:$AD$52,$D$37))))</f>
        <v>0</v>
      </c>
      <c r="AU74" s="5">
        <f>IF(AU$39=0,NA(),MAX(1,_xlfn.AGGREGATE(4,6,INDEX($D$51:$AD$51,MAX(1,$D$37+1-$D$36)):INDEX($D$51:$AD$51,$D$37)),_xlfn.AGGREGATE(4,6,INDEX($D$52:$AD$52,MAX(1,$D$37+1-$D$36)):INDEX($D$52:$AD$52,$D$37))))</f>
        <v>0</v>
      </c>
      <c r="AV74" s="5">
        <f>IF(AV$39=0,NA(),MAX(1,_xlfn.AGGREGATE(4,6,INDEX($D$51:$AD$51,MAX(1,$D$37+1-$D$36)):INDEX($D$51:$AD$51,$D$37)),_xlfn.AGGREGATE(4,6,INDEX($D$52:$AD$52,MAX(1,$D$37+1-$D$36)):INDEX($D$52:$AD$52,$D$37))))</f>
        <v>0</v>
      </c>
      <c r="AW74" s="5">
        <f>IF(AW$39=0,NA(),MAX(1,_xlfn.AGGREGATE(4,6,INDEX($D$51:$AD$51,MAX(1,$D$37+1-$D$36)):INDEX($D$51:$AD$51,$D$37)),_xlfn.AGGREGATE(4,6,INDEX($D$52:$AD$52,MAX(1,$D$37+1-$D$36)):INDEX($D$52:$AD$52,$D$37))))</f>
        <v>0</v>
      </c>
      <c r="AX74" s="5">
        <f>IF(AX$39=0,NA(),MAX(1,_xlfn.AGGREGATE(4,6,INDEX($D$51:$AD$51,MAX(1,$D$37+1-$D$36)):INDEX($D$51:$AD$51,$D$37)),_xlfn.AGGREGATE(4,6,INDEX($D$52:$AD$52,MAX(1,$D$37+1-$D$36)):INDEX($D$52:$AD$52,$D$37))))</f>
        <v>0</v>
      </c>
      <c r="AY74" s="5">
        <f>IF(AY$39=0,NA(),MAX(1,_xlfn.AGGREGATE(4,6,INDEX($D$51:$AD$51,MAX(1,$D$37+1-$D$36)):INDEX($D$51:$AD$51,$D$37)),_xlfn.AGGREGATE(4,6,INDEX($D$52:$AD$52,MAX(1,$D$37+1-$D$36)):INDEX($D$52:$AD$52,$D$37))))</f>
        <v>0</v>
      </c>
      <c r="AZ74" s="5">
        <f>IF(AZ$39=0,NA(),MAX(1,_xlfn.AGGREGATE(4,6,INDEX($D$51:$AD$51,MAX(1,$D$37+1-$D$36)):INDEX($D$51:$AD$51,$D$37)),_xlfn.AGGREGATE(4,6,INDEX($D$52:$AD$52,MAX(1,$D$37+1-$D$36)):INDEX($D$52:$AD$52,$D$37))))</f>
        <v>0</v>
      </c>
      <c r="BA74" s="5">
        <f>IF(BA$39=0,NA(),MAX(1,_xlfn.AGGREGATE(4,6,INDEX($D$51:$AD$51,MAX(1,$D$37+1-$D$36)):INDEX($D$51:$AD$51,$D$37)),_xlfn.AGGREGATE(4,6,INDEX($D$52:$AD$52,MAX(1,$D$37+1-$D$36)):INDEX($D$52:$AD$52,$D$37))))</f>
        <v>0</v>
      </c>
      <c r="BB74" s="5">
        <f>IF(BB$39=0,NA(),MAX(1,_xlfn.AGGREGATE(4,6,INDEX($D$51:$AD$51,MAX(1,$D$37+1-$D$36)):INDEX($D$51:$AD$51,$D$37)),_xlfn.AGGREGATE(4,6,INDEX($D$52:$AD$52,MAX(1,$D$37+1-$D$36)):INDEX($D$52:$AD$52,$D$37))))</f>
        <v>0</v>
      </c>
      <c r="BC74" s="5">
        <f>IF(BC$39=0,NA(),MAX(1,_xlfn.AGGREGATE(4,6,INDEX($D$51:$AD$51,MAX(1,$D$37+1-$D$36)):INDEX($D$51:$AD$51,$D$37)),_xlfn.AGGREGATE(4,6,INDEX($D$52:$AD$52,MAX(1,$D$37+1-$D$36)):INDEX($D$52:$AD$52,$D$37))))</f>
        <v>0</v>
      </c>
      <c r="BD74" s="5">
        <f>IF(BD$39=0,NA(),MAX(1,_xlfn.AGGREGATE(4,6,INDEX($D$51:$AD$51,MAX(1,$D$37+1-$D$36)):INDEX($D$51:$AD$51,$D$37)),_xlfn.AGGREGATE(4,6,INDEX($D$52:$AD$52,MAX(1,$D$37+1-$D$36)):INDEX($D$52:$AD$52,$D$37))))</f>
        <v>0</v>
      </c>
      <c r="BE74" s="5">
        <f>IF(BE$39=0,NA(),MAX(1,_xlfn.AGGREGATE(4,6,INDEX($D$51:$AD$51,MAX(1,$D$37+1-$D$36)):INDEX($D$51:$AD$51,$D$37)),_xlfn.AGGREGATE(4,6,INDEX($D$52:$AD$52,MAX(1,$D$37+1-$D$36)):INDEX($D$52:$AD$52,$D$37))))</f>
        <v>0</v>
      </c>
      <c r="BF74" s="5">
        <f>IF(BF$39=0,NA(),MAX(1,_xlfn.AGGREGATE(4,6,INDEX($D$51:$AD$51,MAX(1,$D$37+1-$D$36)):INDEX($D$51:$AD$51,$D$37)),_xlfn.AGGREGATE(4,6,INDEX($D$52:$AD$52,MAX(1,$D$37+1-$D$36)):INDEX($D$52:$AD$52,$D$37))))</f>
        <v>0</v>
      </c>
      <c r="BG74" s="5">
        <f>IF(BG$39=0,NA(),MAX(1,_xlfn.AGGREGATE(4,6,INDEX($D$51:$AD$51,MAX(1,$D$37+1-$D$36)):INDEX($D$51:$AD$51,$D$37)),_xlfn.AGGREGATE(4,6,INDEX($D$52:$AD$52,MAX(1,$D$37+1-$D$36)):INDEX($D$52:$AD$52,$D$37))))</f>
        <v>0</v>
      </c>
      <c r="BH74" s="5">
        <f>IF(BH$39=0,NA(),MAX(1,_xlfn.AGGREGATE(4,6,INDEX($D$51:$AD$51,MAX(1,$D$37+1-$D$36)):INDEX($D$51:$AD$51,$D$37)),_xlfn.AGGREGATE(4,6,INDEX($D$52:$AD$52,MAX(1,$D$37+1-$D$36)):INDEX($D$52:$AD$52,$D$37))))</f>
        <v>0</v>
      </c>
      <c r="BI74" s="5">
        <f>IF(BI$39=0,NA(),MAX(1,_xlfn.AGGREGATE(4,6,INDEX($D$51:$AD$51,MAX(1,$D$37+1-$D$36)):INDEX($D$51:$AD$51,$D$37)),_xlfn.AGGREGATE(4,6,INDEX($D$52:$AD$52,MAX(1,$D$37+1-$D$36)):INDEX($D$52:$AD$52,$D$37))))</f>
        <v>0</v>
      </c>
      <c r="BJ74" s="5">
        <f>IF(BJ$39=0,NA(),MAX(1,_xlfn.AGGREGATE(4,6,INDEX($D$51:$AD$51,MAX(1,$D$37+1-$D$36)):INDEX($D$51:$AD$51,$D$37)),_xlfn.AGGREGATE(4,6,INDEX($D$52:$AD$52,MAX(1,$D$37+1-$D$36)):INDEX($D$52:$AD$52,$D$37))))</f>
        <v>0</v>
      </c>
      <c r="BK74" s="5">
        <f>IF(BK$39=0,NA(),MAX(1,_xlfn.AGGREGATE(4,6,INDEX($D$51:$AD$51,MAX(1,$D$37+1-$D$36)):INDEX($D$51:$AD$51,$D$37)),_xlfn.AGGREGATE(4,6,INDEX($D$52:$AD$52,MAX(1,$D$37+1-$D$36)):INDEX($D$52:$AD$52,$D$37))))</f>
        <v>0</v>
      </c>
      <c r="BL74" s="5">
        <f>IF(BL$39=0,NA(),MAX(1,_xlfn.AGGREGATE(4,6,INDEX($D$51:$AD$51,MAX(1,$D$37+1-$D$36)):INDEX($D$51:$AD$51,$D$37)),_xlfn.AGGREGATE(4,6,INDEX($D$52:$AD$52,MAX(1,$D$37+1-$D$36)):INDEX($D$52:$AD$52,$D$37))))</f>
        <v>0</v>
      </c>
      <c r="BM74" s="5">
        <f>IF(BM$39=0,NA(),MAX(1,_xlfn.AGGREGATE(4,6,INDEX($D$51:$AD$51,MAX(1,$D$37+1-$D$36)):INDEX($D$51:$AD$51,$D$37)),_xlfn.AGGREGATE(4,6,INDEX($D$52:$AD$52,MAX(1,$D$37+1-$D$36)):INDEX($D$52:$AD$52,$D$37))))</f>
        <v>0</v>
      </c>
      <c r="BN74" s="5">
        <f>IF(BN$39=0,NA(),MAX(1,_xlfn.AGGREGATE(4,6,INDEX($D$51:$AD$51,MAX(1,$D$37+1-$D$36)):INDEX($D$51:$AD$51,$D$37)),_xlfn.AGGREGATE(4,6,INDEX($D$52:$AD$52,MAX(1,$D$37+1-$D$36)):INDEX($D$52:$AD$52,$D$37))))</f>
        <v>0</v>
      </c>
      <c r="BO74" s="5">
        <f>IF(BO$39=0,NA(),MAX(1,_xlfn.AGGREGATE(4,6,INDEX($D$51:$AD$51,MAX(1,$D$37+1-$D$36)):INDEX($D$51:$AD$51,$D$37)),_xlfn.AGGREGATE(4,6,INDEX($D$52:$AD$52,MAX(1,$D$37+1-$D$36)):INDEX($D$52:$AD$52,$D$37))))</f>
        <v>0</v>
      </c>
      <c r="BP74" s="5">
        <f>IF(BP$39=0,NA(),MAX(1,_xlfn.AGGREGATE(4,6,INDEX($D$51:$AD$51,MAX(1,$D$37+1-$D$36)):INDEX($D$51:$AD$51,$D$37)),_xlfn.AGGREGATE(4,6,INDEX($D$52:$AD$52,MAX(1,$D$37+1-$D$36)):INDEX($D$52:$AD$52,$D$37))))</f>
        <v>0</v>
      </c>
    </row>
    <row r="75" spans="1:68">
      <c r="A75" s="11" t="s">
        <v>213</v>
      </c>
      <c r="B75" s="11" t="s">
        <v>214</v>
      </c>
      <c r="C75" s="3" t="s">
        <v>144</v>
      </c>
      <c r="AQ75" s="5">
        <f>IF(AQ$39=0,NA(),IF(ISNUMBER(INDEX($D$51:$AD$51,AQ$39)),INDEX($D$51:$AD$51,AQ$39)/AQ74,NA()))</f>
        <v>0</v>
      </c>
      <c r="AR75" s="5">
        <f>IF(AR$39=0,NA(),IF(ISNUMBER(INDEX($D$51:$AD$51,AR$39)),INDEX($D$51:$AD$51,AR$39)/AR74,NA()))</f>
        <v>0</v>
      </c>
      <c r="AS75" s="5">
        <f>IF(AS$39=0,NA(),IF(ISNUMBER(INDEX($D$51:$AD$51,AS$39)),INDEX($D$51:$AD$51,AS$39)/AS74,NA()))</f>
        <v>0</v>
      </c>
      <c r="AT75" s="5">
        <f>IF(AT$39=0,NA(),IF(ISNUMBER(INDEX($D$51:$AD$51,AT$39)),INDEX($D$51:$AD$51,AT$39)/AT74,NA()))</f>
        <v>0</v>
      </c>
      <c r="AU75" s="5">
        <f>IF(AU$39=0,NA(),IF(ISNUMBER(INDEX($D$51:$AD$51,AU$39)),INDEX($D$51:$AD$51,AU$39)/AU74,NA()))</f>
        <v>0</v>
      </c>
      <c r="AV75" s="5">
        <f>IF(AV$39=0,NA(),IF(ISNUMBER(INDEX($D$51:$AD$51,AV$39)),INDEX($D$51:$AD$51,AV$39)/AV74,NA()))</f>
        <v>0</v>
      </c>
      <c r="AW75" s="5">
        <f>IF(AW$39=0,NA(),IF(ISNUMBER(INDEX($D$51:$AD$51,AW$39)),INDEX($D$51:$AD$51,AW$39)/AW74,NA()))</f>
        <v>0</v>
      </c>
      <c r="AX75" s="5">
        <f>IF(AX$39=0,NA(),IF(ISNUMBER(INDEX($D$51:$AD$51,AX$39)),INDEX($D$51:$AD$51,AX$39)/AX74,NA()))</f>
        <v>0</v>
      </c>
      <c r="AY75" s="5">
        <f>IF(AY$39=0,NA(),IF(ISNUMBER(INDEX($D$51:$AD$51,AY$39)),INDEX($D$51:$AD$51,AY$39)/AY74,NA()))</f>
        <v>0</v>
      </c>
      <c r="AZ75" s="5">
        <f>IF(AZ$39=0,NA(),IF(ISNUMBER(INDEX($D$51:$AD$51,AZ$39)),INDEX($D$51:$AD$51,AZ$39)/AZ74,NA()))</f>
        <v>0</v>
      </c>
      <c r="BA75" s="5">
        <f>IF(BA$39=0,NA(),IF(ISNUMBER(INDEX($D$51:$AD$51,BA$39)),INDEX($D$51:$AD$51,BA$39)/BA74,NA()))</f>
        <v>0</v>
      </c>
      <c r="BB75" s="5">
        <f>IF(BB$39=0,NA(),IF(ISNUMBER(INDEX($D$51:$AD$51,BB$39)),INDEX($D$51:$AD$51,BB$39)/BB74,NA()))</f>
        <v>0</v>
      </c>
      <c r="BC75" s="5">
        <f>IF(BC$39=0,NA(),IF(ISNUMBER(INDEX($D$51:$AD$51,BC$39)),INDEX($D$51:$AD$51,BC$39)/BC74,NA()))</f>
        <v>0</v>
      </c>
      <c r="BD75" s="5">
        <f>IF(BD$39=0,NA(),IF(ISNUMBER(INDEX($D$51:$AD$51,BD$39)),INDEX($D$51:$AD$51,BD$39)/BD74,NA()))</f>
        <v>0</v>
      </c>
      <c r="BE75" s="5">
        <f>IF(BE$39=0,NA(),IF(ISNUMBER(INDEX($D$51:$AD$51,BE$39)),INDEX($D$51:$AD$51,BE$39)/BE74,NA()))</f>
        <v>0</v>
      </c>
      <c r="BF75" s="5">
        <f>IF(BF$39=0,NA(),IF(ISNUMBER(INDEX($D$51:$AD$51,BF$39)),INDEX($D$51:$AD$51,BF$39)/BF74,NA()))</f>
        <v>0</v>
      </c>
      <c r="BG75" s="5">
        <f>IF(BG$39=0,NA(),IF(ISNUMBER(INDEX($D$51:$AD$51,BG$39)),INDEX($D$51:$AD$51,BG$39)/BG74,NA()))</f>
        <v>0</v>
      </c>
      <c r="BH75" s="5">
        <f>IF(BH$39=0,NA(),IF(ISNUMBER(INDEX($D$51:$AD$51,BH$39)),INDEX($D$51:$AD$51,BH$39)/BH74,NA()))</f>
        <v>0</v>
      </c>
      <c r="BI75" s="5">
        <f>IF(BI$39=0,NA(),IF(ISNUMBER(INDEX($D$51:$AD$51,BI$39)),INDEX($D$51:$AD$51,BI$39)/BI74,NA()))</f>
        <v>0</v>
      </c>
      <c r="BJ75" s="5">
        <f>IF(BJ$39=0,NA(),IF(ISNUMBER(INDEX($D$51:$AD$51,BJ$39)),INDEX($D$51:$AD$51,BJ$39)/BJ74,NA()))</f>
        <v>0</v>
      </c>
      <c r="BK75" s="5">
        <f>IF(BK$39=0,NA(),IF(ISNUMBER(INDEX($D$51:$AD$51,BK$39)),INDEX($D$51:$AD$51,BK$39)/BK74,NA()))</f>
        <v>0</v>
      </c>
      <c r="BL75" s="5">
        <f>IF(BL$39=0,NA(),IF(ISNUMBER(INDEX($D$51:$AD$51,BL$39)),INDEX($D$51:$AD$51,BL$39)/BL74,NA()))</f>
        <v>0</v>
      </c>
      <c r="BM75" s="5">
        <f>IF(BM$39=0,NA(),IF(ISNUMBER(INDEX($D$51:$AD$51,BM$39)),INDEX($D$51:$AD$51,BM$39)/BM74,NA()))</f>
        <v>0</v>
      </c>
      <c r="BN75" s="5">
        <f>IF(BN$39=0,NA(),IF(ISNUMBER(INDEX($D$51:$AD$51,BN$39)),INDEX($D$51:$AD$51,BN$39)/BN74,NA()))</f>
        <v>0</v>
      </c>
      <c r="BO75" s="5">
        <f>IF(BO$39=0,NA(),IF(ISNUMBER(INDEX($D$51:$AD$51,BO$39)),INDEX($D$51:$AD$51,BO$39)/BO74,NA()))</f>
        <v>0</v>
      </c>
      <c r="BP75" s="5">
        <f>IF(BP$39=0,NA(),IF(ISNUMBER(INDEX($D$51:$AD$51,BP$39)),INDEX($D$51:$AD$51,BP$39)/BP74,NA()))</f>
        <v>0</v>
      </c>
    </row>
    <row r="76" spans="1:68">
      <c r="A76" s="11" t="s">
        <v>215</v>
      </c>
      <c r="B76" s="11" t="s">
        <v>216</v>
      </c>
      <c r="C76" s="3" t="s">
        <v>144</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217</v>
      </c>
      <c r="B77" s="11" t="s">
        <v>218</v>
      </c>
      <c r="C77" s="3" t="s">
        <v>144</v>
      </c>
      <c r="AQ77" s="5">
        <f>IF(AQ$39=0,NA(),IF(ISNUMBER(INDEX($D$52:$AD$52,AQ$39)),INDEX($D$52:$AD$52,AQ$39)/AQ74,NA()))</f>
        <v>0</v>
      </c>
      <c r="AR77" s="5">
        <f>IF(AR$39=0,NA(),IF(ISNUMBER(INDEX($D$52:$AD$52,AR$39)),INDEX($D$52:$AD$52,AR$39)/AR74,NA()))</f>
        <v>0</v>
      </c>
      <c r="AS77" s="5">
        <f>IF(AS$39=0,NA(),IF(ISNUMBER(INDEX($D$52:$AD$52,AS$39)),INDEX($D$52:$AD$52,AS$39)/AS74,NA()))</f>
        <v>0</v>
      </c>
      <c r="AT77" s="5">
        <f>IF(AT$39=0,NA(),IF(ISNUMBER(INDEX($D$52:$AD$52,AT$39)),INDEX($D$52:$AD$52,AT$39)/AT74,NA()))</f>
        <v>0</v>
      </c>
      <c r="AU77" s="5">
        <f>IF(AU$39=0,NA(),IF(ISNUMBER(INDEX($D$52:$AD$52,AU$39)),INDEX($D$52:$AD$52,AU$39)/AU74,NA()))</f>
        <v>0</v>
      </c>
      <c r="AV77" s="5">
        <f>IF(AV$39=0,NA(),IF(ISNUMBER(INDEX($D$52:$AD$52,AV$39)),INDEX($D$52:$AD$52,AV$39)/AV74,NA()))</f>
        <v>0</v>
      </c>
      <c r="AW77" s="5">
        <f>IF(AW$39=0,NA(),IF(ISNUMBER(INDEX($D$52:$AD$52,AW$39)),INDEX($D$52:$AD$52,AW$39)/AW74,NA()))</f>
        <v>0</v>
      </c>
      <c r="AX77" s="5">
        <f>IF(AX$39=0,NA(),IF(ISNUMBER(INDEX($D$52:$AD$52,AX$39)),INDEX($D$52:$AD$52,AX$39)/AX74,NA()))</f>
        <v>0</v>
      </c>
      <c r="AY77" s="5">
        <f>IF(AY$39=0,NA(),IF(ISNUMBER(INDEX($D$52:$AD$52,AY$39)),INDEX($D$52:$AD$52,AY$39)/AY74,NA()))</f>
        <v>0</v>
      </c>
      <c r="AZ77" s="5">
        <f>IF(AZ$39=0,NA(),IF(ISNUMBER(INDEX($D$52:$AD$52,AZ$39)),INDEX($D$52:$AD$52,AZ$39)/AZ74,NA()))</f>
        <v>0</v>
      </c>
      <c r="BA77" s="5">
        <f>IF(BA$39=0,NA(),IF(ISNUMBER(INDEX($D$52:$AD$52,BA$39)),INDEX($D$52:$AD$52,BA$39)/BA74,NA()))</f>
        <v>0</v>
      </c>
      <c r="BB77" s="5">
        <f>IF(BB$39=0,NA(),IF(ISNUMBER(INDEX($D$52:$AD$52,BB$39)),INDEX($D$52:$AD$52,BB$39)/BB74,NA()))</f>
        <v>0</v>
      </c>
      <c r="BC77" s="5">
        <f>IF(BC$39=0,NA(),IF(ISNUMBER(INDEX($D$52:$AD$52,BC$39)),INDEX($D$52:$AD$52,BC$39)/BC74,NA()))</f>
        <v>0</v>
      </c>
      <c r="BD77" s="5">
        <f>IF(BD$39=0,NA(),IF(ISNUMBER(INDEX($D$52:$AD$52,BD$39)),INDEX($D$52:$AD$52,BD$39)/BD74,NA()))</f>
        <v>0</v>
      </c>
      <c r="BE77" s="5">
        <f>IF(BE$39=0,NA(),IF(ISNUMBER(INDEX($D$52:$AD$52,BE$39)),INDEX($D$52:$AD$52,BE$39)/BE74,NA()))</f>
        <v>0</v>
      </c>
      <c r="BF77" s="5">
        <f>IF(BF$39=0,NA(),IF(ISNUMBER(INDEX($D$52:$AD$52,BF$39)),INDEX($D$52:$AD$52,BF$39)/BF74,NA()))</f>
        <v>0</v>
      </c>
      <c r="BG77" s="5">
        <f>IF(BG$39=0,NA(),IF(ISNUMBER(INDEX($D$52:$AD$52,BG$39)),INDEX($D$52:$AD$52,BG$39)/BG74,NA()))</f>
        <v>0</v>
      </c>
      <c r="BH77" s="5">
        <f>IF(BH$39=0,NA(),IF(ISNUMBER(INDEX($D$52:$AD$52,BH$39)),INDEX($D$52:$AD$52,BH$39)/BH74,NA()))</f>
        <v>0</v>
      </c>
      <c r="BI77" s="5">
        <f>IF(BI$39=0,NA(),IF(ISNUMBER(INDEX($D$52:$AD$52,BI$39)),INDEX($D$52:$AD$52,BI$39)/BI74,NA()))</f>
        <v>0</v>
      </c>
      <c r="BJ77" s="5">
        <f>IF(BJ$39=0,NA(),IF(ISNUMBER(INDEX($D$52:$AD$52,BJ$39)),INDEX($D$52:$AD$52,BJ$39)/BJ74,NA()))</f>
        <v>0</v>
      </c>
      <c r="BK77" s="5">
        <f>IF(BK$39=0,NA(),IF(ISNUMBER(INDEX($D$52:$AD$52,BK$39)),INDEX($D$52:$AD$52,BK$39)/BK74,NA()))</f>
        <v>0</v>
      </c>
      <c r="BL77" s="5">
        <f>IF(BL$39=0,NA(),IF(ISNUMBER(INDEX($D$52:$AD$52,BL$39)),INDEX($D$52:$AD$52,BL$39)/BL74,NA()))</f>
        <v>0</v>
      </c>
      <c r="BM77" s="5">
        <f>IF(BM$39=0,NA(),IF(ISNUMBER(INDEX($D$52:$AD$52,BM$39)),INDEX($D$52:$AD$52,BM$39)/BM74,NA()))</f>
        <v>0</v>
      </c>
      <c r="BN77" s="5">
        <f>IF(BN$39=0,NA(),IF(ISNUMBER(INDEX($D$52:$AD$52,BN$39)),INDEX($D$52:$AD$52,BN$39)/BN74,NA()))</f>
        <v>0</v>
      </c>
      <c r="BO77" s="5">
        <f>IF(BO$39=0,NA(),IF(ISNUMBER(INDEX($D$52:$AD$52,BO$39)),INDEX($D$52:$AD$52,BO$39)/BO74,NA()))</f>
        <v>0</v>
      </c>
      <c r="BP77" s="5">
        <f>IF(BP$39=0,NA(),IF(ISNUMBER(INDEX($D$52:$AD$52,BP$39)),INDEX($D$52:$AD$52,BP$39)/BP74,NA()))</f>
        <v>0</v>
      </c>
    </row>
    <row r="78" spans="1:68">
      <c r="A78" s="11" t="s">
        <v>219</v>
      </c>
      <c r="B78" s="11" t="s">
        <v>220</v>
      </c>
      <c r="C78" s="3" t="s">
        <v>144</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221</v>
      </c>
      <c r="B79" s="11" t="s">
        <v>222</v>
      </c>
      <c r="C79" s="3" t="s">
        <v>144</v>
      </c>
      <c r="AQ79" s="5">
        <f>IF(AQ$39=0,NA(),IF(ISNUMBER(INDEX($D$51:$AD$51,AQ$39)),IF(AND(AQ75&gt;=IFERROR(AQ77,-9),AQ75-IFERROR(AQ77,-9)&lt;0.28261),AQ77+0.28261,AQ75),NA()))</f>
        <v>0</v>
      </c>
      <c r="AR79" s="5">
        <f>IF(AR$39=0,NA(),IF(ISNUMBER(INDEX($D$51:$AD$51,AR$39)),IF(AND(AR75&gt;=IFERROR(AR77,-9),AR75-IFERROR(AR77,-9)&lt;0.28261),AR77+0.28261,AR75),NA()))</f>
        <v>0</v>
      </c>
      <c r="AS79" s="5">
        <f>IF(AS$39=0,NA(),IF(ISNUMBER(INDEX($D$51:$AD$51,AS$39)),IF(AND(AS75&gt;=IFERROR(AS77,-9),AS75-IFERROR(AS77,-9)&lt;0.28261),AS77+0.28261,AS75),NA()))</f>
        <v>0</v>
      </c>
      <c r="AT79" s="5">
        <f>IF(AT$39=0,NA(),IF(ISNUMBER(INDEX($D$51:$AD$51,AT$39)),IF(AND(AT75&gt;=IFERROR(AT77,-9),AT75-IFERROR(AT77,-9)&lt;0.28261),AT77+0.28261,AT75),NA()))</f>
        <v>0</v>
      </c>
      <c r="AU79" s="5">
        <f>IF(AU$39=0,NA(),IF(ISNUMBER(INDEX($D$51:$AD$51,AU$39)),IF(AND(AU75&gt;=IFERROR(AU77,-9),AU75-IFERROR(AU77,-9)&lt;0.28261),AU77+0.28261,AU75),NA()))</f>
        <v>0</v>
      </c>
      <c r="AV79" s="5">
        <f>IF(AV$39=0,NA(),IF(ISNUMBER(INDEX($D$51:$AD$51,AV$39)),IF(AND(AV75&gt;=IFERROR(AV77,-9),AV75-IFERROR(AV77,-9)&lt;0.28261),AV77+0.28261,AV75),NA()))</f>
        <v>0</v>
      </c>
      <c r="AW79" s="5">
        <f>IF(AW$39=0,NA(),IF(ISNUMBER(INDEX($D$51:$AD$51,AW$39)),IF(AND(AW75&gt;=IFERROR(AW77,-9),AW75-IFERROR(AW77,-9)&lt;0.28261),AW77+0.28261,AW75),NA()))</f>
        <v>0</v>
      </c>
      <c r="AX79" s="5">
        <f>IF(AX$39=0,NA(),IF(ISNUMBER(INDEX($D$51:$AD$51,AX$39)),IF(AND(AX75&gt;=IFERROR(AX77,-9),AX75-IFERROR(AX77,-9)&lt;0.28261),AX77+0.28261,AX75),NA()))</f>
        <v>0</v>
      </c>
      <c r="AY79" s="5">
        <f>IF(AY$39=0,NA(),IF(ISNUMBER(INDEX($D$51:$AD$51,AY$39)),IF(AND(AY75&gt;=IFERROR(AY77,-9),AY75-IFERROR(AY77,-9)&lt;0.28261),AY77+0.28261,AY75),NA()))</f>
        <v>0</v>
      </c>
      <c r="AZ79" s="5">
        <f>IF(AZ$39=0,NA(),IF(ISNUMBER(INDEX($D$51:$AD$51,AZ$39)),IF(AND(AZ75&gt;=IFERROR(AZ77,-9),AZ75-IFERROR(AZ77,-9)&lt;0.28261),AZ77+0.28261,AZ75),NA()))</f>
        <v>0</v>
      </c>
      <c r="BA79" s="5">
        <f>IF(BA$39=0,NA(),IF(ISNUMBER(INDEX($D$51:$AD$51,BA$39)),IF(AND(BA75&gt;=IFERROR(BA77,-9),BA75-IFERROR(BA77,-9)&lt;0.28261),BA77+0.28261,BA75),NA()))</f>
        <v>0</v>
      </c>
      <c r="BB79" s="5">
        <f>IF(BB$39=0,NA(),IF(ISNUMBER(INDEX($D$51:$AD$51,BB$39)),IF(AND(BB75&gt;=IFERROR(BB77,-9),BB75-IFERROR(BB77,-9)&lt;0.28261),BB77+0.28261,BB75),NA()))</f>
        <v>0</v>
      </c>
      <c r="BC79" s="5">
        <f>IF(BC$39=0,NA(),IF(ISNUMBER(INDEX($D$51:$AD$51,BC$39)),IF(AND(BC75&gt;=IFERROR(BC77,-9),BC75-IFERROR(BC77,-9)&lt;0.28261),BC77+0.28261,BC75),NA()))</f>
        <v>0</v>
      </c>
      <c r="BD79" s="5">
        <f>IF(BD$39=0,NA(),IF(ISNUMBER(INDEX($D$51:$AD$51,BD$39)),IF(AND(BD75&gt;=IFERROR(BD77,-9),BD75-IFERROR(BD77,-9)&lt;0.28261),BD77+0.28261,BD75),NA()))</f>
        <v>0</v>
      </c>
      <c r="BE79" s="5">
        <f>IF(BE$39=0,NA(),IF(ISNUMBER(INDEX($D$51:$AD$51,BE$39)),IF(AND(BE75&gt;=IFERROR(BE77,-9),BE75-IFERROR(BE77,-9)&lt;0.28261),BE77+0.28261,BE75),NA()))</f>
        <v>0</v>
      </c>
      <c r="BF79" s="5">
        <f>IF(BF$39=0,NA(),IF(ISNUMBER(INDEX($D$51:$AD$51,BF$39)),IF(AND(BF75&gt;=IFERROR(BF77,-9),BF75-IFERROR(BF77,-9)&lt;0.28261),BF77+0.28261,BF75),NA()))</f>
        <v>0</v>
      </c>
      <c r="BG79" s="5">
        <f>IF(BG$39=0,NA(),IF(ISNUMBER(INDEX($D$51:$AD$51,BG$39)),IF(AND(BG75&gt;=IFERROR(BG77,-9),BG75-IFERROR(BG77,-9)&lt;0.28261),BG77+0.28261,BG75),NA()))</f>
        <v>0</v>
      </c>
      <c r="BH79" s="5">
        <f>IF(BH$39=0,NA(),IF(ISNUMBER(INDEX($D$51:$AD$51,BH$39)),IF(AND(BH75&gt;=IFERROR(BH77,-9),BH75-IFERROR(BH77,-9)&lt;0.28261),BH77+0.28261,BH75),NA()))</f>
        <v>0</v>
      </c>
      <c r="BI79" s="5">
        <f>IF(BI$39=0,NA(),IF(ISNUMBER(INDEX($D$51:$AD$51,BI$39)),IF(AND(BI75&gt;=IFERROR(BI77,-9),BI75-IFERROR(BI77,-9)&lt;0.28261),BI77+0.28261,BI75),NA()))</f>
        <v>0</v>
      </c>
      <c r="BJ79" s="5">
        <f>IF(BJ$39=0,NA(),IF(ISNUMBER(INDEX($D$51:$AD$51,BJ$39)),IF(AND(BJ75&gt;=IFERROR(BJ77,-9),BJ75-IFERROR(BJ77,-9)&lt;0.28261),BJ77+0.28261,BJ75),NA()))</f>
        <v>0</v>
      </c>
      <c r="BK79" s="5">
        <f>IF(BK$39=0,NA(),IF(ISNUMBER(INDEX($D$51:$AD$51,BK$39)),IF(AND(BK75&gt;=IFERROR(BK77,-9),BK75-IFERROR(BK77,-9)&lt;0.28261),BK77+0.28261,BK75),NA()))</f>
        <v>0</v>
      </c>
      <c r="BL79" s="5">
        <f>IF(BL$39=0,NA(),IF(ISNUMBER(INDEX($D$51:$AD$51,BL$39)),IF(AND(BL75&gt;=IFERROR(BL77,-9),BL75-IFERROR(BL77,-9)&lt;0.28261),BL77+0.28261,BL75),NA()))</f>
        <v>0</v>
      </c>
      <c r="BM79" s="5">
        <f>IF(BM$39=0,NA(),IF(ISNUMBER(INDEX($D$51:$AD$51,BM$39)),IF(AND(BM75&gt;=IFERROR(BM77,-9),BM75-IFERROR(BM77,-9)&lt;0.28261),BM77+0.28261,BM75),NA()))</f>
        <v>0</v>
      </c>
      <c r="BN79" s="5">
        <f>IF(BN$39=0,NA(),IF(ISNUMBER(INDEX($D$51:$AD$51,BN$39)),IF(AND(BN75&gt;=IFERROR(BN77,-9),BN75-IFERROR(BN77,-9)&lt;0.28261),BN77+0.28261,BN75),NA()))</f>
        <v>0</v>
      </c>
      <c r="BO79" s="5">
        <f>IF(BO$39=0,NA(),IF(ISNUMBER(INDEX($D$51:$AD$51,BO$39)),IF(AND(BO75&gt;=IFERROR(BO77,-9),BO75-IFERROR(BO77,-9)&lt;0.28261),BO77+0.28261,BO75),NA()))</f>
        <v>0</v>
      </c>
      <c r="BP79" s="5">
        <f>IF(BP$39=0,NA(),IF(ISNUMBER(INDEX($D$51:$AD$51,BP$39)),IF(AND(BP75&gt;=IFERROR(BP77,-9),BP75-IFERROR(BP77,-9)&lt;0.28261),BP77+0.28261,BP75),NA()))</f>
        <v>0</v>
      </c>
    </row>
    <row r="80" spans="1:68">
      <c r="A80" s="11" t="s">
        <v>223</v>
      </c>
      <c r="B80" s="11" t="s">
        <v>224</v>
      </c>
      <c r="C80" s="3" t="s">
        <v>144</v>
      </c>
      <c r="AQ80" s="5">
        <f>IF(AQ$39=0,NA(),IF(ISNUMBER(INDEX($D$52:$AD$52,AQ$39)),IF(AND(AQ77&gt;IFERROR(AQ75,-9),AQ77-IFERROR(AQ75,-9)&lt;0.28261),AQ75+0.28261,AQ77),NA()))</f>
        <v>0</v>
      </c>
      <c r="AR80" s="5">
        <f>IF(AR$39=0,NA(),IF(ISNUMBER(INDEX($D$52:$AD$52,AR$39)),IF(AND(AR77&gt;IFERROR(AR75,-9),AR77-IFERROR(AR75,-9)&lt;0.28261),AR75+0.28261,AR77),NA()))</f>
        <v>0</v>
      </c>
      <c r="AS80" s="5">
        <f>IF(AS$39=0,NA(),IF(ISNUMBER(INDEX($D$52:$AD$52,AS$39)),IF(AND(AS77&gt;IFERROR(AS75,-9),AS77-IFERROR(AS75,-9)&lt;0.28261),AS75+0.28261,AS77),NA()))</f>
        <v>0</v>
      </c>
      <c r="AT80" s="5">
        <f>IF(AT$39=0,NA(),IF(ISNUMBER(INDEX($D$52:$AD$52,AT$39)),IF(AND(AT77&gt;IFERROR(AT75,-9),AT77-IFERROR(AT75,-9)&lt;0.28261),AT75+0.28261,AT77),NA()))</f>
        <v>0</v>
      </c>
      <c r="AU80" s="5">
        <f>IF(AU$39=0,NA(),IF(ISNUMBER(INDEX($D$52:$AD$52,AU$39)),IF(AND(AU77&gt;IFERROR(AU75,-9),AU77-IFERROR(AU75,-9)&lt;0.28261),AU75+0.28261,AU77),NA()))</f>
        <v>0</v>
      </c>
      <c r="AV80" s="5">
        <f>IF(AV$39=0,NA(),IF(ISNUMBER(INDEX($D$52:$AD$52,AV$39)),IF(AND(AV77&gt;IFERROR(AV75,-9),AV77-IFERROR(AV75,-9)&lt;0.28261),AV75+0.28261,AV77),NA()))</f>
        <v>0</v>
      </c>
      <c r="AW80" s="5">
        <f>IF(AW$39=0,NA(),IF(ISNUMBER(INDEX($D$52:$AD$52,AW$39)),IF(AND(AW77&gt;IFERROR(AW75,-9),AW77-IFERROR(AW75,-9)&lt;0.28261),AW75+0.28261,AW77),NA()))</f>
        <v>0</v>
      </c>
      <c r="AX80" s="5">
        <f>IF(AX$39=0,NA(),IF(ISNUMBER(INDEX($D$52:$AD$52,AX$39)),IF(AND(AX77&gt;IFERROR(AX75,-9),AX77-IFERROR(AX75,-9)&lt;0.28261),AX75+0.28261,AX77),NA()))</f>
        <v>0</v>
      </c>
      <c r="AY80" s="5">
        <f>IF(AY$39=0,NA(),IF(ISNUMBER(INDEX($D$52:$AD$52,AY$39)),IF(AND(AY77&gt;IFERROR(AY75,-9),AY77-IFERROR(AY75,-9)&lt;0.28261),AY75+0.28261,AY77),NA()))</f>
        <v>0</v>
      </c>
      <c r="AZ80" s="5">
        <f>IF(AZ$39=0,NA(),IF(ISNUMBER(INDEX($D$52:$AD$52,AZ$39)),IF(AND(AZ77&gt;IFERROR(AZ75,-9),AZ77-IFERROR(AZ75,-9)&lt;0.28261),AZ75+0.28261,AZ77),NA()))</f>
        <v>0</v>
      </c>
      <c r="BA80" s="5">
        <f>IF(BA$39=0,NA(),IF(ISNUMBER(INDEX($D$52:$AD$52,BA$39)),IF(AND(BA77&gt;IFERROR(BA75,-9),BA77-IFERROR(BA75,-9)&lt;0.28261),BA75+0.28261,BA77),NA()))</f>
        <v>0</v>
      </c>
      <c r="BB80" s="5">
        <f>IF(BB$39=0,NA(),IF(ISNUMBER(INDEX($D$52:$AD$52,BB$39)),IF(AND(BB77&gt;IFERROR(BB75,-9),BB77-IFERROR(BB75,-9)&lt;0.28261),BB75+0.28261,BB77),NA()))</f>
        <v>0</v>
      </c>
      <c r="BC80" s="5">
        <f>IF(BC$39=0,NA(),IF(ISNUMBER(INDEX($D$52:$AD$52,BC$39)),IF(AND(BC77&gt;IFERROR(BC75,-9),BC77-IFERROR(BC75,-9)&lt;0.28261),BC75+0.28261,BC77),NA()))</f>
        <v>0</v>
      </c>
      <c r="BD80" s="5">
        <f>IF(BD$39=0,NA(),IF(ISNUMBER(INDEX($D$52:$AD$52,BD$39)),IF(AND(BD77&gt;IFERROR(BD75,-9),BD77-IFERROR(BD75,-9)&lt;0.28261),BD75+0.28261,BD77),NA()))</f>
        <v>0</v>
      </c>
      <c r="BE80" s="5">
        <f>IF(BE$39=0,NA(),IF(ISNUMBER(INDEX($D$52:$AD$52,BE$39)),IF(AND(BE77&gt;IFERROR(BE75,-9),BE77-IFERROR(BE75,-9)&lt;0.28261),BE75+0.28261,BE77),NA()))</f>
        <v>0</v>
      </c>
      <c r="BF80" s="5">
        <f>IF(BF$39=0,NA(),IF(ISNUMBER(INDEX($D$52:$AD$52,BF$39)),IF(AND(BF77&gt;IFERROR(BF75,-9),BF77-IFERROR(BF75,-9)&lt;0.28261),BF75+0.28261,BF77),NA()))</f>
        <v>0</v>
      </c>
      <c r="BG80" s="5">
        <f>IF(BG$39=0,NA(),IF(ISNUMBER(INDEX($D$52:$AD$52,BG$39)),IF(AND(BG77&gt;IFERROR(BG75,-9),BG77-IFERROR(BG75,-9)&lt;0.28261),BG75+0.28261,BG77),NA()))</f>
        <v>0</v>
      </c>
      <c r="BH80" s="5">
        <f>IF(BH$39=0,NA(),IF(ISNUMBER(INDEX($D$52:$AD$52,BH$39)),IF(AND(BH77&gt;IFERROR(BH75,-9),BH77-IFERROR(BH75,-9)&lt;0.28261),BH75+0.28261,BH77),NA()))</f>
        <v>0</v>
      </c>
      <c r="BI80" s="5">
        <f>IF(BI$39=0,NA(),IF(ISNUMBER(INDEX($D$52:$AD$52,BI$39)),IF(AND(BI77&gt;IFERROR(BI75,-9),BI77-IFERROR(BI75,-9)&lt;0.28261),BI75+0.28261,BI77),NA()))</f>
        <v>0</v>
      </c>
      <c r="BJ80" s="5">
        <f>IF(BJ$39=0,NA(),IF(ISNUMBER(INDEX($D$52:$AD$52,BJ$39)),IF(AND(BJ77&gt;IFERROR(BJ75,-9),BJ77-IFERROR(BJ75,-9)&lt;0.28261),BJ75+0.28261,BJ77),NA()))</f>
        <v>0</v>
      </c>
      <c r="BK80" s="5">
        <f>IF(BK$39=0,NA(),IF(ISNUMBER(INDEX($D$52:$AD$52,BK$39)),IF(AND(BK77&gt;IFERROR(BK75,-9),BK77-IFERROR(BK75,-9)&lt;0.28261),BK75+0.28261,BK77),NA()))</f>
        <v>0</v>
      </c>
      <c r="BL80" s="5">
        <f>IF(BL$39=0,NA(),IF(ISNUMBER(INDEX($D$52:$AD$52,BL$39)),IF(AND(BL77&gt;IFERROR(BL75,-9),BL77-IFERROR(BL75,-9)&lt;0.28261),BL75+0.28261,BL77),NA()))</f>
        <v>0</v>
      </c>
      <c r="BM80" s="5">
        <f>IF(BM$39=0,NA(),IF(ISNUMBER(INDEX($D$52:$AD$52,BM$39)),IF(AND(BM77&gt;IFERROR(BM75,-9),BM77-IFERROR(BM75,-9)&lt;0.28261),BM75+0.28261,BM77),NA()))</f>
        <v>0</v>
      </c>
      <c r="BN80" s="5">
        <f>IF(BN$39=0,NA(),IF(ISNUMBER(INDEX($D$52:$AD$52,BN$39)),IF(AND(BN77&gt;IFERROR(BN75,-9),BN77-IFERROR(BN75,-9)&lt;0.28261),BN75+0.28261,BN77),NA()))</f>
        <v>0</v>
      </c>
      <c r="BO80" s="5">
        <f>IF(BO$39=0,NA(),IF(ISNUMBER(INDEX($D$52:$AD$52,BO$39)),IF(AND(BO77&gt;IFERROR(BO75,-9),BO77-IFERROR(BO75,-9)&lt;0.28261),BO75+0.28261,BO77),NA()))</f>
        <v>0</v>
      </c>
      <c r="BP80" s="5">
        <f>IF(BP$39=0,NA(),IF(ISNUMBER(INDEX($D$52:$AD$52,BP$39)),IF(AND(BP77&gt;IFERROR(BP75,-9),BP77-IFERROR(BP75,-9)&lt;0.28261),BP75+0.28261,BP77),NA()))</f>
        <v>0</v>
      </c>
    </row>
    <row r="81" spans="1:68">
      <c r="A81" s="11" t="s">
        <v>225</v>
      </c>
      <c r="B81" s="11" t="s">
        <v>226</v>
      </c>
      <c r="C81" s="3" t="s">
        <v>144</v>
      </c>
      <c r="AQ81" s="5">
        <f>IF(AQ$39=0,NA(),IF(ISNUMBER(INDEX($D$54:$AD$54,AQ$39)),IF(ROUND(INDEX($D$54:$AD$54,AQ$39)/1000,1)&gt;0,0.5,NA()),NA()))</f>
        <v>0</v>
      </c>
      <c r="AR81" s="5">
        <f>IF(AR$39=0,NA(),IF(ISNUMBER(INDEX($D$54:$AD$54,AR$39)),IF(ROUND(INDEX($D$54:$AD$54,AR$39)/1000,1)&gt;0,0.5,NA()),NA()))</f>
        <v>0</v>
      </c>
      <c r="AS81" s="5">
        <f>IF(AS$39=0,NA(),IF(ISNUMBER(INDEX($D$54:$AD$54,AS$39)),IF(ROUND(INDEX($D$54:$AD$54,AS$39)/1000,1)&gt;0,0.5,NA()),NA()))</f>
        <v>0</v>
      </c>
      <c r="AT81" s="5">
        <f>IF(AT$39=0,NA(),IF(ISNUMBER(INDEX($D$54:$AD$54,AT$39)),IF(ROUND(INDEX($D$54:$AD$54,AT$39)/1000,1)&gt;0,0.5,NA()),NA()))</f>
        <v>0</v>
      </c>
      <c r="AU81" s="5">
        <f>IF(AU$39=0,NA(),IF(ISNUMBER(INDEX($D$54:$AD$54,AU$39)),IF(ROUND(INDEX($D$54:$AD$54,AU$39)/1000,1)&gt;0,0.5,NA()),NA()))</f>
        <v>0</v>
      </c>
      <c r="AV81" s="5">
        <f>IF(AV$39=0,NA(),IF(ISNUMBER(INDEX($D$54:$AD$54,AV$39)),IF(ROUND(INDEX($D$54:$AD$54,AV$39)/1000,1)&gt;0,0.5,NA()),NA()))</f>
        <v>0</v>
      </c>
      <c r="AW81" s="5">
        <f>IF(AW$39=0,NA(),IF(ISNUMBER(INDEX($D$54:$AD$54,AW$39)),IF(ROUND(INDEX($D$54:$AD$54,AW$39)/1000,1)&gt;0,0.5,NA()),NA()))</f>
        <v>0</v>
      </c>
      <c r="AX81" s="5">
        <f>IF(AX$39=0,NA(),IF(ISNUMBER(INDEX($D$54:$AD$54,AX$39)),IF(ROUND(INDEX($D$54:$AD$54,AX$39)/1000,1)&gt;0,0.5,NA()),NA()))</f>
        <v>0</v>
      </c>
      <c r="AY81" s="5">
        <f>IF(AY$39=0,NA(),IF(ISNUMBER(INDEX($D$54:$AD$54,AY$39)),IF(ROUND(INDEX($D$54:$AD$54,AY$39)/1000,1)&gt;0,0.5,NA()),NA()))</f>
        <v>0</v>
      </c>
      <c r="AZ81" s="5">
        <f>IF(AZ$39=0,NA(),IF(ISNUMBER(INDEX($D$54:$AD$54,AZ$39)),IF(ROUND(INDEX($D$54:$AD$54,AZ$39)/1000,1)&gt;0,0.5,NA()),NA()))</f>
        <v>0</v>
      </c>
      <c r="BA81" s="5">
        <f>IF(BA$39=0,NA(),IF(ISNUMBER(INDEX($D$54:$AD$54,BA$39)),IF(ROUND(INDEX($D$54:$AD$54,BA$39)/1000,1)&gt;0,0.5,NA()),NA()))</f>
        <v>0</v>
      </c>
      <c r="BB81" s="5">
        <f>IF(BB$39=0,NA(),IF(ISNUMBER(INDEX($D$54:$AD$54,BB$39)),IF(ROUND(INDEX($D$54:$AD$54,BB$39)/1000,1)&gt;0,0.5,NA()),NA()))</f>
        <v>0</v>
      </c>
      <c r="BC81" s="5">
        <f>IF(BC$39=0,NA(),IF(ISNUMBER(INDEX($D$54:$AD$54,BC$39)),IF(ROUND(INDEX($D$54:$AD$54,BC$39)/1000,1)&gt;0,0.5,NA()),NA()))</f>
        <v>0</v>
      </c>
      <c r="BD81" s="5">
        <f>IF(BD$39=0,NA(),IF(ISNUMBER(INDEX($D$54:$AD$54,BD$39)),IF(ROUND(INDEX($D$54:$AD$54,BD$39)/1000,1)&gt;0,0.5,NA()),NA()))</f>
        <v>0</v>
      </c>
      <c r="BE81" s="5">
        <f>IF(BE$39=0,NA(),IF(ISNUMBER(INDEX($D$54:$AD$54,BE$39)),IF(ROUND(INDEX($D$54:$AD$54,BE$39)/1000,1)&gt;0,0.5,NA()),NA()))</f>
        <v>0</v>
      </c>
      <c r="BF81" s="5">
        <f>IF(BF$39=0,NA(),IF(ISNUMBER(INDEX($D$54:$AD$54,BF$39)),IF(ROUND(INDEX($D$54:$AD$54,BF$39)/1000,1)&gt;0,0.5,NA()),NA()))</f>
        <v>0</v>
      </c>
      <c r="BG81" s="5">
        <f>IF(BG$39=0,NA(),IF(ISNUMBER(INDEX($D$54:$AD$54,BG$39)),IF(ROUND(INDEX($D$54:$AD$54,BG$39)/1000,1)&gt;0,0.5,NA()),NA()))</f>
        <v>0</v>
      </c>
      <c r="BH81" s="5">
        <f>IF(BH$39=0,NA(),IF(ISNUMBER(INDEX($D$54:$AD$54,BH$39)),IF(ROUND(INDEX($D$54:$AD$54,BH$39)/1000,1)&gt;0,0.5,NA()),NA()))</f>
        <v>0</v>
      </c>
      <c r="BI81" s="5">
        <f>IF(BI$39=0,NA(),IF(ISNUMBER(INDEX($D$54:$AD$54,BI$39)),IF(ROUND(INDEX($D$54:$AD$54,BI$39)/1000,1)&gt;0,0.5,NA()),NA()))</f>
        <v>0</v>
      </c>
      <c r="BJ81" s="5">
        <f>IF(BJ$39=0,NA(),IF(ISNUMBER(INDEX($D$54:$AD$54,BJ$39)),IF(ROUND(INDEX($D$54:$AD$54,BJ$39)/1000,1)&gt;0,0.5,NA()),NA()))</f>
        <v>0</v>
      </c>
      <c r="BK81" s="5">
        <f>IF(BK$39=0,NA(),IF(ISNUMBER(INDEX($D$54:$AD$54,BK$39)),IF(ROUND(INDEX($D$54:$AD$54,BK$39)/1000,1)&gt;0,0.5,NA()),NA()))</f>
        <v>0</v>
      </c>
      <c r="BL81" s="5">
        <f>IF(BL$39=0,NA(),IF(ISNUMBER(INDEX($D$54:$AD$54,BL$39)),IF(ROUND(INDEX($D$54:$AD$54,BL$39)/1000,1)&gt;0,0.5,NA()),NA()))</f>
        <v>0</v>
      </c>
      <c r="BM81" s="5">
        <f>IF(BM$39=0,NA(),IF(ISNUMBER(INDEX($D$54:$AD$54,BM$39)),IF(ROUND(INDEX($D$54:$AD$54,BM$39)/1000,1)&gt;0,0.5,NA()),NA()))</f>
        <v>0</v>
      </c>
      <c r="BN81" s="5">
        <f>IF(BN$39=0,NA(),IF(ISNUMBER(INDEX($D$54:$AD$54,BN$39)),IF(ROUND(INDEX($D$54:$AD$54,BN$39)/1000,1)&gt;0,0.5,NA()),NA()))</f>
        <v>0</v>
      </c>
      <c r="BO81" s="5">
        <f>IF(BO$39=0,NA(),IF(ISNUMBER(INDEX($D$54:$AD$54,BO$39)),IF(ROUND(INDEX($D$54:$AD$54,BO$39)/1000,1)&gt;0,0.5,NA()),NA()))</f>
        <v>0</v>
      </c>
      <c r="BP81" s="5">
        <f>IF(BP$39=0,NA(),IF(ISNUMBER(INDEX($D$54:$AD$54,BP$39)),IF(ROUND(INDEX($D$54:$AD$54,BP$39)/1000,1)&gt;0,0.5,NA()),NA()))</f>
        <v>0</v>
      </c>
    </row>
    <row r="82" spans="1:68">
      <c r="A82" s="11" t="s">
        <v>227</v>
      </c>
      <c r="B82" s="11" t="s">
        <v>228</v>
      </c>
      <c r="C82" s="3" t="s">
        <v>144</v>
      </c>
      <c r="AQ82" s="5">
        <f>IF(AQ$39=0,NA(),IF(ISNUMBER(INDEX($D$54:$AD$54,AQ$39)),IF(ROUND(INDEX($D$54:$AD$54,AQ$39)/1000,1)&lt;0,0.5,NA()),NA()))</f>
        <v>0</v>
      </c>
      <c r="AR82" s="5">
        <f>IF(AR$39=0,NA(),IF(ISNUMBER(INDEX($D$54:$AD$54,AR$39)),IF(ROUND(INDEX($D$54:$AD$54,AR$39)/1000,1)&lt;0,0.5,NA()),NA()))</f>
        <v>0</v>
      </c>
      <c r="AS82" s="5">
        <f>IF(AS$39=0,NA(),IF(ISNUMBER(INDEX($D$54:$AD$54,AS$39)),IF(ROUND(INDEX($D$54:$AD$54,AS$39)/1000,1)&lt;0,0.5,NA()),NA()))</f>
        <v>0</v>
      </c>
      <c r="AT82" s="5">
        <f>IF(AT$39=0,NA(),IF(ISNUMBER(INDEX($D$54:$AD$54,AT$39)),IF(ROUND(INDEX($D$54:$AD$54,AT$39)/1000,1)&lt;0,0.5,NA()),NA()))</f>
        <v>0</v>
      </c>
      <c r="AU82" s="5">
        <f>IF(AU$39=0,NA(),IF(ISNUMBER(INDEX($D$54:$AD$54,AU$39)),IF(ROUND(INDEX($D$54:$AD$54,AU$39)/1000,1)&lt;0,0.5,NA()),NA()))</f>
        <v>0</v>
      </c>
      <c r="AV82" s="5">
        <f>IF(AV$39=0,NA(),IF(ISNUMBER(INDEX($D$54:$AD$54,AV$39)),IF(ROUND(INDEX($D$54:$AD$54,AV$39)/1000,1)&lt;0,0.5,NA()),NA()))</f>
        <v>0</v>
      </c>
      <c r="AW82" s="5">
        <f>IF(AW$39=0,NA(),IF(ISNUMBER(INDEX($D$54:$AD$54,AW$39)),IF(ROUND(INDEX($D$54:$AD$54,AW$39)/1000,1)&lt;0,0.5,NA()),NA()))</f>
        <v>0</v>
      </c>
      <c r="AX82" s="5">
        <f>IF(AX$39=0,NA(),IF(ISNUMBER(INDEX($D$54:$AD$54,AX$39)),IF(ROUND(INDEX($D$54:$AD$54,AX$39)/1000,1)&lt;0,0.5,NA()),NA()))</f>
        <v>0</v>
      </c>
      <c r="AY82" s="5">
        <f>IF(AY$39=0,NA(),IF(ISNUMBER(INDEX($D$54:$AD$54,AY$39)),IF(ROUND(INDEX($D$54:$AD$54,AY$39)/1000,1)&lt;0,0.5,NA()),NA()))</f>
        <v>0</v>
      </c>
      <c r="AZ82" s="5">
        <f>IF(AZ$39=0,NA(),IF(ISNUMBER(INDEX($D$54:$AD$54,AZ$39)),IF(ROUND(INDEX($D$54:$AD$54,AZ$39)/1000,1)&lt;0,0.5,NA()),NA()))</f>
        <v>0</v>
      </c>
      <c r="BA82" s="5">
        <f>IF(BA$39=0,NA(),IF(ISNUMBER(INDEX($D$54:$AD$54,BA$39)),IF(ROUND(INDEX($D$54:$AD$54,BA$39)/1000,1)&lt;0,0.5,NA()),NA()))</f>
        <v>0</v>
      </c>
      <c r="BB82" s="5">
        <f>IF(BB$39=0,NA(),IF(ISNUMBER(INDEX($D$54:$AD$54,BB$39)),IF(ROUND(INDEX($D$54:$AD$54,BB$39)/1000,1)&lt;0,0.5,NA()),NA()))</f>
        <v>0</v>
      </c>
      <c r="BC82" s="5">
        <f>IF(BC$39=0,NA(),IF(ISNUMBER(INDEX($D$54:$AD$54,BC$39)),IF(ROUND(INDEX($D$54:$AD$54,BC$39)/1000,1)&lt;0,0.5,NA()),NA()))</f>
        <v>0</v>
      </c>
      <c r="BD82" s="5">
        <f>IF(BD$39=0,NA(),IF(ISNUMBER(INDEX($D$54:$AD$54,BD$39)),IF(ROUND(INDEX($D$54:$AD$54,BD$39)/1000,1)&lt;0,0.5,NA()),NA()))</f>
        <v>0</v>
      </c>
      <c r="BE82" s="5">
        <f>IF(BE$39=0,NA(),IF(ISNUMBER(INDEX($D$54:$AD$54,BE$39)),IF(ROUND(INDEX($D$54:$AD$54,BE$39)/1000,1)&lt;0,0.5,NA()),NA()))</f>
        <v>0</v>
      </c>
      <c r="BF82" s="5">
        <f>IF(BF$39=0,NA(),IF(ISNUMBER(INDEX($D$54:$AD$54,BF$39)),IF(ROUND(INDEX($D$54:$AD$54,BF$39)/1000,1)&lt;0,0.5,NA()),NA()))</f>
        <v>0</v>
      </c>
      <c r="BG82" s="5">
        <f>IF(BG$39=0,NA(),IF(ISNUMBER(INDEX($D$54:$AD$54,BG$39)),IF(ROUND(INDEX($D$54:$AD$54,BG$39)/1000,1)&lt;0,0.5,NA()),NA()))</f>
        <v>0</v>
      </c>
      <c r="BH82" s="5">
        <f>IF(BH$39=0,NA(),IF(ISNUMBER(INDEX($D$54:$AD$54,BH$39)),IF(ROUND(INDEX($D$54:$AD$54,BH$39)/1000,1)&lt;0,0.5,NA()),NA()))</f>
        <v>0</v>
      </c>
      <c r="BI82" s="5">
        <f>IF(BI$39=0,NA(),IF(ISNUMBER(INDEX($D$54:$AD$54,BI$39)),IF(ROUND(INDEX($D$54:$AD$54,BI$39)/1000,1)&lt;0,0.5,NA()),NA()))</f>
        <v>0</v>
      </c>
      <c r="BJ82" s="5">
        <f>IF(BJ$39=0,NA(),IF(ISNUMBER(INDEX($D$54:$AD$54,BJ$39)),IF(ROUND(INDEX($D$54:$AD$54,BJ$39)/1000,1)&lt;0,0.5,NA()),NA()))</f>
        <v>0</v>
      </c>
      <c r="BK82" s="5">
        <f>IF(BK$39=0,NA(),IF(ISNUMBER(INDEX($D$54:$AD$54,BK$39)),IF(ROUND(INDEX($D$54:$AD$54,BK$39)/1000,1)&lt;0,0.5,NA()),NA()))</f>
        <v>0</v>
      </c>
      <c r="BL82" s="5">
        <f>IF(BL$39=0,NA(),IF(ISNUMBER(INDEX($D$54:$AD$54,BL$39)),IF(ROUND(INDEX($D$54:$AD$54,BL$39)/1000,1)&lt;0,0.5,NA()),NA()))</f>
        <v>0</v>
      </c>
      <c r="BM82" s="5">
        <f>IF(BM$39=0,NA(),IF(ISNUMBER(INDEX($D$54:$AD$54,BM$39)),IF(ROUND(INDEX($D$54:$AD$54,BM$39)/1000,1)&lt;0,0.5,NA()),NA()))</f>
        <v>0</v>
      </c>
      <c r="BN82" s="5">
        <f>IF(BN$39=0,NA(),IF(ISNUMBER(INDEX($D$54:$AD$54,BN$39)),IF(ROUND(INDEX($D$54:$AD$54,BN$39)/1000,1)&lt;0,0.5,NA()),NA()))</f>
        <v>0</v>
      </c>
      <c r="BO82" s="5">
        <f>IF(BO$39=0,NA(),IF(ISNUMBER(INDEX($D$54:$AD$54,BO$39)),IF(ROUND(INDEX($D$54:$AD$54,BO$39)/1000,1)&lt;0,0.5,NA()),NA()))</f>
        <v>0</v>
      </c>
      <c r="BP82" s="5">
        <f>IF(BP$39=0,NA(),IF(ISNUMBER(INDEX($D$54:$AD$54,BP$39)),IF(ROUND(INDEX($D$54:$AD$54,BP$39)/1000,1)&lt;0,0.5,NA()),NA()))</f>
        <v>0</v>
      </c>
    </row>
    <row r="83" spans="1:68">
      <c r="A83" s="11" t="s">
        <v>229</v>
      </c>
      <c r="B83" s="11" t="s">
        <v>230</v>
      </c>
      <c r="C83" s="3" t="s">
        <v>144</v>
      </c>
      <c r="AQ83" s="5">
        <f>IF(AQ$39=0,NA(),IF(ISNUMBER(INDEX($D$54:$AD$54,AQ$39)),IF(ROUND(INDEX($D$54:$AD$54,AQ$39)/1000,1)=0,0.5,NA()),NA()))</f>
        <v>0</v>
      </c>
      <c r="AR83" s="5">
        <f>IF(AR$39=0,NA(),IF(ISNUMBER(INDEX($D$54:$AD$54,AR$39)),IF(ROUND(INDEX($D$54:$AD$54,AR$39)/1000,1)=0,0.5,NA()),NA()))</f>
        <v>0</v>
      </c>
      <c r="AS83" s="5">
        <f>IF(AS$39=0,NA(),IF(ISNUMBER(INDEX($D$54:$AD$54,AS$39)),IF(ROUND(INDEX($D$54:$AD$54,AS$39)/1000,1)=0,0.5,NA()),NA()))</f>
        <v>0</v>
      </c>
      <c r="AT83" s="5">
        <f>IF(AT$39=0,NA(),IF(ISNUMBER(INDEX($D$54:$AD$54,AT$39)),IF(ROUND(INDEX($D$54:$AD$54,AT$39)/1000,1)=0,0.5,NA()),NA()))</f>
        <v>0</v>
      </c>
      <c r="AU83" s="5">
        <f>IF(AU$39=0,NA(),IF(ISNUMBER(INDEX($D$54:$AD$54,AU$39)),IF(ROUND(INDEX($D$54:$AD$54,AU$39)/1000,1)=0,0.5,NA()),NA()))</f>
        <v>0</v>
      </c>
      <c r="AV83" s="5">
        <f>IF(AV$39=0,NA(),IF(ISNUMBER(INDEX($D$54:$AD$54,AV$39)),IF(ROUND(INDEX($D$54:$AD$54,AV$39)/1000,1)=0,0.5,NA()),NA()))</f>
        <v>0</v>
      </c>
      <c r="AW83" s="5">
        <f>IF(AW$39=0,NA(),IF(ISNUMBER(INDEX($D$54:$AD$54,AW$39)),IF(ROUND(INDEX($D$54:$AD$54,AW$39)/1000,1)=0,0.5,NA()),NA()))</f>
        <v>0</v>
      </c>
      <c r="AX83" s="5">
        <f>IF(AX$39=0,NA(),IF(ISNUMBER(INDEX($D$54:$AD$54,AX$39)),IF(ROUND(INDEX($D$54:$AD$54,AX$39)/1000,1)=0,0.5,NA()),NA()))</f>
        <v>0</v>
      </c>
      <c r="AY83" s="5">
        <f>IF(AY$39=0,NA(),IF(ISNUMBER(INDEX($D$54:$AD$54,AY$39)),IF(ROUND(INDEX($D$54:$AD$54,AY$39)/1000,1)=0,0.5,NA()),NA()))</f>
        <v>0</v>
      </c>
      <c r="AZ83" s="5">
        <f>IF(AZ$39=0,NA(),IF(ISNUMBER(INDEX($D$54:$AD$54,AZ$39)),IF(ROUND(INDEX($D$54:$AD$54,AZ$39)/1000,1)=0,0.5,NA()),NA()))</f>
        <v>0</v>
      </c>
      <c r="BA83" s="5">
        <f>IF(BA$39=0,NA(),IF(ISNUMBER(INDEX($D$54:$AD$54,BA$39)),IF(ROUND(INDEX($D$54:$AD$54,BA$39)/1000,1)=0,0.5,NA()),NA()))</f>
        <v>0</v>
      </c>
      <c r="BB83" s="5">
        <f>IF(BB$39=0,NA(),IF(ISNUMBER(INDEX($D$54:$AD$54,BB$39)),IF(ROUND(INDEX($D$54:$AD$54,BB$39)/1000,1)=0,0.5,NA()),NA()))</f>
        <v>0</v>
      </c>
      <c r="BC83" s="5">
        <f>IF(BC$39=0,NA(),IF(ISNUMBER(INDEX($D$54:$AD$54,BC$39)),IF(ROUND(INDEX($D$54:$AD$54,BC$39)/1000,1)=0,0.5,NA()),NA()))</f>
        <v>0</v>
      </c>
      <c r="BD83" s="5">
        <f>IF(BD$39=0,NA(),IF(ISNUMBER(INDEX($D$54:$AD$54,BD$39)),IF(ROUND(INDEX($D$54:$AD$54,BD$39)/1000,1)=0,0.5,NA()),NA()))</f>
        <v>0</v>
      </c>
      <c r="BE83" s="5">
        <f>IF(BE$39=0,NA(),IF(ISNUMBER(INDEX($D$54:$AD$54,BE$39)),IF(ROUND(INDEX($D$54:$AD$54,BE$39)/1000,1)=0,0.5,NA()),NA()))</f>
        <v>0</v>
      </c>
      <c r="BF83" s="5">
        <f>IF(BF$39=0,NA(),IF(ISNUMBER(INDEX($D$54:$AD$54,BF$39)),IF(ROUND(INDEX($D$54:$AD$54,BF$39)/1000,1)=0,0.5,NA()),NA()))</f>
        <v>0</v>
      </c>
      <c r="BG83" s="5">
        <f>IF(BG$39=0,NA(),IF(ISNUMBER(INDEX($D$54:$AD$54,BG$39)),IF(ROUND(INDEX($D$54:$AD$54,BG$39)/1000,1)=0,0.5,NA()),NA()))</f>
        <v>0</v>
      </c>
      <c r="BH83" s="5">
        <f>IF(BH$39=0,NA(),IF(ISNUMBER(INDEX($D$54:$AD$54,BH$39)),IF(ROUND(INDEX($D$54:$AD$54,BH$39)/1000,1)=0,0.5,NA()),NA()))</f>
        <v>0</v>
      </c>
      <c r="BI83" s="5">
        <f>IF(BI$39=0,NA(),IF(ISNUMBER(INDEX($D$54:$AD$54,BI$39)),IF(ROUND(INDEX($D$54:$AD$54,BI$39)/1000,1)=0,0.5,NA()),NA()))</f>
        <v>0</v>
      </c>
      <c r="BJ83" s="5">
        <f>IF(BJ$39=0,NA(),IF(ISNUMBER(INDEX($D$54:$AD$54,BJ$39)),IF(ROUND(INDEX($D$54:$AD$54,BJ$39)/1000,1)=0,0.5,NA()),NA()))</f>
        <v>0</v>
      </c>
      <c r="BK83" s="5">
        <f>IF(BK$39=0,NA(),IF(ISNUMBER(INDEX($D$54:$AD$54,BK$39)),IF(ROUND(INDEX($D$54:$AD$54,BK$39)/1000,1)=0,0.5,NA()),NA()))</f>
        <v>0</v>
      </c>
      <c r="BL83" s="5">
        <f>IF(BL$39=0,NA(),IF(ISNUMBER(INDEX($D$54:$AD$54,BL$39)),IF(ROUND(INDEX($D$54:$AD$54,BL$39)/1000,1)=0,0.5,NA()),NA()))</f>
        <v>0</v>
      </c>
      <c r="BM83" s="5">
        <f>IF(BM$39=0,NA(),IF(ISNUMBER(INDEX($D$54:$AD$54,BM$39)),IF(ROUND(INDEX($D$54:$AD$54,BM$39)/1000,1)=0,0.5,NA()),NA()))</f>
        <v>0</v>
      </c>
      <c r="BN83" s="5">
        <f>IF(BN$39=0,NA(),IF(ISNUMBER(INDEX($D$54:$AD$54,BN$39)),IF(ROUND(INDEX($D$54:$AD$54,BN$39)/1000,1)=0,0.5,NA()),NA()))</f>
        <v>0</v>
      </c>
      <c r="BO83" s="5">
        <f>IF(BO$39=0,NA(),IF(ISNUMBER(INDEX($D$54:$AD$54,BO$39)),IF(ROUND(INDEX($D$54:$AD$54,BO$39)/1000,1)=0,0.5,NA()),NA()))</f>
        <v>0</v>
      </c>
      <c r="BP83" s="5">
        <f>IF(BP$39=0,NA(),IF(ISNUMBER(INDEX($D$54:$AD$54,BP$39)),IF(ROUND(INDEX($D$54:$AD$54,BP$39)/1000,1)=0,0.5,NA()),NA()))</f>
        <v>0</v>
      </c>
    </row>
    <row r="84" spans="1:68">
      <c r="A84" s="11" t="s">
        <v>231</v>
      </c>
      <c r="B84" s="11" t="s">
        <v>232</v>
      </c>
      <c r="C84" s="3" t="s">
        <v>144</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233</v>
      </c>
      <c r="B85" s="11" t="s">
        <v>234</v>
      </c>
      <c r="C85" s="3" t="s">
        <v>134</v>
      </c>
      <c r="D85" s="5">
        <v>10</v>
      </c>
    </row>
    <row r="86" spans="1:68">
      <c r="A86" s="11" t="s">
        <v>235</v>
      </c>
      <c r="B86" s="11" t="s">
        <v>236</v>
      </c>
      <c r="C86" s="3" t="s">
        <v>137</v>
      </c>
      <c r="D86" s="5">
        <f>IF(MAX($D$87:$AD$87)=0,27,MAX($D$87:$AD$87))</f>
        <v>0</v>
      </c>
    </row>
    <row r="87" spans="1:68">
      <c r="A87" s="11" t="s">
        <v>237</v>
      </c>
      <c r="B87" s="11" t="s">
        <v>238</v>
      </c>
      <c r="C87" s="3" t="s">
        <v>137</v>
      </c>
      <c r="D87" s="5">
        <f>IF(OR(ISNUMBER(D102),ISNUMBER(D100),ISNUMBER(D101)),1,0)</f>
        <v>0</v>
      </c>
      <c r="E87" s="5">
        <f>IF(OR(ISNUMBER(E102),ISNUMBER(E100),ISNUMBER(E101)),2,0)</f>
        <v>0</v>
      </c>
      <c r="F87" s="5">
        <f>IF(OR(ISNUMBER(F102),ISNUMBER(F100),ISNUMBER(F101)),3,0)</f>
        <v>0</v>
      </c>
      <c r="G87" s="5">
        <f>IF(OR(ISNUMBER(G102),ISNUMBER(G100),ISNUMBER(G101)),4,0)</f>
        <v>0</v>
      </c>
      <c r="H87" s="5">
        <f>IF(OR(ISNUMBER(H102),ISNUMBER(H100),ISNUMBER(H101)),5,0)</f>
        <v>0</v>
      </c>
      <c r="I87" s="5">
        <f>IF(OR(ISNUMBER(I102),ISNUMBER(I100),ISNUMBER(I101)),6,0)</f>
        <v>0</v>
      </c>
      <c r="J87" s="5">
        <f>IF(OR(ISNUMBER(J102),ISNUMBER(J100),ISNUMBER(J101)),7,0)</f>
        <v>0</v>
      </c>
      <c r="K87" s="5">
        <f>IF(OR(ISNUMBER(K102),ISNUMBER(K100),ISNUMBER(K101)),8,0)</f>
        <v>0</v>
      </c>
      <c r="L87" s="5">
        <f>IF(OR(ISNUMBER(L102),ISNUMBER(L100),ISNUMBER(L101)),9,0)</f>
        <v>0</v>
      </c>
      <c r="M87" s="5">
        <f>IF(OR(ISNUMBER(M102),ISNUMBER(M100),ISNUMBER(M101)),10,0)</f>
        <v>0</v>
      </c>
      <c r="N87" s="5">
        <f>IF(OR(ISNUMBER(N102),ISNUMBER(N100),ISNUMBER(N101)),11,0)</f>
        <v>0</v>
      </c>
      <c r="O87" s="5">
        <f>IF(OR(ISNUMBER(O102),ISNUMBER(O100),ISNUMBER(O101)),12,0)</f>
        <v>0</v>
      </c>
      <c r="P87" s="5">
        <f>IF(OR(ISNUMBER(P102),ISNUMBER(P100),ISNUMBER(P101)),13,0)</f>
        <v>0</v>
      </c>
      <c r="Q87" s="5">
        <f>IF(OR(ISNUMBER(Q102),ISNUMBER(Q100),ISNUMBER(Q101)),14,0)</f>
        <v>0</v>
      </c>
      <c r="R87" s="5">
        <f>IF(OR(ISNUMBER(R102),ISNUMBER(R100),ISNUMBER(R101)),15,0)</f>
        <v>0</v>
      </c>
      <c r="S87" s="5">
        <f>IF(OR(ISNUMBER(S102),ISNUMBER(S100),ISNUMBER(S101)),16,0)</f>
        <v>0</v>
      </c>
      <c r="T87" s="5">
        <f>IF(OR(ISNUMBER(T102),ISNUMBER(T100),ISNUMBER(T101)),17,0)</f>
        <v>0</v>
      </c>
      <c r="U87" s="5">
        <f>IF(OR(ISNUMBER(U102),ISNUMBER(U100),ISNUMBER(U101)),18,0)</f>
        <v>0</v>
      </c>
      <c r="V87" s="5">
        <f>IF(OR(ISNUMBER(V102),ISNUMBER(V100),ISNUMBER(V101)),19,0)</f>
        <v>0</v>
      </c>
      <c r="W87" s="5">
        <f>IF(OR(ISNUMBER(W102),ISNUMBER(W100),ISNUMBER(W101)),20,0)</f>
        <v>0</v>
      </c>
      <c r="X87" s="5">
        <f>IF(OR(ISNUMBER(X102),ISNUMBER(X100),ISNUMBER(X101)),21,0)</f>
        <v>0</v>
      </c>
      <c r="Y87" s="5">
        <f>IF(OR(ISNUMBER(Y102),ISNUMBER(Y100),ISNUMBER(Y101)),22,0)</f>
        <v>0</v>
      </c>
      <c r="Z87" s="5">
        <f>IF(OR(ISNUMBER(Z102),ISNUMBER(Z100),ISNUMBER(Z101)),23,0)</f>
        <v>0</v>
      </c>
      <c r="AA87" s="5">
        <f>IF(OR(ISNUMBER(AA102),ISNUMBER(AA100),ISNUMBER(AA101)),24,0)</f>
        <v>0</v>
      </c>
      <c r="AB87" s="5">
        <f>IF(OR(ISNUMBER(AB102),ISNUMBER(AB100),ISNUMBER(AB101)),25,0)</f>
        <v>0</v>
      </c>
      <c r="AC87" s="5">
        <f>IF(OR(ISNUMBER(AC102),ISNUMBER(AC100),ISNUMBER(AC101)),26,0)</f>
        <v>0</v>
      </c>
      <c r="AD87" s="5">
        <f>IF(OR(ISNUMBER(AD102),ISNUMBER(AD100),ISNUMBER(AD101)),27,0)</f>
        <v>0</v>
      </c>
    </row>
    <row r="88" spans="1:68">
      <c r="A88" s="11" t="s">
        <v>239</v>
      </c>
      <c r="B88" s="11" t="s">
        <v>240</v>
      </c>
      <c r="C88" s="3" t="s">
        <v>137</v>
      </c>
      <c r="AQ88" s="5">
        <f>IF(AND(0&lt;$D$85,($D$86-$D$85+1)&gt;=1),($D$86-$D$85+1),0)</f>
        <v>0</v>
      </c>
      <c r="AR88" s="5">
        <f>IF(AND(1&lt;$D$85,($D$86-$D$85+2)&gt;=1),($D$86-$D$85+2),0)</f>
        <v>0</v>
      </c>
      <c r="AS88" s="5">
        <f>IF(AND(2&lt;$D$85,($D$86-$D$85+3)&gt;=1),($D$86-$D$85+3),0)</f>
        <v>0</v>
      </c>
      <c r="AT88" s="5">
        <f>IF(AND(3&lt;$D$85,($D$86-$D$85+4)&gt;=1),($D$86-$D$85+4),0)</f>
        <v>0</v>
      </c>
      <c r="AU88" s="5">
        <f>IF(AND(4&lt;$D$85,($D$86-$D$85+5)&gt;=1),($D$86-$D$85+5),0)</f>
        <v>0</v>
      </c>
      <c r="AV88" s="5">
        <f>IF(AND(5&lt;$D$85,($D$86-$D$85+6)&gt;=1),($D$86-$D$85+6),0)</f>
        <v>0</v>
      </c>
      <c r="AW88" s="5">
        <f>IF(AND(6&lt;$D$85,($D$86-$D$85+7)&gt;=1),($D$86-$D$85+7),0)</f>
        <v>0</v>
      </c>
      <c r="AX88" s="5">
        <f>IF(AND(7&lt;$D$85,($D$86-$D$85+8)&gt;=1),($D$86-$D$85+8),0)</f>
        <v>0</v>
      </c>
      <c r="AY88" s="5">
        <f>IF(AND(8&lt;$D$85,($D$86-$D$85+9)&gt;=1),($D$86-$D$85+9),0)</f>
        <v>0</v>
      </c>
      <c r="AZ88" s="5">
        <f>IF(AND(9&lt;$D$85,($D$86-$D$85+10)&gt;=1),($D$86-$D$85+10),0)</f>
        <v>0</v>
      </c>
      <c r="BA88" s="5">
        <f>IF(AND(10&lt;$D$85,($D$86-$D$85+11)&gt;=1),($D$86-$D$85+11),0)</f>
        <v>0</v>
      </c>
      <c r="BB88" s="5">
        <f>IF(AND(11&lt;$D$85,($D$86-$D$85+12)&gt;=1),($D$86-$D$85+12),0)</f>
        <v>0</v>
      </c>
      <c r="BC88" s="5">
        <f>IF(AND(12&lt;$D$85,($D$86-$D$85+13)&gt;=1),($D$86-$D$85+13),0)</f>
        <v>0</v>
      </c>
      <c r="BD88" s="5">
        <f>IF(AND(13&lt;$D$85,($D$86-$D$85+14)&gt;=1),($D$86-$D$85+14),0)</f>
        <v>0</v>
      </c>
      <c r="BE88" s="5">
        <f>IF(AND(14&lt;$D$85,($D$86-$D$85+15)&gt;=1),($D$86-$D$85+15),0)</f>
        <v>0</v>
      </c>
      <c r="BF88" s="5">
        <f>IF(AND(15&lt;$D$85,($D$86-$D$85+16)&gt;=1),($D$86-$D$85+16),0)</f>
        <v>0</v>
      </c>
      <c r="BG88" s="5">
        <f>IF(AND(16&lt;$D$85,($D$86-$D$85+17)&gt;=1),($D$86-$D$85+17),0)</f>
        <v>0</v>
      </c>
      <c r="BH88" s="5">
        <f>IF(AND(17&lt;$D$85,($D$86-$D$85+18)&gt;=1),($D$86-$D$85+18),0)</f>
        <v>0</v>
      </c>
      <c r="BI88" s="5">
        <f>IF(AND(18&lt;$D$85,($D$86-$D$85+19)&gt;=1),($D$86-$D$85+19),0)</f>
        <v>0</v>
      </c>
      <c r="BJ88" s="5">
        <f>IF(AND(19&lt;$D$85,($D$86-$D$85+20)&gt;=1),($D$86-$D$85+20),0)</f>
        <v>0</v>
      </c>
      <c r="BK88" s="5">
        <f>IF(AND(20&lt;$D$85,($D$86-$D$85+21)&gt;=1),($D$86-$D$85+21),0)</f>
        <v>0</v>
      </c>
      <c r="BL88" s="5">
        <f>IF(AND(21&lt;$D$85,($D$86-$D$85+22)&gt;=1),($D$86-$D$85+22),0)</f>
        <v>0</v>
      </c>
      <c r="BM88" s="5">
        <f>IF(AND(22&lt;$D$85,($D$86-$D$85+23)&gt;=1),($D$86-$D$85+23),0)</f>
        <v>0</v>
      </c>
      <c r="BN88" s="5">
        <f>IF(AND(23&lt;$D$85,($D$86-$D$85+24)&gt;=1),($D$86-$D$85+24),0)</f>
        <v>0</v>
      </c>
      <c r="BO88" s="5">
        <f>IF(AND(24&lt;$D$85,($D$86-$D$85+25)&gt;=1),($D$86-$D$85+25),0)</f>
        <v>0</v>
      </c>
      <c r="BP88" s="5">
        <f>IF(AND(25&lt;$D$85,($D$86-$D$85+26)&gt;=1),($D$86-$D$85+26),0)</f>
        <v>0</v>
      </c>
    </row>
    <row r="89" spans="1:68">
      <c r="A89" s="11" t="s">
        <v>241</v>
      </c>
      <c r="B89" s="11" t="s">
        <v>242</v>
      </c>
      <c r="C89" s="3" t="s">
        <v>144</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243</v>
      </c>
      <c r="B90" s="11" t="s">
        <v>244</v>
      </c>
      <c r="C90" s="3" t="str">
        <f>"Rohdaten Z. "&amp;ROW(Rohdaten!$A$79)</f>
        <v>Rohdaten Z. 79</v>
      </c>
      <c r="D90" s="5">
        <f>IFERROR(IF(ISNUMBER(INDEX(Rohdaten!$A$79:$LJ$79,MATCH(D$4,RD_Kopf,0))),INDEX(Rohdaten!$A$79:$LJ$79,MATCH(D$4,RD_Kopf,0)),NA()),NA())</f>
        <v>0</v>
      </c>
      <c r="E90" s="5">
        <f>IFERROR(IF(ISNUMBER(INDEX(Rohdaten!$A$79:$LJ$79,MATCH(E$4,RD_Kopf,0))),INDEX(Rohdaten!$A$79:$LJ$79,MATCH(E$4,RD_Kopf,0)),NA()),NA())</f>
        <v>0</v>
      </c>
      <c r="F90" s="5">
        <f>IFERROR(IF(ISNUMBER(INDEX(Rohdaten!$A$79:$LJ$79,MATCH(F$4,RD_Kopf,0))),INDEX(Rohdaten!$A$79:$LJ$79,MATCH(F$4,RD_Kopf,0)),NA()),NA())</f>
        <v>0</v>
      </c>
      <c r="G90" s="5">
        <f>IFERROR(IF(ISNUMBER(INDEX(Rohdaten!$A$79:$LJ$79,MATCH(G$4,RD_Kopf,0))),INDEX(Rohdaten!$A$79:$LJ$79,MATCH(G$4,RD_Kopf,0)),NA()),NA())</f>
        <v>0</v>
      </c>
      <c r="H90" s="5">
        <f>IFERROR(IF(ISNUMBER(INDEX(Rohdaten!$A$79:$LJ$79,MATCH(H$4,RD_Kopf,0))),INDEX(Rohdaten!$A$79:$LJ$79,MATCH(H$4,RD_Kopf,0)),NA()),NA())</f>
        <v>0</v>
      </c>
      <c r="I90" s="5">
        <f>IFERROR(IF(ISNUMBER(INDEX(Rohdaten!$A$79:$LJ$79,MATCH(I$4,RD_Kopf,0))),INDEX(Rohdaten!$A$79:$LJ$79,MATCH(I$4,RD_Kopf,0)),NA()),NA())</f>
        <v>0</v>
      </c>
      <c r="J90" s="5">
        <f>IFERROR(IF(ISNUMBER(INDEX(Rohdaten!$A$79:$LJ$79,MATCH(J$4,RD_Kopf,0))),INDEX(Rohdaten!$A$79:$LJ$79,MATCH(J$4,RD_Kopf,0)),NA()),NA())</f>
        <v>0</v>
      </c>
      <c r="K90" s="5">
        <f>IFERROR(IF(ISNUMBER(INDEX(Rohdaten!$A$79:$LJ$79,MATCH(K$4,RD_Kopf,0))),INDEX(Rohdaten!$A$79:$LJ$79,MATCH(K$4,RD_Kopf,0)),NA()),NA())</f>
        <v>0</v>
      </c>
      <c r="L90" s="5">
        <f>IFERROR(IF(ISNUMBER(INDEX(Rohdaten!$A$79:$LJ$79,MATCH(L$4,RD_Kopf,0))),INDEX(Rohdaten!$A$79:$LJ$79,MATCH(L$4,RD_Kopf,0)),NA()),NA())</f>
        <v>0</v>
      </c>
      <c r="M90" s="5">
        <f>IFERROR(IF(ISNUMBER(INDEX(Rohdaten!$A$79:$LJ$79,MATCH(M$4,RD_Kopf,0))),INDEX(Rohdaten!$A$79:$LJ$79,MATCH(M$4,RD_Kopf,0)),NA()),NA())</f>
        <v>0</v>
      </c>
      <c r="N90" s="5">
        <f>IFERROR(IF(ISNUMBER(INDEX(Rohdaten!$A$79:$LJ$79,MATCH(N$4,RD_Kopf,0))),INDEX(Rohdaten!$A$79:$LJ$79,MATCH(N$4,RD_Kopf,0)),NA()),NA())</f>
        <v>0</v>
      </c>
      <c r="O90" s="5">
        <f>IFERROR(IF(ISNUMBER(INDEX(Rohdaten!$A$79:$LJ$79,MATCH(O$4,RD_Kopf,0))),INDEX(Rohdaten!$A$79:$LJ$79,MATCH(O$4,RD_Kopf,0)),NA()),NA())</f>
        <v>0</v>
      </c>
      <c r="P90" s="5">
        <f>IFERROR(IF(ISNUMBER(INDEX(Rohdaten!$A$79:$LJ$79,MATCH(P$4,RD_Kopf,0))),INDEX(Rohdaten!$A$79:$LJ$79,MATCH(P$4,RD_Kopf,0)),NA()),NA())</f>
        <v>0</v>
      </c>
      <c r="Q90" s="5">
        <f>IFERROR(IF(ISNUMBER(INDEX(Rohdaten!$A$79:$LJ$79,MATCH(Q$4,RD_Kopf,0))),INDEX(Rohdaten!$A$79:$LJ$79,MATCH(Q$4,RD_Kopf,0)),NA()),NA())</f>
        <v>0</v>
      </c>
      <c r="R90" s="5">
        <f>IFERROR(IF(ISNUMBER(INDEX(Rohdaten!$A$79:$LJ$79,MATCH(R$4,RD_Kopf,0))),INDEX(Rohdaten!$A$79:$LJ$79,MATCH(R$4,RD_Kopf,0)),NA()),NA())</f>
        <v>0</v>
      </c>
      <c r="S90" s="5">
        <f>IFERROR(IF(ISNUMBER(INDEX(Rohdaten!$A$79:$LJ$79,MATCH(S$4,RD_Kopf,0))),INDEX(Rohdaten!$A$79:$LJ$79,MATCH(S$4,RD_Kopf,0)),NA()),NA())</f>
        <v>0</v>
      </c>
      <c r="T90" s="5">
        <f>IFERROR(IF(ISNUMBER(INDEX(Rohdaten!$A$79:$LJ$79,MATCH(T$4,RD_Kopf,0))),INDEX(Rohdaten!$A$79:$LJ$79,MATCH(T$4,RD_Kopf,0)),NA()),NA())</f>
        <v>0</v>
      </c>
      <c r="U90" s="5">
        <f>IFERROR(IF(ISNUMBER(INDEX(Rohdaten!$A$79:$LJ$79,MATCH(U$4,RD_Kopf,0))),INDEX(Rohdaten!$A$79:$LJ$79,MATCH(U$4,RD_Kopf,0)),NA()),NA())</f>
        <v>0</v>
      </c>
      <c r="V90" s="5">
        <f>IFERROR(IF(ISNUMBER(INDEX(Rohdaten!$A$79:$LJ$79,MATCH(V$4,RD_Kopf,0))),INDEX(Rohdaten!$A$79:$LJ$79,MATCH(V$4,RD_Kopf,0)),NA()),NA())</f>
        <v>0</v>
      </c>
      <c r="W90" s="5">
        <f>IFERROR(IF(ISNUMBER(INDEX(Rohdaten!$A$79:$LJ$79,MATCH(W$4,RD_Kopf,0))),INDEX(Rohdaten!$A$79:$LJ$79,MATCH(W$4,RD_Kopf,0)),NA()),NA())</f>
        <v>0</v>
      </c>
      <c r="X90" s="5">
        <f>IFERROR(IF(ISNUMBER(INDEX(Rohdaten!$A$79:$LJ$79,MATCH(X$4,RD_Kopf,0))),INDEX(Rohdaten!$A$79:$LJ$79,MATCH(X$4,RD_Kopf,0)),NA()),NA())</f>
        <v>0</v>
      </c>
      <c r="Y90" s="5">
        <f>IFERROR(IF(ISNUMBER(INDEX(Rohdaten!$A$79:$LJ$79,MATCH(Y$4,RD_Kopf,0))),INDEX(Rohdaten!$A$79:$LJ$79,MATCH(Y$4,RD_Kopf,0)),NA()),NA())</f>
        <v>0</v>
      </c>
      <c r="Z90" s="5">
        <f>IFERROR(IF(ISNUMBER(INDEX(Rohdaten!$A$79:$LJ$79,MATCH(Z$4,RD_Kopf,0))),INDEX(Rohdaten!$A$79:$LJ$79,MATCH(Z$4,RD_Kopf,0)),NA()),NA())</f>
        <v>0</v>
      </c>
      <c r="AA90" s="5">
        <f>IFERROR(IF(ISNUMBER(INDEX(Rohdaten!$A$79:$LJ$79,MATCH(AA$4,RD_Kopf,0))),INDEX(Rohdaten!$A$79:$LJ$79,MATCH(AA$4,RD_Kopf,0)),NA()),NA())</f>
        <v>0</v>
      </c>
      <c r="AB90" s="5">
        <f>IFERROR(IF(ISNUMBER(INDEX(Rohdaten!$A$79:$LJ$79,MATCH(AB$4,RD_Kopf,0))),INDEX(Rohdaten!$A$79:$LJ$79,MATCH(AB$4,RD_Kopf,0)),NA()),NA())</f>
        <v>0</v>
      </c>
      <c r="AC90" s="5">
        <f>IFERROR(IF(ISNUMBER(INDEX(Rohdaten!$A$79:$LJ$79,MATCH(AC$4,RD_Kopf,0))),INDEX(Rohdaten!$A$79:$LJ$79,MATCH(AC$4,RD_Kopf,0)),NA()),NA())</f>
        <v>0</v>
      </c>
      <c r="AD90" s="5">
        <f>IFERROR(IF(ISNUMBER(INDEX(Rohdaten!$A$79:$LJ$79,MATCH(AD$4,RD_Kopf,0))),INDEX(Rohdaten!$A$79:$LJ$79,MATCH(AD$4,RD_Kopf,0)),NA()),NA())</f>
        <v>0</v>
      </c>
    </row>
    <row r="91" spans="1:68">
      <c r="A91" s="11" t="s">
        <v>245</v>
      </c>
      <c r="B91" s="11" t="s">
        <v>246</v>
      </c>
      <c r="C91" s="3" t="str">
        <f>"Rohdaten Z. "&amp;ROW(Rohdaten!$A$80)</f>
        <v>Rohdaten Z. 80</v>
      </c>
      <c r="D91" s="5">
        <f>IFERROR(IF(ISNUMBER(INDEX(Rohdaten!$A$80:$LJ$80,MATCH(D$4,RD_Kopf,0))),INDEX(Rohdaten!$A$80:$LJ$80,MATCH(D$4,RD_Kopf,0)),NA()),NA())</f>
        <v>0</v>
      </c>
      <c r="E91" s="5">
        <f>IFERROR(IF(ISNUMBER(INDEX(Rohdaten!$A$80:$LJ$80,MATCH(E$4,RD_Kopf,0))),INDEX(Rohdaten!$A$80:$LJ$80,MATCH(E$4,RD_Kopf,0)),NA()),NA())</f>
        <v>0</v>
      </c>
      <c r="F91" s="5">
        <f>IFERROR(IF(ISNUMBER(INDEX(Rohdaten!$A$80:$LJ$80,MATCH(F$4,RD_Kopf,0))),INDEX(Rohdaten!$A$80:$LJ$80,MATCH(F$4,RD_Kopf,0)),NA()),NA())</f>
        <v>0</v>
      </c>
      <c r="G91" s="5">
        <f>IFERROR(IF(ISNUMBER(INDEX(Rohdaten!$A$80:$LJ$80,MATCH(G$4,RD_Kopf,0))),INDEX(Rohdaten!$A$80:$LJ$80,MATCH(G$4,RD_Kopf,0)),NA()),NA())</f>
        <v>0</v>
      </c>
      <c r="H91" s="5">
        <f>IFERROR(IF(ISNUMBER(INDEX(Rohdaten!$A$80:$LJ$80,MATCH(H$4,RD_Kopf,0))),INDEX(Rohdaten!$A$80:$LJ$80,MATCH(H$4,RD_Kopf,0)),NA()),NA())</f>
        <v>0</v>
      </c>
      <c r="I91" s="5">
        <f>IFERROR(IF(ISNUMBER(INDEX(Rohdaten!$A$80:$LJ$80,MATCH(I$4,RD_Kopf,0))),INDEX(Rohdaten!$A$80:$LJ$80,MATCH(I$4,RD_Kopf,0)),NA()),NA())</f>
        <v>0</v>
      </c>
      <c r="J91" s="5">
        <f>IFERROR(IF(ISNUMBER(INDEX(Rohdaten!$A$80:$LJ$80,MATCH(J$4,RD_Kopf,0))),INDEX(Rohdaten!$A$80:$LJ$80,MATCH(J$4,RD_Kopf,0)),NA()),NA())</f>
        <v>0</v>
      </c>
      <c r="K91" s="5">
        <f>IFERROR(IF(ISNUMBER(INDEX(Rohdaten!$A$80:$LJ$80,MATCH(K$4,RD_Kopf,0))),INDEX(Rohdaten!$A$80:$LJ$80,MATCH(K$4,RD_Kopf,0)),NA()),NA())</f>
        <v>0</v>
      </c>
      <c r="L91" s="5">
        <f>IFERROR(IF(ISNUMBER(INDEX(Rohdaten!$A$80:$LJ$80,MATCH(L$4,RD_Kopf,0))),INDEX(Rohdaten!$A$80:$LJ$80,MATCH(L$4,RD_Kopf,0)),NA()),NA())</f>
        <v>0</v>
      </c>
      <c r="M91" s="5">
        <f>IFERROR(IF(ISNUMBER(INDEX(Rohdaten!$A$80:$LJ$80,MATCH(M$4,RD_Kopf,0))),INDEX(Rohdaten!$A$80:$LJ$80,MATCH(M$4,RD_Kopf,0)),NA()),NA())</f>
        <v>0</v>
      </c>
      <c r="N91" s="5">
        <f>IFERROR(IF(ISNUMBER(INDEX(Rohdaten!$A$80:$LJ$80,MATCH(N$4,RD_Kopf,0))),INDEX(Rohdaten!$A$80:$LJ$80,MATCH(N$4,RD_Kopf,0)),NA()),NA())</f>
        <v>0</v>
      </c>
      <c r="O91" s="5">
        <f>IFERROR(IF(ISNUMBER(INDEX(Rohdaten!$A$80:$LJ$80,MATCH(O$4,RD_Kopf,0))),INDEX(Rohdaten!$A$80:$LJ$80,MATCH(O$4,RD_Kopf,0)),NA()),NA())</f>
        <v>0</v>
      </c>
      <c r="P91" s="5">
        <f>IFERROR(IF(ISNUMBER(INDEX(Rohdaten!$A$80:$LJ$80,MATCH(P$4,RD_Kopf,0))),INDEX(Rohdaten!$A$80:$LJ$80,MATCH(P$4,RD_Kopf,0)),NA()),NA())</f>
        <v>0</v>
      </c>
      <c r="Q91" s="5">
        <f>IFERROR(IF(ISNUMBER(INDEX(Rohdaten!$A$80:$LJ$80,MATCH(Q$4,RD_Kopf,0))),INDEX(Rohdaten!$A$80:$LJ$80,MATCH(Q$4,RD_Kopf,0)),NA()),NA())</f>
        <v>0</v>
      </c>
      <c r="R91" s="5">
        <f>IFERROR(IF(ISNUMBER(INDEX(Rohdaten!$A$80:$LJ$80,MATCH(R$4,RD_Kopf,0))),INDEX(Rohdaten!$A$80:$LJ$80,MATCH(R$4,RD_Kopf,0)),NA()),NA())</f>
        <v>0</v>
      </c>
      <c r="S91" s="5">
        <f>IFERROR(IF(ISNUMBER(INDEX(Rohdaten!$A$80:$LJ$80,MATCH(S$4,RD_Kopf,0))),INDEX(Rohdaten!$A$80:$LJ$80,MATCH(S$4,RD_Kopf,0)),NA()),NA())</f>
        <v>0</v>
      </c>
      <c r="T91" s="5">
        <f>IFERROR(IF(ISNUMBER(INDEX(Rohdaten!$A$80:$LJ$80,MATCH(T$4,RD_Kopf,0))),INDEX(Rohdaten!$A$80:$LJ$80,MATCH(T$4,RD_Kopf,0)),NA()),NA())</f>
        <v>0</v>
      </c>
      <c r="U91" s="5">
        <f>IFERROR(IF(ISNUMBER(INDEX(Rohdaten!$A$80:$LJ$80,MATCH(U$4,RD_Kopf,0))),INDEX(Rohdaten!$A$80:$LJ$80,MATCH(U$4,RD_Kopf,0)),NA()),NA())</f>
        <v>0</v>
      </c>
      <c r="V91" s="5">
        <f>IFERROR(IF(ISNUMBER(INDEX(Rohdaten!$A$80:$LJ$80,MATCH(V$4,RD_Kopf,0))),INDEX(Rohdaten!$A$80:$LJ$80,MATCH(V$4,RD_Kopf,0)),NA()),NA())</f>
        <v>0</v>
      </c>
      <c r="W91" s="5">
        <f>IFERROR(IF(ISNUMBER(INDEX(Rohdaten!$A$80:$LJ$80,MATCH(W$4,RD_Kopf,0))),INDEX(Rohdaten!$A$80:$LJ$80,MATCH(W$4,RD_Kopf,0)),NA()),NA())</f>
        <v>0</v>
      </c>
      <c r="X91" s="5">
        <f>IFERROR(IF(ISNUMBER(INDEX(Rohdaten!$A$80:$LJ$80,MATCH(X$4,RD_Kopf,0))),INDEX(Rohdaten!$A$80:$LJ$80,MATCH(X$4,RD_Kopf,0)),NA()),NA())</f>
        <v>0</v>
      </c>
      <c r="Y91" s="5">
        <f>IFERROR(IF(ISNUMBER(INDEX(Rohdaten!$A$80:$LJ$80,MATCH(Y$4,RD_Kopf,0))),INDEX(Rohdaten!$A$80:$LJ$80,MATCH(Y$4,RD_Kopf,0)),NA()),NA())</f>
        <v>0</v>
      </c>
      <c r="Z91" s="5">
        <f>IFERROR(IF(ISNUMBER(INDEX(Rohdaten!$A$80:$LJ$80,MATCH(Z$4,RD_Kopf,0))),INDEX(Rohdaten!$A$80:$LJ$80,MATCH(Z$4,RD_Kopf,0)),NA()),NA())</f>
        <v>0</v>
      </c>
      <c r="AA91" s="5">
        <f>IFERROR(IF(ISNUMBER(INDEX(Rohdaten!$A$80:$LJ$80,MATCH(AA$4,RD_Kopf,0))),INDEX(Rohdaten!$A$80:$LJ$80,MATCH(AA$4,RD_Kopf,0)),NA()),NA())</f>
        <v>0</v>
      </c>
      <c r="AB91" s="5">
        <f>IFERROR(IF(ISNUMBER(INDEX(Rohdaten!$A$80:$LJ$80,MATCH(AB$4,RD_Kopf,0))),INDEX(Rohdaten!$A$80:$LJ$80,MATCH(AB$4,RD_Kopf,0)),NA()),NA())</f>
        <v>0</v>
      </c>
      <c r="AC91" s="5">
        <f>IFERROR(IF(ISNUMBER(INDEX(Rohdaten!$A$80:$LJ$80,MATCH(AC$4,RD_Kopf,0))),INDEX(Rohdaten!$A$80:$LJ$80,MATCH(AC$4,RD_Kopf,0)),NA()),NA())</f>
        <v>0</v>
      </c>
      <c r="AD91" s="5">
        <f>IFERROR(IF(ISNUMBER(INDEX(Rohdaten!$A$80:$LJ$80,MATCH(AD$4,RD_Kopf,0))),INDEX(Rohdaten!$A$80:$LJ$80,MATCH(AD$4,RD_Kopf,0)),NA()),NA())</f>
        <v>0</v>
      </c>
    </row>
    <row r="92" spans="1:68">
      <c r="A92" s="11" t="s">
        <v>247</v>
      </c>
      <c r="B92" s="11" t="s">
        <v>248</v>
      </c>
      <c r="C92" s="3" t="str">
        <f>"Rohdaten Z. "&amp;ROW(Rohdaten!$A$81)</f>
        <v>Rohdaten Z. 81</v>
      </c>
      <c r="D92" s="5">
        <f>IFERROR(IF(ISNUMBER(INDEX(Rohdaten!$A$81:$LJ$81,MATCH(D$4,RD_Kopf,0))),INDEX(Rohdaten!$A$81:$LJ$81,MATCH(D$4,RD_Kopf,0)),NA()),NA())</f>
        <v>0</v>
      </c>
      <c r="E92" s="5">
        <f>IFERROR(IF(ISNUMBER(INDEX(Rohdaten!$A$81:$LJ$81,MATCH(E$4,RD_Kopf,0))),INDEX(Rohdaten!$A$81:$LJ$81,MATCH(E$4,RD_Kopf,0)),NA()),NA())</f>
        <v>0</v>
      </c>
      <c r="F92" s="5">
        <f>IFERROR(IF(ISNUMBER(INDEX(Rohdaten!$A$81:$LJ$81,MATCH(F$4,RD_Kopf,0))),INDEX(Rohdaten!$A$81:$LJ$81,MATCH(F$4,RD_Kopf,0)),NA()),NA())</f>
        <v>0</v>
      </c>
      <c r="G92" s="5">
        <f>IFERROR(IF(ISNUMBER(INDEX(Rohdaten!$A$81:$LJ$81,MATCH(G$4,RD_Kopf,0))),INDEX(Rohdaten!$A$81:$LJ$81,MATCH(G$4,RD_Kopf,0)),NA()),NA())</f>
        <v>0</v>
      </c>
      <c r="H92" s="5">
        <f>IFERROR(IF(ISNUMBER(INDEX(Rohdaten!$A$81:$LJ$81,MATCH(H$4,RD_Kopf,0))),INDEX(Rohdaten!$A$81:$LJ$81,MATCH(H$4,RD_Kopf,0)),NA()),NA())</f>
        <v>0</v>
      </c>
      <c r="I92" s="5">
        <f>IFERROR(IF(ISNUMBER(INDEX(Rohdaten!$A$81:$LJ$81,MATCH(I$4,RD_Kopf,0))),INDEX(Rohdaten!$A$81:$LJ$81,MATCH(I$4,RD_Kopf,0)),NA()),NA())</f>
        <v>0</v>
      </c>
      <c r="J92" s="5">
        <f>IFERROR(IF(ISNUMBER(INDEX(Rohdaten!$A$81:$LJ$81,MATCH(J$4,RD_Kopf,0))),INDEX(Rohdaten!$A$81:$LJ$81,MATCH(J$4,RD_Kopf,0)),NA()),NA())</f>
        <v>0</v>
      </c>
      <c r="K92" s="5">
        <f>IFERROR(IF(ISNUMBER(INDEX(Rohdaten!$A$81:$LJ$81,MATCH(K$4,RD_Kopf,0))),INDEX(Rohdaten!$A$81:$LJ$81,MATCH(K$4,RD_Kopf,0)),NA()),NA())</f>
        <v>0</v>
      </c>
      <c r="L92" s="5">
        <f>IFERROR(IF(ISNUMBER(INDEX(Rohdaten!$A$81:$LJ$81,MATCH(L$4,RD_Kopf,0))),INDEX(Rohdaten!$A$81:$LJ$81,MATCH(L$4,RD_Kopf,0)),NA()),NA())</f>
        <v>0</v>
      </c>
      <c r="M92" s="5">
        <f>IFERROR(IF(ISNUMBER(INDEX(Rohdaten!$A$81:$LJ$81,MATCH(M$4,RD_Kopf,0))),INDEX(Rohdaten!$A$81:$LJ$81,MATCH(M$4,RD_Kopf,0)),NA()),NA())</f>
        <v>0</v>
      </c>
      <c r="N92" s="5">
        <f>IFERROR(IF(ISNUMBER(INDEX(Rohdaten!$A$81:$LJ$81,MATCH(N$4,RD_Kopf,0))),INDEX(Rohdaten!$A$81:$LJ$81,MATCH(N$4,RD_Kopf,0)),NA()),NA())</f>
        <v>0</v>
      </c>
      <c r="O92" s="5">
        <f>IFERROR(IF(ISNUMBER(INDEX(Rohdaten!$A$81:$LJ$81,MATCH(O$4,RD_Kopf,0))),INDEX(Rohdaten!$A$81:$LJ$81,MATCH(O$4,RD_Kopf,0)),NA()),NA())</f>
        <v>0</v>
      </c>
      <c r="P92" s="5">
        <f>IFERROR(IF(ISNUMBER(INDEX(Rohdaten!$A$81:$LJ$81,MATCH(P$4,RD_Kopf,0))),INDEX(Rohdaten!$A$81:$LJ$81,MATCH(P$4,RD_Kopf,0)),NA()),NA())</f>
        <v>0</v>
      </c>
      <c r="Q92" s="5">
        <f>IFERROR(IF(ISNUMBER(INDEX(Rohdaten!$A$81:$LJ$81,MATCH(Q$4,RD_Kopf,0))),INDEX(Rohdaten!$A$81:$LJ$81,MATCH(Q$4,RD_Kopf,0)),NA()),NA())</f>
        <v>0</v>
      </c>
      <c r="R92" s="5">
        <f>IFERROR(IF(ISNUMBER(INDEX(Rohdaten!$A$81:$LJ$81,MATCH(R$4,RD_Kopf,0))),INDEX(Rohdaten!$A$81:$LJ$81,MATCH(R$4,RD_Kopf,0)),NA()),NA())</f>
        <v>0</v>
      </c>
      <c r="S92" s="5">
        <f>IFERROR(IF(ISNUMBER(INDEX(Rohdaten!$A$81:$LJ$81,MATCH(S$4,RD_Kopf,0))),INDEX(Rohdaten!$A$81:$LJ$81,MATCH(S$4,RD_Kopf,0)),NA()),NA())</f>
        <v>0</v>
      </c>
      <c r="T92" s="5">
        <f>IFERROR(IF(ISNUMBER(INDEX(Rohdaten!$A$81:$LJ$81,MATCH(T$4,RD_Kopf,0))),INDEX(Rohdaten!$A$81:$LJ$81,MATCH(T$4,RD_Kopf,0)),NA()),NA())</f>
        <v>0</v>
      </c>
      <c r="U92" s="5">
        <f>IFERROR(IF(ISNUMBER(INDEX(Rohdaten!$A$81:$LJ$81,MATCH(U$4,RD_Kopf,0))),INDEX(Rohdaten!$A$81:$LJ$81,MATCH(U$4,RD_Kopf,0)),NA()),NA())</f>
        <v>0</v>
      </c>
      <c r="V92" s="5">
        <f>IFERROR(IF(ISNUMBER(INDEX(Rohdaten!$A$81:$LJ$81,MATCH(V$4,RD_Kopf,0))),INDEX(Rohdaten!$A$81:$LJ$81,MATCH(V$4,RD_Kopf,0)),NA()),NA())</f>
        <v>0</v>
      </c>
      <c r="W92" s="5">
        <f>IFERROR(IF(ISNUMBER(INDEX(Rohdaten!$A$81:$LJ$81,MATCH(W$4,RD_Kopf,0))),INDEX(Rohdaten!$A$81:$LJ$81,MATCH(W$4,RD_Kopf,0)),NA()),NA())</f>
        <v>0</v>
      </c>
      <c r="X92" s="5">
        <f>IFERROR(IF(ISNUMBER(INDEX(Rohdaten!$A$81:$LJ$81,MATCH(X$4,RD_Kopf,0))),INDEX(Rohdaten!$A$81:$LJ$81,MATCH(X$4,RD_Kopf,0)),NA()),NA())</f>
        <v>0</v>
      </c>
      <c r="Y92" s="5">
        <f>IFERROR(IF(ISNUMBER(INDEX(Rohdaten!$A$81:$LJ$81,MATCH(Y$4,RD_Kopf,0))),INDEX(Rohdaten!$A$81:$LJ$81,MATCH(Y$4,RD_Kopf,0)),NA()),NA())</f>
        <v>0</v>
      </c>
      <c r="Z92" s="5">
        <f>IFERROR(IF(ISNUMBER(INDEX(Rohdaten!$A$81:$LJ$81,MATCH(Z$4,RD_Kopf,0))),INDEX(Rohdaten!$A$81:$LJ$81,MATCH(Z$4,RD_Kopf,0)),NA()),NA())</f>
        <v>0</v>
      </c>
      <c r="AA92" s="5">
        <f>IFERROR(IF(ISNUMBER(INDEX(Rohdaten!$A$81:$LJ$81,MATCH(AA$4,RD_Kopf,0))),INDEX(Rohdaten!$A$81:$LJ$81,MATCH(AA$4,RD_Kopf,0)),NA()),NA())</f>
        <v>0</v>
      </c>
      <c r="AB92" s="5">
        <f>IFERROR(IF(ISNUMBER(INDEX(Rohdaten!$A$81:$LJ$81,MATCH(AB$4,RD_Kopf,0))),INDEX(Rohdaten!$A$81:$LJ$81,MATCH(AB$4,RD_Kopf,0)),NA()),NA())</f>
        <v>0</v>
      </c>
      <c r="AC92" s="5">
        <f>IFERROR(IF(ISNUMBER(INDEX(Rohdaten!$A$81:$LJ$81,MATCH(AC$4,RD_Kopf,0))),INDEX(Rohdaten!$A$81:$LJ$81,MATCH(AC$4,RD_Kopf,0)),NA()),NA())</f>
        <v>0</v>
      </c>
      <c r="AD92" s="5">
        <f>IFERROR(IF(ISNUMBER(INDEX(Rohdaten!$A$81:$LJ$81,MATCH(AD$4,RD_Kopf,0))),INDEX(Rohdaten!$A$81:$LJ$81,MATCH(AD$4,RD_Kopf,0)),NA()),NA())</f>
        <v>0</v>
      </c>
    </row>
    <row r="93" spans="1:68">
      <c r="A93" s="11" t="s">
        <v>249</v>
      </c>
      <c r="B93" s="11" t="s">
        <v>250</v>
      </c>
      <c r="C93" s="3" t="str">
        <f>"Rohdaten Z. "&amp;ROW(Rohdaten!$A$82)</f>
        <v>Rohdaten Z. 82</v>
      </c>
      <c r="D93" s="5">
        <f>IFERROR(IF(ISNUMBER(INDEX(Rohdaten!$A$82:$LJ$82,MATCH(D$4,RD_Kopf,0))),INDEX(Rohdaten!$A$82:$LJ$82,MATCH(D$4,RD_Kopf,0)),NA()),NA())</f>
        <v>0</v>
      </c>
      <c r="E93" s="5">
        <f>IFERROR(IF(ISNUMBER(INDEX(Rohdaten!$A$82:$LJ$82,MATCH(E$4,RD_Kopf,0))),INDEX(Rohdaten!$A$82:$LJ$82,MATCH(E$4,RD_Kopf,0)),NA()),NA())</f>
        <v>0</v>
      </c>
      <c r="F93" s="5">
        <f>IFERROR(IF(ISNUMBER(INDEX(Rohdaten!$A$82:$LJ$82,MATCH(F$4,RD_Kopf,0))),INDEX(Rohdaten!$A$82:$LJ$82,MATCH(F$4,RD_Kopf,0)),NA()),NA())</f>
        <v>0</v>
      </c>
      <c r="G93" s="5">
        <f>IFERROR(IF(ISNUMBER(INDEX(Rohdaten!$A$82:$LJ$82,MATCH(G$4,RD_Kopf,0))),INDEX(Rohdaten!$A$82:$LJ$82,MATCH(G$4,RD_Kopf,0)),NA()),NA())</f>
        <v>0</v>
      </c>
      <c r="H93" s="5">
        <f>IFERROR(IF(ISNUMBER(INDEX(Rohdaten!$A$82:$LJ$82,MATCH(H$4,RD_Kopf,0))),INDEX(Rohdaten!$A$82:$LJ$82,MATCH(H$4,RD_Kopf,0)),NA()),NA())</f>
        <v>0</v>
      </c>
      <c r="I93" s="5">
        <f>IFERROR(IF(ISNUMBER(INDEX(Rohdaten!$A$82:$LJ$82,MATCH(I$4,RD_Kopf,0))),INDEX(Rohdaten!$A$82:$LJ$82,MATCH(I$4,RD_Kopf,0)),NA()),NA())</f>
        <v>0</v>
      </c>
      <c r="J93" s="5">
        <f>IFERROR(IF(ISNUMBER(INDEX(Rohdaten!$A$82:$LJ$82,MATCH(J$4,RD_Kopf,0))),INDEX(Rohdaten!$A$82:$LJ$82,MATCH(J$4,RD_Kopf,0)),NA()),NA())</f>
        <v>0</v>
      </c>
      <c r="K93" s="5">
        <f>IFERROR(IF(ISNUMBER(INDEX(Rohdaten!$A$82:$LJ$82,MATCH(K$4,RD_Kopf,0))),INDEX(Rohdaten!$A$82:$LJ$82,MATCH(K$4,RD_Kopf,0)),NA()),NA())</f>
        <v>0</v>
      </c>
      <c r="L93" s="5">
        <f>IFERROR(IF(ISNUMBER(INDEX(Rohdaten!$A$82:$LJ$82,MATCH(L$4,RD_Kopf,0))),INDEX(Rohdaten!$A$82:$LJ$82,MATCH(L$4,RD_Kopf,0)),NA()),NA())</f>
        <v>0</v>
      </c>
      <c r="M93" s="5">
        <f>IFERROR(IF(ISNUMBER(INDEX(Rohdaten!$A$82:$LJ$82,MATCH(M$4,RD_Kopf,0))),INDEX(Rohdaten!$A$82:$LJ$82,MATCH(M$4,RD_Kopf,0)),NA()),NA())</f>
        <v>0</v>
      </c>
      <c r="N93" s="5">
        <f>IFERROR(IF(ISNUMBER(INDEX(Rohdaten!$A$82:$LJ$82,MATCH(N$4,RD_Kopf,0))),INDEX(Rohdaten!$A$82:$LJ$82,MATCH(N$4,RD_Kopf,0)),NA()),NA())</f>
        <v>0</v>
      </c>
      <c r="O93" s="5">
        <f>IFERROR(IF(ISNUMBER(INDEX(Rohdaten!$A$82:$LJ$82,MATCH(O$4,RD_Kopf,0))),INDEX(Rohdaten!$A$82:$LJ$82,MATCH(O$4,RD_Kopf,0)),NA()),NA())</f>
        <v>0</v>
      </c>
      <c r="P93" s="5">
        <f>IFERROR(IF(ISNUMBER(INDEX(Rohdaten!$A$82:$LJ$82,MATCH(P$4,RD_Kopf,0))),INDEX(Rohdaten!$A$82:$LJ$82,MATCH(P$4,RD_Kopf,0)),NA()),NA())</f>
        <v>0</v>
      </c>
      <c r="Q93" s="5">
        <f>IFERROR(IF(ISNUMBER(INDEX(Rohdaten!$A$82:$LJ$82,MATCH(Q$4,RD_Kopf,0))),INDEX(Rohdaten!$A$82:$LJ$82,MATCH(Q$4,RD_Kopf,0)),NA()),NA())</f>
        <v>0</v>
      </c>
      <c r="R93" s="5">
        <f>IFERROR(IF(ISNUMBER(INDEX(Rohdaten!$A$82:$LJ$82,MATCH(R$4,RD_Kopf,0))),INDEX(Rohdaten!$A$82:$LJ$82,MATCH(R$4,RD_Kopf,0)),NA()),NA())</f>
        <v>0</v>
      </c>
      <c r="S93" s="5">
        <f>IFERROR(IF(ISNUMBER(INDEX(Rohdaten!$A$82:$LJ$82,MATCH(S$4,RD_Kopf,0))),INDEX(Rohdaten!$A$82:$LJ$82,MATCH(S$4,RD_Kopf,0)),NA()),NA())</f>
        <v>0</v>
      </c>
      <c r="T93" s="5">
        <f>IFERROR(IF(ISNUMBER(INDEX(Rohdaten!$A$82:$LJ$82,MATCH(T$4,RD_Kopf,0))),INDEX(Rohdaten!$A$82:$LJ$82,MATCH(T$4,RD_Kopf,0)),NA()),NA())</f>
        <v>0</v>
      </c>
      <c r="U93" s="5">
        <f>IFERROR(IF(ISNUMBER(INDEX(Rohdaten!$A$82:$LJ$82,MATCH(U$4,RD_Kopf,0))),INDEX(Rohdaten!$A$82:$LJ$82,MATCH(U$4,RD_Kopf,0)),NA()),NA())</f>
        <v>0</v>
      </c>
      <c r="V93" s="5">
        <f>IFERROR(IF(ISNUMBER(INDEX(Rohdaten!$A$82:$LJ$82,MATCH(V$4,RD_Kopf,0))),INDEX(Rohdaten!$A$82:$LJ$82,MATCH(V$4,RD_Kopf,0)),NA()),NA())</f>
        <v>0</v>
      </c>
      <c r="W93" s="5">
        <f>IFERROR(IF(ISNUMBER(INDEX(Rohdaten!$A$82:$LJ$82,MATCH(W$4,RD_Kopf,0))),INDEX(Rohdaten!$A$82:$LJ$82,MATCH(W$4,RD_Kopf,0)),NA()),NA())</f>
        <v>0</v>
      </c>
      <c r="X93" s="5">
        <f>IFERROR(IF(ISNUMBER(INDEX(Rohdaten!$A$82:$LJ$82,MATCH(X$4,RD_Kopf,0))),INDEX(Rohdaten!$A$82:$LJ$82,MATCH(X$4,RD_Kopf,0)),NA()),NA())</f>
        <v>0</v>
      </c>
      <c r="Y93" s="5">
        <f>IFERROR(IF(ISNUMBER(INDEX(Rohdaten!$A$82:$LJ$82,MATCH(Y$4,RD_Kopf,0))),INDEX(Rohdaten!$A$82:$LJ$82,MATCH(Y$4,RD_Kopf,0)),NA()),NA())</f>
        <v>0</v>
      </c>
      <c r="Z93" s="5">
        <f>IFERROR(IF(ISNUMBER(INDEX(Rohdaten!$A$82:$LJ$82,MATCH(Z$4,RD_Kopf,0))),INDEX(Rohdaten!$A$82:$LJ$82,MATCH(Z$4,RD_Kopf,0)),NA()),NA())</f>
        <v>0</v>
      </c>
      <c r="AA93" s="5">
        <f>IFERROR(IF(ISNUMBER(INDEX(Rohdaten!$A$82:$LJ$82,MATCH(AA$4,RD_Kopf,0))),INDEX(Rohdaten!$A$82:$LJ$82,MATCH(AA$4,RD_Kopf,0)),NA()),NA())</f>
        <v>0</v>
      </c>
      <c r="AB93" s="5">
        <f>IFERROR(IF(ISNUMBER(INDEX(Rohdaten!$A$82:$LJ$82,MATCH(AB$4,RD_Kopf,0))),INDEX(Rohdaten!$A$82:$LJ$82,MATCH(AB$4,RD_Kopf,0)),NA()),NA())</f>
        <v>0</v>
      </c>
      <c r="AC93" s="5">
        <f>IFERROR(IF(ISNUMBER(INDEX(Rohdaten!$A$82:$LJ$82,MATCH(AC$4,RD_Kopf,0))),INDEX(Rohdaten!$A$82:$LJ$82,MATCH(AC$4,RD_Kopf,0)),NA()),NA())</f>
        <v>0</v>
      </c>
      <c r="AD93" s="5">
        <f>IFERROR(IF(ISNUMBER(INDEX(Rohdaten!$A$82:$LJ$82,MATCH(AD$4,RD_Kopf,0))),INDEX(Rohdaten!$A$82:$LJ$82,MATCH(AD$4,RD_Kopf,0)),NA()),NA())</f>
        <v>0</v>
      </c>
    </row>
    <row r="94" spans="1:68">
      <c r="A94" s="11" t="s">
        <v>251</v>
      </c>
      <c r="B94" s="11" t="s">
        <v>252</v>
      </c>
      <c r="C94" s="3" t="str">
        <f>"Rohdaten Z. "&amp;ROW(Rohdaten!$A$84)</f>
        <v>Rohdaten Z. 84</v>
      </c>
      <c r="D94" s="5">
        <f>IFERROR(IF(ISNUMBER(INDEX(Rohdaten!$A$84:$LJ$84,MATCH(D$4,RD_Kopf,0))),INDEX(Rohdaten!$A$84:$LJ$84,MATCH(D$4,RD_Kopf,0)),NA()),NA())</f>
        <v>0</v>
      </c>
      <c r="E94" s="5">
        <f>IFERROR(IF(ISNUMBER(INDEX(Rohdaten!$A$84:$LJ$84,MATCH(E$4,RD_Kopf,0))),INDEX(Rohdaten!$A$84:$LJ$84,MATCH(E$4,RD_Kopf,0)),NA()),NA())</f>
        <v>0</v>
      </c>
      <c r="F94" s="5">
        <f>IFERROR(IF(ISNUMBER(INDEX(Rohdaten!$A$84:$LJ$84,MATCH(F$4,RD_Kopf,0))),INDEX(Rohdaten!$A$84:$LJ$84,MATCH(F$4,RD_Kopf,0)),NA()),NA())</f>
        <v>0</v>
      </c>
      <c r="G94" s="5">
        <f>IFERROR(IF(ISNUMBER(INDEX(Rohdaten!$A$84:$LJ$84,MATCH(G$4,RD_Kopf,0))),INDEX(Rohdaten!$A$84:$LJ$84,MATCH(G$4,RD_Kopf,0)),NA()),NA())</f>
        <v>0</v>
      </c>
      <c r="H94" s="5">
        <f>IFERROR(IF(ISNUMBER(INDEX(Rohdaten!$A$84:$LJ$84,MATCH(H$4,RD_Kopf,0))),INDEX(Rohdaten!$A$84:$LJ$84,MATCH(H$4,RD_Kopf,0)),NA()),NA())</f>
        <v>0</v>
      </c>
      <c r="I94" s="5">
        <f>IFERROR(IF(ISNUMBER(INDEX(Rohdaten!$A$84:$LJ$84,MATCH(I$4,RD_Kopf,0))),INDEX(Rohdaten!$A$84:$LJ$84,MATCH(I$4,RD_Kopf,0)),NA()),NA())</f>
        <v>0</v>
      </c>
      <c r="J94" s="5">
        <f>IFERROR(IF(ISNUMBER(INDEX(Rohdaten!$A$84:$LJ$84,MATCH(J$4,RD_Kopf,0))),INDEX(Rohdaten!$A$84:$LJ$84,MATCH(J$4,RD_Kopf,0)),NA()),NA())</f>
        <v>0</v>
      </c>
      <c r="K94" s="5">
        <f>IFERROR(IF(ISNUMBER(INDEX(Rohdaten!$A$84:$LJ$84,MATCH(K$4,RD_Kopf,0))),INDEX(Rohdaten!$A$84:$LJ$84,MATCH(K$4,RD_Kopf,0)),NA()),NA())</f>
        <v>0</v>
      </c>
      <c r="L94" s="5">
        <f>IFERROR(IF(ISNUMBER(INDEX(Rohdaten!$A$84:$LJ$84,MATCH(L$4,RD_Kopf,0))),INDEX(Rohdaten!$A$84:$LJ$84,MATCH(L$4,RD_Kopf,0)),NA()),NA())</f>
        <v>0</v>
      </c>
      <c r="M94" s="5">
        <f>IFERROR(IF(ISNUMBER(INDEX(Rohdaten!$A$84:$LJ$84,MATCH(M$4,RD_Kopf,0))),INDEX(Rohdaten!$A$84:$LJ$84,MATCH(M$4,RD_Kopf,0)),NA()),NA())</f>
        <v>0</v>
      </c>
      <c r="N94" s="5">
        <f>IFERROR(IF(ISNUMBER(INDEX(Rohdaten!$A$84:$LJ$84,MATCH(N$4,RD_Kopf,0))),INDEX(Rohdaten!$A$84:$LJ$84,MATCH(N$4,RD_Kopf,0)),NA()),NA())</f>
        <v>0</v>
      </c>
      <c r="O94" s="5">
        <f>IFERROR(IF(ISNUMBER(INDEX(Rohdaten!$A$84:$LJ$84,MATCH(O$4,RD_Kopf,0))),INDEX(Rohdaten!$A$84:$LJ$84,MATCH(O$4,RD_Kopf,0)),NA()),NA())</f>
        <v>0</v>
      </c>
      <c r="P94" s="5">
        <f>IFERROR(IF(ISNUMBER(INDEX(Rohdaten!$A$84:$LJ$84,MATCH(P$4,RD_Kopf,0))),INDEX(Rohdaten!$A$84:$LJ$84,MATCH(P$4,RD_Kopf,0)),NA()),NA())</f>
        <v>0</v>
      </c>
      <c r="Q94" s="5">
        <f>IFERROR(IF(ISNUMBER(INDEX(Rohdaten!$A$84:$LJ$84,MATCH(Q$4,RD_Kopf,0))),INDEX(Rohdaten!$A$84:$LJ$84,MATCH(Q$4,RD_Kopf,0)),NA()),NA())</f>
        <v>0</v>
      </c>
      <c r="R94" s="5">
        <f>IFERROR(IF(ISNUMBER(INDEX(Rohdaten!$A$84:$LJ$84,MATCH(R$4,RD_Kopf,0))),INDEX(Rohdaten!$A$84:$LJ$84,MATCH(R$4,RD_Kopf,0)),NA()),NA())</f>
        <v>0</v>
      </c>
      <c r="S94" s="5">
        <f>IFERROR(IF(ISNUMBER(INDEX(Rohdaten!$A$84:$LJ$84,MATCH(S$4,RD_Kopf,0))),INDEX(Rohdaten!$A$84:$LJ$84,MATCH(S$4,RD_Kopf,0)),NA()),NA())</f>
        <v>0</v>
      </c>
      <c r="T94" s="5">
        <f>IFERROR(IF(ISNUMBER(INDEX(Rohdaten!$A$84:$LJ$84,MATCH(T$4,RD_Kopf,0))),INDEX(Rohdaten!$A$84:$LJ$84,MATCH(T$4,RD_Kopf,0)),NA()),NA())</f>
        <v>0</v>
      </c>
      <c r="U94" s="5">
        <f>IFERROR(IF(ISNUMBER(INDEX(Rohdaten!$A$84:$LJ$84,MATCH(U$4,RD_Kopf,0))),INDEX(Rohdaten!$A$84:$LJ$84,MATCH(U$4,RD_Kopf,0)),NA()),NA())</f>
        <v>0</v>
      </c>
      <c r="V94" s="5">
        <f>IFERROR(IF(ISNUMBER(INDEX(Rohdaten!$A$84:$LJ$84,MATCH(V$4,RD_Kopf,0))),INDEX(Rohdaten!$A$84:$LJ$84,MATCH(V$4,RD_Kopf,0)),NA()),NA())</f>
        <v>0</v>
      </c>
      <c r="W94" s="5">
        <f>IFERROR(IF(ISNUMBER(INDEX(Rohdaten!$A$84:$LJ$84,MATCH(W$4,RD_Kopf,0))),INDEX(Rohdaten!$A$84:$LJ$84,MATCH(W$4,RD_Kopf,0)),NA()),NA())</f>
        <v>0</v>
      </c>
      <c r="X94" s="5">
        <f>IFERROR(IF(ISNUMBER(INDEX(Rohdaten!$A$84:$LJ$84,MATCH(X$4,RD_Kopf,0))),INDEX(Rohdaten!$A$84:$LJ$84,MATCH(X$4,RD_Kopf,0)),NA()),NA())</f>
        <v>0</v>
      </c>
      <c r="Y94" s="5">
        <f>IFERROR(IF(ISNUMBER(INDEX(Rohdaten!$A$84:$LJ$84,MATCH(Y$4,RD_Kopf,0))),INDEX(Rohdaten!$A$84:$LJ$84,MATCH(Y$4,RD_Kopf,0)),NA()),NA())</f>
        <v>0</v>
      </c>
      <c r="Z94" s="5">
        <f>IFERROR(IF(ISNUMBER(INDEX(Rohdaten!$A$84:$LJ$84,MATCH(Z$4,RD_Kopf,0))),INDEX(Rohdaten!$A$84:$LJ$84,MATCH(Z$4,RD_Kopf,0)),NA()),NA())</f>
        <v>0</v>
      </c>
      <c r="AA94" s="5">
        <f>IFERROR(IF(ISNUMBER(INDEX(Rohdaten!$A$84:$LJ$84,MATCH(AA$4,RD_Kopf,0))),INDEX(Rohdaten!$A$84:$LJ$84,MATCH(AA$4,RD_Kopf,0)),NA()),NA())</f>
        <v>0</v>
      </c>
      <c r="AB94" s="5">
        <f>IFERROR(IF(ISNUMBER(INDEX(Rohdaten!$A$84:$LJ$84,MATCH(AB$4,RD_Kopf,0))),INDEX(Rohdaten!$A$84:$LJ$84,MATCH(AB$4,RD_Kopf,0)),NA()),NA())</f>
        <v>0</v>
      </c>
      <c r="AC94" s="5">
        <f>IFERROR(IF(ISNUMBER(INDEX(Rohdaten!$A$84:$LJ$84,MATCH(AC$4,RD_Kopf,0))),INDEX(Rohdaten!$A$84:$LJ$84,MATCH(AC$4,RD_Kopf,0)),NA()),NA())</f>
        <v>0</v>
      </c>
      <c r="AD94" s="5">
        <f>IFERROR(IF(ISNUMBER(INDEX(Rohdaten!$A$84:$LJ$84,MATCH(AD$4,RD_Kopf,0))),INDEX(Rohdaten!$A$84:$LJ$84,MATCH(AD$4,RD_Kopf,0)),NA()),NA())</f>
        <v>0</v>
      </c>
    </row>
    <row r="95" spans="1:68">
      <c r="A95" s="11" t="s">
        <v>253</v>
      </c>
      <c r="B95" s="11" t="s">
        <v>254</v>
      </c>
      <c r="C95" s="3" t="str">
        <f>"Rohdaten Z. "&amp;ROW(Rohdaten!$A$88)</f>
        <v>Rohdaten Z. 88</v>
      </c>
      <c r="D95" s="5">
        <f>IFERROR(IF(ISNUMBER(INDEX(Rohdaten!$A$88:$LJ$88,MATCH(D$4,RD_Kopf,0))),INDEX(Rohdaten!$A$88:$LJ$88,MATCH(D$4,RD_Kopf,0)),NA()),NA())</f>
        <v>0</v>
      </c>
      <c r="E95" s="5">
        <f>IFERROR(IF(ISNUMBER(INDEX(Rohdaten!$A$88:$LJ$88,MATCH(E$4,RD_Kopf,0))),INDEX(Rohdaten!$A$88:$LJ$88,MATCH(E$4,RD_Kopf,0)),NA()),NA())</f>
        <v>0</v>
      </c>
      <c r="F95" s="5">
        <f>IFERROR(IF(ISNUMBER(INDEX(Rohdaten!$A$88:$LJ$88,MATCH(F$4,RD_Kopf,0))),INDEX(Rohdaten!$A$88:$LJ$88,MATCH(F$4,RD_Kopf,0)),NA()),NA())</f>
        <v>0</v>
      </c>
      <c r="G95" s="5">
        <f>IFERROR(IF(ISNUMBER(INDEX(Rohdaten!$A$88:$LJ$88,MATCH(G$4,RD_Kopf,0))),INDEX(Rohdaten!$A$88:$LJ$88,MATCH(G$4,RD_Kopf,0)),NA()),NA())</f>
        <v>0</v>
      </c>
      <c r="H95" s="5">
        <f>IFERROR(IF(ISNUMBER(INDEX(Rohdaten!$A$88:$LJ$88,MATCH(H$4,RD_Kopf,0))),INDEX(Rohdaten!$A$88:$LJ$88,MATCH(H$4,RD_Kopf,0)),NA()),NA())</f>
        <v>0</v>
      </c>
      <c r="I95" s="5">
        <f>IFERROR(IF(ISNUMBER(INDEX(Rohdaten!$A$88:$LJ$88,MATCH(I$4,RD_Kopf,0))),INDEX(Rohdaten!$A$88:$LJ$88,MATCH(I$4,RD_Kopf,0)),NA()),NA())</f>
        <v>0</v>
      </c>
      <c r="J95" s="5">
        <f>IFERROR(IF(ISNUMBER(INDEX(Rohdaten!$A$88:$LJ$88,MATCH(J$4,RD_Kopf,0))),INDEX(Rohdaten!$A$88:$LJ$88,MATCH(J$4,RD_Kopf,0)),NA()),NA())</f>
        <v>0</v>
      </c>
      <c r="K95" s="5">
        <f>IFERROR(IF(ISNUMBER(INDEX(Rohdaten!$A$88:$LJ$88,MATCH(K$4,RD_Kopf,0))),INDEX(Rohdaten!$A$88:$LJ$88,MATCH(K$4,RD_Kopf,0)),NA()),NA())</f>
        <v>0</v>
      </c>
      <c r="L95" s="5">
        <f>IFERROR(IF(ISNUMBER(INDEX(Rohdaten!$A$88:$LJ$88,MATCH(L$4,RD_Kopf,0))),INDEX(Rohdaten!$A$88:$LJ$88,MATCH(L$4,RD_Kopf,0)),NA()),NA())</f>
        <v>0</v>
      </c>
      <c r="M95" s="5">
        <f>IFERROR(IF(ISNUMBER(INDEX(Rohdaten!$A$88:$LJ$88,MATCH(M$4,RD_Kopf,0))),INDEX(Rohdaten!$A$88:$LJ$88,MATCH(M$4,RD_Kopf,0)),NA()),NA())</f>
        <v>0</v>
      </c>
      <c r="N95" s="5">
        <f>IFERROR(IF(ISNUMBER(INDEX(Rohdaten!$A$88:$LJ$88,MATCH(N$4,RD_Kopf,0))),INDEX(Rohdaten!$A$88:$LJ$88,MATCH(N$4,RD_Kopf,0)),NA()),NA())</f>
        <v>0</v>
      </c>
      <c r="O95" s="5">
        <f>IFERROR(IF(ISNUMBER(INDEX(Rohdaten!$A$88:$LJ$88,MATCH(O$4,RD_Kopf,0))),INDEX(Rohdaten!$A$88:$LJ$88,MATCH(O$4,RD_Kopf,0)),NA()),NA())</f>
        <v>0</v>
      </c>
      <c r="P95" s="5">
        <f>IFERROR(IF(ISNUMBER(INDEX(Rohdaten!$A$88:$LJ$88,MATCH(P$4,RD_Kopf,0))),INDEX(Rohdaten!$A$88:$LJ$88,MATCH(P$4,RD_Kopf,0)),NA()),NA())</f>
        <v>0</v>
      </c>
      <c r="Q95" s="5">
        <f>IFERROR(IF(ISNUMBER(INDEX(Rohdaten!$A$88:$LJ$88,MATCH(Q$4,RD_Kopf,0))),INDEX(Rohdaten!$A$88:$LJ$88,MATCH(Q$4,RD_Kopf,0)),NA()),NA())</f>
        <v>0</v>
      </c>
      <c r="R95" s="5">
        <f>IFERROR(IF(ISNUMBER(INDEX(Rohdaten!$A$88:$LJ$88,MATCH(R$4,RD_Kopf,0))),INDEX(Rohdaten!$A$88:$LJ$88,MATCH(R$4,RD_Kopf,0)),NA()),NA())</f>
        <v>0</v>
      </c>
      <c r="S95" s="5">
        <f>IFERROR(IF(ISNUMBER(INDEX(Rohdaten!$A$88:$LJ$88,MATCH(S$4,RD_Kopf,0))),INDEX(Rohdaten!$A$88:$LJ$88,MATCH(S$4,RD_Kopf,0)),NA()),NA())</f>
        <v>0</v>
      </c>
      <c r="T95" s="5">
        <f>IFERROR(IF(ISNUMBER(INDEX(Rohdaten!$A$88:$LJ$88,MATCH(T$4,RD_Kopf,0))),INDEX(Rohdaten!$A$88:$LJ$88,MATCH(T$4,RD_Kopf,0)),NA()),NA())</f>
        <v>0</v>
      </c>
      <c r="U95" s="5">
        <f>IFERROR(IF(ISNUMBER(INDEX(Rohdaten!$A$88:$LJ$88,MATCH(U$4,RD_Kopf,0))),INDEX(Rohdaten!$A$88:$LJ$88,MATCH(U$4,RD_Kopf,0)),NA()),NA())</f>
        <v>0</v>
      </c>
      <c r="V95" s="5">
        <f>IFERROR(IF(ISNUMBER(INDEX(Rohdaten!$A$88:$LJ$88,MATCH(V$4,RD_Kopf,0))),INDEX(Rohdaten!$A$88:$LJ$88,MATCH(V$4,RD_Kopf,0)),NA()),NA())</f>
        <v>0</v>
      </c>
      <c r="W95" s="5">
        <f>IFERROR(IF(ISNUMBER(INDEX(Rohdaten!$A$88:$LJ$88,MATCH(W$4,RD_Kopf,0))),INDEX(Rohdaten!$A$88:$LJ$88,MATCH(W$4,RD_Kopf,0)),NA()),NA())</f>
        <v>0</v>
      </c>
      <c r="X95" s="5">
        <f>IFERROR(IF(ISNUMBER(INDEX(Rohdaten!$A$88:$LJ$88,MATCH(X$4,RD_Kopf,0))),INDEX(Rohdaten!$A$88:$LJ$88,MATCH(X$4,RD_Kopf,0)),NA()),NA())</f>
        <v>0</v>
      </c>
      <c r="Y95" s="5">
        <f>IFERROR(IF(ISNUMBER(INDEX(Rohdaten!$A$88:$LJ$88,MATCH(Y$4,RD_Kopf,0))),INDEX(Rohdaten!$A$88:$LJ$88,MATCH(Y$4,RD_Kopf,0)),NA()),NA())</f>
        <v>0</v>
      </c>
      <c r="Z95" s="5">
        <f>IFERROR(IF(ISNUMBER(INDEX(Rohdaten!$A$88:$LJ$88,MATCH(Z$4,RD_Kopf,0))),INDEX(Rohdaten!$A$88:$LJ$88,MATCH(Z$4,RD_Kopf,0)),NA()),NA())</f>
        <v>0</v>
      </c>
      <c r="AA95" s="5">
        <f>IFERROR(IF(ISNUMBER(INDEX(Rohdaten!$A$88:$LJ$88,MATCH(AA$4,RD_Kopf,0))),INDEX(Rohdaten!$A$88:$LJ$88,MATCH(AA$4,RD_Kopf,0)),NA()),NA())</f>
        <v>0</v>
      </c>
      <c r="AB95" s="5">
        <f>IFERROR(IF(ISNUMBER(INDEX(Rohdaten!$A$88:$LJ$88,MATCH(AB$4,RD_Kopf,0))),INDEX(Rohdaten!$A$88:$LJ$88,MATCH(AB$4,RD_Kopf,0)),NA()),NA())</f>
        <v>0</v>
      </c>
      <c r="AC95" s="5">
        <f>IFERROR(IF(ISNUMBER(INDEX(Rohdaten!$A$88:$LJ$88,MATCH(AC$4,RD_Kopf,0))),INDEX(Rohdaten!$A$88:$LJ$88,MATCH(AC$4,RD_Kopf,0)),NA()),NA())</f>
        <v>0</v>
      </c>
      <c r="AD95" s="5">
        <f>IFERROR(IF(ISNUMBER(INDEX(Rohdaten!$A$88:$LJ$88,MATCH(AD$4,RD_Kopf,0))),INDEX(Rohdaten!$A$88:$LJ$88,MATCH(AD$4,RD_Kopf,0)),NA()),NA())</f>
        <v>0</v>
      </c>
    </row>
    <row r="96" spans="1:68">
      <c r="A96" s="11" t="s">
        <v>255</v>
      </c>
      <c r="B96" s="11" t="s">
        <v>256</v>
      </c>
      <c r="C96" s="3" t="str">
        <f>"Rohdaten Z. "&amp;ROW(Rohdaten!$A$85)</f>
        <v>Rohdaten Z. 85</v>
      </c>
      <c r="D96" s="5">
        <f>IFERROR(IF(ISNUMBER(INDEX(Rohdaten!$A$85:$LJ$85,MATCH(D$4,RD_Kopf,0))),INDEX(Rohdaten!$A$85:$LJ$85,MATCH(D$4,RD_Kopf,0)),NA()),NA())</f>
        <v>0</v>
      </c>
      <c r="E96" s="5">
        <f>IFERROR(IF(ISNUMBER(INDEX(Rohdaten!$A$85:$LJ$85,MATCH(E$4,RD_Kopf,0))),INDEX(Rohdaten!$A$85:$LJ$85,MATCH(E$4,RD_Kopf,0)),NA()),NA())</f>
        <v>0</v>
      </c>
      <c r="F96" s="5">
        <f>IFERROR(IF(ISNUMBER(INDEX(Rohdaten!$A$85:$LJ$85,MATCH(F$4,RD_Kopf,0))),INDEX(Rohdaten!$A$85:$LJ$85,MATCH(F$4,RD_Kopf,0)),NA()),NA())</f>
        <v>0</v>
      </c>
      <c r="G96" s="5">
        <f>IFERROR(IF(ISNUMBER(INDEX(Rohdaten!$A$85:$LJ$85,MATCH(G$4,RD_Kopf,0))),INDEX(Rohdaten!$A$85:$LJ$85,MATCH(G$4,RD_Kopf,0)),NA()),NA())</f>
        <v>0</v>
      </c>
      <c r="H96" s="5">
        <f>IFERROR(IF(ISNUMBER(INDEX(Rohdaten!$A$85:$LJ$85,MATCH(H$4,RD_Kopf,0))),INDEX(Rohdaten!$A$85:$LJ$85,MATCH(H$4,RD_Kopf,0)),NA()),NA())</f>
        <v>0</v>
      </c>
      <c r="I96" s="5">
        <f>IFERROR(IF(ISNUMBER(INDEX(Rohdaten!$A$85:$LJ$85,MATCH(I$4,RD_Kopf,0))),INDEX(Rohdaten!$A$85:$LJ$85,MATCH(I$4,RD_Kopf,0)),NA()),NA())</f>
        <v>0</v>
      </c>
      <c r="J96" s="5">
        <f>IFERROR(IF(ISNUMBER(INDEX(Rohdaten!$A$85:$LJ$85,MATCH(J$4,RD_Kopf,0))),INDEX(Rohdaten!$A$85:$LJ$85,MATCH(J$4,RD_Kopf,0)),NA()),NA())</f>
        <v>0</v>
      </c>
      <c r="K96" s="5">
        <f>IFERROR(IF(ISNUMBER(INDEX(Rohdaten!$A$85:$LJ$85,MATCH(K$4,RD_Kopf,0))),INDEX(Rohdaten!$A$85:$LJ$85,MATCH(K$4,RD_Kopf,0)),NA()),NA())</f>
        <v>0</v>
      </c>
      <c r="L96" s="5">
        <f>IFERROR(IF(ISNUMBER(INDEX(Rohdaten!$A$85:$LJ$85,MATCH(L$4,RD_Kopf,0))),INDEX(Rohdaten!$A$85:$LJ$85,MATCH(L$4,RD_Kopf,0)),NA()),NA())</f>
        <v>0</v>
      </c>
      <c r="M96" s="5">
        <f>IFERROR(IF(ISNUMBER(INDEX(Rohdaten!$A$85:$LJ$85,MATCH(M$4,RD_Kopf,0))),INDEX(Rohdaten!$A$85:$LJ$85,MATCH(M$4,RD_Kopf,0)),NA()),NA())</f>
        <v>0</v>
      </c>
      <c r="N96" s="5">
        <f>IFERROR(IF(ISNUMBER(INDEX(Rohdaten!$A$85:$LJ$85,MATCH(N$4,RD_Kopf,0))),INDEX(Rohdaten!$A$85:$LJ$85,MATCH(N$4,RD_Kopf,0)),NA()),NA())</f>
        <v>0</v>
      </c>
      <c r="O96" s="5">
        <f>IFERROR(IF(ISNUMBER(INDEX(Rohdaten!$A$85:$LJ$85,MATCH(O$4,RD_Kopf,0))),INDEX(Rohdaten!$A$85:$LJ$85,MATCH(O$4,RD_Kopf,0)),NA()),NA())</f>
        <v>0</v>
      </c>
      <c r="P96" s="5">
        <f>IFERROR(IF(ISNUMBER(INDEX(Rohdaten!$A$85:$LJ$85,MATCH(P$4,RD_Kopf,0))),INDEX(Rohdaten!$A$85:$LJ$85,MATCH(P$4,RD_Kopf,0)),NA()),NA())</f>
        <v>0</v>
      </c>
      <c r="Q96" s="5">
        <f>IFERROR(IF(ISNUMBER(INDEX(Rohdaten!$A$85:$LJ$85,MATCH(Q$4,RD_Kopf,0))),INDEX(Rohdaten!$A$85:$LJ$85,MATCH(Q$4,RD_Kopf,0)),NA()),NA())</f>
        <v>0</v>
      </c>
      <c r="R96" s="5">
        <f>IFERROR(IF(ISNUMBER(INDEX(Rohdaten!$A$85:$LJ$85,MATCH(R$4,RD_Kopf,0))),INDEX(Rohdaten!$A$85:$LJ$85,MATCH(R$4,RD_Kopf,0)),NA()),NA())</f>
        <v>0</v>
      </c>
      <c r="S96" s="5">
        <f>IFERROR(IF(ISNUMBER(INDEX(Rohdaten!$A$85:$LJ$85,MATCH(S$4,RD_Kopf,0))),INDEX(Rohdaten!$A$85:$LJ$85,MATCH(S$4,RD_Kopf,0)),NA()),NA())</f>
        <v>0</v>
      </c>
      <c r="T96" s="5">
        <f>IFERROR(IF(ISNUMBER(INDEX(Rohdaten!$A$85:$LJ$85,MATCH(T$4,RD_Kopf,0))),INDEX(Rohdaten!$A$85:$LJ$85,MATCH(T$4,RD_Kopf,0)),NA()),NA())</f>
        <v>0</v>
      </c>
      <c r="U96" s="5">
        <f>IFERROR(IF(ISNUMBER(INDEX(Rohdaten!$A$85:$LJ$85,MATCH(U$4,RD_Kopf,0))),INDEX(Rohdaten!$A$85:$LJ$85,MATCH(U$4,RD_Kopf,0)),NA()),NA())</f>
        <v>0</v>
      </c>
      <c r="V96" s="5">
        <f>IFERROR(IF(ISNUMBER(INDEX(Rohdaten!$A$85:$LJ$85,MATCH(V$4,RD_Kopf,0))),INDEX(Rohdaten!$A$85:$LJ$85,MATCH(V$4,RD_Kopf,0)),NA()),NA())</f>
        <v>0</v>
      </c>
      <c r="W96" s="5">
        <f>IFERROR(IF(ISNUMBER(INDEX(Rohdaten!$A$85:$LJ$85,MATCH(W$4,RD_Kopf,0))),INDEX(Rohdaten!$A$85:$LJ$85,MATCH(W$4,RD_Kopf,0)),NA()),NA())</f>
        <v>0</v>
      </c>
      <c r="X96" s="5">
        <f>IFERROR(IF(ISNUMBER(INDEX(Rohdaten!$A$85:$LJ$85,MATCH(X$4,RD_Kopf,0))),INDEX(Rohdaten!$A$85:$LJ$85,MATCH(X$4,RD_Kopf,0)),NA()),NA())</f>
        <v>0</v>
      </c>
      <c r="Y96" s="5">
        <f>IFERROR(IF(ISNUMBER(INDEX(Rohdaten!$A$85:$LJ$85,MATCH(Y$4,RD_Kopf,0))),INDEX(Rohdaten!$A$85:$LJ$85,MATCH(Y$4,RD_Kopf,0)),NA()),NA())</f>
        <v>0</v>
      </c>
      <c r="Z96" s="5">
        <f>IFERROR(IF(ISNUMBER(INDEX(Rohdaten!$A$85:$LJ$85,MATCH(Z$4,RD_Kopf,0))),INDEX(Rohdaten!$A$85:$LJ$85,MATCH(Z$4,RD_Kopf,0)),NA()),NA())</f>
        <v>0</v>
      </c>
      <c r="AA96" s="5">
        <f>IFERROR(IF(ISNUMBER(INDEX(Rohdaten!$A$85:$LJ$85,MATCH(AA$4,RD_Kopf,0))),INDEX(Rohdaten!$A$85:$LJ$85,MATCH(AA$4,RD_Kopf,0)),NA()),NA())</f>
        <v>0</v>
      </c>
      <c r="AB96" s="5">
        <f>IFERROR(IF(ISNUMBER(INDEX(Rohdaten!$A$85:$LJ$85,MATCH(AB$4,RD_Kopf,0))),INDEX(Rohdaten!$A$85:$LJ$85,MATCH(AB$4,RD_Kopf,0)),NA()),NA())</f>
        <v>0</v>
      </c>
      <c r="AC96" s="5">
        <f>IFERROR(IF(ISNUMBER(INDEX(Rohdaten!$A$85:$LJ$85,MATCH(AC$4,RD_Kopf,0))),INDEX(Rohdaten!$A$85:$LJ$85,MATCH(AC$4,RD_Kopf,0)),NA()),NA())</f>
        <v>0</v>
      </c>
      <c r="AD96" s="5">
        <f>IFERROR(IF(ISNUMBER(INDEX(Rohdaten!$A$85:$LJ$85,MATCH(AD$4,RD_Kopf,0))),INDEX(Rohdaten!$A$85:$LJ$85,MATCH(AD$4,RD_Kopf,0)),NA()),NA())</f>
        <v>0</v>
      </c>
    </row>
    <row r="97" spans="1:68">
      <c r="A97" s="11" t="s">
        <v>257</v>
      </c>
      <c r="B97" s="11" t="s">
        <v>258</v>
      </c>
      <c r="C97" s="3" t="str">
        <f>"Rohdaten Z. "&amp;ROW(Rohdaten!$A$89)</f>
        <v>Rohdaten Z. 89</v>
      </c>
      <c r="D97" s="5">
        <f>IFERROR(IF(ISNUMBER(INDEX(Rohdaten!$A$89:$LJ$89,MATCH(D$4,RD_Kopf,0))),INDEX(Rohdaten!$A$89:$LJ$89,MATCH(D$4,RD_Kopf,0)),NA()),NA())</f>
        <v>0</v>
      </c>
      <c r="E97" s="5">
        <f>IFERROR(IF(ISNUMBER(INDEX(Rohdaten!$A$89:$LJ$89,MATCH(E$4,RD_Kopf,0))),INDEX(Rohdaten!$A$89:$LJ$89,MATCH(E$4,RD_Kopf,0)),NA()),NA())</f>
        <v>0</v>
      </c>
      <c r="F97" s="5">
        <f>IFERROR(IF(ISNUMBER(INDEX(Rohdaten!$A$89:$LJ$89,MATCH(F$4,RD_Kopf,0))),INDEX(Rohdaten!$A$89:$LJ$89,MATCH(F$4,RD_Kopf,0)),NA()),NA())</f>
        <v>0</v>
      </c>
      <c r="G97" s="5">
        <f>IFERROR(IF(ISNUMBER(INDEX(Rohdaten!$A$89:$LJ$89,MATCH(G$4,RD_Kopf,0))),INDEX(Rohdaten!$A$89:$LJ$89,MATCH(G$4,RD_Kopf,0)),NA()),NA())</f>
        <v>0</v>
      </c>
      <c r="H97" s="5">
        <f>IFERROR(IF(ISNUMBER(INDEX(Rohdaten!$A$89:$LJ$89,MATCH(H$4,RD_Kopf,0))),INDEX(Rohdaten!$A$89:$LJ$89,MATCH(H$4,RD_Kopf,0)),NA()),NA())</f>
        <v>0</v>
      </c>
      <c r="I97" s="5">
        <f>IFERROR(IF(ISNUMBER(INDEX(Rohdaten!$A$89:$LJ$89,MATCH(I$4,RD_Kopf,0))),INDEX(Rohdaten!$A$89:$LJ$89,MATCH(I$4,RD_Kopf,0)),NA()),NA())</f>
        <v>0</v>
      </c>
      <c r="J97" s="5">
        <f>IFERROR(IF(ISNUMBER(INDEX(Rohdaten!$A$89:$LJ$89,MATCH(J$4,RD_Kopf,0))),INDEX(Rohdaten!$A$89:$LJ$89,MATCH(J$4,RD_Kopf,0)),NA()),NA())</f>
        <v>0</v>
      </c>
      <c r="K97" s="5">
        <f>IFERROR(IF(ISNUMBER(INDEX(Rohdaten!$A$89:$LJ$89,MATCH(K$4,RD_Kopf,0))),INDEX(Rohdaten!$A$89:$LJ$89,MATCH(K$4,RD_Kopf,0)),NA()),NA())</f>
        <v>0</v>
      </c>
      <c r="L97" s="5">
        <f>IFERROR(IF(ISNUMBER(INDEX(Rohdaten!$A$89:$LJ$89,MATCH(L$4,RD_Kopf,0))),INDEX(Rohdaten!$A$89:$LJ$89,MATCH(L$4,RD_Kopf,0)),NA()),NA())</f>
        <v>0</v>
      </c>
      <c r="M97" s="5">
        <f>IFERROR(IF(ISNUMBER(INDEX(Rohdaten!$A$89:$LJ$89,MATCH(M$4,RD_Kopf,0))),INDEX(Rohdaten!$A$89:$LJ$89,MATCH(M$4,RD_Kopf,0)),NA()),NA())</f>
        <v>0</v>
      </c>
      <c r="N97" s="5">
        <f>IFERROR(IF(ISNUMBER(INDEX(Rohdaten!$A$89:$LJ$89,MATCH(N$4,RD_Kopf,0))),INDEX(Rohdaten!$A$89:$LJ$89,MATCH(N$4,RD_Kopf,0)),NA()),NA())</f>
        <v>0</v>
      </c>
      <c r="O97" s="5">
        <f>IFERROR(IF(ISNUMBER(INDEX(Rohdaten!$A$89:$LJ$89,MATCH(O$4,RD_Kopf,0))),INDEX(Rohdaten!$A$89:$LJ$89,MATCH(O$4,RD_Kopf,0)),NA()),NA())</f>
        <v>0</v>
      </c>
      <c r="P97" s="5">
        <f>IFERROR(IF(ISNUMBER(INDEX(Rohdaten!$A$89:$LJ$89,MATCH(P$4,RD_Kopf,0))),INDEX(Rohdaten!$A$89:$LJ$89,MATCH(P$4,RD_Kopf,0)),NA()),NA())</f>
        <v>0</v>
      </c>
      <c r="Q97" s="5">
        <f>IFERROR(IF(ISNUMBER(INDEX(Rohdaten!$A$89:$LJ$89,MATCH(Q$4,RD_Kopf,0))),INDEX(Rohdaten!$A$89:$LJ$89,MATCH(Q$4,RD_Kopf,0)),NA()),NA())</f>
        <v>0</v>
      </c>
      <c r="R97" s="5">
        <f>IFERROR(IF(ISNUMBER(INDEX(Rohdaten!$A$89:$LJ$89,MATCH(R$4,RD_Kopf,0))),INDEX(Rohdaten!$A$89:$LJ$89,MATCH(R$4,RD_Kopf,0)),NA()),NA())</f>
        <v>0</v>
      </c>
      <c r="S97" s="5">
        <f>IFERROR(IF(ISNUMBER(INDEX(Rohdaten!$A$89:$LJ$89,MATCH(S$4,RD_Kopf,0))),INDEX(Rohdaten!$A$89:$LJ$89,MATCH(S$4,RD_Kopf,0)),NA()),NA())</f>
        <v>0</v>
      </c>
      <c r="T97" s="5">
        <f>IFERROR(IF(ISNUMBER(INDEX(Rohdaten!$A$89:$LJ$89,MATCH(T$4,RD_Kopf,0))),INDEX(Rohdaten!$A$89:$LJ$89,MATCH(T$4,RD_Kopf,0)),NA()),NA())</f>
        <v>0</v>
      </c>
      <c r="U97" s="5">
        <f>IFERROR(IF(ISNUMBER(INDEX(Rohdaten!$A$89:$LJ$89,MATCH(U$4,RD_Kopf,0))),INDEX(Rohdaten!$A$89:$LJ$89,MATCH(U$4,RD_Kopf,0)),NA()),NA())</f>
        <v>0</v>
      </c>
      <c r="V97" s="5">
        <f>IFERROR(IF(ISNUMBER(INDEX(Rohdaten!$A$89:$LJ$89,MATCH(V$4,RD_Kopf,0))),INDEX(Rohdaten!$A$89:$LJ$89,MATCH(V$4,RD_Kopf,0)),NA()),NA())</f>
        <v>0</v>
      </c>
      <c r="W97" s="5">
        <f>IFERROR(IF(ISNUMBER(INDEX(Rohdaten!$A$89:$LJ$89,MATCH(W$4,RD_Kopf,0))),INDEX(Rohdaten!$A$89:$LJ$89,MATCH(W$4,RD_Kopf,0)),NA()),NA())</f>
        <v>0</v>
      </c>
      <c r="X97" s="5">
        <f>IFERROR(IF(ISNUMBER(INDEX(Rohdaten!$A$89:$LJ$89,MATCH(X$4,RD_Kopf,0))),INDEX(Rohdaten!$A$89:$LJ$89,MATCH(X$4,RD_Kopf,0)),NA()),NA())</f>
        <v>0</v>
      </c>
      <c r="Y97" s="5">
        <f>IFERROR(IF(ISNUMBER(INDEX(Rohdaten!$A$89:$LJ$89,MATCH(Y$4,RD_Kopf,0))),INDEX(Rohdaten!$A$89:$LJ$89,MATCH(Y$4,RD_Kopf,0)),NA()),NA())</f>
        <v>0</v>
      </c>
      <c r="Z97" s="5">
        <f>IFERROR(IF(ISNUMBER(INDEX(Rohdaten!$A$89:$LJ$89,MATCH(Z$4,RD_Kopf,0))),INDEX(Rohdaten!$A$89:$LJ$89,MATCH(Z$4,RD_Kopf,0)),NA()),NA())</f>
        <v>0</v>
      </c>
      <c r="AA97" s="5">
        <f>IFERROR(IF(ISNUMBER(INDEX(Rohdaten!$A$89:$LJ$89,MATCH(AA$4,RD_Kopf,0))),INDEX(Rohdaten!$A$89:$LJ$89,MATCH(AA$4,RD_Kopf,0)),NA()),NA())</f>
        <v>0</v>
      </c>
      <c r="AB97" s="5">
        <f>IFERROR(IF(ISNUMBER(INDEX(Rohdaten!$A$89:$LJ$89,MATCH(AB$4,RD_Kopf,0))),INDEX(Rohdaten!$A$89:$LJ$89,MATCH(AB$4,RD_Kopf,0)),NA()),NA())</f>
        <v>0</v>
      </c>
      <c r="AC97" s="5">
        <f>IFERROR(IF(ISNUMBER(INDEX(Rohdaten!$A$89:$LJ$89,MATCH(AC$4,RD_Kopf,0))),INDEX(Rohdaten!$A$89:$LJ$89,MATCH(AC$4,RD_Kopf,0)),NA()),NA())</f>
        <v>0</v>
      </c>
      <c r="AD97" s="5">
        <f>IFERROR(IF(ISNUMBER(INDEX(Rohdaten!$A$89:$LJ$89,MATCH(AD$4,RD_Kopf,0))),INDEX(Rohdaten!$A$89:$LJ$89,MATCH(AD$4,RD_Kopf,0)),NA()),NA())</f>
        <v>0</v>
      </c>
    </row>
    <row r="98" spans="1:68">
      <c r="A98" s="11" t="s">
        <v>259</v>
      </c>
      <c r="B98" s="11" t="s">
        <v>260</v>
      </c>
      <c r="C98" s="3" t="str">
        <f>"Rohdaten Z. "&amp;ROW(Rohdaten!$A$86)</f>
        <v>Rohdaten Z. 86</v>
      </c>
      <c r="D98" s="5">
        <f>IFERROR(IF(ISNUMBER(INDEX(Rohdaten!$A$86:$LJ$86,MATCH(D$4,RD_Kopf,0))),INDEX(Rohdaten!$A$86:$LJ$86,MATCH(D$4,RD_Kopf,0)),NA()),NA())</f>
        <v>0</v>
      </c>
      <c r="E98" s="5">
        <f>IFERROR(IF(ISNUMBER(INDEX(Rohdaten!$A$86:$LJ$86,MATCH(E$4,RD_Kopf,0))),INDEX(Rohdaten!$A$86:$LJ$86,MATCH(E$4,RD_Kopf,0)),NA()),NA())</f>
        <v>0</v>
      </c>
      <c r="F98" s="5">
        <f>IFERROR(IF(ISNUMBER(INDEX(Rohdaten!$A$86:$LJ$86,MATCH(F$4,RD_Kopf,0))),INDEX(Rohdaten!$A$86:$LJ$86,MATCH(F$4,RD_Kopf,0)),NA()),NA())</f>
        <v>0</v>
      </c>
      <c r="G98" s="5">
        <f>IFERROR(IF(ISNUMBER(INDEX(Rohdaten!$A$86:$LJ$86,MATCH(G$4,RD_Kopf,0))),INDEX(Rohdaten!$A$86:$LJ$86,MATCH(G$4,RD_Kopf,0)),NA()),NA())</f>
        <v>0</v>
      </c>
      <c r="H98" s="5">
        <f>IFERROR(IF(ISNUMBER(INDEX(Rohdaten!$A$86:$LJ$86,MATCH(H$4,RD_Kopf,0))),INDEX(Rohdaten!$A$86:$LJ$86,MATCH(H$4,RD_Kopf,0)),NA()),NA())</f>
        <v>0</v>
      </c>
      <c r="I98" s="5">
        <f>IFERROR(IF(ISNUMBER(INDEX(Rohdaten!$A$86:$LJ$86,MATCH(I$4,RD_Kopf,0))),INDEX(Rohdaten!$A$86:$LJ$86,MATCH(I$4,RD_Kopf,0)),NA()),NA())</f>
        <v>0</v>
      </c>
      <c r="J98" s="5">
        <f>IFERROR(IF(ISNUMBER(INDEX(Rohdaten!$A$86:$LJ$86,MATCH(J$4,RD_Kopf,0))),INDEX(Rohdaten!$A$86:$LJ$86,MATCH(J$4,RD_Kopf,0)),NA()),NA())</f>
        <v>0</v>
      </c>
      <c r="K98" s="5">
        <f>IFERROR(IF(ISNUMBER(INDEX(Rohdaten!$A$86:$LJ$86,MATCH(K$4,RD_Kopf,0))),INDEX(Rohdaten!$A$86:$LJ$86,MATCH(K$4,RD_Kopf,0)),NA()),NA())</f>
        <v>0</v>
      </c>
      <c r="L98" s="5">
        <f>IFERROR(IF(ISNUMBER(INDEX(Rohdaten!$A$86:$LJ$86,MATCH(L$4,RD_Kopf,0))),INDEX(Rohdaten!$A$86:$LJ$86,MATCH(L$4,RD_Kopf,0)),NA()),NA())</f>
        <v>0</v>
      </c>
      <c r="M98" s="5">
        <f>IFERROR(IF(ISNUMBER(INDEX(Rohdaten!$A$86:$LJ$86,MATCH(M$4,RD_Kopf,0))),INDEX(Rohdaten!$A$86:$LJ$86,MATCH(M$4,RD_Kopf,0)),NA()),NA())</f>
        <v>0</v>
      </c>
      <c r="N98" s="5">
        <f>IFERROR(IF(ISNUMBER(INDEX(Rohdaten!$A$86:$LJ$86,MATCH(N$4,RD_Kopf,0))),INDEX(Rohdaten!$A$86:$LJ$86,MATCH(N$4,RD_Kopf,0)),NA()),NA())</f>
        <v>0</v>
      </c>
      <c r="O98" s="5">
        <f>IFERROR(IF(ISNUMBER(INDEX(Rohdaten!$A$86:$LJ$86,MATCH(O$4,RD_Kopf,0))),INDEX(Rohdaten!$A$86:$LJ$86,MATCH(O$4,RD_Kopf,0)),NA()),NA())</f>
        <v>0</v>
      </c>
      <c r="P98" s="5">
        <f>IFERROR(IF(ISNUMBER(INDEX(Rohdaten!$A$86:$LJ$86,MATCH(P$4,RD_Kopf,0))),INDEX(Rohdaten!$A$86:$LJ$86,MATCH(P$4,RD_Kopf,0)),NA()),NA())</f>
        <v>0</v>
      </c>
      <c r="Q98" s="5">
        <f>IFERROR(IF(ISNUMBER(INDEX(Rohdaten!$A$86:$LJ$86,MATCH(Q$4,RD_Kopf,0))),INDEX(Rohdaten!$A$86:$LJ$86,MATCH(Q$4,RD_Kopf,0)),NA()),NA())</f>
        <v>0</v>
      </c>
      <c r="R98" s="5">
        <f>IFERROR(IF(ISNUMBER(INDEX(Rohdaten!$A$86:$LJ$86,MATCH(R$4,RD_Kopf,0))),INDEX(Rohdaten!$A$86:$LJ$86,MATCH(R$4,RD_Kopf,0)),NA()),NA())</f>
        <v>0</v>
      </c>
      <c r="S98" s="5">
        <f>IFERROR(IF(ISNUMBER(INDEX(Rohdaten!$A$86:$LJ$86,MATCH(S$4,RD_Kopf,0))),INDEX(Rohdaten!$A$86:$LJ$86,MATCH(S$4,RD_Kopf,0)),NA()),NA())</f>
        <v>0</v>
      </c>
      <c r="T98" s="5">
        <f>IFERROR(IF(ISNUMBER(INDEX(Rohdaten!$A$86:$LJ$86,MATCH(T$4,RD_Kopf,0))),INDEX(Rohdaten!$A$86:$LJ$86,MATCH(T$4,RD_Kopf,0)),NA()),NA())</f>
        <v>0</v>
      </c>
      <c r="U98" s="5">
        <f>IFERROR(IF(ISNUMBER(INDEX(Rohdaten!$A$86:$LJ$86,MATCH(U$4,RD_Kopf,0))),INDEX(Rohdaten!$A$86:$LJ$86,MATCH(U$4,RD_Kopf,0)),NA()),NA())</f>
        <v>0</v>
      </c>
      <c r="V98" s="5">
        <f>IFERROR(IF(ISNUMBER(INDEX(Rohdaten!$A$86:$LJ$86,MATCH(V$4,RD_Kopf,0))),INDEX(Rohdaten!$A$86:$LJ$86,MATCH(V$4,RD_Kopf,0)),NA()),NA())</f>
        <v>0</v>
      </c>
      <c r="W98" s="5">
        <f>IFERROR(IF(ISNUMBER(INDEX(Rohdaten!$A$86:$LJ$86,MATCH(W$4,RD_Kopf,0))),INDEX(Rohdaten!$A$86:$LJ$86,MATCH(W$4,RD_Kopf,0)),NA()),NA())</f>
        <v>0</v>
      </c>
      <c r="X98" s="5">
        <f>IFERROR(IF(ISNUMBER(INDEX(Rohdaten!$A$86:$LJ$86,MATCH(X$4,RD_Kopf,0))),INDEX(Rohdaten!$A$86:$LJ$86,MATCH(X$4,RD_Kopf,0)),NA()),NA())</f>
        <v>0</v>
      </c>
      <c r="Y98" s="5">
        <f>IFERROR(IF(ISNUMBER(INDEX(Rohdaten!$A$86:$LJ$86,MATCH(Y$4,RD_Kopf,0))),INDEX(Rohdaten!$A$86:$LJ$86,MATCH(Y$4,RD_Kopf,0)),NA()),NA())</f>
        <v>0</v>
      </c>
      <c r="Z98" s="5">
        <f>IFERROR(IF(ISNUMBER(INDEX(Rohdaten!$A$86:$LJ$86,MATCH(Z$4,RD_Kopf,0))),INDEX(Rohdaten!$A$86:$LJ$86,MATCH(Z$4,RD_Kopf,0)),NA()),NA())</f>
        <v>0</v>
      </c>
      <c r="AA98" s="5">
        <f>IFERROR(IF(ISNUMBER(INDEX(Rohdaten!$A$86:$LJ$86,MATCH(AA$4,RD_Kopf,0))),INDEX(Rohdaten!$A$86:$LJ$86,MATCH(AA$4,RD_Kopf,0)),NA()),NA())</f>
        <v>0</v>
      </c>
      <c r="AB98" s="5">
        <f>IFERROR(IF(ISNUMBER(INDEX(Rohdaten!$A$86:$LJ$86,MATCH(AB$4,RD_Kopf,0))),INDEX(Rohdaten!$A$86:$LJ$86,MATCH(AB$4,RD_Kopf,0)),NA()),NA())</f>
        <v>0</v>
      </c>
      <c r="AC98" s="5">
        <f>IFERROR(IF(ISNUMBER(INDEX(Rohdaten!$A$86:$LJ$86,MATCH(AC$4,RD_Kopf,0))),INDEX(Rohdaten!$A$86:$LJ$86,MATCH(AC$4,RD_Kopf,0)),NA()),NA())</f>
        <v>0</v>
      </c>
      <c r="AD98" s="5">
        <f>IFERROR(IF(ISNUMBER(INDEX(Rohdaten!$A$86:$LJ$86,MATCH(AD$4,RD_Kopf,0))),INDEX(Rohdaten!$A$86:$LJ$86,MATCH(AD$4,RD_Kopf,0)),NA()),NA())</f>
        <v>0</v>
      </c>
    </row>
    <row r="99" spans="1:68">
      <c r="A99" s="11" t="s">
        <v>261</v>
      </c>
      <c r="B99" s="11" t="s">
        <v>262</v>
      </c>
      <c r="C99" s="3" t="str">
        <f>"Rohdaten Z. "&amp;ROW(Rohdaten!$A$90)</f>
        <v>Rohdaten Z. 90</v>
      </c>
      <c r="D99" s="5">
        <f>IFERROR(IF(ISNUMBER(INDEX(Rohdaten!$A$90:$LJ$90,MATCH(D$4,RD_Kopf,0))),INDEX(Rohdaten!$A$90:$LJ$90,MATCH(D$4,RD_Kopf,0)),NA()),NA())</f>
        <v>0</v>
      </c>
      <c r="E99" s="5">
        <f>IFERROR(IF(ISNUMBER(INDEX(Rohdaten!$A$90:$LJ$90,MATCH(E$4,RD_Kopf,0))),INDEX(Rohdaten!$A$90:$LJ$90,MATCH(E$4,RD_Kopf,0)),NA()),NA())</f>
        <v>0</v>
      </c>
      <c r="F99" s="5">
        <f>IFERROR(IF(ISNUMBER(INDEX(Rohdaten!$A$90:$LJ$90,MATCH(F$4,RD_Kopf,0))),INDEX(Rohdaten!$A$90:$LJ$90,MATCH(F$4,RD_Kopf,0)),NA()),NA())</f>
        <v>0</v>
      </c>
      <c r="G99" s="5">
        <f>IFERROR(IF(ISNUMBER(INDEX(Rohdaten!$A$90:$LJ$90,MATCH(G$4,RD_Kopf,0))),INDEX(Rohdaten!$A$90:$LJ$90,MATCH(G$4,RD_Kopf,0)),NA()),NA())</f>
        <v>0</v>
      </c>
      <c r="H99" s="5">
        <f>IFERROR(IF(ISNUMBER(INDEX(Rohdaten!$A$90:$LJ$90,MATCH(H$4,RD_Kopf,0))),INDEX(Rohdaten!$A$90:$LJ$90,MATCH(H$4,RD_Kopf,0)),NA()),NA())</f>
        <v>0</v>
      </c>
      <c r="I99" s="5">
        <f>IFERROR(IF(ISNUMBER(INDEX(Rohdaten!$A$90:$LJ$90,MATCH(I$4,RD_Kopf,0))),INDEX(Rohdaten!$A$90:$LJ$90,MATCH(I$4,RD_Kopf,0)),NA()),NA())</f>
        <v>0</v>
      </c>
      <c r="J99" s="5">
        <f>IFERROR(IF(ISNUMBER(INDEX(Rohdaten!$A$90:$LJ$90,MATCH(J$4,RD_Kopf,0))),INDEX(Rohdaten!$A$90:$LJ$90,MATCH(J$4,RD_Kopf,0)),NA()),NA())</f>
        <v>0</v>
      </c>
      <c r="K99" s="5">
        <f>IFERROR(IF(ISNUMBER(INDEX(Rohdaten!$A$90:$LJ$90,MATCH(K$4,RD_Kopf,0))),INDEX(Rohdaten!$A$90:$LJ$90,MATCH(K$4,RD_Kopf,0)),NA()),NA())</f>
        <v>0</v>
      </c>
      <c r="L99" s="5">
        <f>IFERROR(IF(ISNUMBER(INDEX(Rohdaten!$A$90:$LJ$90,MATCH(L$4,RD_Kopf,0))),INDEX(Rohdaten!$A$90:$LJ$90,MATCH(L$4,RD_Kopf,0)),NA()),NA())</f>
        <v>0</v>
      </c>
      <c r="M99" s="5">
        <f>IFERROR(IF(ISNUMBER(INDEX(Rohdaten!$A$90:$LJ$90,MATCH(M$4,RD_Kopf,0))),INDEX(Rohdaten!$A$90:$LJ$90,MATCH(M$4,RD_Kopf,0)),NA()),NA())</f>
        <v>0</v>
      </c>
      <c r="N99" s="5">
        <f>IFERROR(IF(ISNUMBER(INDEX(Rohdaten!$A$90:$LJ$90,MATCH(N$4,RD_Kopf,0))),INDEX(Rohdaten!$A$90:$LJ$90,MATCH(N$4,RD_Kopf,0)),NA()),NA())</f>
        <v>0</v>
      </c>
      <c r="O99" s="5">
        <f>IFERROR(IF(ISNUMBER(INDEX(Rohdaten!$A$90:$LJ$90,MATCH(O$4,RD_Kopf,0))),INDEX(Rohdaten!$A$90:$LJ$90,MATCH(O$4,RD_Kopf,0)),NA()),NA())</f>
        <v>0</v>
      </c>
      <c r="P99" s="5">
        <f>IFERROR(IF(ISNUMBER(INDEX(Rohdaten!$A$90:$LJ$90,MATCH(P$4,RD_Kopf,0))),INDEX(Rohdaten!$A$90:$LJ$90,MATCH(P$4,RD_Kopf,0)),NA()),NA())</f>
        <v>0</v>
      </c>
      <c r="Q99" s="5">
        <f>IFERROR(IF(ISNUMBER(INDEX(Rohdaten!$A$90:$LJ$90,MATCH(Q$4,RD_Kopf,0))),INDEX(Rohdaten!$A$90:$LJ$90,MATCH(Q$4,RD_Kopf,0)),NA()),NA())</f>
        <v>0</v>
      </c>
      <c r="R99" s="5">
        <f>IFERROR(IF(ISNUMBER(INDEX(Rohdaten!$A$90:$LJ$90,MATCH(R$4,RD_Kopf,0))),INDEX(Rohdaten!$A$90:$LJ$90,MATCH(R$4,RD_Kopf,0)),NA()),NA())</f>
        <v>0</v>
      </c>
      <c r="S99" s="5">
        <f>IFERROR(IF(ISNUMBER(INDEX(Rohdaten!$A$90:$LJ$90,MATCH(S$4,RD_Kopf,0))),INDEX(Rohdaten!$A$90:$LJ$90,MATCH(S$4,RD_Kopf,0)),NA()),NA())</f>
        <v>0</v>
      </c>
      <c r="T99" s="5">
        <f>IFERROR(IF(ISNUMBER(INDEX(Rohdaten!$A$90:$LJ$90,MATCH(T$4,RD_Kopf,0))),INDEX(Rohdaten!$A$90:$LJ$90,MATCH(T$4,RD_Kopf,0)),NA()),NA())</f>
        <v>0</v>
      </c>
      <c r="U99" s="5">
        <f>IFERROR(IF(ISNUMBER(INDEX(Rohdaten!$A$90:$LJ$90,MATCH(U$4,RD_Kopf,0))),INDEX(Rohdaten!$A$90:$LJ$90,MATCH(U$4,RD_Kopf,0)),NA()),NA())</f>
        <v>0</v>
      </c>
      <c r="V99" s="5">
        <f>IFERROR(IF(ISNUMBER(INDEX(Rohdaten!$A$90:$LJ$90,MATCH(V$4,RD_Kopf,0))),INDEX(Rohdaten!$A$90:$LJ$90,MATCH(V$4,RD_Kopf,0)),NA()),NA())</f>
        <v>0</v>
      </c>
      <c r="W99" s="5">
        <f>IFERROR(IF(ISNUMBER(INDEX(Rohdaten!$A$90:$LJ$90,MATCH(W$4,RD_Kopf,0))),INDEX(Rohdaten!$A$90:$LJ$90,MATCH(W$4,RD_Kopf,0)),NA()),NA())</f>
        <v>0</v>
      </c>
      <c r="X99" s="5">
        <f>IFERROR(IF(ISNUMBER(INDEX(Rohdaten!$A$90:$LJ$90,MATCH(X$4,RD_Kopf,0))),INDEX(Rohdaten!$A$90:$LJ$90,MATCH(X$4,RD_Kopf,0)),NA()),NA())</f>
        <v>0</v>
      </c>
      <c r="Y99" s="5">
        <f>IFERROR(IF(ISNUMBER(INDEX(Rohdaten!$A$90:$LJ$90,MATCH(Y$4,RD_Kopf,0))),INDEX(Rohdaten!$A$90:$LJ$90,MATCH(Y$4,RD_Kopf,0)),NA()),NA())</f>
        <v>0</v>
      </c>
      <c r="Z99" s="5">
        <f>IFERROR(IF(ISNUMBER(INDEX(Rohdaten!$A$90:$LJ$90,MATCH(Z$4,RD_Kopf,0))),INDEX(Rohdaten!$A$90:$LJ$90,MATCH(Z$4,RD_Kopf,0)),NA()),NA())</f>
        <v>0</v>
      </c>
      <c r="AA99" s="5">
        <f>IFERROR(IF(ISNUMBER(INDEX(Rohdaten!$A$90:$LJ$90,MATCH(AA$4,RD_Kopf,0))),INDEX(Rohdaten!$A$90:$LJ$90,MATCH(AA$4,RD_Kopf,0)),NA()),NA())</f>
        <v>0</v>
      </c>
      <c r="AB99" s="5">
        <f>IFERROR(IF(ISNUMBER(INDEX(Rohdaten!$A$90:$LJ$90,MATCH(AB$4,RD_Kopf,0))),INDEX(Rohdaten!$A$90:$LJ$90,MATCH(AB$4,RD_Kopf,0)),NA()),NA())</f>
        <v>0</v>
      </c>
      <c r="AC99" s="5">
        <f>IFERROR(IF(ISNUMBER(INDEX(Rohdaten!$A$90:$LJ$90,MATCH(AC$4,RD_Kopf,0))),INDEX(Rohdaten!$A$90:$LJ$90,MATCH(AC$4,RD_Kopf,0)),NA()),NA())</f>
        <v>0</v>
      </c>
      <c r="AD99" s="5">
        <f>IFERROR(IF(ISNUMBER(INDEX(Rohdaten!$A$90:$LJ$90,MATCH(AD$4,RD_Kopf,0))),INDEX(Rohdaten!$A$90:$LJ$90,MATCH(AD$4,RD_Kopf,0)),NA()),NA())</f>
        <v>0</v>
      </c>
    </row>
    <row r="100" spans="1:68">
      <c r="A100" s="11" t="s">
        <v>263</v>
      </c>
      <c r="B100" s="11" t="s">
        <v>264</v>
      </c>
      <c r="C100" s="3" t="s">
        <v>137</v>
      </c>
      <c r="D100" s="5">
        <f>IF(COUNT(D94,D96,D98)=0,NA(),SUM(D94,D96,D98))</f>
        <v>0</v>
      </c>
      <c r="E100" s="5">
        <f>IF(COUNT(E94,E96,E98)=0,NA(),SUM(E94,E96,E98))</f>
        <v>0</v>
      </c>
      <c r="F100" s="5">
        <f>IF(COUNT(F94,F96,F98)=0,NA(),SUM(F94,F96,F98))</f>
        <v>0</v>
      </c>
      <c r="G100" s="5">
        <f>IF(COUNT(G94,G96,G98)=0,NA(),SUM(G94,G96,G98))</f>
        <v>0</v>
      </c>
      <c r="H100" s="5">
        <f>IF(COUNT(H94,H96,H98)=0,NA(),SUM(H94,H96,H98))</f>
        <v>0</v>
      </c>
      <c r="I100" s="5">
        <f>IF(COUNT(I94,I96,I98)=0,NA(),SUM(I94,I96,I98))</f>
        <v>0</v>
      </c>
      <c r="J100" s="5">
        <f>IF(COUNT(J94,J96,J98)=0,NA(),SUM(J94,J96,J98))</f>
        <v>0</v>
      </c>
      <c r="K100" s="5">
        <f>IF(COUNT(K94,K96,K98)=0,NA(),SUM(K94,K96,K98))</f>
        <v>0</v>
      </c>
      <c r="L100" s="5">
        <f>IF(COUNT(L94,L96,L98)=0,NA(),SUM(L94,L96,L98))</f>
        <v>0</v>
      </c>
      <c r="M100" s="5">
        <f>IF(COUNT(M94,M96,M98)=0,NA(),SUM(M94,M96,M98))</f>
        <v>0</v>
      </c>
      <c r="N100" s="5">
        <f>IF(COUNT(N94,N96,N98)=0,NA(),SUM(N94,N96,N98))</f>
        <v>0</v>
      </c>
      <c r="O100" s="5">
        <f>IF(COUNT(O94,O96,O98)=0,NA(),SUM(O94,O96,O98))</f>
        <v>0</v>
      </c>
      <c r="P100" s="5">
        <f>IF(COUNT(P94,P96,P98)=0,NA(),SUM(P94,P96,P98))</f>
        <v>0</v>
      </c>
      <c r="Q100" s="5">
        <f>IF(COUNT(Q94,Q96,Q98)=0,NA(),SUM(Q94,Q96,Q98))</f>
        <v>0</v>
      </c>
      <c r="R100" s="5">
        <f>IF(COUNT(R94,R96,R98)=0,NA(),SUM(R94,R96,R98))</f>
        <v>0</v>
      </c>
      <c r="S100" s="5">
        <f>IF(COUNT(S94,S96,S98)=0,NA(),SUM(S94,S96,S98))</f>
        <v>0</v>
      </c>
      <c r="T100" s="5">
        <f>IF(COUNT(T94,T96,T98)=0,NA(),SUM(T94,T96,T98))</f>
        <v>0</v>
      </c>
      <c r="U100" s="5">
        <f>IF(COUNT(U94,U96,U98)=0,NA(),SUM(U94,U96,U98))</f>
        <v>0</v>
      </c>
      <c r="V100" s="5">
        <f>IF(COUNT(V94,V96,V98)=0,NA(),SUM(V94,V96,V98))</f>
        <v>0</v>
      </c>
      <c r="W100" s="5">
        <f>IF(COUNT(W94,W96,W98)=0,NA(),SUM(W94,W96,W98))</f>
        <v>0</v>
      </c>
      <c r="X100" s="5">
        <f>IF(COUNT(X94,X96,X98)=0,NA(),SUM(X94,X96,X98))</f>
        <v>0</v>
      </c>
      <c r="Y100" s="5">
        <f>IF(COUNT(Y94,Y96,Y98)=0,NA(),SUM(Y94,Y96,Y98))</f>
        <v>0</v>
      </c>
      <c r="Z100" s="5">
        <f>IF(COUNT(Z94,Z96,Z98)=0,NA(),SUM(Z94,Z96,Z98))</f>
        <v>0</v>
      </c>
      <c r="AA100" s="5">
        <f>IF(COUNT(AA94,AA96,AA98)=0,NA(),SUM(AA94,AA96,AA98))</f>
        <v>0</v>
      </c>
      <c r="AB100" s="5">
        <f>IF(COUNT(AB94,AB96,AB98)=0,NA(),SUM(AB94,AB96,AB98))</f>
        <v>0</v>
      </c>
      <c r="AC100" s="5">
        <f>IF(COUNT(AC94,AC96,AC98)=0,NA(),SUM(AC94,AC96,AC98))</f>
        <v>0</v>
      </c>
      <c r="AD100" s="5">
        <f>IF(COUNT(AD94,AD96,AD98)=0,NA(),SUM(AD94,AD96,AD98))</f>
        <v>0</v>
      </c>
    </row>
    <row r="101" spans="1:68">
      <c r="A101" s="11" t="s">
        <v>265</v>
      </c>
      <c r="B101" s="11" t="s">
        <v>266</v>
      </c>
      <c r="C101" s="3" t="s">
        <v>137</v>
      </c>
      <c r="D101" s="5">
        <f>IF(COUNT(D95,D97,D99)=0,NA(),SUM(D95,D97,D99))</f>
        <v>0</v>
      </c>
      <c r="E101" s="5">
        <f>IF(COUNT(E95,E97,E99)=0,NA(),SUM(E95,E97,E99))</f>
        <v>0</v>
      </c>
      <c r="F101" s="5">
        <f>IF(COUNT(F95,F97,F99)=0,NA(),SUM(F95,F97,F99))</f>
        <v>0</v>
      </c>
      <c r="G101" s="5">
        <f>IF(COUNT(G95,G97,G99)=0,NA(),SUM(G95,G97,G99))</f>
        <v>0</v>
      </c>
      <c r="H101" s="5">
        <f>IF(COUNT(H95,H97,H99)=0,NA(),SUM(H95,H97,H99))</f>
        <v>0</v>
      </c>
      <c r="I101" s="5">
        <f>IF(COUNT(I95,I97,I99)=0,NA(),SUM(I95,I97,I99))</f>
        <v>0</v>
      </c>
      <c r="J101" s="5">
        <f>IF(COUNT(J95,J97,J99)=0,NA(),SUM(J95,J97,J99))</f>
        <v>0</v>
      </c>
      <c r="K101" s="5">
        <f>IF(COUNT(K95,K97,K99)=0,NA(),SUM(K95,K97,K99))</f>
        <v>0</v>
      </c>
      <c r="L101" s="5">
        <f>IF(COUNT(L95,L97,L99)=0,NA(),SUM(L95,L97,L99))</f>
        <v>0</v>
      </c>
      <c r="M101" s="5">
        <f>IF(COUNT(M95,M97,M99)=0,NA(),SUM(M95,M97,M99))</f>
        <v>0</v>
      </c>
      <c r="N101" s="5">
        <f>IF(COUNT(N95,N97,N99)=0,NA(),SUM(N95,N97,N99))</f>
        <v>0</v>
      </c>
      <c r="O101" s="5">
        <f>IF(COUNT(O95,O97,O99)=0,NA(),SUM(O95,O97,O99))</f>
        <v>0</v>
      </c>
      <c r="P101" s="5">
        <f>IF(COUNT(P95,P97,P99)=0,NA(),SUM(P95,P97,P99))</f>
        <v>0</v>
      </c>
      <c r="Q101" s="5">
        <f>IF(COUNT(Q95,Q97,Q99)=0,NA(),SUM(Q95,Q97,Q99))</f>
        <v>0</v>
      </c>
      <c r="R101" s="5">
        <f>IF(COUNT(R95,R97,R99)=0,NA(),SUM(R95,R97,R99))</f>
        <v>0</v>
      </c>
      <c r="S101" s="5">
        <f>IF(COUNT(S95,S97,S99)=0,NA(),SUM(S95,S97,S99))</f>
        <v>0</v>
      </c>
      <c r="T101" s="5">
        <f>IF(COUNT(T95,T97,T99)=0,NA(),SUM(T95,T97,T99))</f>
        <v>0</v>
      </c>
      <c r="U101" s="5">
        <f>IF(COUNT(U95,U97,U99)=0,NA(),SUM(U95,U97,U99))</f>
        <v>0</v>
      </c>
      <c r="V101" s="5">
        <f>IF(COUNT(V95,V97,V99)=0,NA(),SUM(V95,V97,V99))</f>
        <v>0</v>
      </c>
      <c r="W101" s="5">
        <f>IF(COUNT(W95,W97,W99)=0,NA(),SUM(W95,W97,W99))</f>
        <v>0</v>
      </c>
      <c r="X101" s="5">
        <f>IF(COUNT(X95,X97,X99)=0,NA(),SUM(X95,X97,X99))</f>
        <v>0</v>
      </c>
      <c r="Y101" s="5">
        <f>IF(COUNT(Y95,Y97,Y99)=0,NA(),SUM(Y95,Y97,Y99))</f>
        <v>0</v>
      </c>
      <c r="Z101" s="5">
        <f>IF(COUNT(Z95,Z97,Z99)=0,NA(),SUM(Z95,Z97,Z99))</f>
        <v>0</v>
      </c>
      <c r="AA101" s="5">
        <f>IF(COUNT(AA95,AA97,AA99)=0,NA(),SUM(AA95,AA97,AA99))</f>
        <v>0</v>
      </c>
      <c r="AB101" s="5">
        <f>IF(COUNT(AB95,AB97,AB99)=0,NA(),SUM(AB95,AB97,AB99))</f>
        <v>0</v>
      </c>
      <c r="AC101" s="5">
        <f>IF(COUNT(AC95,AC97,AC99)=0,NA(),SUM(AC95,AC97,AC99))</f>
        <v>0</v>
      </c>
      <c r="AD101" s="5">
        <f>IF(COUNT(AD95,AD97,AD99)=0,NA(),SUM(AD95,AD97,AD99))</f>
        <v>0</v>
      </c>
    </row>
    <row r="102" spans="1:68">
      <c r="A102" s="11" t="s">
        <v>267</v>
      </c>
      <c r="B102" s="11" t="s">
        <v>268</v>
      </c>
      <c r="C102" s="3" t="s">
        <v>137</v>
      </c>
      <c r="D102" s="5">
        <f>IF(COUNT(D91,D92,D93)=0,NA(),SUM(D91,D92,D93))</f>
        <v>0</v>
      </c>
      <c r="E102" s="5">
        <f>IF(COUNT(E91,E92,E93)=0,NA(),SUM(E91,E92,E93))</f>
        <v>0</v>
      </c>
      <c r="F102" s="5">
        <f>IF(COUNT(F91,F92,F93)=0,NA(),SUM(F91,F92,F93))</f>
        <v>0</v>
      </c>
      <c r="G102" s="5">
        <f>IF(COUNT(G91,G92,G93)=0,NA(),SUM(G91,G92,G93))</f>
        <v>0</v>
      </c>
      <c r="H102" s="5">
        <f>IF(COUNT(H91,H92,H93)=0,NA(),SUM(H91,H92,H93))</f>
        <v>0</v>
      </c>
      <c r="I102" s="5">
        <f>IF(COUNT(I91,I92,I93)=0,NA(),SUM(I91,I92,I93))</f>
        <v>0</v>
      </c>
      <c r="J102" s="5">
        <f>IF(COUNT(J91,J92,J93)=0,NA(),SUM(J91,J92,J93))</f>
        <v>0</v>
      </c>
      <c r="K102" s="5">
        <f>IF(COUNT(K91,K92,K93)=0,NA(),SUM(K91,K92,K93))</f>
        <v>0</v>
      </c>
      <c r="L102" s="5">
        <f>IF(COUNT(L91,L92,L93)=0,NA(),SUM(L91,L92,L93))</f>
        <v>0</v>
      </c>
      <c r="M102" s="5">
        <f>IF(COUNT(M91,M92,M93)=0,NA(),SUM(M91,M92,M93))</f>
        <v>0</v>
      </c>
      <c r="N102" s="5">
        <f>IF(COUNT(N91,N92,N93)=0,NA(),SUM(N91,N92,N93))</f>
        <v>0</v>
      </c>
      <c r="O102" s="5">
        <f>IF(COUNT(O91,O92,O93)=0,NA(),SUM(O91,O92,O93))</f>
        <v>0</v>
      </c>
      <c r="P102" s="5">
        <f>IF(COUNT(P91,P92,P93)=0,NA(),SUM(P91,P92,P93))</f>
        <v>0</v>
      </c>
      <c r="Q102" s="5">
        <f>IF(COUNT(Q91,Q92,Q93)=0,NA(),SUM(Q91,Q92,Q93))</f>
        <v>0</v>
      </c>
      <c r="R102" s="5">
        <f>IF(COUNT(R91,R92,R93)=0,NA(),SUM(R91,R92,R93))</f>
        <v>0</v>
      </c>
      <c r="S102" s="5">
        <f>IF(COUNT(S91,S92,S93)=0,NA(),SUM(S91,S92,S93))</f>
        <v>0</v>
      </c>
      <c r="T102" s="5">
        <f>IF(COUNT(T91,T92,T93)=0,NA(),SUM(T91,T92,T93))</f>
        <v>0</v>
      </c>
      <c r="U102" s="5">
        <f>IF(COUNT(U91,U92,U93)=0,NA(),SUM(U91,U92,U93))</f>
        <v>0</v>
      </c>
      <c r="V102" s="5">
        <f>IF(COUNT(V91,V92,V93)=0,NA(),SUM(V91,V92,V93))</f>
        <v>0</v>
      </c>
      <c r="W102" s="5">
        <f>IF(COUNT(W91,W92,W93)=0,NA(),SUM(W91,W92,W93))</f>
        <v>0</v>
      </c>
      <c r="X102" s="5">
        <f>IF(COUNT(X91,X92,X93)=0,NA(),SUM(X91,X92,X93))</f>
        <v>0</v>
      </c>
      <c r="Y102" s="5">
        <f>IF(COUNT(Y91,Y92,Y93)=0,NA(),SUM(Y91,Y92,Y93))</f>
        <v>0</v>
      </c>
      <c r="Z102" s="5">
        <f>IF(COUNT(Z91,Z92,Z93)=0,NA(),SUM(Z91,Z92,Z93))</f>
        <v>0</v>
      </c>
      <c r="AA102" s="5">
        <f>IF(COUNT(AA91,AA92,AA93)=0,NA(),SUM(AA91,AA92,AA93))</f>
        <v>0</v>
      </c>
      <c r="AB102" s="5">
        <f>IF(COUNT(AB91,AB92,AB93)=0,NA(),SUM(AB91,AB92,AB93))</f>
        <v>0</v>
      </c>
      <c r="AC102" s="5">
        <f>IF(COUNT(AC91,AC92,AC93)=0,NA(),SUM(AC91,AC92,AC93))</f>
        <v>0</v>
      </c>
      <c r="AD102" s="5">
        <f>IF(COUNT(AD91,AD92,AD93)=0,NA(),SUM(AD91,AD92,AD93))</f>
        <v>0</v>
      </c>
    </row>
    <row r="103" spans="1:68">
      <c r="A103" s="11" t="s">
        <v>269</v>
      </c>
      <c r="B103" s="11" t="s">
        <v>270</v>
      </c>
      <c r="C103" s="3" t="s">
        <v>137</v>
      </c>
      <c r="D103" s="5">
        <f>IF(AND(ISNUMBER(D100),ISNUMBER(D101)),D100-D101,NA())</f>
        <v>0</v>
      </c>
      <c r="E103" s="5">
        <f>IF(AND(ISNUMBER(E100),ISNUMBER(E101)),E100-E101,NA())</f>
        <v>0</v>
      </c>
      <c r="F103" s="5">
        <f>IF(AND(ISNUMBER(F100),ISNUMBER(F101)),F100-F101,NA())</f>
        <v>0</v>
      </c>
      <c r="G103" s="5">
        <f>IF(AND(ISNUMBER(G100),ISNUMBER(G101)),G100-G101,NA())</f>
        <v>0</v>
      </c>
      <c r="H103" s="5">
        <f>IF(AND(ISNUMBER(H100),ISNUMBER(H101)),H100-H101,NA())</f>
        <v>0</v>
      </c>
      <c r="I103" s="5">
        <f>IF(AND(ISNUMBER(I100),ISNUMBER(I101)),I100-I101,NA())</f>
        <v>0</v>
      </c>
      <c r="J103" s="5">
        <f>IF(AND(ISNUMBER(J100),ISNUMBER(J101)),J100-J101,NA())</f>
        <v>0</v>
      </c>
      <c r="K103" s="5">
        <f>IF(AND(ISNUMBER(K100),ISNUMBER(K101)),K100-K101,NA())</f>
        <v>0</v>
      </c>
      <c r="L103" s="5">
        <f>IF(AND(ISNUMBER(L100),ISNUMBER(L101)),L100-L101,NA())</f>
        <v>0</v>
      </c>
      <c r="M103" s="5">
        <f>IF(AND(ISNUMBER(M100),ISNUMBER(M101)),M100-M101,NA())</f>
        <v>0</v>
      </c>
      <c r="N103" s="5">
        <f>IF(AND(ISNUMBER(N100),ISNUMBER(N101)),N100-N101,NA())</f>
        <v>0</v>
      </c>
      <c r="O103" s="5">
        <f>IF(AND(ISNUMBER(O100),ISNUMBER(O101)),O100-O101,NA())</f>
        <v>0</v>
      </c>
      <c r="P103" s="5">
        <f>IF(AND(ISNUMBER(P100),ISNUMBER(P101)),P100-P101,NA())</f>
        <v>0</v>
      </c>
      <c r="Q103" s="5">
        <f>IF(AND(ISNUMBER(Q100),ISNUMBER(Q101)),Q100-Q101,NA())</f>
        <v>0</v>
      </c>
      <c r="R103" s="5">
        <f>IF(AND(ISNUMBER(R100),ISNUMBER(R101)),R100-R101,NA())</f>
        <v>0</v>
      </c>
      <c r="S103" s="5">
        <f>IF(AND(ISNUMBER(S100),ISNUMBER(S101)),S100-S101,NA())</f>
        <v>0</v>
      </c>
      <c r="T103" s="5">
        <f>IF(AND(ISNUMBER(T100),ISNUMBER(T101)),T100-T101,NA())</f>
        <v>0</v>
      </c>
      <c r="U103" s="5">
        <f>IF(AND(ISNUMBER(U100),ISNUMBER(U101)),U100-U101,NA())</f>
        <v>0</v>
      </c>
      <c r="V103" s="5">
        <f>IF(AND(ISNUMBER(V100),ISNUMBER(V101)),V100-V101,NA())</f>
        <v>0</v>
      </c>
      <c r="W103" s="5">
        <f>IF(AND(ISNUMBER(W100),ISNUMBER(W101)),W100-W101,NA())</f>
        <v>0</v>
      </c>
      <c r="X103" s="5">
        <f>IF(AND(ISNUMBER(X100),ISNUMBER(X101)),X100-X101,NA())</f>
        <v>0</v>
      </c>
      <c r="Y103" s="5">
        <f>IF(AND(ISNUMBER(Y100),ISNUMBER(Y101)),Y100-Y101,NA())</f>
        <v>0</v>
      </c>
      <c r="Z103" s="5">
        <f>IF(AND(ISNUMBER(Z100),ISNUMBER(Z101)),Z100-Z101,NA())</f>
        <v>0</v>
      </c>
      <c r="AA103" s="5">
        <f>IF(AND(ISNUMBER(AA100),ISNUMBER(AA101)),AA100-AA101,NA())</f>
        <v>0</v>
      </c>
      <c r="AB103" s="5">
        <f>IF(AND(ISNUMBER(AB100),ISNUMBER(AB101)),AB100-AB101,NA())</f>
        <v>0</v>
      </c>
      <c r="AC103" s="5">
        <f>IF(AND(ISNUMBER(AC100),ISNUMBER(AC101)),AC100-AC101,NA())</f>
        <v>0</v>
      </c>
      <c r="AD103" s="5">
        <f>IF(AND(ISNUMBER(AD100),ISNUMBER(AD101)),AD100-AD101,NA())</f>
        <v>0</v>
      </c>
    </row>
    <row r="104" spans="1:68">
      <c r="A104" s="11" t="s">
        <v>271</v>
      </c>
      <c r="B104" s="11" t="s">
        <v>272</v>
      </c>
      <c r="C104" s="3" t="s">
        <v>144</v>
      </c>
      <c r="AQ104" s="5">
        <f>IF(AQ$88=0,NA(),MAX(1,_xlfn.AGGREGATE(4,6,INDEX($D$102:$AD$102,MAX(1,$D$86+1-$D$85)):INDEX($D$102:$AD$102,$D$86)),N(Konfiguration!$F$11)))</f>
        <v>0</v>
      </c>
      <c r="AR104" s="5">
        <f>IF(AR$88=0,NA(),MAX(1,_xlfn.AGGREGATE(4,6,INDEX($D$102:$AD$102,MAX(1,$D$86+1-$D$85)):INDEX($D$102:$AD$102,$D$86)),N(Konfiguration!$F$11)))</f>
        <v>0</v>
      </c>
      <c r="AS104" s="5">
        <f>IF(AS$88=0,NA(),MAX(1,_xlfn.AGGREGATE(4,6,INDEX($D$102:$AD$102,MAX(1,$D$86+1-$D$85)):INDEX($D$102:$AD$102,$D$86)),N(Konfiguration!$F$11)))</f>
        <v>0</v>
      </c>
      <c r="AT104" s="5">
        <f>IF(AT$88=0,NA(),MAX(1,_xlfn.AGGREGATE(4,6,INDEX($D$102:$AD$102,MAX(1,$D$86+1-$D$85)):INDEX($D$102:$AD$102,$D$86)),N(Konfiguration!$F$11)))</f>
        <v>0</v>
      </c>
      <c r="AU104" s="5">
        <f>IF(AU$88=0,NA(),MAX(1,_xlfn.AGGREGATE(4,6,INDEX($D$102:$AD$102,MAX(1,$D$86+1-$D$85)):INDEX($D$102:$AD$102,$D$86)),N(Konfiguration!$F$11)))</f>
        <v>0</v>
      </c>
      <c r="AV104" s="5">
        <f>IF(AV$88=0,NA(),MAX(1,_xlfn.AGGREGATE(4,6,INDEX($D$102:$AD$102,MAX(1,$D$86+1-$D$85)):INDEX($D$102:$AD$102,$D$86)),N(Konfiguration!$F$11)))</f>
        <v>0</v>
      </c>
      <c r="AW104" s="5">
        <f>IF(AW$88=0,NA(),MAX(1,_xlfn.AGGREGATE(4,6,INDEX($D$102:$AD$102,MAX(1,$D$86+1-$D$85)):INDEX($D$102:$AD$102,$D$86)),N(Konfiguration!$F$11)))</f>
        <v>0</v>
      </c>
      <c r="AX104" s="5">
        <f>IF(AX$88=0,NA(),MAX(1,_xlfn.AGGREGATE(4,6,INDEX($D$102:$AD$102,MAX(1,$D$86+1-$D$85)):INDEX($D$102:$AD$102,$D$86)),N(Konfiguration!$F$11)))</f>
        <v>0</v>
      </c>
      <c r="AY104" s="5">
        <f>IF(AY$88=0,NA(),MAX(1,_xlfn.AGGREGATE(4,6,INDEX($D$102:$AD$102,MAX(1,$D$86+1-$D$85)):INDEX($D$102:$AD$102,$D$86)),N(Konfiguration!$F$11)))</f>
        <v>0</v>
      </c>
      <c r="AZ104" s="5">
        <f>IF(AZ$88=0,NA(),MAX(1,_xlfn.AGGREGATE(4,6,INDEX($D$102:$AD$102,MAX(1,$D$86+1-$D$85)):INDEX($D$102:$AD$102,$D$86)),N(Konfiguration!$F$11)))</f>
        <v>0</v>
      </c>
      <c r="BA104" s="5">
        <f>IF(BA$88=0,NA(),MAX(1,_xlfn.AGGREGATE(4,6,INDEX($D$102:$AD$102,MAX(1,$D$86+1-$D$85)):INDEX($D$102:$AD$102,$D$86)),N(Konfiguration!$F$11)))</f>
        <v>0</v>
      </c>
      <c r="BB104" s="5">
        <f>IF(BB$88=0,NA(),MAX(1,_xlfn.AGGREGATE(4,6,INDEX($D$102:$AD$102,MAX(1,$D$86+1-$D$85)):INDEX($D$102:$AD$102,$D$86)),N(Konfiguration!$F$11)))</f>
        <v>0</v>
      </c>
      <c r="BC104" s="5">
        <f>IF(BC$88=0,NA(),MAX(1,_xlfn.AGGREGATE(4,6,INDEX($D$102:$AD$102,MAX(1,$D$86+1-$D$85)):INDEX($D$102:$AD$102,$D$86)),N(Konfiguration!$F$11)))</f>
        <v>0</v>
      </c>
      <c r="BD104" s="5">
        <f>IF(BD$88=0,NA(),MAX(1,_xlfn.AGGREGATE(4,6,INDEX($D$102:$AD$102,MAX(1,$D$86+1-$D$85)):INDEX($D$102:$AD$102,$D$86)),N(Konfiguration!$F$11)))</f>
        <v>0</v>
      </c>
      <c r="BE104" s="5">
        <f>IF(BE$88=0,NA(),MAX(1,_xlfn.AGGREGATE(4,6,INDEX($D$102:$AD$102,MAX(1,$D$86+1-$D$85)):INDEX($D$102:$AD$102,$D$86)),N(Konfiguration!$F$11)))</f>
        <v>0</v>
      </c>
      <c r="BF104" s="5">
        <f>IF(BF$88=0,NA(),MAX(1,_xlfn.AGGREGATE(4,6,INDEX($D$102:$AD$102,MAX(1,$D$86+1-$D$85)):INDEX($D$102:$AD$102,$D$86)),N(Konfiguration!$F$11)))</f>
        <v>0</v>
      </c>
      <c r="BG104" s="5">
        <f>IF(BG$88=0,NA(),MAX(1,_xlfn.AGGREGATE(4,6,INDEX($D$102:$AD$102,MAX(1,$D$86+1-$D$85)):INDEX($D$102:$AD$102,$D$86)),N(Konfiguration!$F$11)))</f>
        <v>0</v>
      </c>
      <c r="BH104" s="5">
        <f>IF(BH$88=0,NA(),MAX(1,_xlfn.AGGREGATE(4,6,INDEX($D$102:$AD$102,MAX(1,$D$86+1-$D$85)):INDEX($D$102:$AD$102,$D$86)),N(Konfiguration!$F$11)))</f>
        <v>0</v>
      </c>
      <c r="BI104" s="5">
        <f>IF(BI$88=0,NA(),MAX(1,_xlfn.AGGREGATE(4,6,INDEX($D$102:$AD$102,MAX(1,$D$86+1-$D$85)):INDEX($D$102:$AD$102,$D$86)),N(Konfiguration!$F$11)))</f>
        <v>0</v>
      </c>
      <c r="BJ104" s="5">
        <f>IF(BJ$88=0,NA(),MAX(1,_xlfn.AGGREGATE(4,6,INDEX($D$102:$AD$102,MAX(1,$D$86+1-$D$85)):INDEX($D$102:$AD$102,$D$86)),N(Konfiguration!$F$11)))</f>
        <v>0</v>
      </c>
      <c r="BK104" s="5">
        <f>IF(BK$88=0,NA(),MAX(1,_xlfn.AGGREGATE(4,6,INDEX($D$102:$AD$102,MAX(1,$D$86+1-$D$85)):INDEX($D$102:$AD$102,$D$86)),N(Konfiguration!$F$11)))</f>
        <v>0</v>
      </c>
      <c r="BL104" s="5">
        <f>IF(BL$88=0,NA(),MAX(1,_xlfn.AGGREGATE(4,6,INDEX($D$102:$AD$102,MAX(1,$D$86+1-$D$85)):INDEX($D$102:$AD$102,$D$86)),N(Konfiguration!$F$11)))</f>
        <v>0</v>
      </c>
      <c r="BM104" s="5">
        <f>IF(BM$88=0,NA(),MAX(1,_xlfn.AGGREGATE(4,6,INDEX($D$102:$AD$102,MAX(1,$D$86+1-$D$85)):INDEX($D$102:$AD$102,$D$86)),N(Konfiguration!$F$11)))</f>
        <v>0</v>
      </c>
      <c r="BN104" s="5">
        <f>IF(BN$88=0,NA(),MAX(1,_xlfn.AGGREGATE(4,6,INDEX($D$102:$AD$102,MAX(1,$D$86+1-$D$85)):INDEX($D$102:$AD$102,$D$86)),N(Konfiguration!$F$11)))</f>
        <v>0</v>
      </c>
      <c r="BO104" s="5">
        <f>IF(BO$88=0,NA(),MAX(1,_xlfn.AGGREGATE(4,6,INDEX($D$102:$AD$102,MAX(1,$D$86+1-$D$85)):INDEX($D$102:$AD$102,$D$86)),N(Konfiguration!$F$11)))</f>
        <v>0</v>
      </c>
      <c r="BP104" s="5">
        <f>IF(BP$88=0,NA(),MAX(1,_xlfn.AGGREGATE(4,6,INDEX($D$102:$AD$102,MAX(1,$D$86+1-$D$85)):INDEX($D$102:$AD$102,$D$86)),N(Konfiguration!$F$11)))</f>
        <v>0</v>
      </c>
    </row>
    <row r="105" spans="1:68">
      <c r="A105" s="11" t="s">
        <v>273</v>
      </c>
      <c r="B105" s="11" t="s">
        <v>274</v>
      </c>
      <c r="C105" s="3" t="s">
        <v>144</v>
      </c>
      <c r="AQ105" s="5">
        <f>IF(AQ$88=0,NA(),IF(ISNUMBER(INDEX($D$92:$AD$92,AQ$88)),INDEX($D$92:$AD$92,AQ$88)/AQ104,NA()))</f>
        <v>0</v>
      </c>
      <c r="AR105" s="5">
        <f>IF(AR$88=0,NA(),IF(ISNUMBER(INDEX($D$92:$AD$92,AR$88)),INDEX($D$92:$AD$92,AR$88)/AR104,NA()))</f>
        <v>0</v>
      </c>
      <c r="AS105" s="5">
        <f>IF(AS$88=0,NA(),IF(ISNUMBER(INDEX($D$92:$AD$92,AS$88)),INDEX($D$92:$AD$92,AS$88)/AS104,NA()))</f>
        <v>0</v>
      </c>
      <c r="AT105" s="5">
        <f>IF(AT$88=0,NA(),IF(ISNUMBER(INDEX($D$92:$AD$92,AT$88)),INDEX($D$92:$AD$92,AT$88)/AT104,NA()))</f>
        <v>0</v>
      </c>
      <c r="AU105" s="5">
        <f>IF(AU$88=0,NA(),IF(ISNUMBER(INDEX($D$92:$AD$92,AU$88)),INDEX($D$92:$AD$92,AU$88)/AU104,NA()))</f>
        <v>0</v>
      </c>
      <c r="AV105" s="5">
        <f>IF(AV$88=0,NA(),IF(ISNUMBER(INDEX($D$92:$AD$92,AV$88)),INDEX($D$92:$AD$92,AV$88)/AV104,NA()))</f>
        <v>0</v>
      </c>
      <c r="AW105" s="5">
        <f>IF(AW$88=0,NA(),IF(ISNUMBER(INDEX($D$92:$AD$92,AW$88)),INDEX($D$92:$AD$92,AW$88)/AW104,NA()))</f>
        <v>0</v>
      </c>
      <c r="AX105" s="5">
        <f>IF(AX$88=0,NA(),IF(ISNUMBER(INDEX($D$92:$AD$92,AX$88)),INDEX($D$92:$AD$92,AX$88)/AX104,NA()))</f>
        <v>0</v>
      </c>
      <c r="AY105" s="5">
        <f>IF(AY$88=0,NA(),IF(ISNUMBER(INDEX($D$92:$AD$92,AY$88)),INDEX($D$92:$AD$92,AY$88)/AY104,NA()))</f>
        <v>0</v>
      </c>
      <c r="AZ105" s="5">
        <f>IF(AZ$88=0,NA(),IF(ISNUMBER(INDEX($D$92:$AD$92,AZ$88)),INDEX($D$92:$AD$92,AZ$88)/AZ104,NA()))</f>
        <v>0</v>
      </c>
      <c r="BA105" s="5">
        <f>IF(BA$88=0,NA(),IF(ISNUMBER(INDEX($D$92:$AD$92,BA$88)),INDEX($D$92:$AD$92,BA$88)/BA104,NA()))</f>
        <v>0</v>
      </c>
      <c r="BB105" s="5">
        <f>IF(BB$88=0,NA(),IF(ISNUMBER(INDEX($D$92:$AD$92,BB$88)),INDEX($D$92:$AD$92,BB$88)/BB104,NA()))</f>
        <v>0</v>
      </c>
      <c r="BC105" s="5">
        <f>IF(BC$88=0,NA(),IF(ISNUMBER(INDEX($D$92:$AD$92,BC$88)),INDEX($D$92:$AD$92,BC$88)/BC104,NA()))</f>
        <v>0</v>
      </c>
      <c r="BD105" s="5">
        <f>IF(BD$88=0,NA(),IF(ISNUMBER(INDEX($D$92:$AD$92,BD$88)),INDEX($D$92:$AD$92,BD$88)/BD104,NA()))</f>
        <v>0</v>
      </c>
      <c r="BE105" s="5">
        <f>IF(BE$88=0,NA(),IF(ISNUMBER(INDEX($D$92:$AD$92,BE$88)),INDEX($D$92:$AD$92,BE$88)/BE104,NA()))</f>
        <v>0</v>
      </c>
      <c r="BF105" s="5">
        <f>IF(BF$88=0,NA(),IF(ISNUMBER(INDEX($D$92:$AD$92,BF$88)),INDEX($D$92:$AD$92,BF$88)/BF104,NA()))</f>
        <v>0</v>
      </c>
      <c r="BG105" s="5">
        <f>IF(BG$88=0,NA(),IF(ISNUMBER(INDEX($D$92:$AD$92,BG$88)),INDEX($D$92:$AD$92,BG$88)/BG104,NA()))</f>
        <v>0</v>
      </c>
      <c r="BH105" s="5">
        <f>IF(BH$88=0,NA(),IF(ISNUMBER(INDEX($D$92:$AD$92,BH$88)),INDEX($D$92:$AD$92,BH$88)/BH104,NA()))</f>
        <v>0</v>
      </c>
      <c r="BI105" s="5">
        <f>IF(BI$88=0,NA(),IF(ISNUMBER(INDEX($D$92:$AD$92,BI$88)),INDEX($D$92:$AD$92,BI$88)/BI104,NA()))</f>
        <v>0</v>
      </c>
      <c r="BJ105" s="5">
        <f>IF(BJ$88=0,NA(),IF(ISNUMBER(INDEX($D$92:$AD$92,BJ$88)),INDEX($D$92:$AD$92,BJ$88)/BJ104,NA()))</f>
        <v>0</v>
      </c>
      <c r="BK105" s="5">
        <f>IF(BK$88=0,NA(),IF(ISNUMBER(INDEX($D$92:$AD$92,BK$88)),INDEX($D$92:$AD$92,BK$88)/BK104,NA()))</f>
        <v>0</v>
      </c>
      <c r="BL105" s="5">
        <f>IF(BL$88=0,NA(),IF(ISNUMBER(INDEX($D$92:$AD$92,BL$88)),INDEX($D$92:$AD$92,BL$88)/BL104,NA()))</f>
        <v>0</v>
      </c>
      <c r="BM105" s="5">
        <f>IF(BM$88=0,NA(),IF(ISNUMBER(INDEX($D$92:$AD$92,BM$88)),INDEX($D$92:$AD$92,BM$88)/BM104,NA()))</f>
        <v>0</v>
      </c>
      <c r="BN105" s="5">
        <f>IF(BN$88=0,NA(),IF(ISNUMBER(INDEX($D$92:$AD$92,BN$88)),INDEX($D$92:$AD$92,BN$88)/BN104,NA()))</f>
        <v>0</v>
      </c>
      <c r="BO105" s="5">
        <f>IF(BO$88=0,NA(),IF(ISNUMBER(INDEX($D$92:$AD$92,BO$88)),INDEX($D$92:$AD$92,BO$88)/BO104,NA()))</f>
        <v>0</v>
      </c>
      <c r="BP105" s="5">
        <f>IF(BP$88=0,NA(),IF(ISNUMBER(INDEX($D$92:$AD$92,BP$88)),INDEX($D$92:$AD$92,BP$88)/BP104,NA()))</f>
        <v>0</v>
      </c>
    </row>
    <row r="106" spans="1:68">
      <c r="A106" s="11" t="s">
        <v>275</v>
      </c>
      <c r="B106" s="11" t="s">
        <v>276</v>
      </c>
      <c r="C106" s="3" t="s">
        <v>144</v>
      </c>
      <c r="AQ106" s="5">
        <f>IF(AQ$88=0,NA(),IF(ISNUMBER(INDEX($D$91:$AD$91,AQ$88)),INDEX($D$91:$AD$91,AQ$88)/AQ104,NA()))</f>
        <v>0</v>
      </c>
      <c r="AR106" s="5">
        <f>IF(AR$88=0,NA(),IF(ISNUMBER(INDEX($D$91:$AD$91,AR$88)),INDEX($D$91:$AD$91,AR$88)/AR104,NA()))</f>
        <v>0</v>
      </c>
      <c r="AS106" s="5">
        <f>IF(AS$88=0,NA(),IF(ISNUMBER(INDEX($D$91:$AD$91,AS$88)),INDEX($D$91:$AD$91,AS$88)/AS104,NA()))</f>
        <v>0</v>
      </c>
      <c r="AT106" s="5">
        <f>IF(AT$88=0,NA(),IF(ISNUMBER(INDEX($D$91:$AD$91,AT$88)),INDEX($D$91:$AD$91,AT$88)/AT104,NA()))</f>
        <v>0</v>
      </c>
      <c r="AU106" s="5">
        <f>IF(AU$88=0,NA(),IF(ISNUMBER(INDEX($D$91:$AD$91,AU$88)),INDEX($D$91:$AD$91,AU$88)/AU104,NA()))</f>
        <v>0</v>
      </c>
      <c r="AV106" s="5">
        <f>IF(AV$88=0,NA(),IF(ISNUMBER(INDEX($D$91:$AD$91,AV$88)),INDEX($D$91:$AD$91,AV$88)/AV104,NA()))</f>
        <v>0</v>
      </c>
      <c r="AW106" s="5">
        <f>IF(AW$88=0,NA(),IF(ISNUMBER(INDEX($D$91:$AD$91,AW$88)),INDEX($D$91:$AD$91,AW$88)/AW104,NA()))</f>
        <v>0</v>
      </c>
      <c r="AX106" s="5">
        <f>IF(AX$88=0,NA(),IF(ISNUMBER(INDEX($D$91:$AD$91,AX$88)),INDEX($D$91:$AD$91,AX$88)/AX104,NA()))</f>
        <v>0</v>
      </c>
      <c r="AY106" s="5">
        <f>IF(AY$88=0,NA(),IF(ISNUMBER(INDEX($D$91:$AD$91,AY$88)),INDEX($D$91:$AD$91,AY$88)/AY104,NA()))</f>
        <v>0</v>
      </c>
      <c r="AZ106" s="5">
        <f>IF(AZ$88=0,NA(),IF(ISNUMBER(INDEX($D$91:$AD$91,AZ$88)),INDEX($D$91:$AD$91,AZ$88)/AZ104,NA()))</f>
        <v>0</v>
      </c>
      <c r="BA106" s="5">
        <f>IF(BA$88=0,NA(),IF(ISNUMBER(INDEX($D$91:$AD$91,BA$88)),INDEX($D$91:$AD$91,BA$88)/BA104,NA()))</f>
        <v>0</v>
      </c>
      <c r="BB106" s="5">
        <f>IF(BB$88=0,NA(),IF(ISNUMBER(INDEX($D$91:$AD$91,BB$88)),INDEX($D$91:$AD$91,BB$88)/BB104,NA()))</f>
        <v>0</v>
      </c>
      <c r="BC106" s="5">
        <f>IF(BC$88=0,NA(),IF(ISNUMBER(INDEX($D$91:$AD$91,BC$88)),INDEX($D$91:$AD$91,BC$88)/BC104,NA()))</f>
        <v>0</v>
      </c>
      <c r="BD106" s="5">
        <f>IF(BD$88=0,NA(),IF(ISNUMBER(INDEX($D$91:$AD$91,BD$88)),INDEX($D$91:$AD$91,BD$88)/BD104,NA()))</f>
        <v>0</v>
      </c>
      <c r="BE106" s="5">
        <f>IF(BE$88=0,NA(),IF(ISNUMBER(INDEX($D$91:$AD$91,BE$88)),INDEX($D$91:$AD$91,BE$88)/BE104,NA()))</f>
        <v>0</v>
      </c>
      <c r="BF106" s="5">
        <f>IF(BF$88=0,NA(),IF(ISNUMBER(INDEX($D$91:$AD$91,BF$88)),INDEX($D$91:$AD$91,BF$88)/BF104,NA()))</f>
        <v>0</v>
      </c>
      <c r="BG106" s="5">
        <f>IF(BG$88=0,NA(),IF(ISNUMBER(INDEX($D$91:$AD$91,BG$88)),INDEX($D$91:$AD$91,BG$88)/BG104,NA()))</f>
        <v>0</v>
      </c>
      <c r="BH106" s="5">
        <f>IF(BH$88=0,NA(),IF(ISNUMBER(INDEX($D$91:$AD$91,BH$88)),INDEX($D$91:$AD$91,BH$88)/BH104,NA()))</f>
        <v>0</v>
      </c>
      <c r="BI106" s="5">
        <f>IF(BI$88=0,NA(),IF(ISNUMBER(INDEX($D$91:$AD$91,BI$88)),INDEX($D$91:$AD$91,BI$88)/BI104,NA()))</f>
        <v>0</v>
      </c>
      <c r="BJ106" s="5">
        <f>IF(BJ$88=0,NA(),IF(ISNUMBER(INDEX($D$91:$AD$91,BJ$88)),INDEX($D$91:$AD$91,BJ$88)/BJ104,NA()))</f>
        <v>0</v>
      </c>
      <c r="BK106" s="5">
        <f>IF(BK$88=0,NA(),IF(ISNUMBER(INDEX($D$91:$AD$91,BK$88)),INDEX($D$91:$AD$91,BK$88)/BK104,NA()))</f>
        <v>0</v>
      </c>
      <c r="BL106" s="5">
        <f>IF(BL$88=0,NA(),IF(ISNUMBER(INDEX($D$91:$AD$91,BL$88)),INDEX($D$91:$AD$91,BL$88)/BL104,NA()))</f>
        <v>0</v>
      </c>
      <c r="BM106" s="5">
        <f>IF(BM$88=0,NA(),IF(ISNUMBER(INDEX($D$91:$AD$91,BM$88)),INDEX($D$91:$AD$91,BM$88)/BM104,NA()))</f>
        <v>0</v>
      </c>
      <c r="BN106" s="5">
        <f>IF(BN$88=0,NA(),IF(ISNUMBER(INDEX($D$91:$AD$91,BN$88)),INDEX($D$91:$AD$91,BN$88)/BN104,NA()))</f>
        <v>0</v>
      </c>
      <c r="BO106" s="5">
        <f>IF(BO$88=0,NA(),IF(ISNUMBER(INDEX($D$91:$AD$91,BO$88)),INDEX($D$91:$AD$91,BO$88)/BO104,NA()))</f>
        <v>0</v>
      </c>
      <c r="BP106" s="5">
        <f>IF(BP$88=0,NA(),IF(ISNUMBER(INDEX($D$91:$AD$91,BP$88)),INDEX($D$91:$AD$91,BP$88)/BP104,NA()))</f>
        <v>0</v>
      </c>
    </row>
    <row r="107" spans="1:68">
      <c r="A107" s="11" t="s">
        <v>277</v>
      </c>
      <c r="B107" s="11" t="s">
        <v>278</v>
      </c>
      <c r="C107" s="3" t="s">
        <v>144</v>
      </c>
      <c r="AQ107" s="5">
        <f>IF(AQ$88=0,NA(),IF(ISNUMBER(INDEX($D$93:$AD$93,AQ$88)),INDEX($D$93:$AD$93,AQ$88)/AQ104,NA()))</f>
        <v>0</v>
      </c>
      <c r="AR107" s="5">
        <f>IF(AR$88=0,NA(),IF(ISNUMBER(INDEX($D$93:$AD$93,AR$88)),INDEX($D$93:$AD$93,AR$88)/AR104,NA()))</f>
        <v>0</v>
      </c>
      <c r="AS107" s="5">
        <f>IF(AS$88=0,NA(),IF(ISNUMBER(INDEX($D$93:$AD$93,AS$88)),INDEX($D$93:$AD$93,AS$88)/AS104,NA()))</f>
        <v>0</v>
      </c>
      <c r="AT107" s="5">
        <f>IF(AT$88=0,NA(),IF(ISNUMBER(INDEX($D$93:$AD$93,AT$88)),INDEX($D$93:$AD$93,AT$88)/AT104,NA()))</f>
        <v>0</v>
      </c>
      <c r="AU107" s="5">
        <f>IF(AU$88=0,NA(),IF(ISNUMBER(INDEX($D$93:$AD$93,AU$88)),INDEX($D$93:$AD$93,AU$88)/AU104,NA()))</f>
        <v>0</v>
      </c>
      <c r="AV107" s="5">
        <f>IF(AV$88=0,NA(),IF(ISNUMBER(INDEX($D$93:$AD$93,AV$88)),INDEX($D$93:$AD$93,AV$88)/AV104,NA()))</f>
        <v>0</v>
      </c>
      <c r="AW107" s="5">
        <f>IF(AW$88=0,NA(),IF(ISNUMBER(INDEX($D$93:$AD$93,AW$88)),INDEX($D$93:$AD$93,AW$88)/AW104,NA()))</f>
        <v>0</v>
      </c>
      <c r="AX107" s="5">
        <f>IF(AX$88=0,NA(),IF(ISNUMBER(INDEX($D$93:$AD$93,AX$88)),INDEX($D$93:$AD$93,AX$88)/AX104,NA()))</f>
        <v>0</v>
      </c>
      <c r="AY107" s="5">
        <f>IF(AY$88=0,NA(),IF(ISNUMBER(INDEX($D$93:$AD$93,AY$88)),INDEX($D$93:$AD$93,AY$88)/AY104,NA()))</f>
        <v>0</v>
      </c>
      <c r="AZ107" s="5">
        <f>IF(AZ$88=0,NA(),IF(ISNUMBER(INDEX($D$93:$AD$93,AZ$88)),INDEX($D$93:$AD$93,AZ$88)/AZ104,NA()))</f>
        <v>0</v>
      </c>
      <c r="BA107" s="5">
        <f>IF(BA$88=0,NA(),IF(ISNUMBER(INDEX($D$93:$AD$93,BA$88)),INDEX($D$93:$AD$93,BA$88)/BA104,NA()))</f>
        <v>0</v>
      </c>
      <c r="BB107" s="5">
        <f>IF(BB$88=0,NA(),IF(ISNUMBER(INDEX($D$93:$AD$93,BB$88)),INDEX($D$93:$AD$93,BB$88)/BB104,NA()))</f>
        <v>0</v>
      </c>
      <c r="BC107" s="5">
        <f>IF(BC$88=0,NA(),IF(ISNUMBER(INDEX($D$93:$AD$93,BC$88)),INDEX($D$93:$AD$93,BC$88)/BC104,NA()))</f>
        <v>0</v>
      </c>
      <c r="BD107" s="5">
        <f>IF(BD$88=0,NA(),IF(ISNUMBER(INDEX($D$93:$AD$93,BD$88)),INDEX($D$93:$AD$93,BD$88)/BD104,NA()))</f>
        <v>0</v>
      </c>
      <c r="BE107" s="5">
        <f>IF(BE$88=0,NA(),IF(ISNUMBER(INDEX($D$93:$AD$93,BE$88)),INDEX($D$93:$AD$93,BE$88)/BE104,NA()))</f>
        <v>0</v>
      </c>
      <c r="BF107" s="5">
        <f>IF(BF$88=0,NA(),IF(ISNUMBER(INDEX($D$93:$AD$93,BF$88)),INDEX($D$93:$AD$93,BF$88)/BF104,NA()))</f>
        <v>0</v>
      </c>
      <c r="BG107" s="5">
        <f>IF(BG$88=0,NA(),IF(ISNUMBER(INDEX($D$93:$AD$93,BG$88)),INDEX($D$93:$AD$93,BG$88)/BG104,NA()))</f>
        <v>0</v>
      </c>
      <c r="BH107" s="5">
        <f>IF(BH$88=0,NA(),IF(ISNUMBER(INDEX($D$93:$AD$93,BH$88)),INDEX($D$93:$AD$93,BH$88)/BH104,NA()))</f>
        <v>0</v>
      </c>
      <c r="BI107" s="5">
        <f>IF(BI$88=0,NA(),IF(ISNUMBER(INDEX($D$93:$AD$93,BI$88)),INDEX($D$93:$AD$93,BI$88)/BI104,NA()))</f>
        <v>0</v>
      </c>
      <c r="BJ107" s="5">
        <f>IF(BJ$88=0,NA(),IF(ISNUMBER(INDEX($D$93:$AD$93,BJ$88)),INDEX($D$93:$AD$93,BJ$88)/BJ104,NA()))</f>
        <v>0</v>
      </c>
      <c r="BK107" s="5">
        <f>IF(BK$88=0,NA(),IF(ISNUMBER(INDEX($D$93:$AD$93,BK$88)),INDEX($D$93:$AD$93,BK$88)/BK104,NA()))</f>
        <v>0</v>
      </c>
      <c r="BL107" s="5">
        <f>IF(BL$88=0,NA(),IF(ISNUMBER(INDEX($D$93:$AD$93,BL$88)),INDEX($D$93:$AD$93,BL$88)/BL104,NA()))</f>
        <v>0</v>
      </c>
      <c r="BM107" s="5">
        <f>IF(BM$88=0,NA(),IF(ISNUMBER(INDEX($D$93:$AD$93,BM$88)),INDEX($D$93:$AD$93,BM$88)/BM104,NA()))</f>
        <v>0</v>
      </c>
      <c r="BN107" s="5">
        <f>IF(BN$88=0,NA(),IF(ISNUMBER(INDEX($D$93:$AD$93,BN$88)),INDEX($D$93:$AD$93,BN$88)/BN104,NA()))</f>
        <v>0</v>
      </c>
      <c r="BO107" s="5">
        <f>IF(BO$88=0,NA(),IF(ISNUMBER(INDEX($D$93:$AD$93,BO$88)),INDEX($D$93:$AD$93,BO$88)/BO104,NA()))</f>
        <v>0</v>
      </c>
      <c r="BP107" s="5">
        <f>IF(BP$88=0,NA(),IF(ISNUMBER(INDEX($D$93:$AD$93,BP$88)),INDEX($D$93:$AD$93,BP$88)/BP104,NA()))</f>
        <v>0</v>
      </c>
    </row>
    <row r="108" spans="1:68">
      <c r="A108" s="11" t="s">
        <v>279</v>
      </c>
      <c r="B108" s="11" t="s">
        <v>280</v>
      </c>
      <c r="C108" s="3" t="s">
        <v>144</v>
      </c>
      <c r="AQ108" s="5">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5">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5">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5">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5">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5">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5">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5">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5">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5">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5">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5">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5">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5">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5">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5">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5">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5">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5">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5">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5">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5">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5">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5">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5">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5">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281</v>
      </c>
      <c r="B109" s="11" t="s">
        <v>282</v>
      </c>
      <c r="C109" s="3" t="s">
        <v>144</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283</v>
      </c>
      <c r="B110" s="11" t="s">
        <v>284</v>
      </c>
      <c r="C110" s="3" t="s">
        <v>144</v>
      </c>
      <c r="AQ110" s="5">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5">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5">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5">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5">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5">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5">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5">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5">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5">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5">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5">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5">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5">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5">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5">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5">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5">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5">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5">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5">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5">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5">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5">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5">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5">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285</v>
      </c>
      <c r="B111" s="11" t="s">
        <v>286</v>
      </c>
      <c r="C111" s="3" t="s">
        <v>144</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287</v>
      </c>
      <c r="B112" s="11" t="s">
        <v>288</v>
      </c>
      <c r="C112" s="3" t="s">
        <v>144</v>
      </c>
      <c r="AQ112" s="5">
        <f>IF(AQ$88=0,NA(),(_xlfn.AGGREGATE(9,6,INDEX($D$93:$AD$93,MAX(1,$D$86+1-$D$85)):INDEX($D$93:$AD$93,$D$86))&gt;_xlfn.AGGREGATE(9,6,INDEX($D$91:$AD$91,MAX(1,$D$86+1-$D$85)):INDEX($D$91:$AD$91,$D$86)))+(_xlfn.AGGREGATE(9,6,INDEX($D$93:$AD$93,MAX(1,$D$86+1-$D$85)):INDEX($D$93:$AD$93,$D$86))&gt;_xlfn.AGGREGATE(9,6,INDEX($D$92:$AD$92,MAX(1,$D$86+1-$D$85)):INDEX($D$92:$AD$92,$D$86))))</f>
        <v>0</v>
      </c>
      <c r="AR112" s="5">
        <f>IF(AR$88=0,NA(),(_xlfn.AGGREGATE(9,6,INDEX($D$93:$AD$93,MAX(1,$D$86+1-$D$85)):INDEX($D$93:$AD$93,$D$86))&gt;_xlfn.AGGREGATE(9,6,INDEX($D$91:$AD$91,MAX(1,$D$86+1-$D$85)):INDEX($D$91:$AD$91,$D$86)))+(_xlfn.AGGREGATE(9,6,INDEX($D$93:$AD$93,MAX(1,$D$86+1-$D$85)):INDEX($D$93:$AD$93,$D$86))&gt;_xlfn.AGGREGATE(9,6,INDEX($D$92:$AD$92,MAX(1,$D$86+1-$D$85)):INDEX($D$92:$AD$92,$D$86))))</f>
        <v>0</v>
      </c>
      <c r="AS112" s="5">
        <f>IF(AS$88=0,NA(),(_xlfn.AGGREGATE(9,6,INDEX($D$93:$AD$93,MAX(1,$D$86+1-$D$85)):INDEX($D$93:$AD$93,$D$86))&gt;_xlfn.AGGREGATE(9,6,INDEX($D$91:$AD$91,MAX(1,$D$86+1-$D$85)):INDEX($D$91:$AD$91,$D$86)))+(_xlfn.AGGREGATE(9,6,INDEX($D$93:$AD$93,MAX(1,$D$86+1-$D$85)):INDEX($D$93:$AD$93,$D$86))&gt;_xlfn.AGGREGATE(9,6,INDEX($D$92:$AD$92,MAX(1,$D$86+1-$D$85)):INDEX($D$92:$AD$92,$D$86))))</f>
        <v>0</v>
      </c>
      <c r="AT112" s="5">
        <f>IF(AT$88=0,NA(),(_xlfn.AGGREGATE(9,6,INDEX($D$93:$AD$93,MAX(1,$D$86+1-$D$85)):INDEX($D$93:$AD$93,$D$86))&gt;_xlfn.AGGREGATE(9,6,INDEX($D$91:$AD$91,MAX(1,$D$86+1-$D$85)):INDEX($D$91:$AD$91,$D$86)))+(_xlfn.AGGREGATE(9,6,INDEX($D$93:$AD$93,MAX(1,$D$86+1-$D$85)):INDEX($D$93:$AD$93,$D$86))&gt;_xlfn.AGGREGATE(9,6,INDEX($D$92:$AD$92,MAX(1,$D$86+1-$D$85)):INDEX($D$92:$AD$92,$D$86))))</f>
        <v>0</v>
      </c>
      <c r="AU112" s="5">
        <f>IF(AU$88=0,NA(),(_xlfn.AGGREGATE(9,6,INDEX($D$93:$AD$93,MAX(1,$D$86+1-$D$85)):INDEX($D$93:$AD$93,$D$86))&gt;_xlfn.AGGREGATE(9,6,INDEX($D$91:$AD$91,MAX(1,$D$86+1-$D$85)):INDEX($D$91:$AD$91,$D$86)))+(_xlfn.AGGREGATE(9,6,INDEX($D$93:$AD$93,MAX(1,$D$86+1-$D$85)):INDEX($D$93:$AD$93,$D$86))&gt;_xlfn.AGGREGATE(9,6,INDEX($D$92:$AD$92,MAX(1,$D$86+1-$D$85)):INDEX($D$92:$AD$92,$D$86))))</f>
        <v>0</v>
      </c>
      <c r="AV112" s="5">
        <f>IF(AV$88=0,NA(),(_xlfn.AGGREGATE(9,6,INDEX($D$93:$AD$93,MAX(1,$D$86+1-$D$85)):INDEX($D$93:$AD$93,$D$86))&gt;_xlfn.AGGREGATE(9,6,INDEX($D$91:$AD$91,MAX(1,$D$86+1-$D$85)):INDEX($D$91:$AD$91,$D$86)))+(_xlfn.AGGREGATE(9,6,INDEX($D$93:$AD$93,MAX(1,$D$86+1-$D$85)):INDEX($D$93:$AD$93,$D$86))&gt;_xlfn.AGGREGATE(9,6,INDEX($D$92:$AD$92,MAX(1,$D$86+1-$D$85)):INDEX($D$92:$AD$92,$D$86))))</f>
        <v>0</v>
      </c>
      <c r="AW112" s="5">
        <f>IF(AW$88=0,NA(),(_xlfn.AGGREGATE(9,6,INDEX($D$93:$AD$93,MAX(1,$D$86+1-$D$85)):INDEX($D$93:$AD$93,$D$86))&gt;_xlfn.AGGREGATE(9,6,INDEX($D$91:$AD$91,MAX(1,$D$86+1-$D$85)):INDEX($D$91:$AD$91,$D$86)))+(_xlfn.AGGREGATE(9,6,INDEX($D$93:$AD$93,MAX(1,$D$86+1-$D$85)):INDEX($D$93:$AD$93,$D$86))&gt;_xlfn.AGGREGATE(9,6,INDEX($D$92:$AD$92,MAX(1,$D$86+1-$D$85)):INDEX($D$92:$AD$92,$D$86))))</f>
        <v>0</v>
      </c>
      <c r="AX112" s="5">
        <f>IF(AX$88=0,NA(),(_xlfn.AGGREGATE(9,6,INDEX($D$93:$AD$93,MAX(1,$D$86+1-$D$85)):INDEX($D$93:$AD$93,$D$86))&gt;_xlfn.AGGREGATE(9,6,INDEX($D$91:$AD$91,MAX(1,$D$86+1-$D$85)):INDEX($D$91:$AD$91,$D$86)))+(_xlfn.AGGREGATE(9,6,INDEX($D$93:$AD$93,MAX(1,$D$86+1-$D$85)):INDEX($D$93:$AD$93,$D$86))&gt;_xlfn.AGGREGATE(9,6,INDEX($D$92:$AD$92,MAX(1,$D$86+1-$D$85)):INDEX($D$92:$AD$92,$D$86))))</f>
        <v>0</v>
      </c>
      <c r="AY112" s="5">
        <f>IF(AY$88=0,NA(),(_xlfn.AGGREGATE(9,6,INDEX($D$93:$AD$93,MAX(1,$D$86+1-$D$85)):INDEX($D$93:$AD$93,$D$86))&gt;_xlfn.AGGREGATE(9,6,INDEX($D$91:$AD$91,MAX(1,$D$86+1-$D$85)):INDEX($D$91:$AD$91,$D$86)))+(_xlfn.AGGREGATE(9,6,INDEX($D$93:$AD$93,MAX(1,$D$86+1-$D$85)):INDEX($D$93:$AD$93,$D$86))&gt;_xlfn.AGGREGATE(9,6,INDEX($D$92:$AD$92,MAX(1,$D$86+1-$D$85)):INDEX($D$92:$AD$92,$D$86))))</f>
        <v>0</v>
      </c>
      <c r="AZ112" s="5">
        <f>IF(AZ$88=0,NA(),(_xlfn.AGGREGATE(9,6,INDEX($D$93:$AD$93,MAX(1,$D$86+1-$D$85)):INDEX($D$93:$AD$93,$D$86))&gt;_xlfn.AGGREGATE(9,6,INDEX($D$91:$AD$91,MAX(1,$D$86+1-$D$85)):INDEX($D$91:$AD$91,$D$86)))+(_xlfn.AGGREGATE(9,6,INDEX($D$93:$AD$93,MAX(1,$D$86+1-$D$85)):INDEX($D$93:$AD$93,$D$86))&gt;_xlfn.AGGREGATE(9,6,INDEX($D$92:$AD$92,MAX(1,$D$86+1-$D$85)):INDEX($D$92:$AD$92,$D$86))))</f>
        <v>0</v>
      </c>
      <c r="BA112" s="5">
        <f>IF(BA$88=0,NA(),(_xlfn.AGGREGATE(9,6,INDEX($D$93:$AD$93,MAX(1,$D$86+1-$D$85)):INDEX($D$93:$AD$93,$D$86))&gt;_xlfn.AGGREGATE(9,6,INDEX($D$91:$AD$91,MAX(1,$D$86+1-$D$85)):INDEX($D$91:$AD$91,$D$86)))+(_xlfn.AGGREGATE(9,6,INDEX($D$93:$AD$93,MAX(1,$D$86+1-$D$85)):INDEX($D$93:$AD$93,$D$86))&gt;_xlfn.AGGREGATE(9,6,INDEX($D$92:$AD$92,MAX(1,$D$86+1-$D$85)):INDEX($D$92:$AD$92,$D$86))))</f>
        <v>0</v>
      </c>
      <c r="BB112" s="5">
        <f>IF(BB$88=0,NA(),(_xlfn.AGGREGATE(9,6,INDEX($D$93:$AD$93,MAX(1,$D$86+1-$D$85)):INDEX($D$93:$AD$93,$D$86))&gt;_xlfn.AGGREGATE(9,6,INDEX($D$91:$AD$91,MAX(1,$D$86+1-$D$85)):INDEX($D$91:$AD$91,$D$86)))+(_xlfn.AGGREGATE(9,6,INDEX($D$93:$AD$93,MAX(1,$D$86+1-$D$85)):INDEX($D$93:$AD$93,$D$86))&gt;_xlfn.AGGREGATE(9,6,INDEX($D$92:$AD$92,MAX(1,$D$86+1-$D$85)):INDEX($D$92:$AD$92,$D$86))))</f>
        <v>0</v>
      </c>
      <c r="BC112" s="5">
        <f>IF(BC$88=0,NA(),(_xlfn.AGGREGATE(9,6,INDEX($D$93:$AD$93,MAX(1,$D$86+1-$D$85)):INDEX($D$93:$AD$93,$D$86))&gt;_xlfn.AGGREGATE(9,6,INDEX($D$91:$AD$91,MAX(1,$D$86+1-$D$85)):INDEX($D$91:$AD$91,$D$86)))+(_xlfn.AGGREGATE(9,6,INDEX($D$93:$AD$93,MAX(1,$D$86+1-$D$85)):INDEX($D$93:$AD$93,$D$86))&gt;_xlfn.AGGREGATE(9,6,INDEX($D$92:$AD$92,MAX(1,$D$86+1-$D$85)):INDEX($D$92:$AD$92,$D$86))))</f>
        <v>0</v>
      </c>
      <c r="BD112" s="5">
        <f>IF(BD$88=0,NA(),(_xlfn.AGGREGATE(9,6,INDEX($D$93:$AD$93,MAX(1,$D$86+1-$D$85)):INDEX($D$93:$AD$93,$D$86))&gt;_xlfn.AGGREGATE(9,6,INDEX($D$91:$AD$91,MAX(1,$D$86+1-$D$85)):INDEX($D$91:$AD$91,$D$86)))+(_xlfn.AGGREGATE(9,6,INDEX($D$93:$AD$93,MAX(1,$D$86+1-$D$85)):INDEX($D$93:$AD$93,$D$86))&gt;_xlfn.AGGREGATE(9,6,INDEX($D$92:$AD$92,MAX(1,$D$86+1-$D$85)):INDEX($D$92:$AD$92,$D$86))))</f>
        <v>0</v>
      </c>
      <c r="BE112" s="5">
        <f>IF(BE$88=0,NA(),(_xlfn.AGGREGATE(9,6,INDEX($D$93:$AD$93,MAX(1,$D$86+1-$D$85)):INDEX($D$93:$AD$93,$D$86))&gt;_xlfn.AGGREGATE(9,6,INDEX($D$91:$AD$91,MAX(1,$D$86+1-$D$85)):INDEX($D$91:$AD$91,$D$86)))+(_xlfn.AGGREGATE(9,6,INDEX($D$93:$AD$93,MAX(1,$D$86+1-$D$85)):INDEX($D$93:$AD$93,$D$86))&gt;_xlfn.AGGREGATE(9,6,INDEX($D$92:$AD$92,MAX(1,$D$86+1-$D$85)):INDEX($D$92:$AD$92,$D$86))))</f>
        <v>0</v>
      </c>
      <c r="BF112" s="5">
        <f>IF(BF$88=0,NA(),(_xlfn.AGGREGATE(9,6,INDEX($D$93:$AD$93,MAX(1,$D$86+1-$D$85)):INDEX($D$93:$AD$93,$D$86))&gt;_xlfn.AGGREGATE(9,6,INDEX($D$91:$AD$91,MAX(1,$D$86+1-$D$85)):INDEX($D$91:$AD$91,$D$86)))+(_xlfn.AGGREGATE(9,6,INDEX($D$93:$AD$93,MAX(1,$D$86+1-$D$85)):INDEX($D$93:$AD$93,$D$86))&gt;_xlfn.AGGREGATE(9,6,INDEX($D$92:$AD$92,MAX(1,$D$86+1-$D$85)):INDEX($D$92:$AD$92,$D$86))))</f>
        <v>0</v>
      </c>
      <c r="BG112" s="5">
        <f>IF(BG$88=0,NA(),(_xlfn.AGGREGATE(9,6,INDEX($D$93:$AD$93,MAX(1,$D$86+1-$D$85)):INDEX($D$93:$AD$93,$D$86))&gt;_xlfn.AGGREGATE(9,6,INDEX($D$91:$AD$91,MAX(1,$D$86+1-$D$85)):INDEX($D$91:$AD$91,$D$86)))+(_xlfn.AGGREGATE(9,6,INDEX($D$93:$AD$93,MAX(1,$D$86+1-$D$85)):INDEX($D$93:$AD$93,$D$86))&gt;_xlfn.AGGREGATE(9,6,INDEX($D$92:$AD$92,MAX(1,$D$86+1-$D$85)):INDEX($D$92:$AD$92,$D$86))))</f>
        <v>0</v>
      </c>
      <c r="BH112" s="5">
        <f>IF(BH$88=0,NA(),(_xlfn.AGGREGATE(9,6,INDEX($D$93:$AD$93,MAX(1,$D$86+1-$D$85)):INDEX($D$93:$AD$93,$D$86))&gt;_xlfn.AGGREGATE(9,6,INDEX($D$91:$AD$91,MAX(1,$D$86+1-$D$85)):INDEX($D$91:$AD$91,$D$86)))+(_xlfn.AGGREGATE(9,6,INDEX($D$93:$AD$93,MAX(1,$D$86+1-$D$85)):INDEX($D$93:$AD$93,$D$86))&gt;_xlfn.AGGREGATE(9,6,INDEX($D$92:$AD$92,MAX(1,$D$86+1-$D$85)):INDEX($D$92:$AD$92,$D$86))))</f>
        <v>0</v>
      </c>
      <c r="BI112" s="5">
        <f>IF(BI$88=0,NA(),(_xlfn.AGGREGATE(9,6,INDEX($D$93:$AD$93,MAX(1,$D$86+1-$D$85)):INDEX($D$93:$AD$93,$D$86))&gt;_xlfn.AGGREGATE(9,6,INDEX($D$91:$AD$91,MAX(1,$D$86+1-$D$85)):INDEX($D$91:$AD$91,$D$86)))+(_xlfn.AGGREGATE(9,6,INDEX($D$93:$AD$93,MAX(1,$D$86+1-$D$85)):INDEX($D$93:$AD$93,$D$86))&gt;_xlfn.AGGREGATE(9,6,INDEX($D$92:$AD$92,MAX(1,$D$86+1-$D$85)):INDEX($D$92:$AD$92,$D$86))))</f>
        <v>0</v>
      </c>
      <c r="BJ112" s="5">
        <f>IF(BJ$88=0,NA(),(_xlfn.AGGREGATE(9,6,INDEX($D$93:$AD$93,MAX(1,$D$86+1-$D$85)):INDEX($D$93:$AD$93,$D$86))&gt;_xlfn.AGGREGATE(9,6,INDEX($D$91:$AD$91,MAX(1,$D$86+1-$D$85)):INDEX($D$91:$AD$91,$D$86)))+(_xlfn.AGGREGATE(9,6,INDEX($D$93:$AD$93,MAX(1,$D$86+1-$D$85)):INDEX($D$93:$AD$93,$D$86))&gt;_xlfn.AGGREGATE(9,6,INDEX($D$92:$AD$92,MAX(1,$D$86+1-$D$85)):INDEX($D$92:$AD$92,$D$86))))</f>
        <v>0</v>
      </c>
      <c r="BK112" s="5">
        <f>IF(BK$88=0,NA(),(_xlfn.AGGREGATE(9,6,INDEX($D$93:$AD$93,MAX(1,$D$86+1-$D$85)):INDEX($D$93:$AD$93,$D$86))&gt;_xlfn.AGGREGATE(9,6,INDEX($D$91:$AD$91,MAX(1,$D$86+1-$D$85)):INDEX($D$91:$AD$91,$D$86)))+(_xlfn.AGGREGATE(9,6,INDEX($D$93:$AD$93,MAX(1,$D$86+1-$D$85)):INDEX($D$93:$AD$93,$D$86))&gt;_xlfn.AGGREGATE(9,6,INDEX($D$92:$AD$92,MAX(1,$D$86+1-$D$85)):INDEX($D$92:$AD$92,$D$86))))</f>
        <v>0</v>
      </c>
      <c r="BL112" s="5">
        <f>IF(BL$88=0,NA(),(_xlfn.AGGREGATE(9,6,INDEX($D$93:$AD$93,MAX(1,$D$86+1-$D$85)):INDEX($D$93:$AD$93,$D$86))&gt;_xlfn.AGGREGATE(9,6,INDEX($D$91:$AD$91,MAX(1,$D$86+1-$D$85)):INDEX($D$91:$AD$91,$D$86)))+(_xlfn.AGGREGATE(9,6,INDEX($D$93:$AD$93,MAX(1,$D$86+1-$D$85)):INDEX($D$93:$AD$93,$D$86))&gt;_xlfn.AGGREGATE(9,6,INDEX($D$92:$AD$92,MAX(1,$D$86+1-$D$85)):INDEX($D$92:$AD$92,$D$86))))</f>
        <v>0</v>
      </c>
      <c r="BM112" s="5">
        <f>IF(BM$88=0,NA(),(_xlfn.AGGREGATE(9,6,INDEX($D$93:$AD$93,MAX(1,$D$86+1-$D$85)):INDEX($D$93:$AD$93,$D$86))&gt;_xlfn.AGGREGATE(9,6,INDEX($D$91:$AD$91,MAX(1,$D$86+1-$D$85)):INDEX($D$91:$AD$91,$D$86)))+(_xlfn.AGGREGATE(9,6,INDEX($D$93:$AD$93,MAX(1,$D$86+1-$D$85)):INDEX($D$93:$AD$93,$D$86))&gt;_xlfn.AGGREGATE(9,6,INDEX($D$92:$AD$92,MAX(1,$D$86+1-$D$85)):INDEX($D$92:$AD$92,$D$86))))</f>
        <v>0</v>
      </c>
      <c r="BN112" s="5">
        <f>IF(BN$88=0,NA(),(_xlfn.AGGREGATE(9,6,INDEX($D$93:$AD$93,MAX(1,$D$86+1-$D$85)):INDEX($D$93:$AD$93,$D$86))&gt;_xlfn.AGGREGATE(9,6,INDEX($D$91:$AD$91,MAX(1,$D$86+1-$D$85)):INDEX($D$91:$AD$91,$D$86)))+(_xlfn.AGGREGATE(9,6,INDEX($D$93:$AD$93,MAX(1,$D$86+1-$D$85)):INDEX($D$93:$AD$93,$D$86))&gt;_xlfn.AGGREGATE(9,6,INDEX($D$92:$AD$92,MAX(1,$D$86+1-$D$85)):INDEX($D$92:$AD$92,$D$86))))</f>
        <v>0</v>
      </c>
      <c r="BO112" s="5">
        <f>IF(BO$88=0,NA(),(_xlfn.AGGREGATE(9,6,INDEX($D$93:$AD$93,MAX(1,$D$86+1-$D$85)):INDEX($D$93:$AD$93,$D$86))&gt;_xlfn.AGGREGATE(9,6,INDEX($D$91:$AD$91,MAX(1,$D$86+1-$D$85)):INDEX($D$91:$AD$91,$D$86)))+(_xlfn.AGGREGATE(9,6,INDEX($D$93:$AD$93,MAX(1,$D$86+1-$D$85)):INDEX($D$93:$AD$93,$D$86))&gt;_xlfn.AGGREGATE(9,6,INDEX($D$92:$AD$92,MAX(1,$D$86+1-$D$85)):INDEX($D$92:$AD$92,$D$86))))</f>
        <v>0</v>
      </c>
      <c r="BP112" s="5">
        <f>IF(BP$88=0,NA(),(_xlfn.AGGREGATE(9,6,INDEX($D$93:$AD$93,MAX(1,$D$86+1-$D$85)):INDEX($D$93:$AD$93,$D$86))&gt;_xlfn.AGGREGATE(9,6,INDEX($D$91:$AD$91,MAX(1,$D$86+1-$D$85)):INDEX($D$91:$AD$91,$D$86)))+(_xlfn.AGGREGATE(9,6,INDEX($D$93:$AD$93,MAX(1,$D$86+1-$D$85)):INDEX($D$93:$AD$93,$D$86))&gt;_xlfn.AGGREGATE(9,6,INDEX($D$92:$AD$92,MAX(1,$D$86+1-$D$85)):INDEX($D$92:$AD$92,$D$86))))</f>
        <v>0</v>
      </c>
    </row>
    <row r="113" spans="1:68">
      <c r="A113" s="11" t="s">
        <v>289</v>
      </c>
      <c r="B113" s="11" t="s">
        <v>290</v>
      </c>
      <c r="C113" s="3" t="s">
        <v>144</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291</v>
      </c>
      <c r="B114" s="11" t="s">
        <v>292</v>
      </c>
      <c r="C114" s="3" t="s">
        <v>144</v>
      </c>
      <c r="AQ114" s="5">
        <f>IF(AQ$88=0,NA(),IF(ISNUMBER(INDEX($D$92:$AD$92,AQ$88)),(IF(AQ110&gt;AQ108,N(INDEX($D$91:$AD$91,AQ$88)),0)+IF(AQ112&gt;AQ108,N(INDEX($D$93:$AD$93,AQ$88)),0)+INDEX($D$92:$AD$92,AQ$88)/2)/AQ104,NA()))</f>
        <v>0</v>
      </c>
      <c r="AR114" s="5">
        <f>IF(AR$88=0,NA(),IF(ISNUMBER(INDEX($D$92:$AD$92,AR$88)),(IF(AR110&gt;AR108,N(INDEX($D$91:$AD$91,AR$88)),0)+IF(AR112&gt;AR108,N(INDEX($D$93:$AD$93,AR$88)),0)+INDEX($D$92:$AD$92,AR$88)/2)/AR104,NA()))</f>
        <v>0</v>
      </c>
      <c r="AS114" s="5">
        <f>IF(AS$88=0,NA(),IF(ISNUMBER(INDEX($D$92:$AD$92,AS$88)),(IF(AS110&gt;AS108,N(INDEX($D$91:$AD$91,AS$88)),0)+IF(AS112&gt;AS108,N(INDEX($D$93:$AD$93,AS$88)),0)+INDEX($D$92:$AD$92,AS$88)/2)/AS104,NA()))</f>
        <v>0</v>
      </c>
      <c r="AT114" s="5">
        <f>IF(AT$88=0,NA(),IF(ISNUMBER(INDEX($D$92:$AD$92,AT$88)),(IF(AT110&gt;AT108,N(INDEX($D$91:$AD$91,AT$88)),0)+IF(AT112&gt;AT108,N(INDEX($D$93:$AD$93,AT$88)),0)+INDEX($D$92:$AD$92,AT$88)/2)/AT104,NA()))</f>
        <v>0</v>
      </c>
      <c r="AU114" s="5">
        <f>IF(AU$88=0,NA(),IF(ISNUMBER(INDEX($D$92:$AD$92,AU$88)),(IF(AU110&gt;AU108,N(INDEX($D$91:$AD$91,AU$88)),0)+IF(AU112&gt;AU108,N(INDEX($D$93:$AD$93,AU$88)),0)+INDEX($D$92:$AD$92,AU$88)/2)/AU104,NA()))</f>
        <v>0</v>
      </c>
      <c r="AV114" s="5">
        <f>IF(AV$88=0,NA(),IF(ISNUMBER(INDEX($D$92:$AD$92,AV$88)),(IF(AV110&gt;AV108,N(INDEX($D$91:$AD$91,AV$88)),0)+IF(AV112&gt;AV108,N(INDEX($D$93:$AD$93,AV$88)),0)+INDEX($D$92:$AD$92,AV$88)/2)/AV104,NA()))</f>
        <v>0</v>
      </c>
      <c r="AW114" s="5">
        <f>IF(AW$88=0,NA(),IF(ISNUMBER(INDEX($D$92:$AD$92,AW$88)),(IF(AW110&gt;AW108,N(INDEX($D$91:$AD$91,AW$88)),0)+IF(AW112&gt;AW108,N(INDEX($D$93:$AD$93,AW$88)),0)+INDEX($D$92:$AD$92,AW$88)/2)/AW104,NA()))</f>
        <v>0</v>
      </c>
      <c r="AX114" s="5">
        <f>IF(AX$88=0,NA(),IF(ISNUMBER(INDEX($D$92:$AD$92,AX$88)),(IF(AX110&gt;AX108,N(INDEX($D$91:$AD$91,AX$88)),0)+IF(AX112&gt;AX108,N(INDEX($D$93:$AD$93,AX$88)),0)+INDEX($D$92:$AD$92,AX$88)/2)/AX104,NA()))</f>
        <v>0</v>
      </c>
      <c r="AY114" s="5">
        <f>IF(AY$88=0,NA(),IF(ISNUMBER(INDEX($D$92:$AD$92,AY$88)),(IF(AY110&gt;AY108,N(INDEX($D$91:$AD$91,AY$88)),0)+IF(AY112&gt;AY108,N(INDEX($D$93:$AD$93,AY$88)),0)+INDEX($D$92:$AD$92,AY$88)/2)/AY104,NA()))</f>
        <v>0</v>
      </c>
      <c r="AZ114" s="5">
        <f>IF(AZ$88=0,NA(),IF(ISNUMBER(INDEX($D$92:$AD$92,AZ$88)),(IF(AZ110&gt;AZ108,N(INDEX($D$91:$AD$91,AZ$88)),0)+IF(AZ112&gt;AZ108,N(INDEX($D$93:$AD$93,AZ$88)),0)+INDEX($D$92:$AD$92,AZ$88)/2)/AZ104,NA()))</f>
        <v>0</v>
      </c>
      <c r="BA114" s="5">
        <f>IF(BA$88=0,NA(),IF(ISNUMBER(INDEX($D$92:$AD$92,BA$88)),(IF(BA110&gt;BA108,N(INDEX($D$91:$AD$91,BA$88)),0)+IF(BA112&gt;BA108,N(INDEX($D$93:$AD$93,BA$88)),0)+INDEX($D$92:$AD$92,BA$88)/2)/BA104,NA()))</f>
        <v>0</v>
      </c>
      <c r="BB114" s="5">
        <f>IF(BB$88=0,NA(),IF(ISNUMBER(INDEX($D$92:$AD$92,BB$88)),(IF(BB110&gt;BB108,N(INDEX($D$91:$AD$91,BB$88)),0)+IF(BB112&gt;BB108,N(INDEX($D$93:$AD$93,BB$88)),0)+INDEX($D$92:$AD$92,BB$88)/2)/BB104,NA()))</f>
        <v>0</v>
      </c>
      <c r="BC114" s="5">
        <f>IF(BC$88=0,NA(),IF(ISNUMBER(INDEX($D$92:$AD$92,BC$88)),(IF(BC110&gt;BC108,N(INDEX($D$91:$AD$91,BC$88)),0)+IF(BC112&gt;BC108,N(INDEX($D$93:$AD$93,BC$88)),0)+INDEX($D$92:$AD$92,BC$88)/2)/BC104,NA()))</f>
        <v>0</v>
      </c>
      <c r="BD114" s="5">
        <f>IF(BD$88=0,NA(),IF(ISNUMBER(INDEX($D$92:$AD$92,BD$88)),(IF(BD110&gt;BD108,N(INDEX($D$91:$AD$91,BD$88)),0)+IF(BD112&gt;BD108,N(INDEX($D$93:$AD$93,BD$88)),0)+INDEX($D$92:$AD$92,BD$88)/2)/BD104,NA()))</f>
        <v>0</v>
      </c>
      <c r="BE114" s="5">
        <f>IF(BE$88=0,NA(),IF(ISNUMBER(INDEX($D$92:$AD$92,BE$88)),(IF(BE110&gt;BE108,N(INDEX($D$91:$AD$91,BE$88)),0)+IF(BE112&gt;BE108,N(INDEX($D$93:$AD$93,BE$88)),0)+INDEX($D$92:$AD$92,BE$88)/2)/BE104,NA()))</f>
        <v>0</v>
      </c>
      <c r="BF114" s="5">
        <f>IF(BF$88=0,NA(),IF(ISNUMBER(INDEX($D$92:$AD$92,BF$88)),(IF(BF110&gt;BF108,N(INDEX($D$91:$AD$91,BF$88)),0)+IF(BF112&gt;BF108,N(INDEX($D$93:$AD$93,BF$88)),0)+INDEX($D$92:$AD$92,BF$88)/2)/BF104,NA()))</f>
        <v>0</v>
      </c>
      <c r="BG114" s="5">
        <f>IF(BG$88=0,NA(),IF(ISNUMBER(INDEX($D$92:$AD$92,BG$88)),(IF(BG110&gt;BG108,N(INDEX($D$91:$AD$91,BG$88)),0)+IF(BG112&gt;BG108,N(INDEX($D$93:$AD$93,BG$88)),0)+INDEX($D$92:$AD$92,BG$88)/2)/BG104,NA()))</f>
        <v>0</v>
      </c>
      <c r="BH114" s="5">
        <f>IF(BH$88=0,NA(),IF(ISNUMBER(INDEX($D$92:$AD$92,BH$88)),(IF(BH110&gt;BH108,N(INDEX($D$91:$AD$91,BH$88)),0)+IF(BH112&gt;BH108,N(INDEX($D$93:$AD$93,BH$88)),0)+INDEX($D$92:$AD$92,BH$88)/2)/BH104,NA()))</f>
        <v>0</v>
      </c>
      <c r="BI114" s="5">
        <f>IF(BI$88=0,NA(),IF(ISNUMBER(INDEX($D$92:$AD$92,BI$88)),(IF(BI110&gt;BI108,N(INDEX($D$91:$AD$91,BI$88)),0)+IF(BI112&gt;BI108,N(INDEX($D$93:$AD$93,BI$88)),0)+INDEX($D$92:$AD$92,BI$88)/2)/BI104,NA()))</f>
        <v>0</v>
      </c>
      <c r="BJ114" s="5">
        <f>IF(BJ$88=0,NA(),IF(ISNUMBER(INDEX($D$92:$AD$92,BJ$88)),(IF(BJ110&gt;BJ108,N(INDEX($D$91:$AD$91,BJ$88)),0)+IF(BJ112&gt;BJ108,N(INDEX($D$93:$AD$93,BJ$88)),0)+INDEX($D$92:$AD$92,BJ$88)/2)/BJ104,NA()))</f>
        <v>0</v>
      </c>
      <c r="BK114" s="5">
        <f>IF(BK$88=0,NA(),IF(ISNUMBER(INDEX($D$92:$AD$92,BK$88)),(IF(BK110&gt;BK108,N(INDEX($D$91:$AD$91,BK$88)),0)+IF(BK112&gt;BK108,N(INDEX($D$93:$AD$93,BK$88)),0)+INDEX($D$92:$AD$92,BK$88)/2)/BK104,NA()))</f>
        <v>0</v>
      </c>
      <c r="BL114" s="5">
        <f>IF(BL$88=0,NA(),IF(ISNUMBER(INDEX($D$92:$AD$92,BL$88)),(IF(BL110&gt;BL108,N(INDEX($D$91:$AD$91,BL$88)),0)+IF(BL112&gt;BL108,N(INDEX($D$93:$AD$93,BL$88)),0)+INDEX($D$92:$AD$92,BL$88)/2)/BL104,NA()))</f>
        <v>0</v>
      </c>
      <c r="BM114" s="5">
        <f>IF(BM$88=0,NA(),IF(ISNUMBER(INDEX($D$92:$AD$92,BM$88)),(IF(BM110&gt;BM108,N(INDEX($D$91:$AD$91,BM$88)),0)+IF(BM112&gt;BM108,N(INDEX($D$93:$AD$93,BM$88)),0)+INDEX($D$92:$AD$92,BM$88)/2)/BM104,NA()))</f>
        <v>0</v>
      </c>
      <c r="BN114" s="5">
        <f>IF(BN$88=0,NA(),IF(ISNUMBER(INDEX($D$92:$AD$92,BN$88)),(IF(BN110&gt;BN108,N(INDEX($D$91:$AD$91,BN$88)),0)+IF(BN112&gt;BN108,N(INDEX($D$93:$AD$93,BN$88)),0)+INDEX($D$92:$AD$92,BN$88)/2)/BN104,NA()))</f>
        <v>0</v>
      </c>
      <c r="BO114" s="5">
        <f>IF(BO$88=0,NA(),IF(ISNUMBER(INDEX($D$92:$AD$92,BO$88)),(IF(BO110&gt;BO108,N(INDEX($D$91:$AD$91,BO$88)),0)+IF(BO112&gt;BO108,N(INDEX($D$93:$AD$93,BO$88)),0)+INDEX($D$92:$AD$92,BO$88)/2)/BO104,NA()))</f>
        <v>0</v>
      </c>
      <c r="BP114" s="5">
        <f>IF(BP$88=0,NA(),IF(ISNUMBER(INDEX($D$92:$AD$92,BP$88)),(IF(BP110&gt;BP108,N(INDEX($D$91:$AD$91,BP$88)),0)+IF(BP112&gt;BP108,N(INDEX($D$93:$AD$93,BP$88)),0)+INDEX($D$92:$AD$92,BP$88)/2)/BP104,NA()))</f>
        <v>0</v>
      </c>
    </row>
    <row r="115" spans="1:68">
      <c r="A115" s="11" t="s">
        <v>293</v>
      </c>
      <c r="B115" s="11" t="s">
        <v>294</v>
      </c>
      <c r="C115" s="3" t="s">
        <v>144</v>
      </c>
      <c r="AQ115" s="5">
        <f>IF(AQ$88=0,NA(),IF(ISNUMBER(INDEX($D$91:$AD$91,AQ$88)),(IF(AQ108&gt;AQ110,N(INDEX($D$92:$AD$92,AQ$88)),0)+IF(AQ112&gt;AQ110,N(INDEX($D$93:$AD$93,AQ$88)),0)+INDEX($D$91:$AD$91,AQ$88)/2)/AQ104,NA()))</f>
        <v>0</v>
      </c>
      <c r="AR115" s="5">
        <f>IF(AR$88=0,NA(),IF(ISNUMBER(INDEX($D$91:$AD$91,AR$88)),(IF(AR108&gt;AR110,N(INDEX($D$92:$AD$92,AR$88)),0)+IF(AR112&gt;AR110,N(INDEX($D$93:$AD$93,AR$88)),0)+INDEX($D$91:$AD$91,AR$88)/2)/AR104,NA()))</f>
        <v>0</v>
      </c>
      <c r="AS115" s="5">
        <f>IF(AS$88=0,NA(),IF(ISNUMBER(INDEX($D$91:$AD$91,AS$88)),(IF(AS108&gt;AS110,N(INDEX($D$92:$AD$92,AS$88)),0)+IF(AS112&gt;AS110,N(INDEX($D$93:$AD$93,AS$88)),0)+INDEX($D$91:$AD$91,AS$88)/2)/AS104,NA()))</f>
        <v>0</v>
      </c>
      <c r="AT115" s="5">
        <f>IF(AT$88=0,NA(),IF(ISNUMBER(INDEX($D$91:$AD$91,AT$88)),(IF(AT108&gt;AT110,N(INDEX($D$92:$AD$92,AT$88)),0)+IF(AT112&gt;AT110,N(INDEX($D$93:$AD$93,AT$88)),0)+INDEX($D$91:$AD$91,AT$88)/2)/AT104,NA()))</f>
        <v>0</v>
      </c>
      <c r="AU115" s="5">
        <f>IF(AU$88=0,NA(),IF(ISNUMBER(INDEX($D$91:$AD$91,AU$88)),(IF(AU108&gt;AU110,N(INDEX($D$92:$AD$92,AU$88)),0)+IF(AU112&gt;AU110,N(INDEX($D$93:$AD$93,AU$88)),0)+INDEX($D$91:$AD$91,AU$88)/2)/AU104,NA()))</f>
        <v>0</v>
      </c>
      <c r="AV115" s="5">
        <f>IF(AV$88=0,NA(),IF(ISNUMBER(INDEX($D$91:$AD$91,AV$88)),(IF(AV108&gt;AV110,N(INDEX($D$92:$AD$92,AV$88)),0)+IF(AV112&gt;AV110,N(INDEX($D$93:$AD$93,AV$88)),0)+INDEX($D$91:$AD$91,AV$88)/2)/AV104,NA()))</f>
        <v>0</v>
      </c>
      <c r="AW115" s="5">
        <f>IF(AW$88=0,NA(),IF(ISNUMBER(INDEX($D$91:$AD$91,AW$88)),(IF(AW108&gt;AW110,N(INDEX($D$92:$AD$92,AW$88)),0)+IF(AW112&gt;AW110,N(INDEX($D$93:$AD$93,AW$88)),0)+INDEX($D$91:$AD$91,AW$88)/2)/AW104,NA()))</f>
        <v>0</v>
      </c>
      <c r="AX115" s="5">
        <f>IF(AX$88=0,NA(),IF(ISNUMBER(INDEX($D$91:$AD$91,AX$88)),(IF(AX108&gt;AX110,N(INDEX($D$92:$AD$92,AX$88)),0)+IF(AX112&gt;AX110,N(INDEX($D$93:$AD$93,AX$88)),0)+INDEX($D$91:$AD$91,AX$88)/2)/AX104,NA()))</f>
        <v>0</v>
      </c>
      <c r="AY115" s="5">
        <f>IF(AY$88=0,NA(),IF(ISNUMBER(INDEX($D$91:$AD$91,AY$88)),(IF(AY108&gt;AY110,N(INDEX($D$92:$AD$92,AY$88)),0)+IF(AY112&gt;AY110,N(INDEX($D$93:$AD$93,AY$88)),0)+INDEX($D$91:$AD$91,AY$88)/2)/AY104,NA()))</f>
        <v>0</v>
      </c>
      <c r="AZ115" s="5">
        <f>IF(AZ$88=0,NA(),IF(ISNUMBER(INDEX($D$91:$AD$91,AZ$88)),(IF(AZ108&gt;AZ110,N(INDEX($D$92:$AD$92,AZ$88)),0)+IF(AZ112&gt;AZ110,N(INDEX($D$93:$AD$93,AZ$88)),0)+INDEX($D$91:$AD$91,AZ$88)/2)/AZ104,NA()))</f>
        <v>0</v>
      </c>
      <c r="BA115" s="5">
        <f>IF(BA$88=0,NA(),IF(ISNUMBER(INDEX($D$91:$AD$91,BA$88)),(IF(BA108&gt;BA110,N(INDEX($D$92:$AD$92,BA$88)),0)+IF(BA112&gt;BA110,N(INDEX($D$93:$AD$93,BA$88)),0)+INDEX($D$91:$AD$91,BA$88)/2)/BA104,NA()))</f>
        <v>0</v>
      </c>
      <c r="BB115" s="5">
        <f>IF(BB$88=0,NA(),IF(ISNUMBER(INDEX($D$91:$AD$91,BB$88)),(IF(BB108&gt;BB110,N(INDEX($D$92:$AD$92,BB$88)),0)+IF(BB112&gt;BB110,N(INDEX($D$93:$AD$93,BB$88)),0)+INDEX($D$91:$AD$91,BB$88)/2)/BB104,NA()))</f>
        <v>0</v>
      </c>
      <c r="BC115" s="5">
        <f>IF(BC$88=0,NA(),IF(ISNUMBER(INDEX($D$91:$AD$91,BC$88)),(IF(BC108&gt;BC110,N(INDEX($D$92:$AD$92,BC$88)),0)+IF(BC112&gt;BC110,N(INDEX($D$93:$AD$93,BC$88)),0)+INDEX($D$91:$AD$91,BC$88)/2)/BC104,NA()))</f>
        <v>0</v>
      </c>
      <c r="BD115" s="5">
        <f>IF(BD$88=0,NA(),IF(ISNUMBER(INDEX($D$91:$AD$91,BD$88)),(IF(BD108&gt;BD110,N(INDEX($D$92:$AD$92,BD$88)),0)+IF(BD112&gt;BD110,N(INDEX($D$93:$AD$93,BD$88)),0)+INDEX($D$91:$AD$91,BD$88)/2)/BD104,NA()))</f>
        <v>0</v>
      </c>
      <c r="BE115" s="5">
        <f>IF(BE$88=0,NA(),IF(ISNUMBER(INDEX($D$91:$AD$91,BE$88)),(IF(BE108&gt;BE110,N(INDEX($D$92:$AD$92,BE$88)),0)+IF(BE112&gt;BE110,N(INDEX($D$93:$AD$93,BE$88)),0)+INDEX($D$91:$AD$91,BE$88)/2)/BE104,NA()))</f>
        <v>0</v>
      </c>
      <c r="BF115" s="5">
        <f>IF(BF$88=0,NA(),IF(ISNUMBER(INDEX($D$91:$AD$91,BF$88)),(IF(BF108&gt;BF110,N(INDEX($D$92:$AD$92,BF$88)),0)+IF(BF112&gt;BF110,N(INDEX($D$93:$AD$93,BF$88)),0)+INDEX($D$91:$AD$91,BF$88)/2)/BF104,NA()))</f>
        <v>0</v>
      </c>
      <c r="BG115" s="5">
        <f>IF(BG$88=0,NA(),IF(ISNUMBER(INDEX($D$91:$AD$91,BG$88)),(IF(BG108&gt;BG110,N(INDEX($D$92:$AD$92,BG$88)),0)+IF(BG112&gt;BG110,N(INDEX($D$93:$AD$93,BG$88)),0)+INDEX($D$91:$AD$91,BG$88)/2)/BG104,NA()))</f>
        <v>0</v>
      </c>
      <c r="BH115" s="5">
        <f>IF(BH$88=0,NA(),IF(ISNUMBER(INDEX($D$91:$AD$91,BH$88)),(IF(BH108&gt;BH110,N(INDEX($D$92:$AD$92,BH$88)),0)+IF(BH112&gt;BH110,N(INDEX($D$93:$AD$93,BH$88)),0)+INDEX($D$91:$AD$91,BH$88)/2)/BH104,NA()))</f>
        <v>0</v>
      </c>
      <c r="BI115" s="5">
        <f>IF(BI$88=0,NA(),IF(ISNUMBER(INDEX($D$91:$AD$91,BI$88)),(IF(BI108&gt;BI110,N(INDEX($D$92:$AD$92,BI$88)),0)+IF(BI112&gt;BI110,N(INDEX($D$93:$AD$93,BI$88)),0)+INDEX($D$91:$AD$91,BI$88)/2)/BI104,NA()))</f>
        <v>0</v>
      </c>
      <c r="BJ115" s="5">
        <f>IF(BJ$88=0,NA(),IF(ISNUMBER(INDEX($D$91:$AD$91,BJ$88)),(IF(BJ108&gt;BJ110,N(INDEX($D$92:$AD$92,BJ$88)),0)+IF(BJ112&gt;BJ110,N(INDEX($D$93:$AD$93,BJ$88)),0)+INDEX($D$91:$AD$91,BJ$88)/2)/BJ104,NA()))</f>
        <v>0</v>
      </c>
      <c r="BK115" s="5">
        <f>IF(BK$88=0,NA(),IF(ISNUMBER(INDEX($D$91:$AD$91,BK$88)),(IF(BK108&gt;BK110,N(INDEX($D$92:$AD$92,BK$88)),0)+IF(BK112&gt;BK110,N(INDEX($D$93:$AD$93,BK$88)),0)+INDEX($D$91:$AD$91,BK$88)/2)/BK104,NA()))</f>
        <v>0</v>
      </c>
      <c r="BL115" s="5">
        <f>IF(BL$88=0,NA(),IF(ISNUMBER(INDEX($D$91:$AD$91,BL$88)),(IF(BL108&gt;BL110,N(INDEX($D$92:$AD$92,BL$88)),0)+IF(BL112&gt;BL110,N(INDEX($D$93:$AD$93,BL$88)),0)+INDEX($D$91:$AD$91,BL$88)/2)/BL104,NA()))</f>
        <v>0</v>
      </c>
      <c r="BM115" s="5">
        <f>IF(BM$88=0,NA(),IF(ISNUMBER(INDEX($D$91:$AD$91,BM$88)),(IF(BM108&gt;BM110,N(INDEX($D$92:$AD$92,BM$88)),0)+IF(BM112&gt;BM110,N(INDEX($D$93:$AD$93,BM$88)),0)+INDEX($D$91:$AD$91,BM$88)/2)/BM104,NA()))</f>
        <v>0</v>
      </c>
      <c r="BN115" s="5">
        <f>IF(BN$88=0,NA(),IF(ISNUMBER(INDEX($D$91:$AD$91,BN$88)),(IF(BN108&gt;BN110,N(INDEX($D$92:$AD$92,BN$88)),0)+IF(BN112&gt;BN110,N(INDEX($D$93:$AD$93,BN$88)),0)+INDEX($D$91:$AD$91,BN$88)/2)/BN104,NA()))</f>
        <v>0</v>
      </c>
      <c r="BO115" s="5">
        <f>IF(BO$88=0,NA(),IF(ISNUMBER(INDEX($D$91:$AD$91,BO$88)),(IF(BO108&gt;BO110,N(INDEX($D$92:$AD$92,BO$88)),0)+IF(BO112&gt;BO110,N(INDEX($D$93:$AD$93,BO$88)),0)+INDEX($D$91:$AD$91,BO$88)/2)/BO104,NA()))</f>
        <v>0</v>
      </c>
      <c r="BP115" s="5">
        <f>IF(BP$88=0,NA(),IF(ISNUMBER(INDEX($D$91:$AD$91,BP$88)),(IF(BP108&gt;BP110,N(INDEX($D$92:$AD$92,BP$88)),0)+IF(BP112&gt;BP110,N(INDEX($D$93:$AD$93,BP$88)),0)+INDEX($D$91:$AD$91,BP$88)/2)/BP104,NA()))</f>
        <v>0</v>
      </c>
    </row>
    <row r="116" spans="1:68">
      <c r="A116" s="11" t="s">
        <v>295</v>
      </c>
      <c r="B116" s="11" t="s">
        <v>296</v>
      </c>
      <c r="C116" s="3" t="s">
        <v>144</v>
      </c>
      <c r="AQ116" s="5">
        <f>IF(AQ$88=0,NA(),IF(ISNUMBER(INDEX($D$93:$AD$93,AQ$88)),(IF(AQ110&gt;AQ112,N(INDEX($D$91:$AD$91,AQ$88)),0)+IF(AQ108&gt;AQ112,N(INDEX($D$92:$AD$92,AQ$88)),0)+INDEX($D$93:$AD$93,AQ$88)/2)/AQ104,NA()))</f>
        <v>0</v>
      </c>
      <c r="AR116" s="5">
        <f>IF(AR$88=0,NA(),IF(ISNUMBER(INDEX($D$93:$AD$93,AR$88)),(IF(AR110&gt;AR112,N(INDEX($D$91:$AD$91,AR$88)),0)+IF(AR108&gt;AR112,N(INDEX($D$92:$AD$92,AR$88)),0)+INDEX($D$93:$AD$93,AR$88)/2)/AR104,NA()))</f>
        <v>0</v>
      </c>
      <c r="AS116" s="5">
        <f>IF(AS$88=0,NA(),IF(ISNUMBER(INDEX($D$93:$AD$93,AS$88)),(IF(AS110&gt;AS112,N(INDEX($D$91:$AD$91,AS$88)),0)+IF(AS108&gt;AS112,N(INDEX($D$92:$AD$92,AS$88)),0)+INDEX($D$93:$AD$93,AS$88)/2)/AS104,NA()))</f>
        <v>0</v>
      </c>
      <c r="AT116" s="5">
        <f>IF(AT$88=0,NA(),IF(ISNUMBER(INDEX($D$93:$AD$93,AT$88)),(IF(AT110&gt;AT112,N(INDEX($D$91:$AD$91,AT$88)),0)+IF(AT108&gt;AT112,N(INDEX($D$92:$AD$92,AT$88)),0)+INDEX($D$93:$AD$93,AT$88)/2)/AT104,NA()))</f>
        <v>0</v>
      </c>
      <c r="AU116" s="5">
        <f>IF(AU$88=0,NA(),IF(ISNUMBER(INDEX($D$93:$AD$93,AU$88)),(IF(AU110&gt;AU112,N(INDEX($D$91:$AD$91,AU$88)),0)+IF(AU108&gt;AU112,N(INDEX($D$92:$AD$92,AU$88)),0)+INDEX($D$93:$AD$93,AU$88)/2)/AU104,NA()))</f>
        <v>0</v>
      </c>
      <c r="AV116" s="5">
        <f>IF(AV$88=0,NA(),IF(ISNUMBER(INDEX($D$93:$AD$93,AV$88)),(IF(AV110&gt;AV112,N(INDEX($D$91:$AD$91,AV$88)),0)+IF(AV108&gt;AV112,N(INDEX($D$92:$AD$92,AV$88)),0)+INDEX($D$93:$AD$93,AV$88)/2)/AV104,NA()))</f>
        <v>0</v>
      </c>
      <c r="AW116" s="5">
        <f>IF(AW$88=0,NA(),IF(ISNUMBER(INDEX($D$93:$AD$93,AW$88)),(IF(AW110&gt;AW112,N(INDEX($D$91:$AD$91,AW$88)),0)+IF(AW108&gt;AW112,N(INDEX($D$92:$AD$92,AW$88)),0)+INDEX($D$93:$AD$93,AW$88)/2)/AW104,NA()))</f>
        <v>0</v>
      </c>
      <c r="AX116" s="5">
        <f>IF(AX$88=0,NA(),IF(ISNUMBER(INDEX($D$93:$AD$93,AX$88)),(IF(AX110&gt;AX112,N(INDEX($D$91:$AD$91,AX$88)),0)+IF(AX108&gt;AX112,N(INDEX($D$92:$AD$92,AX$88)),0)+INDEX($D$93:$AD$93,AX$88)/2)/AX104,NA()))</f>
        <v>0</v>
      </c>
      <c r="AY116" s="5">
        <f>IF(AY$88=0,NA(),IF(ISNUMBER(INDEX($D$93:$AD$93,AY$88)),(IF(AY110&gt;AY112,N(INDEX($D$91:$AD$91,AY$88)),0)+IF(AY108&gt;AY112,N(INDEX($D$92:$AD$92,AY$88)),0)+INDEX($D$93:$AD$93,AY$88)/2)/AY104,NA()))</f>
        <v>0</v>
      </c>
      <c r="AZ116" s="5">
        <f>IF(AZ$88=0,NA(),IF(ISNUMBER(INDEX($D$93:$AD$93,AZ$88)),(IF(AZ110&gt;AZ112,N(INDEX($D$91:$AD$91,AZ$88)),0)+IF(AZ108&gt;AZ112,N(INDEX($D$92:$AD$92,AZ$88)),0)+INDEX($D$93:$AD$93,AZ$88)/2)/AZ104,NA()))</f>
        <v>0</v>
      </c>
      <c r="BA116" s="5">
        <f>IF(BA$88=0,NA(),IF(ISNUMBER(INDEX($D$93:$AD$93,BA$88)),(IF(BA110&gt;BA112,N(INDEX($D$91:$AD$91,BA$88)),0)+IF(BA108&gt;BA112,N(INDEX($D$92:$AD$92,BA$88)),0)+INDEX($D$93:$AD$93,BA$88)/2)/BA104,NA()))</f>
        <v>0</v>
      </c>
      <c r="BB116" s="5">
        <f>IF(BB$88=0,NA(),IF(ISNUMBER(INDEX($D$93:$AD$93,BB$88)),(IF(BB110&gt;BB112,N(INDEX($D$91:$AD$91,BB$88)),0)+IF(BB108&gt;BB112,N(INDEX($D$92:$AD$92,BB$88)),0)+INDEX($D$93:$AD$93,BB$88)/2)/BB104,NA()))</f>
        <v>0</v>
      </c>
      <c r="BC116" s="5">
        <f>IF(BC$88=0,NA(),IF(ISNUMBER(INDEX($D$93:$AD$93,BC$88)),(IF(BC110&gt;BC112,N(INDEX($D$91:$AD$91,BC$88)),0)+IF(BC108&gt;BC112,N(INDEX($D$92:$AD$92,BC$88)),0)+INDEX($D$93:$AD$93,BC$88)/2)/BC104,NA()))</f>
        <v>0</v>
      </c>
      <c r="BD116" s="5">
        <f>IF(BD$88=0,NA(),IF(ISNUMBER(INDEX($D$93:$AD$93,BD$88)),(IF(BD110&gt;BD112,N(INDEX($D$91:$AD$91,BD$88)),0)+IF(BD108&gt;BD112,N(INDEX($D$92:$AD$92,BD$88)),0)+INDEX($D$93:$AD$93,BD$88)/2)/BD104,NA()))</f>
        <v>0</v>
      </c>
      <c r="BE116" s="5">
        <f>IF(BE$88=0,NA(),IF(ISNUMBER(INDEX($D$93:$AD$93,BE$88)),(IF(BE110&gt;BE112,N(INDEX($D$91:$AD$91,BE$88)),0)+IF(BE108&gt;BE112,N(INDEX($D$92:$AD$92,BE$88)),0)+INDEX($D$93:$AD$93,BE$88)/2)/BE104,NA()))</f>
        <v>0</v>
      </c>
      <c r="BF116" s="5">
        <f>IF(BF$88=0,NA(),IF(ISNUMBER(INDEX($D$93:$AD$93,BF$88)),(IF(BF110&gt;BF112,N(INDEX($D$91:$AD$91,BF$88)),0)+IF(BF108&gt;BF112,N(INDEX($D$92:$AD$92,BF$88)),0)+INDEX($D$93:$AD$93,BF$88)/2)/BF104,NA()))</f>
        <v>0</v>
      </c>
      <c r="BG116" s="5">
        <f>IF(BG$88=0,NA(),IF(ISNUMBER(INDEX($D$93:$AD$93,BG$88)),(IF(BG110&gt;BG112,N(INDEX($D$91:$AD$91,BG$88)),0)+IF(BG108&gt;BG112,N(INDEX($D$92:$AD$92,BG$88)),0)+INDEX($D$93:$AD$93,BG$88)/2)/BG104,NA()))</f>
        <v>0</v>
      </c>
      <c r="BH116" s="5">
        <f>IF(BH$88=0,NA(),IF(ISNUMBER(INDEX($D$93:$AD$93,BH$88)),(IF(BH110&gt;BH112,N(INDEX($D$91:$AD$91,BH$88)),0)+IF(BH108&gt;BH112,N(INDEX($D$92:$AD$92,BH$88)),0)+INDEX($D$93:$AD$93,BH$88)/2)/BH104,NA()))</f>
        <v>0</v>
      </c>
      <c r="BI116" s="5">
        <f>IF(BI$88=0,NA(),IF(ISNUMBER(INDEX($D$93:$AD$93,BI$88)),(IF(BI110&gt;BI112,N(INDEX($D$91:$AD$91,BI$88)),0)+IF(BI108&gt;BI112,N(INDEX($D$92:$AD$92,BI$88)),0)+INDEX($D$93:$AD$93,BI$88)/2)/BI104,NA()))</f>
        <v>0</v>
      </c>
      <c r="BJ116" s="5">
        <f>IF(BJ$88=0,NA(),IF(ISNUMBER(INDEX($D$93:$AD$93,BJ$88)),(IF(BJ110&gt;BJ112,N(INDEX($D$91:$AD$91,BJ$88)),0)+IF(BJ108&gt;BJ112,N(INDEX($D$92:$AD$92,BJ$88)),0)+INDEX($D$93:$AD$93,BJ$88)/2)/BJ104,NA()))</f>
        <v>0</v>
      </c>
      <c r="BK116" s="5">
        <f>IF(BK$88=0,NA(),IF(ISNUMBER(INDEX($D$93:$AD$93,BK$88)),(IF(BK110&gt;BK112,N(INDEX($D$91:$AD$91,BK$88)),0)+IF(BK108&gt;BK112,N(INDEX($D$92:$AD$92,BK$88)),0)+INDEX($D$93:$AD$93,BK$88)/2)/BK104,NA()))</f>
        <v>0</v>
      </c>
      <c r="BL116" s="5">
        <f>IF(BL$88=0,NA(),IF(ISNUMBER(INDEX($D$93:$AD$93,BL$88)),(IF(BL110&gt;BL112,N(INDEX($D$91:$AD$91,BL$88)),0)+IF(BL108&gt;BL112,N(INDEX($D$92:$AD$92,BL$88)),0)+INDEX($D$93:$AD$93,BL$88)/2)/BL104,NA()))</f>
        <v>0</v>
      </c>
      <c r="BM116" s="5">
        <f>IF(BM$88=0,NA(),IF(ISNUMBER(INDEX($D$93:$AD$93,BM$88)),(IF(BM110&gt;BM112,N(INDEX($D$91:$AD$91,BM$88)),0)+IF(BM108&gt;BM112,N(INDEX($D$92:$AD$92,BM$88)),0)+INDEX($D$93:$AD$93,BM$88)/2)/BM104,NA()))</f>
        <v>0</v>
      </c>
      <c r="BN116" s="5">
        <f>IF(BN$88=0,NA(),IF(ISNUMBER(INDEX($D$93:$AD$93,BN$88)),(IF(BN110&gt;BN112,N(INDEX($D$91:$AD$91,BN$88)),0)+IF(BN108&gt;BN112,N(INDEX($D$92:$AD$92,BN$88)),0)+INDEX($D$93:$AD$93,BN$88)/2)/BN104,NA()))</f>
        <v>0</v>
      </c>
      <c r="BO116" s="5">
        <f>IF(BO$88=0,NA(),IF(ISNUMBER(INDEX($D$93:$AD$93,BO$88)),(IF(BO110&gt;BO112,N(INDEX($D$91:$AD$91,BO$88)),0)+IF(BO108&gt;BO112,N(INDEX($D$92:$AD$92,BO$88)),0)+INDEX($D$93:$AD$93,BO$88)/2)/BO104,NA()))</f>
        <v>0</v>
      </c>
      <c r="BP116" s="5">
        <f>IF(BP$88=0,NA(),IF(ISNUMBER(INDEX($D$93:$AD$93,BP$88)),(IF(BP110&gt;BP112,N(INDEX($D$91:$AD$91,BP$88)),0)+IF(BP108&gt;BP112,N(INDEX($D$92:$AD$92,BP$88)),0)+INDEX($D$93:$AD$93,BP$88)/2)/BP104,NA()))</f>
        <v>0</v>
      </c>
    </row>
    <row r="117" spans="1:68">
      <c r="A117" s="11" t="s">
        <v>297</v>
      </c>
      <c r="B117" s="11" t="s">
        <v>298</v>
      </c>
      <c r="C117" s="3" t="s">
        <v>144</v>
      </c>
      <c r="AQ117" s="5">
        <f>IF(AQ$88=0,NA(),IF(ISNUMBER(INDEX($D$92:$AD$92,AQ$88)),MAX(MIN(AQ114,IFERROR(INDEX($D$102:$AD$102,AQ$88)/AQ104,1)-0.08721-AQ108*0.17442,IF(AQ110&lt;AQ108,IFERROR(AQ115,9)-(AQ108-AQ110)*0.17442,9),IF(AQ112&lt;AQ108,IFERROR(AQ116,9)-(AQ108-AQ112)*0.17442,9)),0.08721+(2-AQ108)*0.17442),NA()))</f>
        <v>0</v>
      </c>
      <c r="AR117" s="5">
        <f>IF(AR$88=0,NA(),IF(ISNUMBER(INDEX($D$92:$AD$92,AR$88)),MAX(MIN(AR114,IFERROR(INDEX($D$102:$AD$102,AR$88)/AR104,1)-0.08721-AR108*0.17442,IF(AR110&lt;AR108,IFERROR(AR115,9)-(AR108-AR110)*0.17442,9),IF(AR112&lt;AR108,IFERROR(AR116,9)-(AR108-AR112)*0.17442,9)),0.08721+(2-AR108)*0.17442),NA()))</f>
        <v>0</v>
      </c>
      <c r="AS117" s="5">
        <f>IF(AS$88=0,NA(),IF(ISNUMBER(INDEX($D$92:$AD$92,AS$88)),MAX(MIN(AS114,IFERROR(INDEX($D$102:$AD$102,AS$88)/AS104,1)-0.08721-AS108*0.17442,IF(AS110&lt;AS108,IFERROR(AS115,9)-(AS108-AS110)*0.17442,9),IF(AS112&lt;AS108,IFERROR(AS116,9)-(AS108-AS112)*0.17442,9)),0.08721+(2-AS108)*0.17442),NA()))</f>
        <v>0</v>
      </c>
      <c r="AT117" s="5">
        <f>IF(AT$88=0,NA(),IF(ISNUMBER(INDEX($D$92:$AD$92,AT$88)),MAX(MIN(AT114,IFERROR(INDEX($D$102:$AD$102,AT$88)/AT104,1)-0.08721-AT108*0.17442,IF(AT110&lt;AT108,IFERROR(AT115,9)-(AT108-AT110)*0.17442,9),IF(AT112&lt;AT108,IFERROR(AT116,9)-(AT108-AT112)*0.17442,9)),0.08721+(2-AT108)*0.17442),NA()))</f>
        <v>0</v>
      </c>
      <c r="AU117" s="5">
        <f>IF(AU$88=0,NA(),IF(ISNUMBER(INDEX($D$92:$AD$92,AU$88)),MAX(MIN(AU114,IFERROR(INDEX($D$102:$AD$102,AU$88)/AU104,1)-0.08721-AU108*0.17442,IF(AU110&lt;AU108,IFERROR(AU115,9)-(AU108-AU110)*0.17442,9),IF(AU112&lt;AU108,IFERROR(AU116,9)-(AU108-AU112)*0.17442,9)),0.08721+(2-AU108)*0.17442),NA()))</f>
        <v>0</v>
      </c>
      <c r="AV117" s="5">
        <f>IF(AV$88=0,NA(),IF(ISNUMBER(INDEX($D$92:$AD$92,AV$88)),MAX(MIN(AV114,IFERROR(INDEX($D$102:$AD$102,AV$88)/AV104,1)-0.08721-AV108*0.17442,IF(AV110&lt;AV108,IFERROR(AV115,9)-(AV108-AV110)*0.17442,9),IF(AV112&lt;AV108,IFERROR(AV116,9)-(AV108-AV112)*0.17442,9)),0.08721+(2-AV108)*0.17442),NA()))</f>
        <v>0</v>
      </c>
      <c r="AW117" s="5">
        <f>IF(AW$88=0,NA(),IF(ISNUMBER(INDEX($D$92:$AD$92,AW$88)),MAX(MIN(AW114,IFERROR(INDEX($D$102:$AD$102,AW$88)/AW104,1)-0.08721-AW108*0.17442,IF(AW110&lt;AW108,IFERROR(AW115,9)-(AW108-AW110)*0.17442,9),IF(AW112&lt;AW108,IFERROR(AW116,9)-(AW108-AW112)*0.17442,9)),0.08721+(2-AW108)*0.17442),NA()))</f>
        <v>0</v>
      </c>
      <c r="AX117" s="5">
        <f>IF(AX$88=0,NA(),IF(ISNUMBER(INDEX($D$92:$AD$92,AX$88)),MAX(MIN(AX114,IFERROR(INDEX($D$102:$AD$102,AX$88)/AX104,1)-0.08721-AX108*0.17442,IF(AX110&lt;AX108,IFERROR(AX115,9)-(AX108-AX110)*0.17442,9),IF(AX112&lt;AX108,IFERROR(AX116,9)-(AX108-AX112)*0.17442,9)),0.08721+(2-AX108)*0.17442),NA()))</f>
        <v>0</v>
      </c>
      <c r="AY117" s="5">
        <f>IF(AY$88=0,NA(),IF(ISNUMBER(INDEX($D$92:$AD$92,AY$88)),MAX(MIN(AY114,IFERROR(INDEX($D$102:$AD$102,AY$88)/AY104,1)-0.08721-AY108*0.17442,IF(AY110&lt;AY108,IFERROR(AY115,9)-(AY108-AY110)*0.17442,9),IF(AY112&lt;AY108,IFERROR(AY116,9)-(AY108-AY112)*0.17442,9)),0.08721+(2-AY108)*0.17442),NA()))</f>
        <v>0</v>
      </c>
      <c r="AZ117" s="5">
        <f>IF(AZ$88=0,NA(),IF(ISNUMBER(INDEX($D$92:$AD$92,AZ$88)),MAX(MIN(AZ114,IFERROR(INDEX($D$102:$AD$102,AZ$88)/AZ104,1)-0.08721-AZ108*0.17442,IF(AZ110&lt;AZ108,IFERROR(AZ115,9)-(AZ108-AZ110)*0.17442,9),IF(AZ112&lt;AZ108,IFERROR(AZ116,9)-(AZ108-AZ112)*0.17442,9)),0.08721+(2-AZ108)*0.17442),NA()))</f>
        <v>0</v>
      </c>
      <c r="BA117" s="5">
        <f>IF(BA$88=0,NA(),IF(ISNUMBER(INDEX($D$92:$AD$92,BA$88)),MAX(MIN(BA114,IFERROR(INDEX($D$102:$AD$102,BA$88)/BA104,1)-0.08721-BA108*0.17442,IF(BA110&lt;BA108,IFERROR(BA115,9)-(BA108-BA110)*0.17442,9),IF(BA112&lt;BA108,IFERROR(BA116,9)-(BA108-BA112)*0.17442,9)),0.08721+(2-BA108)*0.17442),NA()))</f>
        <v>0</v>
      </c>
      <c r="BB117" s="5">
        <f>IF(BB$88=0,NA(),IF(ISNUMBER(INDEX($D$92:$AD$92,BB$88)),MAX(MIN(BB114,IFERROR(INDEX($D$102:$AD$102,BB$88)/BB104,1)-0.08721-BB108*0.17442,IF(BB110&lt;BB108,IFERROR(BB115,9)-(BB108-BB110)*0.17442,9),IF(BB112&lt;BB108,IFERROR(BB116,9)-(BB108-BB112)*0.17442,9)),0.08721+(2-BB108)*0.17442),NA()))</f>
        <v>0</v>
      </c>
      <c r="BC117" s="5">
        <f>IF(BC$88=0,NA(),IF(ISNUMBER(INDEX($D$92:$AD$92,BC$88)),MAX(MIN(BC114,IFERROR(INDEX($D$102:$AD$102,BC$88)/BC104,1)-0.08721-BC108*0.17442,IF(BC110&lt;BC108,IFERROR(BC115,9)-(BC108-BC110)*0.17442,9),IF(BC112&lt;BC108,IFERROR(BC116,9)-(BC108-BC112)*0.17442,9)),0.08721+(2-BC108)*0.17442),NA()))</f>
        <v>0</v>
      </c>
      <c r="BD117" s="5">
        <f>IF(BD$88=0,NA(),IF(ISNUMBER(INDEX($D$92:$AD$92,BD$88)),MAX(MIN(BD114,IFERROR(INDEX($D$102:$AD$102,BD$88)/BD104,1)-0.08721-BD108*0.17442,IF(BD110&lt;BD108,IFERROR(BD115,9)-(BD108-BD110)*0.17442,9),IF(BD112&lt;BD108,IFERROR(BD116,9)-(BD108-BD112)*0.17442,9)),0.08721+(2-BD108)*0.17442),NA()))</f>
        <v>0</v>
      </c>
      <c r="BE117" s="5">
        <f>IF(BE$88=0,NA(),IF(ISNUMBER(INDEX($D$92:$AD$92,BE$88)),MAX(MIN(BE114,IFERROR(INDEX($D$102:$AD$102,BE$88)/BE104,1)-0.08721-BE108*0.17442,IF(BE110&lt;BE108,IFERROR(BE115,9)-(BE108-BE110)*0.17442,9),IF(BE112&lt;BE108,IFERROR(BE116,9)-(BE108-BE112)*0.17442,9)),0.08721+(2-BE108)*0.17442),NA()))</f>
        <v>0</v>
      </c>
      <c r="BF117" s="5">
        <f>IF(BF$88=0,NA(),IF(ISNUMBER(INDEX($D$92:$AD$92,BF$88)),MAX(MIN(BF114,IFERROR(INDEX($D$102:$AD$102,BF$88)/BF104,1)-0.08721-BF108*0.17442,IF(BF110&lt;BF108,IFERROR(BF115,9)-(BF108-BF110)*0.17442,9),IF(BF112&lt;BF108,IFERROR(BF116,9)-(BF108-BF112)*0.17442,9)),0.08721+(2-BF108)*0.17442),NA()))</f>
        <v>0</v>
      </c>
      <c r="BG117" s="5">
        <f>IF(BG$88=0,NA(),IF(ISNUMBER(INDEX($D$92:$AD$92,BG$88)),MAX(MIN(BG114,IFERROR(INDEX($D$102:$AD$102,BG$88)/BG104,1)-0.08721-BG108*0.17442,IF(BG110&lt;BG108,IFERROR(BG115,9)-(BG108-BG110)*0.17442,9),IF(BG112&lt;BG108,IFERROR(BG116,9)-(BG108-BG112)*0.17442,9)),0.08721+(2-BG108)*0.17442),NA()))</f>
        <v>0</v>
      </c>
      <c r="BH117" s="5">
        <f>IF(BH$88=0,NA(),IF(ISNUMBER(INDEX($D$92:$AD$92,BH$88)),MAX(MIN(BH114,IFERROR(INDEX($D$102:$AD$102,BH$88)/BH104,1)-0.08721-BH108*0.17442,IF(BH110&lt;BH108,IFERROR(BH115,9)-(BH108-BH110)*0.17442,9),IF(BH112&lt;BH108,IFERROR(BH116,9)-(BH108-BH112)*0.17442,9)),0.08721+(2-BH108)*0.17442),NA()))</f>
        <v>0</v>
      </c>
      <c r="BI117" s="5">
        <f>IF(BI$88=0,NA(),IF(ISNUMBER(INDEX($D$92:$AD$92,BI$88)),MAX(MIN(BI114,IFERROR(INDEX($D$102:$AD$102,BI$88)/BI104,1)-0.08721-BI108*0.17442,IF(BI110&lt;BI108,IFERROR(BI115,9)-(BI108-BI110)*0.17442,9),IF(BI112&lt;BI108,IFERROR(BI116,9)-(BI108-BI112)*0.17442,9)),0.08721+(2-BI108)*0.17442),NA()))</f>
        <v>0</v>
      </c>
      <c r="BJ117" s="5">
        <f>IF(BJ$88=0,NA(),IF(ISNUMBER(INDEX($D$92:$AD$92,BJ$88)),MAX(MIN(BJ114,IFERROR(INDEX($D$102:$AD$102,BJ$88)/BJ104,1)-0.08721-BJ108*0.17442,IF(BJ110&lt;BJ108,IFERROR(BJ115,9)-(BJ108-BJ110)*0.17442,9),IF(BJ112&lt;BJ108,IFERROR(BJ116,9)-(BJ108-BJ112)*0.17442,9)),0.08721+(2-BJ108)*0.17442),NA()))</f>
        <v>0</v>
      </c>
      <c r="BK117" s="5">
        <f>IF(BK$88=0,NA(),IF(ISNUMBER(INDEX($D$92:$AD$92,BK$88)),MAX(MIN(BK114,IFERROR(INDEX($D$102:$AD$102,BK$88)/BK104,1)-0.08721-BK108*0.17442,IF(BK110&lt;BK108,IFERROR(BK115,9)-(BK108-BK110)*0.17442,9),IF(BK112&lt;BK108,IFERROR(BK116,9)-(BK108-BK112)*0.17442,9)),0.08721+(2-BK108)*0.17442),NA()))</f>
        <v>0</v>
      </c>
      <c r="BL117" s="5">
        <f>IF(BL$88=0,NA(),IF(ISNUMBER(INDEX($D$92:$AD$92,BL$88)),MAX(MIN(BL114,IFERROR(INDEX($D$102:$AD$102,BL$88)/BL104,1)-0.08721-BL108*0.17442,IF(BL110&lt;BL108,IFERROR(BL115,9)-(BL108-BL110)*0.17442,9),IF(BL112&lt;BL108,IFERROR(BL116,9)-(BL108-BL112)*0.17442,9)),0.08721+(2-BL108)*0.17442),NA()))</f>
        <v>0</v>
      </c>
      <c r="BM117" s="5">
        <f>IF(BM$88=0,NA(),IF(ISNUMBER(INDEX($D$92:$AD$92,BM$88)),MAX(MIN(BM114,IFERROR(INDEX($D$102:$AD$102,BM$88)/BM104,1)-0.08721-BM108*0.17442,IF(BM110&lt;BM108,IFERROR(BM115,9)-(BM108-BM110)*0.17442,9),IF(BM112&lt;BM108,IFERROR(BM116,9)-(BM108-BM112)*0.17442,9)),0.08721+(2-BM108)*0.17442),NA()))</f>
        <v>0</v>
      </c>
      <c r="BN117" s="5">
        <f>IF(BN$88=0,NA(),IF(ISNUMBER(INDEX($D$92:$AD$92,BN$88)),MAX(MIN(BN114,IFERROR(INDEX($D$102:$AD$102,BN$88)/BN104,1)-0.08721-BN108*0.17442,IF(BN110&lt;BN108,IFERROR(BN115,9)-(BN108-BN110)*0.17442,9),IF(BN112&lt;BN108,IFERROR(BN116,9)-(BN108-BN112)*0.17442,9)),0.08721+(2-BN108)*0.17442),NA()))</f>
        <v>0</v>
      </c>
      <c r="BO117" s="5">
        <f>IF(BO$88=0,NA(),IF(ISNUMBER(INDEX($D$92:$AD$92,BO$88)),MAX(MIN(BO114,IFERROR(INDEX($D$102:$AD$102,BO$88)/BO104,1)-0.08721-BO108*0.17442,IF(BO110&lt;BO108,IFERROR(BO115,9)-(BO108-BO110)*0.17442,9),IF(BO112&lt;BO108,IFERROR(BO116,9)-(BO108-BO112)*0.17442,9)),0.08721+(2-BO108)*0.17442),NA()))</f>
        <v>0</v>
      </c>
      <c r="BP117" s="5">
        <f>IF(BP$88=0,NA(),IF(ISNUMBER(INDEX($D$92:$AD$92,BP$88)),MAX(MIN(BP114,IFERROR(INDEX($D$102:$AD$102,BP$88)/BP104,1)-0.08721-BP108*0.17442,IF(BP110&lt;BP108,IFERROR(BP115,9)-(BP108-BP110)*0.17442,9),IF(BP112&lt;BP108,IFERROR(BP116,9)-(BP108-BP112)*0.17442,9)),0.08721+(2-BP108)*0.17442),NA()))</f>
        <v>0</v>
      </c>
    </row>
    <row r="118" spans="1:68">
      <c r="A118" s="11" t="s">
        <v>299</v>
      </c>
      <c r="B118" s="11" t="s">
        <v>300</v>
      </c>
      <c r="C118" s="3" t="s">
        <v>144</v>
      </c>
      <c r="AQ118" s="5">
        <f>IF(AQ$88=0,NA(),IF(ISNUMBER(INDEX($D$91:$AD$91,AQ$88)),MAX(MIN(AQ115,IFERROR(INDEX($D$102:$AD$102,AQ$88)/AQ104,1)-0.08721-AQ110*0.17442,IF(AQ108&lt;AQ110,IFERROR(AQ114,9)-(AQ110-AQ108)*0.17442,9),IF(AQ112&lt;AQ110,IFERROR(AQ116,9)-(AQ110-AQ112)*0.17442,9)),0.08721+(2-AQ110)*0.17442),NA()))</f>
        <v>0</v>
      </c>
      <c r="AR118" s="5">
        <f>IF(AR$88=0,NA(),IF(ISNUMBER(INDEX($D$91:$AD$91,AR$88)),MAX(MIN(AR115,IFERROR(INDEX($D$102:$AD$102,AR$88)/AR104,1)-0.08721-AR110*0.17442,IF(AR108&lt;AR110,IFERROR(AR114,9)-(AR110-AR108)*0.17442,9),IF(AR112&lt;AR110,IFERROR(AR116,9)-(AR110-AR112)*0.17442,9)),0.08721+(2-AR110)*0.17442),NA()))</f>
        <v>0</v>
      </c>
      <c r="AS118" s="5">
        <f>IF(AS$88=0,NA(),IF(ISNUMBER(INDEX($D$91:$AD$91,AS$88)),MAX(MIN(AS115,IFERROR(INDEX($D$102:$AD$102,AS$88)/AS104,1)-0.08721-AS110*0.17442,IF(AS108&lt;AS110,IFERROR(AS114,9)-(AS110-AS108)*0.17442,9),IF(AS112&lt;AS110,IFERROR(AS116,9)-(AS110-AS112)*0.17442,9)),0.08721+(2-AS110)*0.17442),NA()))</f>
        <v>0</v>
      </c>
      <c r="AT118" s="5">
        <f>IF(AT$88=0,NA(),IF(ISNUMBER(INDEX($D$91:$AD$91,AT$88)),MAX(MIN(AT115,IFERROR(INDEX($D$102:$AD$102,AT$88)/AT104,1)-0.08721-AT110*0.17442,IF(AT108&lt;AT110,IFERROR(AT114,9)-(AT110-AT108)*0.17442,9),IF(AT112&lt;AT110,IFERROR(AT116,9)-(AT110-AT112)*0.17442,9)),0.08721+(2-AT110)*0.17442),NA()))</f>
        <v>0</v>
      </c>
      <c r="AU118" s="5">
        <f>IF(AU$88=0,NA(),IF(ISNUMBER(INDEX($D$91:$AD$91,AU$88)),MAX(MIN(AU115,IFERROR(INDEX($D$102:$AD$102,AU$88)/AU104,1)-0.08721-AU110*0.17442,IF(AU108&lt;AU110,IFERROR(AU114,9)-(AU110-AU108)*0.17442,9),IF(AU112&lt;AU110,IFERROR(AU116,9)-(AU110-AU112)*0.17442,9)),0.08721+(2-AU110)*0.17442),NA()))</f>
        <v>0</v>
      </c>
      <c r="AV118" s="5">
        <f>IF(AV$88=0,NA(),IF(ISNUMBER(INDEX($D$91:$AD$91,AV$88)),MAX(MIN(AV115,IFERROR(INDEX($D$102:$AD$102,AV$88)/AV104,1)-0.08721-AV110*0.17442,IF(AV108&lt;AV110,IFERROR(AV114,9)-(AV110-AV108)*0.17442,9),IF(AV112&lt;AV110,IFERROR(AV116,9)-(AV110-AV112)*0.17442,9)),0.08721+(2-AV110)*0.17442),NA()))</f>
        <v>0</v>
      </c>
      <c r="AW118" s="5">
        <f>IF(AW$88=0,NA(),IF(ISNUMBER(INDEX($D$91:$AD$91,AW$88)),MAX(MIN(AW115,IFERROR(INDEX($D$102:$AD$102,AW$88)/AW104,1)-0.08721-AW110*0.17442,IF(AW108&lt;AW110,IFERROR(AW114,9)-(AW110-AW108)*0.17442,9),IF(AW112&lt;AW110,IFERROR(AW116,9)-(AW110-AW112)*0.17442,9)),0.08721+(2-AW110)*0.17442),NA()))</f>
        <v>0</v>
      </c>
      <c r="AX118" s="5">
        <f>IF(AX$88=0,NA(),IF(ISNUMBER(INDEX($D$91:$AD$91,AX$88)),MAX(MIN(AX115,IFERROR(INDEX($D$102:$AD$102,AX$88)/AX104,1)-0.08721-AX110*0.17442,IF(AX108&lt;AX110,IFERROR(AX114,9)-(AX110-AX108)*0.17442,9),IF(AX112&lt;AX110,IFERROR(AX116,9)-(AX110-AX112)*0.17442,9)),0.08721+(2-AX110)*0.17442),NA()))</f>
        <v>0</v>
      </c>
      <c r="AY118" s="5">
        <f>IF(AY$88=0,NA(),IF(ISNUMBER(INDEX($D$91:$AD$91,AY$88)),MAX(MIN(AY115,IFERROR(INDEX($D$102:$AD$102,AY$88)/AY104,1)-0.08721-AY110*0.17442,IF(AY108&lt;AY110,IFERROR(AY114,9)-(AY110-AY108)*0.17442,9),IF(AY112&lt;AY110,IFERROR(AY116,9)-(AY110-AY112)*0.17442,9)),0.08721+(2-AY110)*0.17442),NA()))</f>
        <v>0</v>
      </c>
      <c r="AZ118" s="5">
        <f>IF(AZ$88=0,NA(),IF(ISNUMBER(INDEX($D$91:$AD$91,AZ$88)),MAX(MIN(AZ115,IFERROR(INDEX($D$102:$AD$102,AZ$88)/AZ104,1)-0.08721-AZ110*0.17442,IF(AZ108&lt;AZ110,IFERROR(AZ114,9)-(AZ110-AZ108)*0.17442,9),IF(AZ112&lt;AZ110,IFERROR(AZ116,9)-(AZ110-AZ112)*0.17442,9)),0.08721+(2-AZ110)*0.17442),NA()))</f>
        <v>0</v>
      </c>
      <c r="BA118" s="5">
        <f>IF(BA$88=0,NA(),IF(ISNUMBER(INDEX($D$91:$AD$91,BA$88)),MAX(MIN(BA115,IFERROR(INDEX($D$102:$AD$102,BA$88)/BA104,1)-0.08721-BA110*0.17442,IF(BA108&lt;BA110,IFERROR(BA114,9)-(BA110-BA108)*0.17442,9),IF(BA112&lt;BA110,IFERROR(BA116,9)-(BA110-BA112)*0.17442,9)),0.08721+(2-BA110)*0.17442),NA()))</f>
        <v>0</v>
      </c>
      <c r="BB118" s="5">
        <f>IF(BB$88=0,NA(),IF(ISNUMBER(INDEX($D$91:$AD$91,BB$88)),MAX(MIN(BB115,IFERROR(INDEX($D$102:$AD$102,BB$88)/BB104,1)-0.08721-BB110*0.17442,IF(BB108&lt;BB110,IFERROR(BB114,9)-(BB110-BB108)*0.17442,9),IF(BB112&lt;BB110,IFERROR(BB116,9)-(BB110-BB112)*0.17442,9)),0.08721+(2-BB110)*0.17442),NA()))</f>
        <v>0</v>
      </c>
      <c r="BC118" s="5">
        <f>IF(BC$88=0,NA(),IF(ISNUMBER(INDEX($D$91:$AD$91,BC$88)),MAX(MIN(BC115,IFERROR(INDEX($D$102:$AD$102,BC$88)/BC104,1)-0.08721-BC110*0.17442,IF(BC108&lt;BC110,IFERROR(BC114,9)-(BC110-BC108)*0.17442,9),IF(BC112&lt;BC110,IFERROR(BC116,9)-(BC110-BC112)*0.17442,9)),0.08721+(2-BC110)*0.17442),NA()))</f>
        <v>0</v>
      </c>
      <c r="BD118" s="5">
        <f>IF(BD$88=0,NA(),IF(ISNUMBER(INDEX($D$91:$AD$91,BD$88)),MAX(MIN(BD115,IFERROR(INDEX($D$102:$AD$102,BD$88)/BD104,1)-0.08721-BD110*0.17442,IF(BD108&lt;BD110,IFERROR(BD114,9)-(BD110-BD108)*0.17442,9),IF(BD112&lt;BD110,IFERROR(BD116,9)-(BD110-BD112)*0.17442,9)),0.08721+(2-BD110)*0.17442),NA()))</f>
        <v>0</v>
      </c>
      <c r="BE118" s="5">
        <f>IF(BE$88=0,NA(),IF(ISNUMBER(INDEX($D$91:$AD$91,BE$88)),MAX(MIN(BE115,IFERROR(INDEX($D$102:$AD$102,BE$88)/BE104,1)-0.08721-BE110*0.17442,IF(BE108&lt;BE110,IFERROR(BE114,9)-(BE110-BE108)*0.17442,9),IF(BE112&lt;BE110,IFERROR(BE116,9)-(BE110-BE112)*0.17442,9)),0.08721+(2-BE110)*0.17442),NA()))</f>
        <v>0</v>
      </c>
      <c r="BF118" s="5">
        <f>IF(BF$88=0,NA(),IF(ISNUMBER(INDEX($D$91:$AD$91,BF$88)),MAX(MIN(BF115,IFERROR(INDEX($D$102:$AD$102,BF$88)/BF104,1)-0.08721-BF110*0.17442,IF(BF108&lt;BF110,IFERROR(BF114,9)-(BF110-BF108)*0.17442,9),IF(BF112&lt;BF110,IFERROR(BF116,9)-(BF110-BF112)*0.17442,9)),0.08721+(2-BF110)*0.17442),NA()))</f>
        <v>0</v>
      </c>
      <c r="BG118" s="5">
        <f>IF(BG$88=0,NA(),IF(ISNUMBER(INDEX($D$91:$AD$91,BG$88)),MAX(MIN(BG115,IFERROR(INDEX($D$102:$AD$102,BG$88)/BG104,1)-0.08721-BG110*0.17442,IF(BG108&lt;BG110,IFERROR(BG114,9)-(BG110-BG108)*0.17442,9),IF(BG112&lt;BG110,IFERROR(BG116,9)-(BG110-BG112)*0.17442,9)),0.08721+(2-BG110)*0.17442),NA()))</f>
        <v>0</v>
      </c>
      <c r="BH118" s="5">
        <f>IF(BH$88=0,NA(),IF(ISNUMBER(INDEX($D$91:$AD$91,BH$88)),MAX(MIN(BH115,IFERROR(INDEX($D$102:$AD$102,BH$88)/BH104,1)-0.08721-BH110*0.17442,IF(BH108&lt;BH110,IFERROR(BH114,9)-(BH110-BH108)*0.17442,9),IF(BH112&lt;BH110,IFERROR(BH116,9)-(BH110-BH112)*0.17442,9)),0.08721+(2-BH110)*0.17442),NA()))</f>
        <v>0</v>
      </c>
      <c r="BI118" s="5">
        <f>IF(BI$88=0,NA(),IF(ISNUMBER(INDEX($D$91:$AD$91,BI$88)),MAX(MIN(BI115,IFERROR(INDEX($D$102:$AD$102,BI$88)/BI104,1)-0.08721-BI110*0.17442,IF(BI108&lt;BI110,IFERROR(BI114,9)-(BI110-BI108)*0.17442,9),IF(BI112&lt;BI110,IFERROR(BI116,9)-(BI110-BI112)*0.17442,9)),0.08721+(2-BI110)*0.17442),NA()))</f>
        <v>0</v>
      </c>
      <c r="BJ118" s="5">
        <f>IF(BJ$88=0,NA(),IF(ISNUMBER(INDEX($D$91:$AD$91,BJ$88)),MAX(MIN(BJ115,IFERROR(INDEX($D$102:$AD$102,BJ$88)/BJ104,1)-0.08721-BJ110*0.17442,IF(BJ108&lt;BJ110,IFERROR(BJ114,9)-(BJ110-BJ108)*0.17442,9),IF(BJ112&lt;BJ110,IFERROR(BJ116,9)-(BJ110-BJ112)*0.17442,9)),0.08721+(2-BJ110)*0.17442),NA()))</f>
        <v>0</v>
      </c>
      <c r="BK118" s="5">
        <f>IF(BK$88=0,NA(),IF(ISNUMBER(INDEX($D$91:$AD$91,BK$88)),MAX(MIN(BK115,IFERROR(INDEX($D$102:$AD$102,BK$88)/BK104,1)-0.08721-BK110*0.17442,IF(BK108&lt;BK110,IFERROR(BK114,9)-(BK110-BK108)*0.17442,9),IF(BK112&lt;BK110,IFERROR(BK116,9)-(BK110-BK112)*0.17442,9)),0.08721+(2-BK110)*0.17442),NA()))</f>
        <v>0</v>
      </c>
      <c r="BL118" s="5">
        <f>IF(BL$88=0,NA(),IF(ISNUMBER(INDEX($D$91:$AD$91,BL$88)),MAX(MIN(BL115,IFERROR(INDEX($D$102:$AD$102,BL$88)/BL104,1)-0.08721-BL110*0.17442,IF(BL108&lt;BL110,IFERROR(BL114,9)-(BL110-BL108)*0.17442,9),IF(BL112&lt;BL110,IFERROR(BL116,9)-(BL110-BL112)*0.17442,9)),0.08721+(2-BL110)*0.17442),NA()))</f>
        <v>0</v>
      </c>
      <c r="BM118" s="5">
        <f>IF(BM$88=0,NA(),IF(ISNUMBER(INDEX($D$91:$AD$91,BM$88)),MAX(MIN(BM115,IFERROR(INDEX($D$102:$AD$102,BM$88)/BM104,1)-0.08721-BM110*0.17442,IF(BM108&lt;BM110,IFERROR(BM114,9)-(BM110-BM108)*0.17442,9),IF(BM112&lt;BM110,IFERROR(BM116,9)-(BM110-BM112)*0.17442,9)),0.08721+(2-BM110)*0.17442),NA()))</f>
        <v>0</v>
      </c>
      <c r="BN118" s="5">
        <f>IF(BN$88=0,NA(),IF(ISNUMBER(INDEX($D$91:$AD$91,BN$88)),MAX(MIN(BN115,IFERROR(INDEX($D$102:$AD$102,BN$88)/BN104,1)-0.08721-BN110*0.17442,IF(BN108&lt;BN110,IFERROR(BN114,9)-(BN110-BN108)*0.17442,9),IF(BN112&lt;BN110,IFERROR(BN116,9)-(BN110-BN112)*0.17442,9)),0.08721+(2-BN110)*0.17442),NA()))</f>
        <v>0</v>
      </c>
      <c r="BO118" s="5">
        <f>IF(BO$88=0,NA(),IF(ISNUMBER(INDEX($D$91:$AD$91,BO$88)),MAX(MIN(BO115,IFERROR(INDEX($D$102:$AD$102,BO$88)/BO104,1)-0.08721-BO110*0.17442,IF(BO108&lt;BO110,IFERROR(BO114,9)-(BO110-BO108)*0.17442,9),IF(BO112&lt;BO110,IFERROR(BO116,9)-(BO110-BO112)*0.17442,9)),0.08721+(2-BO110)*0.17442),NA()))</f>
        <v>0</v>
      </c>
      <c r="BP118" s="5">
        <f>IF(BP$88=0,NA(),IF(ISNUMBER(INDEX($D$91:$AD$91,BP$88)),MAX(MIN(BP115,IFERROR(INDEX($D$102:$AD$102,BP$88)/BP104,1)-0.08721-BP110*0.17442,IF(BP108&lt;BP110,IFERROR(BP114,9)-(BP110-BP108)*0.17442,9),IF(BP112&lt;BP110,IFERROR(BP116,9)-(BP110-BP112)*0.17442,9)),0.08721+(2-BP110)*0.17442),NA()))</f>
        <v>0</v>
      </c>
    </row>
    <row r="119" spans="1:68">
      <c r="A119" s="11" t="s">
        <v>301</v>
      </c>
      <c r="B119" s="11" t="s">
        <v>302</v>
      </c>
      <c r="C119" s="3" t="s">
        <v>144</v>
      </c>
      <c r="AQ119" s="5">
        <f>IF(AQ$88=0,NA(),IF(ISNUMBER(INDEX($D$93:$AD$93,AQ$88)),MAX(MIN(AQ116,IFERROR(INDEX($D$102:$AD$102,AQ$88)/AQ104,1)-0.08721-AQ112*0.17442,IF(AQ110&lt;AQ112,IFERROR(AQ115,9)-(AQ112-AQ110)*0.17442,9),IF(AQ108&lt;AQ112,IFERROR(AQ114,9)-(AQ112-AQ108)*0.17442,9)),0.08721+(2-AQ112)*0.17442),NA()))</f>
        <v>0</v>
      </c>
      <c r="AR119" s="5">
        <f>IF(AR$88=0,NA(),IF(ISNUMBER(INDEX($D$93:$AD$93,AR$88)),MAX(MIN(AR116,IFERROR(INDEX($D$102:$AD$102,AR$88)/AR104,1)-0.08721-AR112*0.17442,IF(AR110&lt;AR112,IFERROR(AR115,9)-(AR112-AR110)*0.17442,9),IF(AR108&lt;AR112,IFERROR(AR114,9)-(AR112-AR108)*0.17442,9)),0.08721+(2-AR112)*0.17442),NA()))</f>
        <v>0</v>
      </c>
      <c r="AS119" s="5">
        <f>IF(AS$88=0,NA(),IF(ISNUMBER(INDEX($D$93:$AD$93,AS$88)),MAX(MIN(AS116,IFERROR(INDEX($D$102:$AD$102,AS$88)/AS104,1)-0.08721-AS112*0.17442,IF(AS110&lt;AS112,IFERROR(AS115,9)-(AS112-AS110)*0.17442,9),IF(AS108&lt;AS112,IFERROR(AS114,9)-(AS112-AS108)*0.17442,9)),0.08721+(2-AS112)*0.17442),NA()))</f>
        <v>0</v>
      </c>
      <c r="AT119" s="5">
        <f>IF(AT$88=0,NA(),IF(ISNUMBER(INDEX($D$93:$AD$93,AT$88)),MAX(MIN(AT116,IFERROR(INDEX($D$102:$AD$102,AT$88)/AT104,1)-0.08721-AT112*0.17442,IF(AT110&lt;AT112,IFERROR(AT115,9)-(AT112-AT110)*0.17442,9),IF(AT108&lt;AT112,IFERROR(AT114,9)-(AT112-AT108)*0.17442,9)),0.08721+(2-AT112)*0.17442),NA()))</f>
        <v>0</v>
      </c>
      <c r="AU119" s="5">
        <f>IF(AU$88=0,NA(),IF(ISNUMBER(INDEX($D$93:$AD$93,AU$88)),MAX(MIN(AU116,IFERROR(INDEX($D$102:$AD$102,AU$88)/AU104,1)-0.08721-AU112*0.17442,IF(AU110&lt;AU112,IFERROR(AU115,9)-(AU112-AU110)*0.17442,9),IF(AU108&lt;AU112,IFERROR(AU114,9)-(AU112-AU108)*0.17442,9)),0.08721+(2-AU112)*0.17442),NA()))</f>
        <v>0</v>
      </c>
      <c r="AV119" s="5">
        <f>IF(AV$88=0,NA(),IF(ISNUMBER(INDEX($D$93:$AD$93,AV$88)),MAX(MIN(AV116,IFERROR(INDEX($D$102:$AD$102,AV$88)/AV104,1)-0.08721-AV112*0.17442,IF(AV110&lt;AV112,IFERROR(AV115,9)-(AV112-AV110)*0.17442,9),IF(AV108&lt;AV112,IFERROR(AV114,9)-(AV112-AV108)*0.17442,9)),0.08721+(2-AV112)*0.17442),NA()))</f>
        <v>0</v>
      </c>
      <c r="AW119" s="5">
        <f>IF(AW$88=0,NA(),IF(ISNUMBER(INDEX($D$93:$AD$93,AW$88)),MAX(MIN(AW116,IFERROR(INDEX($D$102:$AD$102,AW$88)/AW104,1)-0.08721-AW112*0.17442,IF(AW110&lt;AW112,IFERROR(AW115,9)-(AW112-AW110)*0.17442,9),IF(AW108&lt;AW112,IFERROR(AW114,9)-(AW112-AW108)*0.17442,9)),0.08721+(2-AW112)*0.17442),NA()))</f>
        <v>0</v>
      </c>
      <c r="AX119" s="5">
        <f>IF(AX$88=0,NA(),IF(ISNUMBER(INDEX($D$93:$AD$93,AX$88)),MAX(MIN(AX116,IFERROR(INDEX($D$102:$AD$102,AX$88)/AX104,1)-0.08721-AX112*0.17442,IF(AX110&lt;AX112,IFERROR(AX115,9)-(AX112-AX110)*0.17442,9),IF(AX108&lt;AX112,IFERROR(AX114,9)-(AX112-AX108)*0.17442,9)),0.08721+(2-AX112)*0.17442),NA()))</f>
        <v>0</v>
      </c>
      <c r="AY119" s="5">
        <f>IF(AY$88=0,NA(),IF(ISNUMBER(INDEX($D$93:$AD$93,AY$88)),MAX(MIN(AY116,IFERROR(INDEX($D$102:$AD$102,AY$88)/AY104,1)-0.08721-AY112*0.17442,IF(AY110&lt;AY112,IFERROR(AY115,9)-(AY112-AY110)*0.17442,9),IF(AY108&lt;AY112,IFERROR(AY114,9)-(AY112-AY108)*0.17442,9)),0.08721+(2-AY112)*0.17442),NA()))</f>
        <v>0</v>
      </c>
      <c r="AZ119" s="5">
        <f>IF(AZ$88=0,NA(),IF(ISNUMBER(INDEX($D$93:$AD$93,AZ$88)),MAX(MIN(AZ116,IFERROR(INDEX($D$102:$AD$102,AZ$88)/AZ104,1)-0.08721-AZ112*0.17442,IF(AZ110&lt;AZ112,IFERROR(AZ115,9)-(AZ112-AZ110)*0.17442,9),IF(AZ108&lt;AZ112,IFERROR(AZ114,9)-(AZ112-AZ108)*0.17442,9)),0.08721+(2-AZ112)*0.17442),NA()))</f>
        <v>0</v>
      </c>
      <c r="BA119" s="5">
        <f>IF(BA$88=0,NA(),IF(ISNUMBER(INDEX($D$93:$AD$93,BA$88)),MAX(MIN(BA116,IFERROR(INDEX($D$102:$AD$102,BA$88)/BA104,1)-0.08721-BA112*0.17442,IF(BA110&lt;BA112,IFERROR(BA115,9)-(BA112-BA110)*0.17442,9),IF(BA108&lt;BA112,IFERROR(BA114,9)-(BA112-BA108)*0.17442,9)),0.08721+(2-BA112)*0.17442),NA()))</f>
        <v>0</v>
      </c>
      <c r="BB119" s="5">
        <f>IF(BB$88=0,NA(),IF(ISNUMBER(INDEX($D$93:$AD$93,BB$88)),MAX(MIN(BB116,IFERROR(INDEX($D$102:$AD$102,BB$88)/BB104,1)-0.08721-BB112*0.17442,IF(BB110&lt;BB112,IFERROR(BB115,9)-(BB112-BB110)*0.17442,9),IF(BB108&lt;BB112,IFERROR(BB114,9)-(BB112-BB108)*0.17442,9)),0.08721+(2-BB112)*0.17442),NA()))</f>
        <v>0</v>
      </c>
      <c r="BC119" s="5">
        <f>IF(BC$88=0,NA(),IF(ISNUMBER(INDEX($D$93:$AD$93,BC$88)),MAX(MIN(BC116,IFERROR(INDEX($D$102:$AD$102,BC$88)/BC104,1)-0.08721-BC112*0.17442,IF(BC110&lt;BC112,IFERROR(BC115,9)-(BC112-BC110)*0.17442,9),IF(BC108&lt;BC112,IFERROR(BC114,9)-(BC112-BC108)*0.17442,9)),0.08721+(2-BC112)*0.17442),NA()))</f>
        <v>0</v>
      </c>
      <c r="BD119" s="5">
        <f>IF(BD$88=0,NA(),IF(ISNUMBER(INDEX($D$93:$AD$93,BD$88)),MAX(MIN(BD116,IFERROR(INDEX($D$102:$AD$102,BD$88)/BD104,1)-0.08721-BD112*0.17442,IF(BD110&lt;BD112,IFERROR(BD115,9)-(BD112-BD110)*0.17442,9),IF(BD108&lt;BD112,IFERROR(BD114,9)-(BD112-BD108)*0.17442,9)),0.08721+(2-BD112)*0.17442),NA()))</f>
        <v>0</v>
      </c>
      <c r="BE119" s="5">
        <f>IF(BE$88=0,NA(),IF(ISNUMBER(INDEX($D$93:$AD$93,BE$88)),MAX(MIN(BE116,IFERROR(INDEX($D$102:$AD$102,BE$88)/BE104,1)-0.08721-BE112*0.17442,IF(BE110&lt;BE112,IFERROR(BE115,9)-(BE112-BE110)*0.17442,9),IF(BE108&lt;BE112,IFERROR(BE114,9)-(BE112-BE108)*0.17442,9)),0.08721+(2-BE112)*0.17442),NA()))</f>
        <v>0</v>
      </c>
      <c r="BF119" s="5">
        <f>IF(BF$88=0,NA(),IF(ISNUMBER(INDEX($D$93:$AD$93,BF$88)),MAX(MIN(BF116,IFERROR(INDEX($D$102:$AD$102,BF$88)/BF104,1)-0.08721-BF112*0.17442,IF(BF110&lt;BF112,IFERROR(BF115,9)-(BF112-BF110)*0.17442,9),IF(BF108&lt;BF112,IFERROR(BF114,9)-(BF112-BF108)*0.17442,9)),0.08721+(2-BF112)*0.17442),NA()))</f>
        <v>0</v>
      </c>
      <c r="BG119" s="5">
        <f>IF(BG$88=0,NA(),IF(ISNUMBER(INDEX($D$93:$AD$93,BG$88)),MAX(MIN(BG116,IFERROR(INDEX($D$102:$AD$102,BG$88)/BG104,1)-0.08721-BG112*0.17442,IF(BG110&lt;BG112,IFERROR(BG115,9)-(BG112-BG110)*0.17442,9),IF(BG108&lt;BG112,IFERROR(BG114,9)-(BG112-BG108)*0.17442,9)),0.08721+(2-BG112)*0.17442),NA()))</f>
        <v>0</v>
      </c>
      <c r="BH119" s="5">
        <f>IF(BH$88=0,NA(),IF(ISNUMBER(INDEX($D$93:$AD$93,BH$88)),MAX(MIN(BH116,IFERROR(INDEX($D$102:$AD$102,BH$88)/BH104,1)-0.08721-BH112*0.17442,IF(BH110&lt;BH112,IFERROR(BH115,9)-(BH112-BH110)*0.17442,9),IF(BH108&lt;BH112,IFERROR(BH114,9)-(BH112-BH108)*0.17442,9)),0.08721+(2-BH112)*0.17442),NA()))</f>
        <v>0</v>
      </c>
      <c r="BI119" s="5">
        <f>IF(BI$88=0,NA(),IF(ISNUMBER(INDEX($D$93:$AD$93,BI$88)),MAX(MIN(BI116,IFERROR(INDEX($D$102:$AD$102,BI$88)/BI104,1)-0.08721-BI112*0.17442,IF(BI110&lt;BI112,IFERROR(BI115,9)-(BI112-BI110)*0.17442,9),IF(BI108&lt;BI112,IFERROR(BI114,9)-(BI112-BI108)*0.17442,9)),0.08721+(2-BI112)*0.17442),NA()))</f>
        <v>0</v>
      </c>
      <c r="BJ119" s="5">
        <f>IF(BJ$88=0,NA(),IF(ISNUMBER(INDEX($D$93:$AD$93,BJ$88)),MAX(MIN(BJ116,IFERROR(INDEX($D$102:$AD$102,BJ$88)/BJ104,1)-0.08721-BJ112*0.17442,IF(BJ110&lt;BJ112,IFERROR(BJ115,9)-(BJ112-BJ110)*0.17442,9),IF(BJ108&lt;BJ112,IFERROR(BJ114,9)-(BJ112-BJ108)*0.17442,9)),0.08721+(2-BJ112)*0.17442),NA()))</f>
        <v>0</v>
      </c>
      <c r="BK119" s="5">
        <f>IF(BK$88=0,NA(),IF(ISNUMBER(INDEX($D$93:$AD$93,BK$88)),MAX(MIN(BK116,IFERROR(INDEX($D$102:$AD$102,BK$88)/BK104,1)-0.08721-BK112*0.17442,IF(BK110&lt;BK112,IFERROR(BK115,9)-(BK112-BK110)*0.17442,9),IF(BK108&lt;BK112,IFERROR(BK114,9)-(BK112-BK108)*0.17442,9)),0.08721+(2-BK112)*0.17442),NA()))</f>
        <v>0</v>
      </c>
      <c r="BL119" s="5">
        <f>IF(BL$88=0,NA(),IF(ISNUMBER(INDEX($D$93:$AD$93,BL$88)),MAX(MIN(BL116,IFERROR(INDEX($D$102:$AD$102,BL$88)/BL104,1)-0.08721-BL112*0.17442,IF(BL110&lt;BL112,IFERROR(BL115,9)-(BL112-BL110)*0.17442,9),IF(BL108&lt;BL112,IFERROR(BL114,9)-(BL112-BL108)*0.17442,9)),0.08721+(2-BL112)*0.17442),NA()))</f>
        <v>0</v>
      </c>
      <c r="BM119" s="5">
        <f>IF(BM$88=0,NA(),IF(ISNUMBER(INDEX($D$93:$AD$93,BM$88)),MAX(MIN(BM116,IFERROR(INDEX($D$102:$AD$102,BM$88)/BM104,1)-0.08721-BM112*0.17442,IF(BM110&lt;BM112,IFERROR(BM115,9)-(BM112-BM110)*0.17442,9),IF(BM108&lt;BM112,IFERROR(BM114,9)-(BM112-BM108)*0.17442,9)),0.08721+(2-BM112)*0.17442),NA()))</f>
        <v>0</v>
      </c>
      <c r="BN119" s="5">
        <f>IF(BN$88=0,NA(),IF(ISNUMBER(INDEX($D$93:$AD$93,BN$88)),MAX(MIN(BN116,IFERROR(INDEX($D$102:$AD$102,BN$88)/BN104,1)-0.08721-BN112*0.17442,IF(BN110&lt;BN112,IFERROR(BN115,9)-(BN112-BN110)*0.17442,9),IF(BN108&lt;BN112,IFERROR(BN114,9)-(BN112-BN108)*0.17442,9)),0.08721+(2-BN112)*0.17442),NA()))</f>
        <v>0</v>
      </c>
      <c r="BO119" s="5">
        <f>IF(BO$88=0,NA(),IF(ISNUMBER(INDEX($D$93:$AD$93,BO$88)),MAX(MIN(BO116,IFERROR(INDEX($D$102:$AD$102,BO$88)/BO104,1)-0.08721-BO112*0.17442,IF(BO110&lt;BO112,IFERROR(BO115,9)-(BO112-BO110)*0.17442,9),IF(BO108&lt;BO112,IFERROR(BO114,9)-(BO112-BO108)*0.17442,9)),0.08721+(2-BO112)*0.17442),NA()))</f>
        <v>0</v>
      </c>
      <c r="BP119" s="5">
        <f>IF(BP$88=0,NA(),IF(ISNUMBER(INDEX($D$93:$AD$93,BP$88)),MAX(MIN(BP116,IFERROR(INDEX($D$102:$AD$102,BP$88)/BP104,1)-0.08721-BP112*0.17442,IF(BP110&lt;BP112,IFERROR(BP115,9)-(BP112-BP110)*0.17442,9),IF(BP108&lt;BP112,IFERROR(BP114,9)-(BP112-BP108)*0.17442,9)),0.08721+(2-BP112)*0.17442),NA()))</f>
        <v>0</v>
      </c>
    </row>
    <row r="120" spans="1:68">
      <c r="A120" s="11" t="s">
        <v>303</v>
      </c>
      <c r="B120" s="11" t="s">
        <v>304</v>
      </c>
      <c r="C120" s="3" t="s">
        <v>144</v>
      </c>
      <c r="AQ120" s="5">
        <f>IF(AQ$88=0,NA(),IF(ISNUMBER(INDEX($D$102:$AD$102,AQ$88)),MAX(INDEX($D$102:$AD$102,AQ$88)/AQ104,IFERROR(_xlfn.AGGREGATE(4,6,AQ118,AQ117,AQ119),0)+0.08721),NA()))</f>
        <v>0</v>
      </c>
      <c r="AR120" s="5">
        <f>IF(AR$88=0,NA(),IF(ISNUMBER(INDEX($D$102:$AD$102,AR$88)),MAX(INDEX($D$102:$AD$102,AR$88)/AR104,IFERROR(_xlfn.AGGREGATE(4,6,AR118,AR117,AR119),0)+0.08721),NA()))</f>
        <v>0</v>
      </c>
      <c r="AS120" s="5">
        <f>IF(AS$88=0,NA(),IF(ISNUMBER(INDEX($D$102:$AD$102,AS$88)),MAX(INDEX($D$102:$AD$102,AS$88)/AS104,IFERROR(_xlfn.AGGREGATE(4,6,AS118,AS117,AS119),0)+0.08721),NA()))</f>
        <v>0</v>
      </c>
      <c r="AT120" s="5">
        <f>IF(AT$88=0,NA(),IF(ISNUMBER(INDEX($D$102:$AD$102,AT$88)),MAX(INDEX($D$102:$AD$102,AT$88)/AT104,IFERROR(_xlfn.AGGREGATE(4,6,AT118,AT117,AT119),0)+0.08721),NA()))</f>
        <v>0</v>
      </c>
      <c r="AU120" s="5">
        <f>IF(AU$88=0,NA(),IF(ISNUMBER(INDEX($D$102:$AD$102,AU$88)),MAX(INDEX($D$102:$AD$102,AU$88)/AU104,IFERROR(_xlfn.AGGREGATE(4,6,AU118,AU117,AU119),0)+0.08721),NA()))</f>
        <v>0</v>
      </c>
      <c r="AV120" s="5">
        <f>IF(AV$88=0,NA(),IF(ISNUMBER(INDEX($D$102:$AD$102,AV$88)),MAX(INDEX($D$102:$AD$102,AV$88)/AV104,IFERROR(_xlfn.AGGREGATE(4,6,AV118,AV117,AV119),0)+0.08721),NA()))</f>
        <v>0</v>
      </c>
      <c r="AW120" s="5">
        <f>IF(AW$88=0,NA(),IF(ISNUMBER(INDEX($D$102:$AD$102,AW$88)),MAX(INDEX($D$102:$AD$102,AW$88)/AW104,IFERROR(_xlfn.AGGREGATE(4,6,AW118,AW117,AW119),0)+0.08721),NA()))</f>
        <v>0</v>
      </c>
      <c r="AX120" s="5">
        <f>IF(AX$88=0,NA(),IF(ISNUMBER(INDEX($D$102:$AD$102,AX$88)),MAX(INDEX($D$102:$AD$102,AX$88)/AX104,IFERROR(_xlfn.AGGREGATE(4,6,AX118,AX117,AX119),0)+0.08721),NA()))</f>
        <v>0</v>
      </c>
      <c r="AY120" s="5">
        <f>IF(AY$88=0,NA(),IF(ISNUMBER(INDEX($D$102:$AD$102,AY$88)),MAX(INDEX($D$102:$AD$102,AY$88)/AY104,IFERROR(_xlfn.AGGREGATE(4,6,AY118,AY117,AY119),0)+0.08721),NA()))</f>
        <v>0</v>
      </c>
      <c r="AZ120" s="5">
        <f>IF(AZ$88=0,NA(),IF(ISNUMBER(INDEX($D$102:$AD$102,AZ$88)),MAX(INDEX($D$102:$AD$102,AZ$88)/AZ104,IFERROR(_xlfn.AGGREGATE(4,6,AZ118,AZ117,AZ119),0)+0.08721),NA()))</f>
        <v>0</v>
      </c>
      <c r="BA120" s="5">
        <f>IF(BA$88=0,NA(),IF(ISNUMBER(INDEX($D$102:$AD$102,BA$88)),MAX(INDEX($D$102:$AD$102,BA$88)/BA104,IFERROR(_xlfn.AGGREGATE(4,6,BA118,BA117,BA119),0)+0.08721),NA()))</f>
        <v>0</v>
      </c>
      <c r="BB120" s="5">
        <f>IF(BB$88=0,NA(),IF(ISNUMBER(INDEX($D$102:$AD$102,BB$88)),MAX(INDEX($D$102:$AD$102,BB$88)/BB104,IFERROR(_xlfn.AGGREGATE(4,6,BB118,BB117,BB119),0)+0.08721),NA()))</f>
        <v>0</v>
      </c>
      <c r="BC120" s="5">
        <f>IF(BC$88=0,NA(),IF(ISNUMBER(INDEX($D$102:$AD$102,BC$88)),MAX(INDEX($D$102:$AD$102,BC$88)/BC104,IFERROR(_xlfn.AGGREGATE(4,6,BC118,BC117,BC119),0)+0.08721),NA()))</f>
        <v>0</v>
      </c>
      <c r="BD120" s="5">
        <f>IF(BD$88=0,NA(),IF(ISNUMBER(INDEX($D$102:$AD$102,BD$88)),MAX(INDEX($D$102:$AD$102,BD$88)/BD104,IFERROR(_xlfn.AGGREGATE(4,6,BD118,BD117,BD119),0)+0.08721),NA()))</f>
        <v>0</v>
      </c>
      <c r="BE120" s="5">
        <f>IF(BE$88=0,NA(),IF(ISNUMBER(INDEX($D$102:$AD$102,BE$88)),MAX(INDEX($D$102:$AD$102,BE$88)/BE104,IFERROR(_xlfn.AGGREGATE(4,6,BE118,BE117,BE119),0)+0.08721),NA()))</f>
        <v>0</v>
      </c>
      <c r="BF120" s="5">
        <f>IF(BF$88=0,NA(),IF(ISNUMBER(INDEX($D$102:$AD$102,BF$88)),MAX(INDEX($D$102:$AD$102,BF$88)/BF104,IFERROR(_xlfn.AGGREGATE(4,6,BF118,BF117,BF119),0)+0.08721),NA()))</f>
        <v>0</v>
      </c>
      <c r="BG120" s="5">
        <f>IF(BG$88=0,NA(),IF(ISNUMBER(INDEX($D$102:$AD$102,BG$88)),MAX(INDEX($D$102:$AD$102,BG$88)/BG104,IFERROR(_xlfn.AGGREGATE(4,6,BG118,BG117,BG119),0)+0.08721),NA()))</f>
        <v>0</v>
      </c>
      <c r="BH120" s="5">
        <f>IF(BH$88=0,NA(),IF(ISNUMBER(INDEX($D$102:$AD$102,BH$88)),MAX(INDEX($D$102:$AD$102,BH$88)/BH104,IFERROR(_xlfn.AGGREGATE(4,6,BH118,BH117,BH119),0)+0.08721),NA()))</f>
        <v>0</v>
      </c>
      <c r="BI120" s="5">
        <f>IF(BI$88=0,NA(),IF(ISNUMBER(INDEX($D$102:$AD$102,BI$88)),MAX(INDEX($D$102:$AD$102,BI$88)/BI104,IFERROR(_xlfn.AGGREGATE(4,6,BI118,BI117,BI119),0)+0.08721),NA()))</f>
        <v>0</v>
      </c>
      <c r="BJ120" s="5">
        <f>IF(BJ$88=0,NA(),IF(ISNUMBER(INDEX($D$102:$AD$102,BJ$88)),MAX(INDEX($D$102:$AD$102,BJ$88)/BJ104,IFERROR(_xlfn.AGGREGATE(4,6,BJ118,BJ117,BJ119),0)+0.08721),NA()))</f>
        <v>0</v>
      </c>
      <c r="BK120" s="5">
        <f>IF(BK$88=0,NA(),IF(ISNUMBER(INDEX($D$102:$AD$102,BK$88)),MAX(INDEX($D$102:$AD$102,BK$88)/BK104,IFERROR(_xlfn.AGGREGATE(4,6,BK118,BK117,BK119),0)+0.08721),NA()))</f>
        <v>0</v>
      </c>
      <c r="BL120" s="5">
        <f>IF(BL$88=0,NA(),IF(ISNUMBER(INDEX($D$102:$AD$102,BL$88)),MAX(INDEX($D$102:$AD$102,BL$88)/BL104,IFERROR(_xlfn.AGGREGATE(4,6,BL118,BL117,BL119),0)+0.08721),NA()))</f>
        <v>0</v>
      </c>
      <c r="BM120" s="5">
        <f>IF(BM$88=0,NA(),IF(ISNUMBER(INDEX($D$102:$AD$102,BM$88)),MAX(INDEX($D$102:$AD$102,BM$88)/BM104,IFERROR(_xlfn.AGGREGATE(4,6,BM118,BM117,BM119),0)+0.08721),NA()))</f>
        <v>0</v>
      </c>
      <c r="BN120" s="5">
        <f>IF(BN$88=0,NA(),IF(ISNUMBER(INDEX($D$102:$AD$102,BN$88)),MAX(INDEX($D$102:$AD$102,BN$88)/BN104,IFERROR(_xlfn.AGGREGATE(4,6,BN118,BN117,BN119),0)+0.08721),NA()))</f>
        <v>0</v>
      </c>
      <c r="BO120" s="5">
        <f>IF(BO$88=0,NA(),IF(ISNUMBER(INDEX($D$102:$AD$102,BO$88)),MAX(INDEX($D$102:$AD$102,BO$88)/BO104,IFERROR(_xlfn.AGGREGATE(4,6,BO118,BO117,BO119),0)+0.08721),NA()))</f>
        <v>0</v>
      </c>
      <c r="BP120" s="5">
        <f>IF(BP$88=0,NA(),IF(ISNUMBER(INDEX($D$102:$AD$102,BP$88)),MAX(INDEX($D$102:$AD$102,BP$88)/BP104,IFERROR(_xlfn.AGGREGATE(4,6,BP118,BP117,BP119),0)+0.08721),NA()))</f>
        <v>0</v>
      </c>
    </row>
    <row r="121" spans="1:68">
      <c r="A121" s="11" t="s">
        <v>305</v>
      </c>
      <c r="B121" s="11" t="s">
        <v>306</v>
      </c>
      <c r="C121" s="3" t="s">
        <v>144</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307</v>
      </c>
      <c r="B122" s="11" t="s">
        <v>308</v>
      </c>
      <c r="C122" s="3" t="s">
        <v>144</v>
      </c>
      <c r="AQ122" s="5">
        <f>IF(AQ$88=0,NA(),IF(N(Konfiguration!$F$11)&gt;0,N(Konfiguration!$F$11)/AQ104,NA()))</f>
        <v>0</v>
      </c>
      <c r="AR122" s="5">
        <f>IF(AR$88=0,NA(),IF(N(Konfiguration!$F$11)&gt;0,N(Konfiguration!$F$11)/AR104,NA()))</f>
        <v>0</v>
      </c>
      <c r="AS122" s="5">
        <f>IF(AS$88=0,NA(),IF(N(Konfiguration!$F$11)&gt;0,N(Konfiguration!$F$11)/AS104,NA()))</f>
        <v>0</v>
      </c>
      <c r="AT122" s="5">
        <f>IF(AT$88=0,NA(),IF(N(Konfiguration!$F$11)&gt;0,N(Konfiguration!$F$11)/AT104,NA()))</f>
        <v>0</v>
      </c>
      <c r="AU122" s="5">
        <f>IF(AU$88=0,NA(),IF(N(Konfiguration!$F$11)&gt;0,N(Konfiguration!$F$11)/AU104,NA()))</f>
        <v>0</v>
      </c>
      <c r="AV122" s="5">
        <f>IF(AV$88=0,NA(),IF(N(Konfiguration!$F$11)&gt;0,N(Konfiguration!$F$11)/AV104,NA()))</f>
        <v>0</v>
      </c>
      <c r="AW122" s="5">
        <f>IF(AW$88=0,NA(),IF(N(Konfiguration!$F$11)&gt;0,N(Konfiguration!$F$11)/AW104,NA()))</f>
        <v>0</v>
      </c>
      <c r="AX122" s="5">
        <f>IF(AX$88=0,NA(),IF(N(Konfiguration!$F$11)&gt;0,N(Konfiguration!$F$11)/AX104,NA()))</f>
        <v>0</v>
      </c>
      <c r="AY122" s="5">
        <f>IF(AY$88=0,NA(),IF(N(Konfiguration!$F$11)&gt;0,N(Konfiguration!$F$11)/AY104,NA()))</f>
        <v>0</v>
      </c>
      <c r="AZ122" s="5">
        <f>IF(AZ$88=0,NA(),IF(N(Konfiguration!$F$11)&gt;0,N(Konfiguration!$F$11)/AZ104,NA()))</f>
        <v>0</v>
      </c>
      <c r="BA122" s="5">
        <f>IF(BA$88=0,NA(),IF(N(Konfiguration!$F$11)&gt;0,N(Konfiguration!$F$11)/BA104,NA()))</f>
        <v>0</v>
      </c>
      <c r="BB122" s="5">
        <f>IF(BB$88=0,NA(),IF(N(Konfiguration!$F$11)&gt;0,N(Konfiguration!$F$11)/BB104,NA()))</f>
        <v>0</v>
      </c>
      <c r="BC122" s="5">
        <f>IF(BC$88=0,NA(),IF(N(Konfiguration!$F$11)&gt;0,N(Konfiguration!$F$11)/BC104,NA()))</f>
        <v>0</v>
      </c>
      <c r="BD122" s="5">
        <f>IF(BD$88=0,NA(),IF(N(Konfiguration!$F$11)&gt;0,N(Konfiguration!$F$11)/BD104,NA()))</f>
        <v>0</v>
      </c>
      <c r="BE122" s="5">
        <f>IF(BE$88=0,NA(),IF(N(Konfiguration!$F$11)&gt;0,N(Konfiguration!$F$11)/BE104,NA()))</f>
        <v>0</v>
      </c>
      <c r="BF122" s="5">
        <f>IF(BF$88=0,NA(),IF(N(Konfiguration!$F$11)&gt;0,N(Konfiguration!$F$11)/BF104,NA()))</f>
        <v>0</v>
      </c>
      <c r="BG122" s="5">
        <f>IF(BG$88=0,NA(),IF(N(Konfiguration!$F$11)&gt;0,N(Konfiguration!$F$11)/BG104,NA()))</f>
        <v>0</v>
      </c>
      <c r="BH122" s="5">
        <f>IF(BH$88=0,NA(),IF(N(Konfiguration!$F$11)&gt;0,N(Konfiguration!$F$11)/BH104,NA()))</f>
        <v>0</v>
      </c>
      <c r="BI122" s="5">
        <f>IF(BI$88=0,NA(),IF(N(Konfiguration!$F$11)&gt;0,N(Konfiguration!$F$11)/BI104,NA()))</f>
        <v>0</v>
      </c>
      <c r="BJ122" s="5">
        <f>IF(BJ$88=0,NA(),IF(N(Konfiguration!$F$11)&gt;0,N(Konfiguration!$F$11)/BJ104,NA()))</f>
        <v>0</v>
      </c>
      <c r="BK122" s="5">
        <f>IF(BK$88=0,NA(),IF(N(Konfiguration!$F$11)&gt;0,N(Konfiguration!$F$11)/BK104,NA()))</f>
        <v>0</v>
      </c>
      <c r="BL122" s="5">
        <f>IF(BL$88=0,NA(),IF(N(Konfiguration!$F$11)&gt;0,N(Konfiguration!$F$11)/BL104,NA()))</f>
        <v>0</v>
      </c>
      <c r="BM122" s="5">
        <f>IF(BM$88=0,NA(),IF(N(Konfiguration!$F$11)&gt;0,N(Konfiguration!$F$11)/BM104,NA()))</f>
        <v>0</v>
      </c>
      <c r="BN122" s="5">
        <f>IF(BN$88=0,NA(),IF(N(Konfiguration!$F$11)&gt;0,N(Konfiguration!$F$11)/BN104,NA()))</f>
        <v>0</v>
      </c>
      <c r="BO122" s="5">
        <f>IF(BO$88=0,NA(),IF(N(Konfiguration!$F$11)&gt;0,N(Konfiguration!$F$11)/BO104,NA()))</f>
        <v>0</v>
      </c>
      <c r="BP122" s="5">
        <f>IF(BP$88=0,NA(),IF(N(Konfiguration!$F$11)&gt;0,N(Konfiguration!$F$11)/BP104,NA()))</f>
        <v>0</v>
      </c>
    </row>
    <row r="123" spans="1:68">
      <c r="A123" s="11" t="s">
        <v>309</v>
      </c>
      <c r="B123" s="11" t="s">
        <v>310</v>
      </c>
      <c r="C123" s="3" t="s">
        <v>144</v>
      </c>
      <c r="AQ123" s="5">
        <f>IF(AQ$88=0,NA(),MAX(1,_xlfn.AGGREGATE(4,6,INDEX($D$100:$AD$100,MAX(1,$D$86+1-$D$85)):INDEX($D$100:$AD$100,$D$86)),_xlfn.AGGREGATE(4,6,INDEX($D$101:$AD$101,MAX(1,$D$86+1-$D$85)):INDEX($D$101:$AD$101,$D$86))))</f>
        <v>0</v>
      </c>
      <c r="AR123" s="5">
        <f>IF(AR$88=0,NA(),MAX(1,_xlfn.AGGREGATE(4,6,INDEX($D$100:$AD$100,MAX(1,$D$86+1-$D$85)):INDEX($D$100:$AD$100,$D$86)),_xlfn.AGGREGATE(4,6,INDEX($D$101:$AD$101,MAX(1,$D$86+1-$D$85)):INDEX($D$101:$AD$101,$D$86))))</f>
        <v>0</v>
      </c>
      <c r="AS123" s="5">
        <f>IF(AS$88=0,NA(),MAX(1,_xlfn.AGGREGATE(4,6,INDEX($D$100:$AD$100,MAX(1,$D$86+1-$D$85)):INDEX($D$100:$AD$100,$D$86)),_xlfn.AGGREGATE(4,6,INDEX($D$101:$AD$101,MAX(1,$D$86+1-$D$85)):INDEX($D$101:$AD$101,$D$86))))</f>
        <v>0</v>
      </c>
      <c r="AT123" s="5">
        <f>IF(AT$88=0,NA(),MAX(1,_xlfn.AGGREGATE(4,6,INDEX($D$100:$AD$100,MAX(1,$D$86+1-$D$85)):INDEX($D$100:$AD$100,$D$86)),_xlfn.AGGREGATE(4,6,INDEX($D$101:$AD$101,MAX(1,$D$86+1-$D$85)):INDEX($D$101:$AD$101,$D$86))))</f>
        <v>0</v>
      </c>
      <c r="AU123" s="5">
        <f>IF(AU$88=0,NA(),MAX(1,_xlfn.AGGREGATE(4,6,INDEX($D$100:$AD$100,MAX(1,$D$86+1-$D$85)):INDEX($D$100:$AD$100,$D$86)),_xlfn.AGGREGATE(4,6,INDEX($D$101:$AD$101,MAX(1,$D$86+1-$D$85)):INDEX($D$101:$AD$101,$D$86))))</f>
        <v>0</v>
      </c>
      <c r="AV123" s="5">
        <f>IF(AV$88=0,NA(),MAX(1,_xlfn.AGGREGATE(4,6,INDEX($D$100:$AD$100,MAX(1,$D$86+1-$D$85)):INDEX($D$100:$AD$100,$D$86)),_xlfn.AGGREGATE(4,6,INDEX($D$101:$AD$101,MAX(1,$D$86+1-$D$85)):INDEX($D$101:$AD$101,$D$86))))</f>
        <v>0</v>
      </c>
      <c r="AW123" s="5">
        <f>IF(AW$88=0,NA(),MAX(1,_xlfn.AGGREGATE(4,6,INDEX($D$100:$AD$100,MAX(1,$D$86+1-$D$85)):INDEX($D$100:$AD$100,$D$86)),_xlfn.AGGREGATE(4,6,INDEX($D$101:$AD$101,MAX(1,$D$86+1-$D$85)):INDEX($D$101:$AD$101,$D$86))))</f>
        <v>0</v>
      </c>
      <c r="AX123" s="5">
        <f>IF(AX$88=0,NA(),MAX(1,_xlfn.AGGREGATE(4,6,INDEX($D$100:$AD$100,MAX(1,$D$86+1-$D$85)):INDEX($D$100:$AD$100,$D$86)),_xlfn.AGGREGATE(4,6,INDEX($D$101:$AD$101,MAX(1,$D$86+1-$D$85)):INDEX($D$101:$AD$101,$D$86))))</f>
        <v>0</v>
      </c>
      <c r="AY123" s="5">
        <f>IF(AY$88=0,NA(),MAX(1,_xlfn.AGGREGATE(4,6,INDEX($D$100:$AD$100,MAX(1,$D$86+1-$D$85)):INDEX($D$100:$AD$100,$D$86)),_xlfn.AGGREGATE(4,6,INDEX($D$101:$AD$101,MAX(1,$D$86+1-$D$85)):INDEX($D$101:$AD$101,$D$86))))</f>
        <v>0</v>
      </c>
      <c r="AZ123" s="5">
        <f>IF(AZ$88=0,NA(),MAX(1,_xlfn.AGGREGATE(4,6,INDEX($D$100:$AD$100,MAX(1,$D$86+1-$D$85)):INDEX($D$100:$AD$100,$D$86)),_xlfn.AGGREGATE(4,6,INDEX($D$101:$AD$101,MAX(1,$D$86+1-$D$85)):INDEX($D$101:$AD$101,$D$86))))</f>
        <v>0</v>
      </c>
      <c r="BA123" s="5">
        <f>IF(BA$88=0,NA(),MAX(1,_xlfn.AGGREGATE(4,6,INDEX($D$100:$AD$100,MAX(1,$D$86+1-$D$85)):INDEX($D$100:$AD$100,$D$86)),_xlfn.AGGREGATE(4,6,INDEX($D$101:$AD$101,MAX(1,$D$86+1-$D$85)):INDEX($D$101:$AD$101,$D$86))))</f>
        <v>0</v>
      </c>
      <c r="BB123" s="5">
        <f>IF(BB$88=0,NA(),MAX(1,_xlfn.AGGREGATE(4,6,INDEX($D$100:$AD$100,MAX(1,$D$86+1-$D$85)):INDEX($D$100:$AD$100,$D$86)),_xlfn.AGGREGATE(4,6,INDEX($D$101:$AD$101,MAX(1,$D$86+1-$D$85)):INDEX($D$101:$AD$101,$D$86))))</f>
        <v>0</v>
      </c>
      <c r="BC123" s="5">
        <f>IF(BC$88=0,NA(),MAX(1,_xlfn.AGGREGATE(4,6,INDEX($D$100:$AD$100,MAX(1,$D$86+1-$D$85)):INDEX($D$100:$AD$100,$D$86)),_xlfn.AGGREGATE(4,6,INDEX($D$101:$AD$101,MAX(1,$D$86+1-$D$85)):INDEX($D$101:$AD$101,$D$86))))</f>
        <v>0</v>
      </c>
      <c r="BD123" s="5">
        <f>IF(BD$88=0,NA(),MAX(1,_xlfn.AGGREGATE(4,6,INDEX($D$100:$AD$100,MAX(1,$D$86+1-$D$85)):INDEX($D$100:$AD$100,$D$86)),_xlfn.AGGREGATE(4,6,INDEX($D$101:$AD$101,MAX(1,$D$86+1-$D$85)):INDEX($D$101:$AD$101,$D$86))))</f>
        <v>0</v>
      </c>
      <c r="BE123" s="5">
        <f>IF(BE$88=0,NA(),MAX(1,_xlfn.AGGREGATE(4,6,INDEX($D$100:$AD$100,MAX(1,$D$86+1-$D$85)):INDEX($D$100:$AD$100,$D$86)),_xlfn.AGGREGATE(4,6,INDEX($D$101:$AD$101,MAX(1,$D$86+1-$D$85)):INDEX($D$101:$AD$101,$D$86))))</f>
        <v>0</v>
      </c>
      <c r="BF123" s="5">
        <f>IF(BF$88=0,NA(),MAX(1,_xlfn.AGGREGATE(4,6,INDEX($D$100:$AD$100,MAX(1,$D$86+1-$D$85)):INDEX($D$100:$AD$100,$D$86)),_xlfn.AGGREGATE(4,6,INDEX($D$101:$AD$101,MAX(1,$D$86+1-$D$85)):INDEX($D$101:$AD$101,$D$86))))</f>
        <v>0</v>
      </c>
      <c r="BG123" s="5">
        <f>IF(BG$88=0,NA(),MAX(1,_xlfn.AGGREGATE(4,6,INDEX($D$100:$AD$100,MAX(1,$D$86+1-$D$85)):INDEX($D$100:$AD$100,$D$86)),_xlfn.AGGREGATE(4,6,INDEX($D$101:$AD$101,MAX(1,$D$86+1-$D$85)):INDEX($D$101:$AD$101,$D$86))))</f>
        <v>0</v>
      </c>
      <c r="BH123" s="5">
        <f>IF(BH$88=0,NA(),MAX(1,_xlfn.AGGREGATE(4,6,INDEX($D$100:$AD$100,MAX(1,$D$86+1-$D$85)):INDEX($D$100:$AD$100,$D$86)),_xlfn.AGGREGATE(4,6,INDEX($D$101:$AD$101,MAX(1,$D$86+1-$D$85)):INDEX($D$101:$AD$101,$D$86))))</f>
        <v>0</v>
      </c>
      <c r="BI123" s="5">
        <f>IF(BI$88=0,NA(),MAX(1,_xlfn.AGGREGATE(4,6,INDEX($D$100:$AD$100,MAX(1,$D$86+1-$D$85)):INDEX($D$100:$AD$100,$D$86)),_xlfn.AGGREGATE(4,6,INDEX($D$101:$AD$101,MAX(1,$D$86+1-$D$85)):INDEX($D$101:$AD$101,$D$86))))</f>
        <v>0</v>
      </c>
      <c r="BJ123" s="5">
        <f>IF(BJ$88=0,NA(),MAX(1,_xlfn.AGGREGATE(4,6,INDEX($D$100:$AD$100,MAX(1,$D$86+1-$D$85)):INDEX($D$100:$AD$100,$D$86)),_xlfn.AGGREGATE(4,6,INDEX($D$101:$AD$101,MAX(1,$D$86+1-$D$85)):INDEX($D$101:$AD$101,$D$86))))</f>
        <v>0</v>
      </c>
      <c r="BK123" s="5">
        <f>IF(BK$88=0,NA(),MAX(1,_xlfn.AGGREGATE(4,6,INDEX($D$100:$AD$100,MAX(1,$D$86+1-$D$85)):INDEX($D$100:$AD$100,$D$86)),_xlfn.AGGREGATE(4,6,INDEX($D$101:$AD$101,MAX(1,$D$86+1-$D$85)):INDEX($D$101:$AD$101,$D$86))))</f>
        <v>0</v>
      </c>
      <c r="BL123" s="5">
        <f>IF(BL$88=0,NA(),MAX(1,_xlfn.AGGREGATE(4,6,INDEX($D$100:$AD$100,MAX(1,$D$86+1-$D$85)):INDEX($D$100:$AD$100,$D$86)),_xlfn.AGGREGATE(4,6,INDEX($D$101:$AD$101,MAX(1,$D$86+1-$D$85)):INDEX($D$101:$AD$101,$D$86))))</f>
        <v>0</v>
      </c>
      <c r="BM123" s="5">
        <f>IF(BM$88=0,NA(),MAX(1,_xlfn.AGGREGATE(4,6,INDEX($D$100:$AD$100,MAX(1,$D$86+1-$D$85)):INDEX($D$100:$AD$100,$D$86)),_xlfn.AGGREGATE(4,6,INDEX($D$101:$AD$101,MAX(1,$D$86+1-$D$85)):INDEX($D$101:$AD$101,$D$86))))</f>
        <v>0</v>
      </c>
      <c r="BN123" s="5">
        <f>IF(BN$88=0,NA(),MAX(1,_xlfn.AGGREGATE(4,6,INDEX($D$100:$AD$100,MAX(1,$D$86+1-$D$85)):INDEX($D$100:$AD$100,$D$86)),_xlfn.AGGREGATE(4,6,INDEX($D$101:$AD$101,MAX(1,$D$86+1-$D$85)):INDEX($D$101:$AD$101,$D$86))))</f>
        <v>0</v>
      </c>
      <c r="BO123" s="5">
        <f>IF(BO$88=0,NA(),MAX(1,_xlfn.AGGREGATE(4,6,INDEX($D$100:$AD$100,MAX(1,$D$86+1-$D$85)):INDEX($D$100:$AD$100,$D$86)),_xlfn.AGGREGATE(4,6,INDEX($D$101:$AD$101,MAX(1,$D$86+1-$D$85)):INDEX($D$101:$AD$101,$D$86))))</f>
        <v>0</v>
      </c>
      <c r="BP123" s="5">
        <f>IF(BP$88=0,NA(),MAX(1,_xlfn.AGGREGATE(4,6,INDEX($D$100:$AD$100,MAX(1,$D$86+1-$D$85)):INDEX($D$100:$AD$100,$D$86)),_xlfn.AGGREGATE(4,6,INDEX($D$101:$AD$101,MAX(1,$D$86+1-$D$85)):INDEX($D$101:$AD$101,$D$86))))</f>
        <v>0</v>
      </c>
    </row>
    <row r="124" spans="1:68">
      <c r="A124" s="11" t="s">
        <v>311</v>
      </c>
      <c r="B124" s="11" t="s">
        <v>312</v>
      </c>
      <c r="C124" s="3" t="s">
        <v>144</v>
      </c>
      <c r="AQ124" s="5">
        <f>IF(AQ$88=0,NA(),IF(ISNUMBER(INDEX($D$100:$AD$100,AQ$88)),INDEX($D$100:$AD$100,AQ$88)/AQ123,NA()))</f>
        <v>0</v>
      </c>
      <c r="AR124" s="5">
        <f>IF(AR$88=0,NA(),IF(ISNUMBER(INDEX($D$100:$AD$100,AR$88)),INDEX($D$100:$AD$100,AR$88)/AR123,NA()))</f>
        <v>0</v>
      </c>
      <c r="AS124" s="5">
        <f>IF(AS$88=0,NA(),IF(ISNUMBER(INDEX($D$100:$AD$100,AS$88)),INDEX($D$100:$AD$100,AS$88)/AS123,NA()))</f>
        <v>0</v>
      </c>
      <c r="AT124" s="5">
        <f>IF(AT$88=0,NA(),IF(ISNUMBER(INDEX($D$100:$AD$100,AT$88)),INDEX($D$100:$AD$100,AT$88)/AT123,NA()))</f>
        <v>0</v>
      </c>
      <c r="AU124" s="5">
        <f>IF(AU$88=0,NA(),IF(ISNUMBER(INDEX($D$100:$AD$100,AU$88)),INDEX($D$100:$AD$100,AU$88)/AU123,NA()))</f>
        <v>0</v>
      </c>
      <c r="AV124" s="5">
        <f>IF(AV$88=0,NA(),IF(ISNUMBER(INDEX($D$100:$AD$100,AV$88)),INDEX($D$100:$AD$100,AV$88)/AV123,NA()))</f>
        <v>0</v>
      </c>
      <c r="AW124" s="5">
        <f>IF(AW$88=0,NA(),IF(ISNUMBER(INDEX($D$100:$AD$100,AW$88)),INDEX($D$100:$AD$100,AW$88)/AW123,NA()))</f>
        <v>0</v>
      </c>
      <c r="AX124" s="5">
        <f>IF(AX$88=0,NA(),IF(ISNUMBER(INDEX($D$100:$AD$100,AX$88)),INDEX($D$100:$AD$100,AX$88)/AX123,NA()))</f>
        <v>0</v>
      </c>
      <c r="AY124" s="5">
        <f>IF(AY$88=0,NA(),IF(ISNUMBER(INDEX($D$100:$AD$100,AY$88)),INDEX($D$100:$AD$100,AY$88)/AY123,NA()))</f>
        <v>0</v>
      </c>
      <c r="AZ124" s="5">
        <f>IF(AZ$88=0,NA(),IF(ISNUMBER(INDEX($D$100:$AD$100,AZ$88)),INDEX($D$100:$AD$100,AZ$88)/AZ123,NA()))</f>
        <v>0</v>
      </c>
      <c r="BA124" s="5">
        <f>IF(BA$88=0,NA(),IF(ISNUMBER(INDEX($D$100:$AD$100,BA$88)),INDEX($D$100:$AD$100,BA$88)/BA123,NA()))</f>
        <v>0</v>
      </c>
      <c r="BB124" s="5">
        <f>IF(BB$88=0,NA(),IF(ISNUMBER(INDEX($D$100:$AD$100,BB$88)),INDEX($D$100:$AD$100,BB$88)/BB123,NA()))</f>
        <v>0</v>
      </c>
      <c r="BC124" s="5">
        <f>IF(BC$88=0,NA(),IF(ISNUMBER(INDEX($D$100:$AD$100,BC$88)),INDEX($D$100:$AD$100,BC$88)/BC123,NA()))</f>
        <v>0</v>
      </c>
      <c r="BD124" s="5">
        <f>IF(BD$88=0,NA(),IF(ISNUMBER(INDEX($D$100:$AD$100,BD$88)),INDEX($D$100:$AD$100,BD$88)/BD123,NA()))</f>
        <v>0</v>
      </c>
      <c r="BE124" s="5">
        <f>IF(BE$88=0,NA(),IF(ISNUMBER(INDEX($D$100:$AD$100,BE$88)),INDEX($D$100:$AD$100,BE$88)/BE123,NA()))</f>
        <v>0</v>
      </c>
      <c r="BF124" s="5">
        <f>IF(BF$88=0,NA(),IF(ISNUMBER(INDEX($D$100:$AD$100,BF$88)),INDEX($D$100:$AD$100,BF$88)/BF123,NA()))</f>
        <v>0</v>
      </c>
      <c r="BG124" s="5">
        <f>IF(BG$88=0,NA(),IF(ISNUMBER(INDEX($D$100:$AD$100,BG$88)),INDEX($D$100:$AD$100,BG$88)/BG123,NA()))</f>
        <v>0</v>
      </c>
      <c r="BH124" s="5">
        <f>IF(BH$88=0,NA(),IF(ISNUMBER(INDEX($D$100:$AD$100,BH$88)),INDEX($D$100:$AD$100,BH$88)/BH123,NA()))</f>
        <v>0</v>
      </c>
      <c r="BI124" s="5">
        <f>IF(BI$88=0,NA(),IF(ISNUMBER(INDEX($D$100:$AD$100,BI$88)),INDEX($D$100:$AD$100,BI$88)/BI123,NA()))</f>
        <v>0</v>
      </c>
      <c r="BJ124" s="5">
        <f>IF(BJ$88=0,NA(),IF(ISNUMBER(INDEX($D$100:$AD$100,BJ$88)),INDEX($D$100:$AD$100,BJ$88)/BJ123,NA()))</f>
        <v>0</v>
      </c>
      <c r="BK124" s="5">
        <f>IF(BK$88=0,NA(),IF(ISNUMBER(INDEX($D$100:$AD$100,BK$88)),INDEX($D$100:$AD$100,BK$88)/BK123,NA()))</f>
        <v>0</v>
      </c>
      <c r="BL124" s="5">
        <f>IF(BL$88=0,NA(),IF(ISNUMBER(INDEX($D$100:$AD$100,BL$88)),INDEX($D$100:$AD$100,BL$88)/BL123,NA()))</f>
        <v>0</v>
      </c>
      <c r="BM124" s="5">
        <f>IF(BM$88=0,NA(),IF(ISNUMBER(INDEX($D$100:$AD$100,BM$88)),INDEX($D$100:$AD$100,BM$88)/BM123,NA()))</f>
        <v>0</v>
      </c>
      <c r="BN124" s="5">
        <f>IF(BN$88=0,NA(),IF(ISNUMBER(INDEX($D$100:$AD$100,BN$88)),INDEX($D$100:$AD$100,BN$88)/BN123,NA()))</f>
        <v>0</v>
      </c>
      <c r="BO124" s="5">
        <f>IF(BO$88=0,NA(),IF(ISNUMBER(INDEX($D$100:$AD$100,BO$88)),INDEX($D$100:$AD$100,BO$88)/BO123,NA()))</f>
        <v>0</v>
      </c>
      <c r="BP124" s="5">
        <f>IF(BP$88=0,NA(),IF(ISNUMBER(INDEX($D$100:$AD$100,BP$88)),INDEX($D$100:$AD$100,BP$88)/BP123,NA()))</f>
        <v>0</v>
      </c>
    </row>
    <row r="125" spans="1:68">
      <c r="A125" s="11" t="s">
        <v>313</v>
      </c>
      <c r="B125" s="11" t="s">
        <v>314</v>
      </c>
      <c r="C125" s="3" t="s">
        <v>144</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315</v>
      </c>
      <c r="B126" s="11" t="s">
        <v>316</v>
      </c>
      <c r="C126" s="3" t="s">
        <v>144</v>
      </c>
      <c r="AQ126" s="5">
        <f>IF(AQ$88=0,NA(),IF(ISNUMBER(INDEX($D$101:$AD$101,AQ$88)),INDEX($D$101:$AD$101,AQ$88)/AQ123,NA()))</f>
        <v>0</v>
      </c>
      <c r="AR126" s="5">
        <f>IF(AR$88=0,NA(),IF(ISNUMBER(INDEX($D$101:$AD$101,AR$88)),INDEX($D$101:$AD$101,AR$88)/AR123,NA()))</f>
        <v>0</v>
      </c>
      <c r="AS126" s="5">
        <f>IF(AS$88=0,NA(),IF(ISNUMBER(INDEX($D$101:$AD$101,AS$88)),INDEX($D$101:$AD$101,AS$88)/AS123,NA()))</f>
        <v>0</v>
      </c>
      <c r="AT126" s="5">
        <f>IF(AT$88=0,NA(),IF(ISNUMBER(INDEX($D$101:$AD$101,AT$88)),INDEX($D$101:$AD$101,AT$88)/AT123,NA()))</f>
        <v>0</v>
      </c>
      <c r="AU126" s="5">
        <f>IF(AU$88=0,NA(),IF(ISNUMBER(INDEX($D$101:$AD$101,AU$88)),INDEX($D$101:$AD$101,AU$88)/AU123,NA()))</f>
        <v>0</v>
      </c>
      <c r="AV126" s="5">
        <f>IF(AV$88=0,NA(),IF(ISNUMBER(INDEX($D$101:$AD$101,AV$88)),INDEX($D$101:$AD$101,AV$88)/AV123,NA()))</f>
        <v>0</v>
      </c>
      <c r="AW126" s="5">
        <f>IF(AW$88=0,NA(),IF(ISNUMBER(INDEX($D$101:$AD$101,AW$88)),INDEX($D$101:$AD$101,AW$88)/AW123,NA()))</f>
        <v>0</v>
      </c>
      <c r="AX126" s="5">
        <f>IF(AX$88=0,NA(),IF(ISNUMBER(INDEX($D$101:$AD$101,AX$88)),INDEX($D$101:$AD$101,AX$88)/AX123,NA()))</f>
        <v>0</v>
      </c>
      <c r="AY126" s="5">
        <f>IF(AY$88=0,NA(),IF(ISNUMBER(INDEX($D$101:$AD$101,AY$88)),INDEX($D$101:$AD$101,AY$88)/AY123,NA()))</f>
        <v>0</v>
      </c>
      <c r="AZ126" s="5">
        <f>IF(AZ$88=0,NA(),IF(ISNUMBER(INDEX($D$101:$AD$101,AZ$88)),INDEX($D$101:$AD$101,AZ$88)/AZ123,NA()))</f>
        <v>0</v>
      </c>
      <c r="BA126" s="5">
        <f>IF(BA$88=0,NA(),IF(ISNUMBER(INDEX($D$101:$AD$101,BA$88)),INDEX($D$101:$AD$101,BA$88)/BA123,NA()))</f>
        <v>0</v>
      </c>
      <c r="BB126" s="5">
        <f>IF(BB$88=0,NA(),IF(ISNUMBER(INDEX($D$101:$AD$101,BB$88)),INDEX($D$101:$AD$101,BB$88)/BB123,NA()))</f>
        <v>0</v>
      </c>
      <c r="BC126" s="5">
        <f>IF(BC$88=0,NA(),IF(ISNUMBER(INDEX($D$101:$AD$101,BC$88)),INDEX($D$101:$AD$101,BC$88)/BC123,NA()))</f>
        <v>0</v>
      </c>
      <c r="BD126" s="5">
        <f>IF(BD$88=0,NA(),IF(ISNUMBER(INDEX($D$101:$AD$101,BD$88)),INDEX($D$101:$AD$101,BD$88)/BD123,NA()))</f>
        <v>0</v>
      </c>
      <c r="BE126" s="5">
        <f>IF(BE$88=0,NA(),IF(ISNUMBER(INDEX($D$101:$AD$101,BE$88)),INDEX($D$101:$AD$101,BE$88)/BE123,NA()))</f>
        <v>0</v>
      </c>
      <c r="BF126" s="5">
        <f>IF(BF$88=0,NA(),IF(ISNUMBER(INDEX($D$101:$AD$101,BF$88)),INDEX($D$101:$AD$101,BF$88)/BF123,NA()))</f>
        <v>0</v>
      </c>
      <c r="BG126" s="5">
        <f>IF(BG$88=0,NA(),IF(ISNUMBER(INDEX($D$101:$AD$101,BG$88)),INDEX($D$101:$AD$101,BG$88)/BG123,NA()))</f>
        <v>0</v>
      </c>
      <c r="BH126" s="5">
        <f>IF(BH$88=0,NA(),IF(ISNUMBER(INDEX($D$101:$AD$101,BH$88)),INDEX($D$101:$AD$101,BH$88)/BH123,NA()))</f>
        <v>0</v>
      </c>
      <c r="BI126" s="5">
        <f>IF(BI$88=0,NA(),IF(ISNUMBER(INDEX($D$101:$AD$101,BI$88)),INDEX($D$101:$AD$101,BI$88)/BI123,NA()))</f>
        <v>0</v>
      </c>
      <c r="BJ126" s="5">
        <f>IF(BJ$88=0,NA(),IF(ISNUMBER(INDEX($D$101:$AD$101,BJ$88)),INDEX($D$101:$AD$101,BJ$88)/BJ123,NA()))</f>
        <v>0</v>
      </c>
      <c r="BK126" s="5">
        <f>IF(BK$88=0,NA(),IF(ISNUMBER(INDEX($D$101:$AD$101,BK$88)),INDEX($D$101:$AD$101,BK$88)/BK123,NA()))</f>
        <v>0</v>
      </c>
      <c r="BL126" s="5">
        <f>IF(BL$88=0,NA(),IF(ISNUMBER(INDEX($D$101:$AD$101,BL$88)),INDEX($D$101:$AD$101,BL$88)/BL123,NA()))</f>
        <v>0</v>
      </c>
      <c r="BM126" s="5">
        <f>IF(BM$88=0,NA(),IF(ISNUMBER(INDEX($D$101:$AD$101,BM$88)),INDEX($D$101:$AD$101,BM$88)/BM123,NA()))</f>
        <v>0</v>
      </c>
      <c r="BN126" s="5">
        <f>IF(BN$88=0,NA(),IF(ISNUMBER(INDEX($D$101:$AD$101,BN$88)),INDEX($D$101:$AD$101,BN$88)/BN123,NA()))</f>
        <v>0</v>
      </c>
      <c r="BO126" s="5">
        <f>IF(BO$88=0,NA(),IF(ISNUMBER(INDEX($D$101:$AD$101,BO$88)),INDEX($D$101:$AD$101,BO$88)/BO123,NA()))</f>
        <v>0</v>
      </c>
      <c r="BP126" s="5">
        <f>IF(BP$88=0,NA(),IF(ISNUMBER(INDEX($D$101:$AD$101,BP$88)),INDEX($D$101:$AD$101,BP$88)/BP123,NA()))</f>
        <v>0</v>
      </c>
    </row>
    <row r="127" spans="1:68">
      <c r="A127" s="11" t="s">
        <v>317</v>
      </c>
      <c r="B127" s="11" t="s">
        <v>318</v>
      </c>
      <c r="C127" s="3" t="s">
        <v>144</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319</v>
      </c>
      <c r="B128" s="11" t="s">
        <v>320</v>
      </c>
      <c r="C128" s="3" t="s">
        <v>144</v>
      </c>
      <c r="AQ128" s="5">
        <f>IF(AQ$88=0,NA(),IF(ISNUMBER(INDEX($D$100:$AD$100,AQ$88)),IF(AND(AQ124&gt;=IFERROR(AQ126,-9),AQ124-IFERROR(AQ126,-9)&lt;0.28261),AQ126+0.28261,AQ124),NA()))</f>
        <v>0</v>
      </c>
      <c r="AR128" s="5">
        <f>IF(AR$88=0,NA(),IF(ISNUMBER(INDEX($D$100:$AD$100,AR$88)),IF(AND(AR124&gt;=IFERROR(AR126,-9),AR124-IFERROR(AR126,-9)&lt;0.28261),AR126+0.28261,AR124),NA()))</f>
        <v>0</v>
      </c>
      <c r="AS128" s="5">
        <f>IF(AS$88=0,NA(),IF(ISNUMBER(INDEX($D$100:$AD$100,AS$88)),IF(AND(AS124&gt;=IFERROR(AS126,-9),AS124-IFERROR(AS126,-9)&lt;0.28261),AS126+0.28261,AS124),NA()))</f>
        <v>0</v>
      </c>
      <c r="AT128" s="5">
        <f>IF(AT$88=0,NA(),IF(ISNUMBER(INDEX($D$100:$AD$100,AT$88)),IF(AND(AT124&gt;=IFERROR(AT126,-9),AT124-IFERROR(AT126,-9)&lt;0.28261),AT126+0.28261,AT124),NA()))</f>
        <v>0</v>
      </c>
      <c r="AU128" s="5">
        <f>IF(AU$88=0,NA(),IF(ISNUMBER(INDEX($D$100:$AD$100,AU$88)),IF(AND(AU124&gt;=IFERROR(AU126,-9),AU124-IFERROR(AU126,-9)&lt;0.28261),AU126+0.28261,AU124),NA()))</f>
        <v>0</v>
      </c>
      <c r="AV128" s="5">
        <f>IF(AV$88=0,NA(),IF(ISNUMBER(INDEX($D$100:$AD$100,AV$88)),IF(AND(AV124&gt;=IFERROR(AV126,-9),AV124-IFERROR(AV126,-9)&lt;0.28261),AV126+0.28261,AV124),NA()))</f>
        <v>0</v>
      </c>
      <c r="AW128" s="5">
        <f>IF(AW$88=0,NA(),IF(ISNUMBER(INDEX($D$100:$AD$100,AW$88)),IF(AND(AW124&gt;=IFERROR(AW126,-9),AW124-IFERROR(AW126,-9)&lt;0.28261),AW126+0.28261,AW124),NA()))</f>
        <v>0</v>
      </c>
      <c r="AX128" s="5">
        <f>IF(AX$88=0,NA(),IF(ISNUMBER(INDEX($D$100:$AD$100,AX$88)),IF(AND(AX124&gt;=IFERROR(AX126,-9),AX124-IFERROR(AX126,-9)&lt;0.28261),AX126+0.28261,AX124),NA()))</f>
        <v>0</v>
      </c>
      <c r="AY128" s="5">
        <f>IF(AY$88=0,NA(),IF(ISNUMBER(INDEX($D$100:$AD$100,AY$88)),IF(AND(AY124&gt;=IFERROR(AY126,-9),AY124-IFERROR(AY126,-9)&lt;0.28261),AY126+0.28261,AY124),NA()))</f>
        <v>0</v>
      </c>
      <c r="AZ128" s="5">
        <f>IF(AZ$88=0,NA(),IF(ISNUMBER(INDEX($D$100:$AD$100,AZ$88)),IF(AND(AZ124&gt;=IFERROR(AZ126,-9),AZ124-IFERROR(AZ126,-9)&lt;0.28261),AZ126+0.28261,AZ124),NA()))</f>
        <v>0</v>
      </c>
      <c r="BA128" s="5">
        <f>IF(BA$88=0,NA(),IF(ISNUMBER(INDEX($D$100:$AD$100,BA$88)),IF(AND(BA124&gt;=IFERROR(BA126,-9),BA124-IFERROR(BA126,-9)&lt;0.28261),BA126+0.28261,BA124),NA()))</f>
        <v>0</v>
      </c>
      <c r="BB128" s="5">
        <f>IF(BB$88=0,NA(),IF(ISNUMBER(INDEX($D$100:$AD$100,BB$88)),IF(AND(BB124&gt;=IFERROR(BB126,-9),BB124-IFERROR(BB126,-9)&lt;0.28261),BB126+0.28261,BB124),NA()))</f>
        <v>0</v>
      </c>
      <c r="BC128" s="5">
        <f>IF(BC$88=0,NA(),IF(ISNUMBER(INDEX($D$100:$AD$100,BC$88)),IF(AND(BC124&gt;=IFERROR(BC126,-9),BC124-IFERROR(BC126,-9)&lt;0.28261),BC126+0.28261,BC124),NA()))</f>
        <v>0</v>
      </c>
      <c r="BD128" s="5">
        <f>IF(BD$88=0,NA(),IF(ISNUMBER(INDEX($D$100:$AD$100,BD$88)),IF(AND(BD124&gt;=IFERROR(BD126,-9),BD124-IFERROR(BD126,-9)&lt;0.28261),BD126+0.28261,BD124),NA()))</f>
        <v>0</v>
      </c>
      <c r="BE128" s="5">
        <f>IF(BE$88=0,NA(),IF(ISNUMBER(INDEX($D$100:$AD$100,BE$88)),IF(AND(BE124&gt;=IFERROR(BE126,-9),BE124-IFERROR(BE126,-9)&lt;0.28261),BE126+0.28261,BE124),NA()))</f>
        <v>0</v>
      </c>
      <c r="BF128" s="5">
        <f>IF(BF$88=0,NA(),IF(ISNUMBER(INDEX($D$100:$AD$100,BF$88)),IF(AND(BF124&gt;=IFERROR(BF126,-9),BF124-IFERROR(BF126,-9)&lt;0.28261),BF126+0.28261,BF124),NA()))</f>
        <v>0</v>
      </c>
      <c r="BG128" s="5">
        <f>IF(BG$88=0,NA(),IF(ISNUMBER(INDEX($D$100:$AD$100,BG$88)),IF(AND(BG124&gt;=IFERROR(BG126,-9),BG124-IFERROR(BG126,-9)&lt;0.28261),BG126+0.28261,BG124),NA()))</f>
        <v>0</v>
      </c>
      <c r="BH128" s="5">
        <f>IF(BH$88=0,NA(),IF(ISNUMBER(INDEX($D$100:$AD$100,BH$88)),IF(AND(BH124&gt;=IFERROR(BH126,-9),BH124-IFERROR(BH126,-9)&lt;0.28261),BH126+0.28261,BH124),NA()))</f>
        <v>0</v>
      </c>
      <c r="BI128" s="5">
        <f>IF(BI$88=0,NA(),IF(ISNUMBER(INDEX($D$100:$AD$100,BI$88)),IF(AND(BI124&gt;=IFERROR(BI126,-9),BI124-IFERROR(BI126,-9)&lt;0.28261),BI126+0.28261,BI124),NA()))</f>
        <v>0</v>
      </c>
      <c r="BJ128" s="5">
        <f>IF(BJ$88=0,NA(),IF(ISNUMBER(INDEX($D$100:$AD$100,BJ$88)),IF(AND(BJ124&gt;=IFERROR(BJ126,-9),BJ124-IFERROR(BJ126,-9)&lt;0.28261),BJ126+0.28261,BJ124),NA()))</f>
        <v>0</v>
      </c>
      <c r="BK128" s="5">
        <f>IF(BK$88=0,NA(),IF(ISNUMBER(INDEX($D$100:$AD$100,BK$88)),IF(AND(BK124&gt;=IFERROR(BK126,-9),BK124-IFERROR(BK126,-9)&lt;0.28261),BK126+0.28261,BK124),NA()))</f>
        <v>0</v>
      </c>
      <c r="BL128" s="5">
        <f>IF(BL$88=0,NA(),IF(ISNUMBER(INDEX($D$100:$AD$100,BL$88)),IF(AND(BL124&gt;=IFERROR(BL126,-9),BL124-IFERROR(BL126,-9)&lt;0.28261),BL126+0.28261,BL124),NA()))</f>
        <v>0</v>
      </c>
      <c r="BM128" s="5">
        <f>IF(BM$88=0,NA(),IF(ISNUMBER(INDEX($D$100:$AD$100,BM$88)),IF(AND(BM124&gt;=IFERROR(BM126,-9),BM124-IFERROR(BM126,-9)&lt;0.28261),BM126+0.28261,BM124),NA()))</f>
        <v>0</v>
      </c>
      <c r="BN128" s="5">
        <f>IF(BN$88=0,NA(),IF(ISNUMBER(INDEX($D$100:$AD$100,BN$88)),IF(AND(BN124&gt;=IFERROR(BN126,-9),BN124-IFERROR(BN126,-9)&lt;0.28261),BN126+0.28261,BN124),NA()))</f>
        <v>0</v>
      </c>
      <c r="BO128" s="5">
        <f>IF(BO$88=0,NA(),IF(ISNUMBER(INDEX($D$100:$AD$100,BO$88)),IF(AND(BO124&gt;=IFERROR(BO126,-9),BO124-IFERROR(BO126,-9)&lt;0.28261),BO126+0.28261,BO124),NA()))</f>
        <v>0</v>
      </c>
      <c r="BP128" s="5">
        <f>IF(BP$88=0,NA(),IF(ISNUMBER(INDEX($D$100:$AD$100,BP$88)),IF(AND(BP124&gt;=IFERROR(BP126,-9),BP124-IFERROR(BP126,-9)&lt;0.28261),BP126+0.28261,BP124),NA()))</f>
        <v>0</v>
      </c>
    </row>
    <row r="129" spans="1:68">
      <c r="A129" s="11" t="s">
        <v>321</v>
      </c>
      <c r="B129" s="11" t="s">
        <v>322</v>
      </c>
      <c r="C129" s="3" t="s">
        <v>144</v>
      </c>
      <c r="AQ129" s="5">
        <f>IF(AQ$88=0,NA(),IF(ISNUMBER(INDEX($D$101:$AD$101,AQ$88)),IF(AND(AQ126&gt;IFERROR(AQ124,-9),AQ126-IFERROR(AQ124,-9)&lt;0.28261),AQ124+0.28261,AQ126),NA()))</f>
        <v>0</v>
      </c>
      <c r="AR129" s="5">
        <f>IF(AR$88=0,NA(),IF(ISNUMBER(INDEX($D$101:$AD$101,AR$88)),IF(AND(AR126&gt;IFERROR(AR124,-9),AR126-IFERROR(AR124,-9)&lt;0.28261),AR124+0.28261,AR126),NA()))</f>
        <v>0</v>
      </c>
      <c r="AS129" s="5">
        <f>IF(AS$88=0,NA(),IF(ISNUMBER(INDEX($D$101:$AD$101,AS$88)),IF(AND(AS126&gt;IFERROR(AS124,-9),AS126-IFERROR(AS124,-9)&lt;0.28261),AS124+0.28261,AS126),NA()))</f>
        <v>0</v>
      </c>
      <c r="AT129" s="5">
        <f>IF(AT$88=0,NA(),IF(ISNUMBER(INDEX($D$101:$AD$101,AT$88)),IF(AND(AT126&gt;IFERROR(AT124,-9),AT126-IFERROR(AT124,-9)&lt;0.28261),AT124+0.28261,AT126),NA()))</f>
        <v>0</v>
      </c>
      <c r="AU129" s="5">
        <f>IF(AU$88=0,NA(),IF(ISNUMBER(INDEX($D$101:$AD$101,AU$88)),IF(AND(AU126&gt;IFERROR(AU124,-9),AU126-IFERROR(AU124,-9)&lt;0.28261),AU124+0.28261,AU126),NA()))</f>
        <v>0</v>
      </c>
      <c r="AV129" s="5">
        <f>IF(AV$88=0,NA(),IF(ISNUMBER(INDEX($D$101:$AD$101,AV$88)),IF(AND(AV126&gt;IFERROR(AV124,-9),AV126-IFERROR(AV124,-9)&lt;0.28261),AV124+0.28261,AV126),NA()))</f>
        <v>0</v>
      </c>
      <c r="AW129" s="5">
        <f>IF(AW$88=0,NA(),IF(ISNUMBER(INDEX($D$101:$AD$101,AW$88)),IF(AND(AW126&gt;IFERROR(AW124,-9),AW126-IFERROR(AW124,-9)&lt;0.28261),AW124+0.28261,AW126),NA()))</f>
        <v>0</v>
      </c>
      <c r="AX129" s="5">
        <f>IF(AX$88=0,NA(),IF(ISNUMBER(INDEX($D$101:$AD$101,AX$88)),IF(AND(AX126&gt;IFERROR(AX124,-9),AX126-IFERROR(AX124,-9)&lt;0.28261),AX124+0.28261,AX126),NA()))</f>
        <v>0</v>
      </c>
      <c r="AY129" s="5">
        <f>IF(AY$88=0,NA(),IF(ISNUMBER(INDEX($D$101:$AD$101,AY$88)),IF(AND(AY126&gt;IFERROR(AY124,-9),AY126-IFERROR(AY124,-9)&lt;0.28261),AY124+0.28261,AY126),NA()))</f>
        <v>0</v>
      </c>
      <c r="AZ129" s="5">
        <f>IF(AZ$88=0,NA(),IF(ISNUMBER(INDEX($D$101:$AD$101,AZ$88)),IF(AND(AZ126&gt;IFERROR(AZ124,-9),AZ126-IFERROR(AZ124,-9)&lt;0.28261),AZ124+0.28261,AZ126),NA()))</f>
        <v>0</v>
      </c>
      <c r="BA129" s="5">
        <f>IF(BA$88=0,NA(),IF(ISNUMBER(INDEX($D$101:$AD$101,BA$88)),IF(AND(BA126&gt;IFERROR(BA124,-9),BA126-IFERROR(BA124,-9)&lt;0.28261),BA124+0.28261,BA126),NA()))</f>
        <v>0</v>
      </c>
      <c r="BB129" s="5">
        <f>IF(BB$88=0,NA(),IF(ISNUMBER(INDEX($D$101:$AD$101,BB$88)),IF(AND(BB126&gt;IFERROR(BB124,-9),BB126-IFERROR(BB124,-9)&lt;0.28261),BB124+0.28261,BB126),NA()))</f>
        <v>0</v>
      </c>
      <c r="BC129" s="5">
        <f>IF(BC$88=0,NA(),IF(ISNUMBER(INDEX($D$101:$AD$101,BC$88)),IF(AND(BC126&gt;IFERROR(BC124,-9),BC126-IFERROR(BC124,-9)&lt;0.28261),BC124+0.28261,BC126),NA()))</f>
        <v>0</v>
      </c>
      <c r="BD129" s="5">
        <f>IF(BD$88=0,NA(),IF(ISNUMBER(INDEX($D$101:$AD$101,BD$88)),IF(AND(BD126&gt;IFERROR(BD124,-9),BD126-IFERROR(BD124,-9)&lt;0.28261),BD124+0.28261,BD126),NA()))</f>
        <v>0</v>
      </c>
      <c r="BE129" s="5">
        <f>IF(BE$88=0,NA(),IF(ISNUMBER(INDEX($D$101:$AD$101,BE$88)),IF(AND(BE126&gt;IFERROR(BE124,-9),BE126-IFERROR(BE124,-9)&lt;0.28261),BE124+0.28261,BE126),NA()))</f>
        <v>0</v>
      </c>
      <c r="BF129" s="5">
        <f>IF(BF$88=0,NA(),IF(ISNUMBER(INDEX($D$101:$AD$101,BF$88)),IF(AND(BF126&gt;IFERROR(BF124,-9),BF126-IFERROR(BF124,-9)&lt;0.28261),BF124+0.28261,BF126),NA()))</f>
        <v>0</v>
      </c>
      <c r="BG129" s="5">
        <f>IF(BG$88=0,NA(),IF(ISNUMBER(INDEX($D$101:$AD$101,BG$88)),IF(AND(BG126&gt;IFERROR(BG124,-9),BG126-IFERROR(BG124,-9)&lt;0.28261),BG124+0.28261,BG126),NA()))</f>
        <v>0</v>
      </c>
      <c r="BH129" s="5">
        <f>IF(BH$88=0,NA(),IF(ISNUMBER(INDEX($D$101:$AD$101,BH$88)),IF(AND(BH126&gt;IFERROR(BH124,-9),BH126-IFERROR(BH124,-9)&lt;0.28261),BH124+0.28261,BH126),NA()))</f>
        <v>0</v>
      </c>
      <c r="BI129" s="5">
        <f>IF(BI$88=0,NA(),IF(ISNUMBER(INDEX($D$101:$AD$101,BI$88)),IF(AND(BI126&gt;IFERROR(BI124,-9),BI126-IFERROR(BI124,-9)&lt;0.28261),BI124+0.28261,BI126),NA()))</f>
        <v>0</v>
      </c>
      <c r="BJ129" s="5">
        <f>IF(BJ$88=0,NA(),IF(ISNUMBER(INDEX($D$101:$AD$101,BJ$88)),IF(AND(BJ126&gt;IFERROR(BJ124,-9),BJ126-IFERROR(BJ124,-9)&lt;0.28261),BJ124+0.28261,BJ126),NA()))</f>
        <v>0</v>
      </c>
      <c r="BK129" s="5">
        <f>IF(BK$88=0,NA(),IF(ISNUMBER(INDEX($D$101:$AD$101,BK$88)),IF(AND(BK126&gt;IFERROR(BK124,-9),BK126-IFERROR(BK124,-9)&lt;0.28261),BK124+0.28261,BK126),NA()))</f>
        <v>0</v>
      </c>
      <c r="BL129" s="5">
        <f>IF(BL$88=0,NA(),IF(ISNUMBER(INDEX($D$101:$AD$101,BL$88)),IF(AND(BL126&gt;IFERROR(BL124,-9),BL126-IFERROR(BL124,-9)&lt;0.28261),BL124+0.28261,BL126),NA()))</f>
        <v>0</v>
      </c>
      <c r="BM129" s="5">
        <f>IF(BM$88=0,NA(),IF(ISNUMBER(INDEX($D$101:$AD$101,BM$88)),IF(AND(BM126&gt;IFERROR(BM124,-9),BM126-IFERROR(BM124,-9)&lt;0.28261),BM124+0.28261,BM126),NA()))</f>
        <v>0</v>
      </c>
      <c r="BN129" s="5">
        <f>IF(BN$88=0,NA(),IF(ISNUMBER(INDEX($D$101:$AD$101,BN$88)),IF(AND(BN126&gt;IFERROR(BN124,-9),BN126-IFERROR(BN124,-9)&lt;0.28261),BN124+0.28261,BN126),NA()))</f>
        <v>0</v>
      </c>
      <c r="BO129" s="5">
        <f>IF(BO$88=0,NA(),IF(ISNUMBER(INDEX($D$101:$AD$101,BO$88)),IF(AND(BO126&gt;IFERROR(BO124,-9),BO126-IFERROR(BO124,-9)&lt;0.28261),BO124+0.28261,BO126),NA()))</f>
        <v>0</v>
      </c>
      <c r="BP129" s="5">
        <f>IF(BP$88=0,NA(),IF(ISNUMBER(INDEX($D$101:$AD$101,BP$88)),IF(AND(BP126&gt;IFERROR(BP124,-9),BP126-IFERROR(BP124,-9)&lt;0.28261),BP124+0.28261,BP126),NA()))</f>
        <v>0</v>
      </c>
    </row>
    <row r="130" spans="1:68">
      <c r="A130" s="11" t="s">
        <v>323</v>
      </c>
      <c r="B130" s="11" t="s">
        <v>324</v>
      </c>
      <c r="C130" s="3" t="s">
        <v>144</v>
      </c>
      <c r="AQ130" s="5">
        <f>IF(AQ$88=0,NA(),IF(ISNUMBER(INDEX($D$103:$AD$103,AQ$88)),IF(ROUND(INDEX($D$103:$AD$103,AQ$88)/1000,1)&gt;0,0.5,NA()),NA()))</f>
        <v>0</v>
      </c>
      <c r="AR130" s="5">
        <f>IF(AR$88=0,NA(),IF(ISNUMBER(INDEX($D$103:$AD$103,AR$88)),IF(ROUND(INDEX($D$103:$AD$103,AR$88)/1000,1)&gt;0,0.5,NA()),NA()))</f>
        <v>0</v>
      </c>
      <c r="AS130" s="5">
        <f>IF(AS$88=0,NA(),IF(ISNUMBER(INDEX($D$103:$AD$103,AS$88)),IF(ROUND(INDEX($D$103:$AD$103,AS$88)/1000,1)&gt;0,0.5,NA()),NA()))</f>
        <v>0</v>
      </c>
      <c r="AT130" s="5">
        <f>IF(AT$88=0,NA(),IF(ISNUMBER(INDEX($D$103:$AD$103,AT$88)),IF(ROUND(INDEX($D$103:$AD$103,AT$88)/1000,1)&gt;0,0.5,NA()),NA()))</f>
        <v>0</v>
      </c>
      <c r="AU130" s="5">
        <f>IF(AU$88=0,NA(),IF(ISNUMBER(INDEX($D$103:$AD$103,AU$88)),IF(ROUND(INDEX($D$103:$AD$103,AU$88)/1000,1)&gt;0,0.5,NA()),NA()))</f>
        <v>0</v>
      </c>
      <c r="AV130" s="5">
        <f>IF(AV$88=0,NA(),IF(ISNUMBER(INDEX($D$103:$AD$103,AV$88)),IF(ROUND(INDEX($D$103:$AD$103,AV$88)/1000,1)&gt;0,0.5,NA()),NA()))</f>
        <v>0</v>
      </c>
      <c r="AW130" s="5">
        <f>IF(AW$88=0,NA(),IF(ISNUMBER(INDEX($D$103:$AD$103,AW$88)),IF(ROUND(INDEX($D$103:$AD$103,AW$88)/1000,1)&gt;0,0.5,NA()),NA()))</f>
        <v>0</v>
      </c>
      <c r="AX130" s="5">
        <f>IF(AX$88=0,NA(),IF(ISNUMBER(INDEX($D$103:$AD$103,AX$88)),IF(ROUND(INDEX($D$103:$AD$103,AX$88)/1000,1)&gt;0,0.5,NA()),NA()))</f>
        <v>0</v>
      </c>
      <c r="AY130" s="5">
        <f>IF(AY$88=0,NA(),IF(ISNUMBER(INDEX($D$103:$AD$103,AY$88)),IF(ROUND(INDEX($D$103:$AD$103,AY$88)/1000,1)&gt;0,0.5,NA()),NA()))</f>
        <v>0</v>
      </c>
      <c r="AZ130" s="5">
        <f>IF(AZ$88=0,NA(),IF(ISNUMBER(INDEX($D$103:$AD$103,AZ$88)),IF(ROUND(INDEX($D$103:$AD$103,AZ$88)/1000,1)&gt;0,0.5,NA()),NA()))</f>
        <v>0</v>
      </c>
      <c r="BA130" s="5">
        <f>IF(BA$88=0,NA(),IF(ISNUMBER(INDEX($D$103:$AD$103,BA$88)),IF(ROUND(INDEX($D$103:$AD$103,BA$88)/1000,1)&gt;0,0.5,NA()),NA()))</f>
        <v>0</v>
      </c>
      <c r="BB130" s="5">
        <f>IF(BB$88=0,NA(),IF(ISNUMBER(INDEX($D$103:$AD$103,BB$88)),IF(ROUND(INDEX($D$103:$AD$103,BB$88)/1000,1)&gt;0,0.5,NA()),NA()))</f>
        <v>0</v>
      </c>
      <c r="BC130" s="5">
        <f>IF(BC$88=0,NA(),IF(ISNUMBER(INDEX($D$103:$AD$103,BC$88)),IF(ROUND(INDEX($D$103:$AD$103,BC$88)/1000,1)&gt;0,0.5,NA()),NA()))</f>
        <v>0</v>
      </c>
      <c r="BD130" s="5">
        <f>IF(BD$88=0,NA(),IF(ISNUMBER(INDEX($D$103:$AD$103,BD$88)),IF(ROUND(INDEX($D$103:$AD$103,BD$88)/1000,1)&gt;0,0.5,NA()),NA()))</f>
        <v>0</v>
      </c>
      <c r="BE130" s="5">
        <f>IF(BE$88=0,NA(),IF(ISNUMBER(INDEX($D$103:$AD$103,BE$88)),IF(ROUND(INDEX($D$103:$AD$103,BE$88)/1000,1)&gt;0,0.5,NA()),NA()))</f>
        <v>0</v>
      </c>
      <c r="BF130" s="5">
        <f>IF(BF$88=0,NA(),IF(ISNUMBER(INDEX($D$103:$AD$103,BF$88)),IF(ROUND(INDEX($D$103:$AD$103,BF$88)/1000,1)&gt;0,0.5,NA()),NA()))</f>
        <v>0</v>
      </c>
      <c r="BG130" s="5">
        <f>IF(BG$88=0,NA(),IF(ISNUMBER(INDEX($D$103:$AD$103,BG$88)),IF(ROUND(INDEX($D$103:$AD$103,BG$88)/1000,1)&gt;0,0.5,NA()),NA()))</f>
        <v>0</v>
      </c>
      <c r="BH130" s="5">
        <f>IF(BH$88=0,NA(),IF(ISNUMBER(INDEX($D$103:$AD$103,BH$88)),IF(ROUND(INDEX($D$103:$AD$103,BH$88)/1000,1)&gt;0,0.5,NA()),NA()))</f>
        <v>0</v>
      </c>
      <c r="BI130" s="5">
        <f>IF(BI$88=0,NA(),IF(ISNUMBER(INDEX($D$103:$AD$103,BI$88)),IF(ROUND(INDEX($D$103:$AD$103,BI$88)/1000,1)&gt;0,0.5,NA()),NA()))</f>
        <v>0</v>
      </c>
      <c r="BJ130" s="5">
        <f>IF(BJ$88=0,NA(),IF(ISNUMBER(INDEX($D$103:$AD$103,BJ$88)),IF(ROUND(INDEX($D$103:$AD$103,BJ$88)/1000,1)&gt;0,0.5,NA()),NA()))</f>
        <v>0</v>
      </c>
      <c r="BK130" s="5">
        <f>IF(BK$88=0,NA(),IF(ISNUMBER(INDEX($D$103:$AD$103,BK$88)),IF(ROUND(INDEX($D$103:$AD$103,BK$88)/1000,1)&gt;0,0.5,NA()),NA()))</f>
        <v>0</v>
      </c>
      <c r="BL130" s="5">
        <f>IF(BL$88=0,NA(),IF(ISNUMBER(INDEX($D$103:$AD$103,BL$88)),IF(ROUND(INDEX($D$103:$AD$103,BL$88)/1000,1)&gt;0,0.5,NA()),NA()))</f>
        <v>0</v>
      </c>
      <c r="BM130" s="5">
        <f>IF(BM$88=0,NA(),IF(ISNUMBER(INDEX($D$103:$AD$103,BM$88)),IF(ROUND(INDEX($D$103:$AD$103,BM$88)/1000,1)&gt;0,0.5,NA()),NA()))</f>
        <v>0</v>
      </c>
      <c r="BN130" s="5">
        <f>IF(BN$88=0,NA(),IF(ISNUMBER(INDEX($D$103:$AD$103,BN$88)),IF(ROUND(INDEX($D$103:$AD$103,BN$88)/1000,1)&gt;0,0.5,NA()),NA()))</f>
        <v>0</v>
      </c>
      <c r="BO130" s="5">
        <f>IF(BO$88=0,NA(),IF(ISNUMBER(INDEX($D$103:$AD$103,BO$88)),IF(ROUND(INDEX($D$103:$AD$103,BO$88)/1000,1)&gt;0,0.5,NA()),NA()))</f>
        <v>0</v>
      </c>
      <c r="BP130" s="5">
        <f>IF(BP$88=0,NA(),IF(ISNUMBER(INDEX($D$103:$AD$103,BP$88)),IF(ROUND(INDEX($D$103:$AD$103,BP$88)/1000,1)&gt;0,0.5,NA()),NA()))</f>
        <v>0</v>
      </c>
    </row>
    <row r="131" spans="1:68">
      <c r="A131" s="11" t="s">
        <v>325</v>
      </c>
      <c r="B131" s="11" t="s">
        <v>326</v>
      </c>
      <c r="C131" s="3" t="s">
        <v>144</v>
      </c>
      <c r="AQ131" s="5">
        <f>IF(AQ$88=0,NA(),IF(ISNUMBER(INDEX($D$103:$AD$103,AQ$88)),IF(ROUND(INDEX($D$103:$AD$103,AQ$88)/1000,1)&lt;0,0.5,NA()),NA()))</f>
        <v>0</v>
      </c>
      <c r="AR131" s="5">
        <f>IF(AR$88=0,NA(),IF(ISNUMBER(INDEX($D$103:$AD$103,AR$88)),IF(ROUND(INDEX($D$103:$AD$103,AR$88)/1000,1)&lt;0,0.5,NA()),NA()))</f>
        <v>0</v>
      </c>
      <c r="AS131" s="5">
        <f>IF(AS$88=0,NA(),IF(ISNUMBER(INDEX($D$103:$AD$103,AS$88)),IF(ROUND(INDEX($D$103:$AD$103,AS$88)/1000,1)&lt;0,0.5,NA()),NA()))</f>
        <v>0</v>
      </c>
      <c r="AT131" s="5">
        <f>IF(AT$88=0,NA(),IF(ISNUMBER(INDEX($D$103:$AD$103,AT$88)),IF(ROUND(INDEX($D$103:$AD$103,AT$88)/1000,1)&lt;0,0.5,NA()),NA()))</f>
        <v>0</v>
      </c>
      <c r="AU131" s="5">
        <f>IF(AU$88=0,NA(),IF(ISNUMBER(INDEX($D$103:$AD$103,AU$88)),IF(ROUND(INDEX($D$103:$AD$103,AU$88)/1000,1)&lt;0,0.5,NA()),NA()))</f>
        <v>0</v>
      </c>
      <c r="AV131" s="5">
        <f>IF(AV$88=0,NA(),IF(ISNUMBER(INDEX($D$103:$AD$103,AV$88)),IF(ROUND(INDEX($D$103:$AD$103,AV$88)/1000,1)&lt;0,0.5,NA()),NA()))</f>
        <v>0</v>
      </c>
      <c r="AW131" s="5">
        <f>IF(AW$88=0,NA(),IF(ISNUMBER(INDEX($D$103:$AD$103,AW$88)),IF(ROUND(INDEX($D$103:$AD$103,AW$88)/1000,1)&lt;0,0.5,NA()),NA()))</f>
        <v>0</v>
      </c>
      <c r="AX131" s="5">
        <f>IF(AX$88=0,NA(),IF(ISNUMBER(INDEX($D$103:$AD$103,AX$88)),IF(ROUND(INDEX($D$103:$AD$103,AX$88)/1000,1)&lt;0,0.5,NA()),NA()))</f>
        <v>0</v>
      </c>
      <c r="AY131" s="5">
        <f>IF(AY$88=0,NA(),IF(ISNUMBER(INDEX($D$103:$AD$103,AY$88)),IF(ROUND(INDEX($D$103:$AD$103,AY$88)/1000,1)&lt;0,0.5,NA()),NA()))</f>
        <v>0</v>
      </c>
      <c r="AZ131" s="5">
        <f>IF(AZ$88=0,NA(),IF(ISNUMBER(INDEX($D$103:$AD$103,AZ$88)),IF(ROUND(INDEX($D$103:$AD$103,AZ$88)/1000,1)&lt;0,0.5,NA()),NA()))</f>
        <v>0</v>
      </c>
      <c r="BA131" s="5">
        <f>IF(BA$88=0,NA(),IF(ISNUMBER(INDEX($D$103:$AD$103,BA$88)),IF(ROUND(INDEX($D$103:$AD$103,BA$88)/1000,1)&lt;0,0.5,NA()),NA()))</f>
        <v>0</v>
      </c>
      <c r="BB131" s="5">
        <f>IF(BB$88=0,NA(),IF(ISNUMBER(INDEX($D$103:$AD$103,BB$88)),IF(ROUND(INDEX($D$103:$AD$103,BB$88)/1000,1)&lt;0,0.5,NA()),NA()))</f>
        <v>0</v>
      </c>
      <c r="BC131" s="5">
        <f>IF(BC$88=0,NA(),IF(ISNUMBER(INDEX($D$103:$AD$103,BC$88)),IF(ROUND(INDEX($D$103:$AD$103,BC$88)/1000,1)&lt;0,0.5,NA()),NA()))</f>
        <v>0</v>
      </c>
      <c r="BD131" s="5">
        <f>IF(BD$88=0,NA(),IF(ISNUMBER(INDEX($D$103:$AD$103,BD$88)),IF(ROUND(INDEX($D$103:$AD$103,BD$88)/1000,1)&lt;0,0.5,NA()),NA()))</f>
        <v>0</v>
      </c>
      <c r="BE131" s="5">
        <f>IF(BE$88=0,NA(),IF(ISNUMBER(INDEX($D$103:$AD$103,BE$88)),IF(ROUND(INDEX($D$103:$AD$103,BE$88)/1000,1)&lt;0,0.5,NA()),NA()))</f>
        <v>0</v>
      </c>
      <c r="BF131" s="5">
        <f>IF(BF$88=0,NA(),IF(ISNUMBER(INDEX($D$103:$AD$103,BF$88)),IF(ROUND(INDEX($D$103:$AD$103,BF$88)/1000,1)&lt;0,0.5,NA()),NA()))</f>
        <v>0</v>
      </c>
      <c r="BG131" s="5">
        <f>IF(BG$88=0,NA(),IF(ISNUMBER(INDEX($D$103:$AD$103,BG$88)),IF(ROUND(INDEX($D$103:$AD$103,BG$88)/1000,1)&lt;0,0.5,NA()),NA()))</f>
        <v>0</v>
      </c>
      <c r="BH131" s="5">
        <f>IF(BH$88=0,NA(),IF(ISNUMBER(INDEX($D$103:$AD$103,BH$88)),IF(ROUND(INDEX($D$103:$AD$103,BH$88)/1000,1)&lt;0,0.5,NA()),NA()))</f>
        <v>0</v>
      </c>
      <c r="BI131" s="5">
        <f>IF(BI$88=0,NA(),IF(ISNUMBER(INDEX($D$103:$AD$103,BI$88)),IF(ROUND(INDEX($D$103:$AD$103,BI$88)/1000,1)&lt;0,0.5,NA()),NA()))</f>
        <v>0</v>
      </c>
      <c r="BJ131" s="5">
        <f>IF(BJ$88=0,NA(),IF(ISNUMBER(INDEX($D$103:$AD$103,BJ$88)),IF(ROUND(INDEX($D$103:$AD$103,BJ$88)/1000,1)&lt;0,0.5,NA()),NA()))</f>
        <v>0</v>
      </c>
      <c r="BK131" s="5">
        <f>IF(BK$88=0,NA(),IF(ISNUMBER(INDEX($D$103:$AD$103,BK$88)),IF(ROUND(INDEX($D$103:$AD$103,BK$88)/1000,1)&lt;0,0.5,NA()),NA()))</f>
        <v>0</v>
      </c>
      <c r="BL131" s="5">
        <f>IF(BL$88=0,NA(),IF(ISNUMBER(INDEX($D$103:$AD$103,BL$88)),IF(ROUND(INDEX($D$103:$AD$103,BL$88)/1000,1)&lt;0,0.5,NA()),NA()))</f>
        <v>0</v>
      </c>
      <c r="BM131" s="5">
        <f>IF(BM$88=0,NA(),IF(ISNUMBER(INDEX($D$103:$AD$103,BM$88)),IF(ROUND(INDEX($D$103:$AD$103,BM$88)/1000,1)&lt;0,0.5,NA()),NA()))</f>
        <v>0</v>
      </c>
      <c r="BN131" s="5">
        <f>IF(BN$88=0,NA(),IF(ISNUMBER(INDEX($D$103:$AD$103,BN$88)),IF(ROUND(INDEX($D$103:$AD$103,BN$88)/1000,1)&lt;0,0.5,NA()),NA()))</f>
        <v>0</v>
      </c>
      <c r="BO131" s="5">
        <f>IF(BO$88=0,NA(),IF(ISNUMBER(INDEX($D$103:$AD$103,BO$88)),IF(ROUND(INDEX($D$103:$AD$103,BO$88)/1000,1)&lt;0,0.5,NA()),NA()))</f>
        <v>0</v>
      </c>
      <c r="BP131" s="5">
        <f>IF(BP$88=0,NA(),IF(ISNUMBER(INDEX($D$103:$AD$103,BP$88)),IF(ROUND(INDEX($D$103:$AD$103,BP$88)/1000,1)&lt;0,0.5,NA()),NA()))</f>
        <v>0</v>
      </c>
    </row>
    <row r="132" spans="1:68">
      <c r="A132" s="11" t="s">
        <v>327</v>
      </c>
      <c r="B132" s="11" t="s">
        <v>328</v>
      </c>
      <c r="C132" s="3" t="s">
        <v>144</v>
      </c>
      <c r="AQ132" s="5">
        <f>IF(AQ$88=0,NA(),IF(ISNUMBER(INDEX($D$103:$AD$103,AQ$88)),IF(ROUND(INDEX($D$103:$AD$103,AQ$88)/1000,1)=0,0.5,NA()),NA()))</f>
        <v>0</v>
      </c>
      <c r="AR132" s="5">
        <f>IF(AR$88=0,NA(),IF(ISNUMBER(INDEX($D$103:$AD$103,AR$88)),IF(ROUND(INDEX($D$103:$AD$103,AR$88)/1000,1)=0,0.5,NA()),NA()))</f>
        <v>0</v>
      </c>
      <c r="AS132" s="5">
        <f>IF(AS$88=0,NA(),IF(ISNUMBER(INDEX($D$103:$AD$103,AS$88)),IF(ROUND(INDEX($D$103:$AD$103,AS$88)/1000,1)=0,0.5,NA()),NA()))</f>
        <v>0</v>
      </c>
      <c r="AT132" s="5">
        <f>IF(AT$88=0,NA(),IF(ISNUMBER(INDEX($D$103:$AD$103,AT$88)),IF(ROUND(INDEX($D$103:$AD$103,AT$88)/1000,1)=0,0.5,NA()),NA()))</f>
        <v>0</v>
      </c>
      <c r="AU132" s="5">
        <f>IF(AU$88=0,NA(),IF(ISNUMBER(INDEX($D$103:$AD$103,AU$88)),IF(ROUND(INDEX($D$103:$AD$103,AU$88)/1000,1)=0,0.5,NA()),NA()))</f>
        <v>0</v>
      </c>
      <c r="AV132" s="5">
        <f>IF(AV$88=0,NA(),IF(ISNUMBER(INDEX($D$103:$AD$103,AV$88)),IF(ROUND(INDEX($D$103:$AD$103,AV$88)/1000,1)=0,0.5,NA()),NA()))</f>
        <v>0</v>
      </c>
      <c r="AW132" s="5">
        <f>IF(AW$88=0,NA(),IF(ISNUMBER(INDEX($D$103:$AD$103,AW$88)),IF(ROUND(INDEX($D$103:$AD$103,AW$88)/1000,1)=0,0.5,NA()),NA()))</f>
        <v>0</v>
      </c>
      <c r="AX132" s="5">
        <f>IF(AX$88=0,NA(),IF(ISNUMBER(INDEX($D$103:$AD$103,AX$88)),IF(ROUND(INDEX($D$103:$AD$103,AX$88)/1000,1)=0,0.5,NA()),NA()))</f>
        <v>0</v>
      </c>
      <c r="AY132" s="5">
        <f>IF(AY$88=0,NA(),IF(ISNUMBER(INDEX($D$103:$AD$103,AY$88)),IF(ROUND(INDEX($D$103:$AD$103,AY$88)/1000,1)=0,0.5,NA()),NA()))</f>
        <v>0</v>
      </c>
      <c r="AZ132" s="5">
        <f>IF(AZ$88=0,NA(),IF(ISNUMBER(INDEX($D$103:$AD$103,AZ$88)),IF(ROUND(INDEX($D$103:$AD$103,AZ$88)/1000,1)=0,0.5,NA()),NA()))</f>
        <v>0</v>
      </c>
      <c r="BA132" s="5">
        <f>IF(BA$88=0,NA(),IF(ISNUMBER(INDEX($D$103:$AD$103,BA$88)),IF(ROUND(INDEX($D$103:$AD$103,BA$88)/1000,1)=0,0.5,NA()),NA()))</f>
        <v>0</v>
      </c>
      <c r="BB132" s="5">
        <f>IF(BB$88=0,NA(),IF(ISNUMBER(INDEX($D$103:$AD$103,BB$88)),IF(ROUND(INDEX($D$103:$AD$103,BB$88)/1000,1)=0,0.5,NA()),NA()))</f>
        <v>0</v>
      </c>
      <c r="BC132" s="5">
        <f>IF(BC$88=0,NA(),IF(ISNUMBER(INDEX($D$103:$AD$103,BC$88)),IF(ROUND(INDEX($D$103:$AD$103,BC$88)/1000,1)=0,0.5,NA()),NA()))</f>
        <v>0</v>
      </c>
      <c r="BD132" s="5">
        <f>IF(BD$88=0,NA(),IF(ISNUMBER(INDEX($D$103:$AD$103,BD$88)),IF(ROUND(INDEX($D$103:$AD$103,BD$88)/1000,1)=0,0.5,NA()),NA()))</f>
        <v>0</v>
      </c>
      <c r="BE132" s="5">
        <f>IF(BE$88=0,NA(),IF(ISNUMBER(INDEX($D$103:$AD$103,BE$88)),IF(ROUND(INDEX($D$103:$AD$103,BE$88)/1000,1)=0,0.5,NA()),NA()))</f>
        <v>0</v>
      </c>
      <c r="BF132" s="5">
        <f>IF(BF$88=0,NA(),IF(ISNUMBER(INDEX($D$103:$AD$103,BF$88)),IF(ROUND(INDEX($D$103:$AD$103,BF$88)/1000,1)=0,0.5,NA()),NA()))</f>
        <v>0</v>
      </c>
      <c r="BG132" s="5">
        <f>IF(BG$88=0,NA(),IF(ISNUMBER(INDEX($D$103:$AD$103,BG$88)),IF(ROUND(INDEX($D$103:$AD$103,BG$88)/1000,1)=0,0.5,NA()),NA()))</f>
        <v>0</v>
      </c>
      <c r="BH132" s="5">
        <f>IF(BH$88=0,NA(),IF(ISNUMBER(INDEX($D$103:$AD$103,BH$88)),IF(ROUND(INDEX($D$103:$AD$103,BH$88)/1000,1)=0,0.5,NA()),NA()))</f>
        <v>0</v>
      </c>
      <c r="BI132" s="5">
        <f>IF(BI$88=0,NA(),IF(ISNUMBER(INDEX($D$103:$AD$103,BI$88)),IF(ROUND(INDEX($D$103:$AD$103,BI$88)/1000,1)=0,0.5,NA()),NA()))</f>
        <v>0</v>
      </c>
      <c r="BJ132" s="5">
        <f>IF(BJ$88=0,NA(),IF(ISNUMBER(INDEX($D$103:$AD$103,BJ$88)),IF(ROUND(INDEX($D$103:$AD$103,BJ$88)/1000,1)=0,0.5,NA()),NA()))</f>
        <v>0</v>
      </c>
      <c r="BK132" s="5">
        <f>IF(BK$88=0,NA(),IF(ISNUMBER(INDEX($D$103:$AD$103,BK$88)),IF(ROUND(INDEX($D$103:$AD$103,BK$88)/1000,1)=0,0.5,NA()),NA()))</f>
        <v>0</v>
      </c>
      <c r="BL132" s="5">
        <f>IF(BL$88=0,NA(),IF(ISNUMBER(INDEX($D$103:$AD$103,BL$88)),IF(ROUND(INDEX($D$103:$AD$103,BL$88)/1000,1)=0,0.5,NA()),NA()))</f>
        <v>0</v>
      </c>
      <c r="BM132" s="5">
        <f>IF(BM$88=0,NA(),IF(ISNUMBER(INDEX($D$103:$AD$103,BM$88)),IF(ROUND(INDEX($D$103:$AD$103,BM$88)/1000,1)=0,0.5,NA()),NA()))</f>
        <v>0</v>
      </c>
      <c r="BN132" s="5">
        <f>IF(BN$88=0,NA(),IF(ISNUMBER(INDEX($D$103:$AD$103,BN$88)),IF(ROUND(INDEX($D$103:$AD$103,BN$88)/1000,1)=0,0.5,NA()),NA()))</f>
        <v>0</v>
      </c>
      <c r="BO132" s="5">
        <f>IF(BO$88=0,NA(),IF(ISNUMBER(INDEX($D$103:$AD$103,BO$88)),IF(ROUND(INDEX($D$103:$AD$103,BO$88)/1000,1)=0,0.5,NA()),NA()))</f>
        <v>0</v>
      </c>
      <c r="BP132" s="5">
        <f>IF(BP$88=0,NA(),IF(ISNUMBER(INDEX($D$103:$AD$103,BP$88)),IF(ROUND(INDEX($D$103:$AD$103,BP$88)/1000,1)=0,0.5,NA()),NA()))</f>
        <v>0</v>
      </c>
    </row>
    <row r="133" spans="1:68">
      <c r="A133" s="11" t="s">
        <v>329</v>
      </c>
      <c r="B133" s="11" t="s">
        <v>330</v>
      </c>
      <c r="C133" s="3" t="s">
        <v>144</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331</v>
      </c>
      <c r="B134" s="11" t="s">
        <v>332</v>
      </c>
      <c r="C134" s="3" t="s">
        <v>137</v>
      </c>
      <c r="D134" s="79">
        <f>IFERROR(D102/D53,NA())</f>
        <v>0</v>
      </c>
      <c r="E134" s="79">
        <f>IFERROR(E102/E53,NA())</f>
        <v>0</v>
      </c>
      <c r="F134" s="79">
        <f>IFERROR(F102/F53,NA())</f>
        <v>0</v>
      </c>
      <c r="G134" s="79">
        <f>IFERROR(G102/G53,NA())</f>
        <v>0</v>
      </c>
      <c r="H134" s="79">
        <f>IFERROR(H102/H53,NA())</f>
        <v>0</v>
      </c>
      <c r="I134" s="79">
        <f>IFERROR(I102/I53,NA())</f>
        <v>0</v>
      </c>
      <c r="J134" s="79">
        <f>IFERROR(J102/J53,NA())</f>
        <v>0</v>
      </c>
      <c r="K134" s="79">
        <f>IFERROR(K102/K53,NA())</f>
        <v>0</v>
      </c>
      <c r="L134" s="79">
        <f>IFERROR(L102/L53,NA())</f>
        <v>0</v>
      </c>
      <c r="M134" s="79">
        <f>IFERROR(M102/M53,NA())</f>
        <v>0</v>
      </c>
      <c r="N134" s="79">
        <f>IFERROR(N102/N53,NA())</f>
        <v>0</v>
      </c>
      <c r="O134" s="79">
        <f>IFERROR(O102/O53,NA())</f>
        <v>0</v>
      </c>
      <c r="P134" s="79">
        <f>IFERROR(P102/P53,NA())</f>
        <v>0</v>
      </c>
      <c r="Q134" s="79">
        <f>IFERROR(Q102/Q53,NA())</f>
        <v>0</v>
      </c>
      <c r="R134" s="79">
        <f>IFERROR(R102/R53,NA())</f>
        <v>0</v>
      </c>
      <c r="S134" s="79">
        <f>IFERROR(S102/S53,NA())</f>
        <v>0</v>
      </c>
      <c r="T134" s="79">
        <f>IFERROR(T102/T53,NA())</f>
        <v>0</v>
      </c>
      <c r="U134" s="79">
        <f>IFERROR(U102/U53,NA())</f>
        <v>0</v>
      </c>
      <c r="V134" s="79">
        <f>IFERROR(V102/V53,NA())</f>
        <v>0</v>
      </c>
      <c r="W134" s="79">
        <f>IFERROR(W102/W53,NA())</f>
        <v>0</v>
      </c>
      <c r="X134" s="79">
        <f>IFERROR(X102/X53,NA())</f>
        <v>0</v>
      </c>
      <c r="Y134" s="79">
        <f>IFERROR(Y102/Y53,NA())</f>
        <v>0</v>
      </c>
      <c r="Z134" s="79">
        <f>IFERROR(Z102/Z53,NA())</f>
        <v>0</v>
      </c>
      <c r="AA134" s="79">
        <f>IFERROR(AA102/AA53,NA())</f>
        <v>0</v>
      </c>
      <c r="AB134" s="79">
        <f>IFERROR(AB102/AB53,NA())</f>
        <v>0</v>
      </c>
      <c r="AC134" s="79">
        <f>IFERROR(AC102/AC53,NA())</f>
        <v>0</v>
      </c>
      <c r="AD134" s="79">
        <f>IFERROR(AD102/AD53,NA())</f>
        <v>0</v>
      </c>
    </row>
    <row r="135" spans="1:68">
      <c r="A135" s="11" t="s">
        <v>333</v>
      </c>
      <c r="B135" s="11" t="s">
        <v>334</v>
      </c>
      <c r="C135" s="3" t="s">
        <v>137</v>
      </c>
      <c r="D135" s="79">
        <f>IF(ISNUMBER(D7),D7/1000,NA())</f>
        <v>0</v>
      </c>
      <c r="E135" s="79">
        <f>IF(ISNUMBER(E7),E7/1000,NA())</f>
        <v>0</v>
      </c>
      <c r="F135" s="79">
        <f>IF(ISNUMBER(F7),F7/1000,NA())</f>
        <v>0</v>
      </c>
      <c r="G135" s="79">
        <f>IF(ISNUMBER(G7),G7/1000,NA())</f>
        <v>0</v>
      </c>
      <c r="H135" s="79">
        <f>IF(ISNUMBER(H7),H7/1000,NA())</f>
        <v>0</v>
      </c>
      <c r="I135" s="79">
        <f>IF(ISNUMBER(I7),I7/1000,NA())</f>
        <v>0</v>
      </c>
      <c r="J135" s="79">
        <f>IF(ISNUMBER(J7),J7/1000,NA())</f>
        <v>0</v>
      </c>
      <c r="K135" s="79">
        <f>IF(ISNUMBER(K7),K7/1000,NA())</f>
        <v>0</v>
      </c>
      <c r="L135" s="79">
        <f>IF(ISNUMBER(L7),L7/1000,NA())</f>
        <v>0</v>
      </c>
      <c r="M135" s="79">
        <f>IF(ISNUMBER(M7),M7/1000,NA())</f>
        <v>0</v>
      </c>
      <c r="N135" s="79">
        <f>IF(ISNUMBER(N7),N7/1000,NA())</f>
        <v>0</v>
      </c>
      <c r="O135" s="79">
        <f>IF(ISNUMBER(O7),O7/1000,NA())</f>
        <v>0</v>
      </c>
      <c r="P135" s="79">
        <f>IF(ISNUMBER(P7),P7/1000,NA())</f>
        <v>0</v>
      </c>
      <c r="Q135" s="79">
        <f>IF(ISNUMBER(Q7),Q7/1000,NA())</f>
        <v>0</v>
      </c>
      <c r="R135" s="79">
        <f>IF(ISNUMBER(R7),R7/1000,NA())</f>
        <v>0</v>
      </c>
      <c r="S135" s="79">
        <f>IF(ISNUMBER(S7),S7/1000,NA())</f>
        <v>0</v>
      </c>
      <c r="T135" s="79">
        <f>IF(ISNUMBER(T7),T7/1000,NA())</f>
        <v>0</v>
      </c>
      <c r="U135" s="79">
        <f>IF(ISNUMBER(U7),U7/1000,NA())</f>
        <v>0</v>
      </c>
      <c r="V135" s="79">
        <f>IF(ISNUMBER(V7),V7/1000,NA())</f>
        <v>0</v>
      </c>
      <c r="W135" s="79">
        <f>IF(ISNUMBER(W7),W7/1000,NA())</f>
        <v>0</v>
      </c>
      <c r="X135" s="79">
        <f>IF(ISNUMBER(X7),X7/1000,NA())</f>
        <v>0</v>
      </c>
      <c r="Y135" s="79">
        <f>IF(ISNUMBER(Y7),Y7/1000,NA())</f>
        <v>0</v>
      </c>
      <c r="Z135" s="79">
        <f>IF(ISNUMBER(Z7),Z7/1000,NA())</f>
        <v>0</v>
      </c>
      <c r="AA135" s="79">
        <f>IF(ISNUMBER(AA7),AA7/1000,NA())</f>
        <v>0</v>
      </c>
      <c r="AB135" s="79">
        <f>IF(ISNUMBER(AB7),AB7/1000,NA())</f>
        <v>0</v>
      </c>
      <c r="AC135" s="79">
        <f>IF(ISNUMBER(AC7),AC7/1000,NA())</f>
        <v>0</v>
      </c>
      <c r="AD135" s="79">
        <f>IF(ISNUMBER(AD7),AD7/1000,NA())</f>
        <v>0</v>
      </c>
    </row>
    <row r="136" spans="1:68">
      <c r="A136" s="11" t="s">
        <v>335</v>
      </c>
      <c r="B136" s="11" t="s">
        <v>336</v>
      </c>
      <c r="C136" s="3" t="s">
        <v>137</v>
      </c>
      <c r="D136" s="79">
        <f>IF(ISNUMBER(D16),D16/1000,NA())</f>
        <v>0</v>
      </c>
      <c r="E136" s="79">
        <f>IF(ISNUMBER(E16),E16/1000,NA())</f>
        <v>0</v>
      </c>
      <c r="F136" s="79">
        <f>IF(ISNUMBER(F16),F16/1000,NA())</f>
        <v>0</v>
      </c>
      <c r="G136" s="79">
        <f>IF(ISNUMBER(G16),G16/1000,NA())</f>
        <v>0</v>
      </c>
      <c r="H136" s="79">
        <f>IF(ISNUMBER(H16),H16/1000,NA())</f>
        <v>0</v>
      </c>
      <c r="I136" s="79">
        <f>IF(ISNUMBER(I16),I16/1000,NA())</f>
        <v>0</v>
      </c>
      <c r="J136" s="79">
        <f>IF(ISNUMBER(J16),J16/1000,NA())</f>
        <v>0</v>
      </c>
      <c r="K136" s="79">
        <f>IF(ISNUMBER(K16),K16/1000,NA())</f>
        <v>0</v>
      </c>
      <c r="L136" s="79">
        <f>IF(ISNUMBER(L16),L16/1000,NA())</f>
        <v>0</v>
      </c>
      <c r="M136" s="79">
        <f>IF(ISNUMBER(M16),M16/1000,NA())</f>
        <v>0</v>
      </c>
      <c r="N136" s="79">
        <f>IF(ISNUMBER(N16),N16/1000,NA())</f>
        <v>0</v>
      </c>
      <c r="O136" s="79">
        <f>IF(ISNUMBER(O16),O16/1000,NA())</f>
        <v>0</v>
      </c>
      <c r="P136" s="79">
        <f>IF(ISNUMBER(P16),P16/1000,NA())</f>
        <v>0</v>
      </c>
      <c r="Q136" s="79">
        <f>IF(ISNUMBER(Q16),Q16/1000,NA())</f>
        <v>0</v>
      </c>
      <c r="R136" s="79">
        <f>IF(ISNUMBER(R16),R16/1000,NA())</f>
        <v>0</v>
      </c>
      <c r="S136" s="79">
        <f>IF(ISNUMBER(S16),S16/1000,NA())</f>
        <v>0</v>
      </c>
      <c r="T136" s="79">
        <f>IF(ISNUMBER(T16),T16/1000,NA())</f>
        <v>0</v>
      </c>
      <c r="U136" s="79">
        <f>IF(ISNUMBER(U16),U16/1000,NA())</f>
        <v>0</v>
      </c>
      <c r="V136" s="79">
        <f>IF(ISNUMBER(V16),V16/1000,NA())</f>
        <v>0</v>
      </c>
      <c r="W136" s="79">
        <f>IF(ISNUMBER(W16),W16/1000,NA())</f>
        <v>0</v>
      </c>
      <c r="X136" s="79">
        <f>IF(ISNUMBER(X16),X16/1000,NA())</f>
        <v>0</v>
      </c>
      <c r="Y136" s="79">
        <f>IF(ISNUMBER(Y16),Y16/1000,NA())</f>
        <v>0</v>
      </c>
      <c r="Z136" s="79">
        <f>IF(ISNUMBER(Z16),Z16/1000,NA())</f>
        <v>0</v>
      </c>
      <c r="AA136" s="79">
        <f>IF(ISNUMBER(AA16),AA16/1000,NA())</f>
        <v>0</v>
      </c>
      <c r="AB136" s="79">
        <f>IF(ISNUMBER(AB16),AB16/1000,NA())</f>
        <v>0</v>
      </c>
      <c r="AC136" s="79">
        <f>IF(ISNUMBER(AC16),AC16/1000,NA())</f>
        <v>0</v>
      </c>
      <c r="AD136" s="79">
        <f>IF(ISNUMBER(AD16),AD16/1000,NA())</f>
        <v>0</v>
      </c>
    </row>
    <row r="137" spans="1:68">
      <c r="A137" s="11" t="s">
        <v>337</v>
      </c>
      <c r="B137" s="11" t="s">
        <v>338</v>
      </c>
      <c r="C137" s="3" t="s">
        <v>137</v>
      </c>
      <c r="D137" s="5">
        <f>IF(ISNUMBER(D17),1,NA())</f>
        <v>0</v>
      </c>
      <c r="E137" s="5">
        <f>IF(ISNUMBER(E17),1,NA())</f>
        <v>0</v>
      </c>
      <c r="F137" s="5">
        <f>IF(ISNUMBER(F17),1,NA())</f>
        <v>0</v>
      </c>
      <c r="G137" s="5">
        <f>IF(ISNUMBER(G17),1,NA())</f>
        <v>0</v>
      </c>
      <c r="H137" s="5">
        <f>IF(ISNUMBER(H17),1,NA())</f>
        <v>0</v>
      </c>
      <c r="I137" s="5">
        <f>IF(ISNUMBER(I17),1,NA())</f>
        <v>0</v>
      </c>
      <c r="J137" s="5">
        <f>IF(ISNUMBER(J17),1,NA())</f>
        <v>0</v>
      </c>
      <c r="K137" s="5">
        <f>IF(ISNUMBER(K17),1,NA())</f>
        <v>0</v>
      </c>
      <c r="L137" s="5">
        <f>IF(ISNUMBER(L17),1,NA())</f>
        <v>0</v>
      </c>
      <c r="M137" s="5">
        <f>IF(ISNUMBER(M17),1,NA())</f>
        <v>0</v>
      </c>
      <c r="N137" s="5">
        <f>IF(ISNUMBER(N17),1,NA())</f>
        <v>0</v>
      </c>
      <c r="O137" s="5">
        <f>IF(ISNUMBER(O17),1,NA())</f>
        <v>0</v>
      </c>
      <c r="P137" s="5">
        <f>IF(ISNUMBER(P17),1,NA())</f>
        <v>0</v>
      </c>
      <c r="Q137" s="5">
        <f>IF(ISNUMBER(Q17),1,NA())</f>
        <v>0</v>
      </c>
      <c r="R137" s="5">
        <f>IF(ISNUMBER(R17),1,NA())</f>
        <v>0</v>
      </c>
      <c r="S137" s="5">
        <f>IF(ISNUMBER(S17),1,NA())</f>
        <v>0</v>
      </c>
      <c r="T137" s="5">
        <f>IF(ISNUMBER(T17),1,NA())</f>
        <v>0</v>
      </c>
      <c r="U137" s="5">
        <f>IF(ISNUMBER(U17),1,NA())</f>
        <v>0</v>
      </c>
      <c r="V137" s="5">
        <f>IF(ISNUMBER(V17),1,NA())</f>
        <v>0</v>
      </c>
      <c r="W137" s="5">
        <f>IF(ISNUMBER(W17),1,NA())</f>
        <v>0</v>
      </c>
      <c r="X137" s="5">
        <f>IF(ISNUMBER(X17),1,NA())</f>
        <v>0</v>
      </c>
      <c r="Y137" s="5">
        <f>IF(ISNUMBER(Y17),1,NA())</f>
        <v>0</v>
      </c>
      <c r="Z137" s="5">
        <f>IF(ISNUMBER(Z17),1,NA())</f>
        <v>0</v>
      </c>
      <c r="AA137" s="5">
        <f>IF(ISNUMBER(AA17),1,NA())</f>
        <v>0</v>
      </c>
      <c r="AB137" s="5">
        <f>IF(ISNUMBER(AB17),1,NA())</f>
        <v>0</v>
      </c>
      <c r="AC137" s="5">
        <f>IF(ISNUMBER(AC17),1,NA())</f>
        <v>0</v>
      </c>
      <c r="AD137" s="5">
        <f>IF(ISNUMBER(AD17),1,NA())</f>
        <v>0</v>
      </c>
    </row>
    <row r="138" spans="1:68">
      <c r="A138" s="11" t="s">
        <v>339</v>
      </c>
      <c r="B138" s="11" t="s">
        <v>340</v>
      </c>
      <c r="C138" s="3" t="s">
        <v>137</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341</v>
      </c>
      <c r="B139" s="11" t="s">
        <v>342</v>
      </c>
      <c r="C139" s="3" t="s">
        <v>137</v>
      </c>
      <c r="D139" s="5">
        <f>IF(ISNUMBER(D18),1,NA())</f>
        <v>0</v>
      </c>
      <c r="E139" s="5">
        <f>IF(ISNUMBER(E18),1,NA())</f>
        <v>0</v>
      </c>
      <c r="F139" s="5">
        <f>IF(ISNUMBER(F18),1,NA())</f>
        <v>0</v>
      </c>
      <c r="G139" s="5">
        <f>IF(ISNUMBER(G18),1,NA())</f>
        <v>0</v>
      </c>
      <c r="H139" s="5">
        <f>IF(ISNUMBER(H18),1,NA())</f>
        <v>0</v>
      </c>
      <c r="I139" s="5">
        <f>IF(ISNUMBER(I18),1,NA())</f>
        <v>0</v>
      </c>
      <c r="J139" s="5">
        <f>IF(ISNUMBER(J18),1,NA())</f>
        <v>0</v>
      </c>
      <c r="K139" s="5">
        <f>IF(ISNUMBER(K18),1,NA())</f>
        <v>0</v>
      </c>
      <c r="L139" s="5">
        <f>IF(ISNUMBER(L18),1,NA())</f>
        <v>0</v>
      </c>
      <c r="M139" s="5">
        <f>IF(ISNUMBER(M18),1,NA())</f>
        <v>0</v>
      </c>
      <c r="N139" s="5">
        <f>IF(ISNUMBER(N18),1,NA())</f>
        <v>0</v>
      </c>
      <c r="O139" s="5">
        <f>IF(ISNUMBER(O18),1,NA())</f>
        <v>0</v>
      </c>
      <c r="P139" s="5">
        <f>IF(ISNUMBER(P18),1,NA())</f>
        <v>0</v>
      </c>
      <c r="Q139" s="5">
        <f>IF(ISNUMBER(Q18),1,NA())</f>
        <v>0</v>
      </c>
      <c r="R139" s="5">
        <f>IF(ISNUMBER(R18),1,NA())</f>
        <v>0</v>
      </c>
      <c r="S139" s="5">
        <f>IF(ISNUMBER(S18),1,NA())</f>
        <v>0</v>
      </c>
      <c r="T139" s="5">
        <f>IF(ISNUMBER(T18),1,NA())</f>
        <v>0</v>
      </c>
      <c r="U139" s="5">
        <f>IF(ISNUMBER(U18),1,NA())</f>
        <v>0</v>
      </c>
      <c r="V139" s="5">
        <f>IF(ISNUMBER(V18),1,NA())</f>
        <v>0</v>
      </c>
      <c r="W139" s="5">
        <f>IF(ISNUMBER(W18),1,NA())</f>
        <v>0</v>
      </c>
      <c r="X139" s="5">
        <f>IF(ISNUMBER(X18),1,NA())</f>
        <v>0</v>
      </c>
      <c r="Y139" s="5">
        <f>IF(ISNUMBER(Y18),1,NA())</f>
        <v>0</v>
      </c>
      <c r="Z139" s="5">
        <f>IF(ISNUMBER(Z18),1,NA())</f>
        <v>0</v>
      </c>
      <c r="AA139" s="5">
        <f>IF(ISNUMBER(AA18),1,NA())</f>
        <v>0</v>
      </c>
      <c r="AB139" s="5">
        <f>IF(ISNUMBER(AB18),1,NA())</f>
        <v>0</v>
      </c>
      <c r="AC139" s="5">
        <f>IF(ISNUMBER(AC18),1,NA())</f>
        <v>0</v>
      </c>
      <c r="AD139" s="5">
        <f>IF(ISNUMBER(AD18),1,NA())</f>
        <v>0</v>
      </c>
    </row>
    <row r="140" spans="1:68">
      <c r="A140" s="11" t="s">
        <v>343</v>
      </c>
      <c r="B140" s="11" t="s">
        <v>344</v>
      </c>
      <c r="C140" s="3" t="s">
        <v>137</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345</v>
      </c>
      <c r="B141" s="11" t="s">
        <v>346</v>
      </c>
      <c r="C141" s="3" t="s">
        <v>137</v>
      </c>
      <c r="D141" s="5">
        <f>IF(ISNUMBER(D19),1,NA())</f>
        <v>0</v>
      </c>
      <c r="E141" s="5">
        <f>IF(ISNUMBER(E19),1,NA())</f>
        <v>0</v>
      </c>
      <c r="F141" s="5">
        <f>IF(ISNUMBER(F19),1,NA())</f>
        <v>0</v>
      </c>
      <c r="G141" s="5">
        <f>IF(ISNUMBER(G19),1,NA())</f>
        <v>0</v>
      </c>
      <c r="H141" s="5">
        <f>IF(ISNUMBER(H19),1,NA())</f>
        <v>0</v>
      </c>
      <c r="I141" s="5">
        <f>IF(ISNUMBER(I19),1,NA())</f>
        <v>0</v>
      </c>
      <c r="J141" s="5">
        <f>IF(ISNUMBER(J19),1,NA())</f>
        <v>0</v>
      </c>
      <c r="K141" s="5">
        <f>IF(ISNUMBER(K19),1,NA())</f>
        <v>0</v>
      </c>
      <c r="L141" s="5">
        <f>IF(ISNUMBER(L19),1,NA())</f>
        <v>0</v>
      </c>
      <c r="M141" s="5">
        <f>IF(ISNUMBER(M19),1,NA())</f>
        <v>0</v>
      </c>
      <c r="N141" s="5">
        <f>IF(ISNUMBER(N19),1,NA())</f>
        <v>0</v>
      </c>
      <c r="O141" s="5">
        <f>IF(ISNUMBER(O19),1,NA())</f>
        <v>0</v>
      </c>
      <c r="P141" s="5">
        <f>IF(ISNUMBER(P19),1,NA())</f>
        <v>0</v>
      </c>
      <c r="Q141" s="5">
        <f>IF(ISNUMBER(Q19),1,NA())</f>
        <v>0</v>
      </c>
      <c r="R141" s="5">
        <f>IF(ISNUMBER(R19),1,NA())</f>
        <v>0</v>
      </c>
      <c r="S141" s="5">
        <f>IF(ISNUMBER(S19),1,NA())</f>
        <v>0</v>
      </c>
      <c r="T141" s="5">
        <f>IF(ISNUMBER(T19),1,NA())</f>
        <v>0</v>
      </c>
      <c r="U141" s="5">
        <f>IF(ISNUMBER(U19),1,NA())</f>
        <v>0</v>
      </c>
      <c r="V141" s="5">
        <f>IF(ISNUMBER(V19),1,NA())</f>
        <v>0</v>
      </c>
      <c r="W141" s="5">
        <f>IF(ISNUMBER(W19),1,NA())</f>
        <v>0</v>
      </c>
      <c r="X141" s="5">
        <f>IF(ISNUMBER(X19),1,NA())</f>
        <v>0</v>
      </c>
      <c r="Y141" s="5">
        <f>IF(ISNUMBER(Y19),1,NA())</f>
        <v>0</v>
      </c>
      <c r="Z141" s="5">
        <f>IF(ISNUMBER(Z19),1,NA())</f>
        <v>0</v>
      </c>
      <c r="AA141" s="5">
        <f>IF(ISNUMBER(AA19),1,NA())</f>
        <v>0</v>
      </c>
      <c r="AB141" s="5">
        <f>IF(ISNUMBER(AB19),1,NA())</f>
        <v>0</v>
      </c>
      <c r="AC141" s="5">
        <f>IF(ISNUMBER(AC19),1,NA())</f>
        <v>0</v>
      </c>
      <c r="AD141" s="5">
        <f>IF(ISNUMBER(AD19),1,NA())</f>
        <v>0</v>
      </c>
    </row>
    <row r="142" spans="1:68">
      <c r="A142" s="11" t="s">
        <v>347</v>
      </c>
      <c r="B142" s="11" t="s">
        <v>348</v>
      </c>
      <c r="C142" s="3" t="s">
        <v>137</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349</v>
      </c>
      <c r="B143" s="11" t="s">
        <v>350</v>
      </c>
      <c r="C143" s="3" t="s">
        <v>137</v>
      </c>
      <c r="D143" s="5">
        <f>IF(COUNT(D21,D22,D23)=0,NA(),SUM(D21,D22,D23))</f>
        <v>0</v>
      </c>
      <c r="E143" s="5">
        <f>IF(COUNT(E21,E22,E23)=0,NA(),SUM(E21,E22,E23))</f>
        <v>0</v>
      </c>
      <c r="F143" s="5">
        <f>IF(COUNT(F21,F22,F23)=0,NA(),SUM(F21,F22,F23))</f>
        <v>0</v>
      </c>
      <c r="G143" s="5">
        <f>IF(COUNT(G21,G22,G23)=0,NA(),SUM(G21,G22,G23))</f>
        <v>0</v>
      </c>
      <c r="H143" s="5">
        <f>IF(COUNT(H21,H22,H23)=0,NA(),SUM(H21,H22,H23))</f>
        <v>0</v>
      </c>
      <c r="I143" s="5">
        <f>IF(COUNT(I21,I22,I23)=0,NA(),SUM(I21,I22,I23))</f>
        <v>0</v>
      </c>
      <c r="J143" s="5">
        <f>IF(COUNT(J21,J22,J23)=0,NA(),SUM(J21,J22,J23))</f>
        <v>0</v>
      </c>
      <c r="K143" s="5">
        <f>IF(COUNT(K21,K22,K23)=0,NA(),SUM(K21,K22,K23))</f>
        <v>0</v>
      </c>
      <c r="L143" s="5">
        <f>IF(COUNT(L21,L22,L23)=0,NA(),SUM(L21,L22,L23))</f>
        <v>0</v>
      </c>
      <c r="M143" s="5">
        <f>IF(COUNT(M21,M22,M23)=0,NA(),SUM(M21,M22,M23))</f>
        <v>0</v>
      </c>
      <c r="N143" s="5">
        <f>IF(COUNT(N21,N22,N23)=0,NA(),SUM(N21,N22,N23))</f>
        <v>0</v>
      </c>
      <c r="O143" s="5">
        <f>IF(COUNT(O21,O22,O23)=0,NA(),SUM(O21,O22,O23))</f>
        <v>0</v>
      </c>
      <c r="P143" s="5">
        <f>IF(COUNT(P21,P22,P23)=0,NA(),SUM(P21,P22,P23))</f>
        <v>0</v>
      </c>
      <c r="Q143" s="5">
        <f>IF(COUNT(Q21,Q22,Q23)=0,NA(),SUM(Q21,Q22,Q23))</f>
        <v>0</v>
      </c>
      <c r="R143" s="5">
        <f>IF(COUNT(R21,R22,R23)=0,NA(),SUM(R21,R22,R23))</f>
        <v>0</v>
      </c>
      <c r="S143" s="5">
        <f>IF(COUNT(S21,S22,S23)=0,NA(),SUM(S21,S22,S23))</f>
        <v>0</v>
      </c>
      <c r="T143" s="5">
        <f>IF(COUNT(T21,T22,T23)=0,NA(),SUM(T21,T22,T23))</f>
        <v>0</v>
      </c>
      <c r="U143" s="5">
        <f>IF(COUNT(U21,U22,U23)=0,NA(),SUM(U21,U22,U23))</f>
        <v>0</v>
      </c>
      <c r="V143" s="5">
        <f>IF(COUNT(V21,V22,V23)=0,NA(),SUM(V21,V22,V23))</f>
        <v>0</v>
      </c>
      <c r="W143" s="5">
        <f>IF(COUNT(W21,W22,W23)=0,NA(),SUM(W21,W22,W23))</f>
        <v>0</v>
      </c>
      <c r="X143" s="5">
        <f>IF(COUNT(X21,X22,X23)=0,NA(),SUM(X21,X22,X23))</f>
        <v>0</v>
      </c>
      <c r="Y143" s="5">
        <f>IF(COUNT(Y21,Y22,Y23)=0,NA(),SUM(Y21,Y22,Y23))</f>
        <v>0</v>
      </c>
      <c r="Z143" s="5">
        <f>IF(COUNT(Z21,Z22,Z23)=0,NA(),SUM(Z21,Z22,Z23))</f>
        <v>0</v>
      </c>
      <c r="AA143" s="5">
        <f>IF(COUNT(AA21,AA22,AA23)=0,NA(),SUM(AA21,AA22,AA23))</f>
        <v>0</v>
      </c>
      <c r="AB143" s="5">
        <f>IF(COUNT(AB21,AB22,AB23)=0,NA(),SUM(AB21,AB22,AB23))</f>
        <v>0</v>
      </c>
      <c r="AC143" s="5">
        <f>IF(COUNT(AC21,AC22,AC23)=0,NA(),SUM(AC21,AC22,AC23))</f>
        <v>0</v>
      </c>
      <c r="AD143" s="5">
        <f>IF(COUNT(AD21,AD22,AD23)=0,NA(),SUM(AD21,AD22,AD23))</f>
        <v>0</v>
      </c>
    </row>
    <row r="144" spans="1:68">
      <c r="A144" s="11" t="s">
        <v>351</v>
      </c>
      <c r="B144" s="11" t="s">
        <v>352</v>
      </c>
      <c r="C144" s="3" t="s">
        <v>137</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100">
      <c r="A145" s="11" t="s">
        <v>353</v>
      </c>
      <c r="B145" s="11" t="s">
        <v>354</v>
      </c>
      <c r="C145" s="3" t="s">
        <v>137</v>
      </c>
      <c r="D145" s="5">
        <f>IF(ISNUMBER(D143),D143+0.08*MAX(1,_xlfn.AGGREGATE(4,6,$D$143:$AD$143)),NA())</f>
        <v>0</v>
      </c>
      <c r="E145" s="5">
        <f>IF(ISNUMBER(E143),E143+0.08*MAX(1,_xlfn.AGGREGATE(4,6,$D$143:$AD$143)),NA())</f>
        <v>0</v>
      </c>
      <c r="F145" s="5">
        <f>IF(ISNUMBER(F143),F143+0.08*MAX(1,_xlfn.AGGREGATE(4,6,$D$143:$AD$143)),NA())</f>
        <v>0</v>
      </c>
      <c r="G145" s="5">
        <f>IF(ISNUMBER(G143),G143+0.08*MAX(1,_xlfn.AGGREGATE(4,6,$D$143:$AD$143)),NA())</f>
        <v>0</v>
      </c>
      <c r="H145" s="5">
        <f>IF(ISNUMBER(H143),H143+0.08*MAX(1,_xlfn.AGGREGATE(4,6,$D$143:$AD$143)),NA())</f>
        <v>0</v>
      </c>
      <c r="I145" s="5">
        <f>IF(ISNUMBER(I143),I143+0.08*MAX(1,_xlfn.AGGREGATE(4,6,$D$143:$AD$143)),NA())</f>
        <v>0</v>
      </c>
      <c r="J145" s="5">
        <f>IF(ISNUMBER(J143),J143+0.08*MAX(1,_xlfn.AGGREGATE(4,6,$D$143:$AD$143)),NA())</f>
        <v>0</v>
      </c>
      <c r="K145" s="5">
        <f>IF(ISNUMBER(K143),K143+0.08*MAX(1,_xlfn.AGGREGATE(4,6,$D$143:$AD$143)),NA())</f>
        <v>0</v>
      </c>
      <c r="L145" s="5">
        <f>IF(ISNUMBER(L143),L143+0.08*MAX(1,_xlfn.AGGREGATE(4,6,$D$143:$AD$143)),NA())</f>
        <v>0</v>
      </c>
      <c r="M145" s="5">
        <f>IF(ISNUMBER(M143),M143+0.08*MAX(1,_xlfn.AGGREGATE(4,6,$D$143:$AD$143)),NA())</f>
        <v>0</v>
      </c>
      <c r="N145" s="5">
        <f>IF(ISNUMBER(N143),N143+0.08*MAX(1,_xlfn.AGGREGATE(4,6,$D$143:$AD$143)),NA())</f>
        <v>0</v>
      </c>
      <c r="O145" s="5">
        <f>IF(ISNUMBER(O143),O143+0.08*MAX(1,_xlfn.AGGREGATE(4,6,$D$143:$AD$143)),NA())</f>
        <v>0</v>
      </c>
      <c r="P145" s="5">
        <f>IF(ISNUMBER(P143),P143+0.08*MAX(1,_xlfn.AGGREGATE(4,6,$D$143:$AD$143)),NA())</f>
        <v>0</v>
      </c>
      <c r="Q145" s="5">
        <f>IF(ISNUMBER(Q143),Q143+0.08*MAX(1,_xlfn.AGGREGATE(4,6,$D$143:$AD$143)),NA())</f>
        <v>0</v>
      </c>
      <c r="R145" s="5">
        <f>IF(ISNUMBER(R143),R143+0.08*MAX(1,_xlfn.AGGREGATE(4,6,$D$143:$AD$143)),NA())</f>
        <v>0</v>
      </c>
      <c r="S145" s="5">
        <f>IF(ISNUMBER(S143),S143+0.08*MAX(1,_xlfn.AGGREGATE(4,6,$D$143:$AD$143)),NA())</f>
        <v>0</v>
      </c>
      <c r="T145" s="5">
        <f>IF(ISNUMBER(T143),T143+0.08*MAX(1,_xlfn.AGGREGATE(4,6,$D$143:$AD$143)),NA())</f>
        <v>0</v>
      </c>
      <c r="U145" s="5">
        <f>IF(ISNUMBER(U143),U143+0.08*MAX(1,_xlfn.AGGREGATE(4,6,$D$143:$AD$143)),NA())</f>
        <v>0</v>
      </c>
      <c r="V145" s="5">
        <f>IF(ISNUMBER(V143),V143+0.08*MAX(1,_xlfn.AGGREGATE(4,6,$D$143:$AD$143)),NA())</f>
        <v>0</v>
      </c>
      <c r="W145" s="5">
        <f>IF(ISNUMBER(W143),W143+0.08*MAX(1,_xlfn.AGGREGATE(4,6,$D$143:$AD$143)),NA())</f>
        <v>0</v>
      </c>
      <c r="X145" s="5">
        <f>IF(ISNUMBER(X143),X143+0.08*MAX(1,_xlfn.AGGREGATE(4,6,$D$143:$AD$143)),NA())</f>
        <v>0</v>
      </c>
      <c r="Y145" s="5">
        <f>IF(ISNUMBER(Y143),Y143+0.08*MAX(1,_xlfn.AGGREGATE(4,6,$D$143:$AD$143)),NA())</f>
        <v>0</v>
      </c>
      <c r="Z145" s="5">
        <f>IF(ISNUMBER(Z143),Z143+0.08*MAX(1,_xlfn.AGGREGATE(4,6,$D$143:$AD$143)),NA())</f>
        <v>0</v>
      </c>
      <c r="AA145" s="5">
        <f>IF(ISNUMBER(AA143),AA143+0.08*MAX(1,_xlfn.AGGREGATE(4,6,$D$143:$AD$143)),NA())</f>
        <v>0</v>
      </c>
      <c r="AB145" s="5">
        <f>IF(ISNUMBER(AB143),AB143+0.08*MAX(1,_xlfn.AGGREGATE(4,6,$D$143:$AD$143)),NA())</f>
        <v>0</v>
      </c>
      <c r="AC145" s="5">
        <f>IF(ISNUMBER(AC143),AC143+0.08*MAX(1,_xlfn.AGGREGATE(4,6,$D$143:$AD$143)),NA())</f>
        <v>0</v>
      </c>
      <c r="AD145" s="5">
        <f>IF(ISNUMBER(AD143),AD143+0.08*MAX(1,_xlfn.AGGREGATE(4,6,$D$143:$AD$143)),NA())</f>
        <v>0</v>
      </c>
    </row>
    <row r="146" spans="1:100">
      <c r="A146" s="11" t="s">
        <v>355</v>
      </c>
      <c r="B146" s="11" t="s">
        <v>356</v>
      </c>
      <c r="C146" s="3" t="s">
        <v>137</v>
      </c>
      <c r="D146" s="5">
        <f>IF(COUNT(D27,D28,D29)=0,NA(),SUM(D27,D28,D29))</f>
        <v>0</v>
      </c>
      <c r="E146" s="5">
        <f>IF(COUNT(E27,E28,E29)=0,NA(),SUM(E27,E28,E29))</f>
        <v>0</v>
      </c>
      <c r="F146" s="5">
        <f>IF(COUNT(F27,F28,F29)=0,NA(),SUM(F27,F28,F29))</f>
        <v>0</v>
      </c>
      <c r="G146" s="5">
        <f>IF(COUNT(G27,G28,G29)=0,NA(),SUM(G27,G28,G29))</f>
        <v>0</v>
      </c>
      <c r="H146" s="5">
        <f>IF(COUNT(H27,H28,H29)=0,NA(),SUM(H27,H28,H29))</f>
        <v>0</v>
      </c>
      <c r="I146" s="5">
        <f>IF(COUNT(I27,I28,I29)=0,NA(),SUM(I27,I28,I29))</f>
        <v>0</v>
      </c>
      <c r="J146" s="5">
        <f>IF(COUNT(J27,J28,J29)=0,NA(),SUM(J27,J28,J29))</f>
        <v>0</v>
      </c>
      <c r="K146" s="5">
        <f>IF(COUNT(K27,K28,K29)=0,NA(),SUM(K27,K28,K29))</f>
        <v>0</v>
      </c>
      <c r="L146" s="5">
        <f>IF(COUNT(L27,L28,L29)=0,NA(),SUM(L27,L28,L29))</f>
        <v>0</v>
      </c>
      <c r="M146" s="5">
        <f>IF(COUNT(M27,M28,M29)=0,NA(),SUM(M27,M28,M29))</f>
        <v>0</v>
      </c>
      <c r="N146" s="5">
        <f>IF(COUNT(N27,N28,N29)=0,NA(),SUM(N27,N28,N29))</f>
        <v>0</v>
      </c>
      <c r="O146" s="5">
        <f>IF(COUNT(O27,O28,O29)=0,NA(),SUM(O27,O28,O29))</f>
        <v>0</v>
      </c>
      <c r="P146" s="5">
        <f>IF(COUNT(P27,P28,P29)=0,NA(),SUM(P27,P28,P29))</f>
        <v>0</v>
      </c>
      <c r="Q146" s="5">
        <f>IF(COUNT(Q27,Q28,Q29)=0,NA(),SUM(Q27,Q28,Q29))</f>
        <v>0</v>
      </c>
      <c r="R146" s="5">
        <f>IF(COUNT(R27,R28,R29)=0,NA(),SUM(R27,R28,R29))</f>
        <v>0</v>
      </c>
      <c r="S146" s="5">
        <f>IF(COUNT(S27,S28,S29)=0,NA(),SUM(S27,S28,S29))</f>
        <v>0</v>
      </c>
      <c r="T146" s="5">
        <f>IF(COUNT(T27,T28,T29)=0,NA(),SUM(T27,T28,T29))</f>
        <v>0</v>
      </c>
      <c r="U146" s="5">
        <f>IF(COUNT(U27,U28,U29)=0,NA(),SUM(U27,U28,U29))</f>
        <v>0</v>
      </c>
      <c r="V146" s="5">
        <f>IF(COUNT(V27,V28,V29)=0,NA(),SUM(V27,V28,V29))</f>
        <v>0</v>
      </c>
      <c r="W146" s="5">
        <f>IF(COUNT(W27,W28,W29)=0,NA(),SUM(W27,W28,W29))</f>
        <v>0</v>
      </c>
      <c r="X146" s="5">
        <f>IF(COUNT(X27,X28,X29)=0,NA(),SUM(X27,X28,X29))</f>
        <v>0</v>
      </c>
      <c r="Y146" s="5">
        <f>IF(COUNT(Y27,Y28,Y29)=0,NA(),SUM(Y27,Y28,Y29))</f>
        <v>0</v>
      </c>
      <c r="Z146" s="5">
        <f>IF(COUNT(Z27,Z28,Z29)=0,NA(),SUM(Z27,Z28,Z29))</f>
        <v>0</v>
      </c>
      <c r="AA146" s="5">
        <f>IF(COUNT(AA27,AA28,AA29)=0,NA(),SUM(AA27,AA28,AA29))</f>
        <v>0</v>
      </c>
      <c r="AB146" s="5">
        <f>IF(COUNT(AB27,AB28,AB29)=0,NA(),SUM(AB27,AB28,AB29))</f>
        <v>0</v>
      </c>
      <c r="AC146" s="5">
        <f>IF(COUNT(AC27,AC28,AC29)=0,NA(),SUM(AC27,AC28,AC29))</f>
        <v>0</v>
      </c>
      <c r="AD146" s="5">
        <f>IF(COUNT(AD27,AD28,AD29)=0,NA(),SUM(AD27,AD28,AD29))</f>
        <v>0</v>
      </c>
    </row>
    <row r="147" spans="1:100">
      <c r="A147" s="11" t="s">
        <v>357</v>
      </c>
      <c r="B147" s="11" t="s">
        <v>358</v>
      </c>
      <c r="C147" s="3" t="s">
        <v>137</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100">
      <c r="A148" s="11" t="s">
        <v>359</v>
      </c>
      <c r="B148" s="11" t="s">
        <v>360</v>
      </c>
      <c r="C148" s="3" t="s">
        <v>137</v>
      </c>
      <c r="D148" s="5">
        <f>IF(ISNUMBER(D146),D146+0.08*MAX(1,_xlfn.AGGREGATE(4,6,$D$146:$AD$146)),NA())</f>
        <v>0</v>
      </c>
      <c r="E148" s="5">
        <f>IF(ISNUMBER(E146),E146+0.08*MAX(1,_xlfn.AGGREGATE(4,6,$D$146:$AD$146)),NA())</f>
        <v>0</v>
      </c>
      <c r="F148" s="5">
        <f>IF(ISNUMBER(F146),F146+0.08*MAX(1,_xlfn.AGGREGATE(4,6,$D$146:$AD$146)),NA())</f>
        <v>0</v>
      </c>
      <c r="G148" s="5">
        <f>IF(ISNUMBER(G146),G146+0.08*MAX(1,_xlfn.AGGREGATE(4,6,$D$146:$AD$146)),NA())</f>
        <v>0</v>
      </c>
      <c r="H148" s="5">
        <f>IF(ISNUMBER(H146),H146+0.08*MAX(1,_xlfn.AGGREGATE(4,6,$D$146:$AD$146)),NA())</f>
        <v>0</v>
      </c>
      <c r="I148" s="5">
        <f>IF(ISNUMBER(I146),I146+0.08*MAX(1,_xlfn.AGGREGATE(4,6,$D$146:$AD$146)),NA())</f>
        <v>0</v>
      </c>
      <c r="J148" s="5">
        <f>IF(ISNUMBER(J146),J146+0.08*MAX(1,_xlfn.AGGREGATE(4,6,$D$146:$AD$146)),NA())</f>
        <v>0</v>
      </c>
      <c r="K148" s="5">
        <f>IF(ISNUMBER(K146),K146+0.08*MAX(1,_xlfn.AGGREGATE(4,6,$D$146:$AD$146)),NA())</f>
        <v>0</v>
      </c>
      <c r="L148" s="5">
        <f>IF(ISNUMBER(L146),L146+0.08*MAX(1,_xlfn.AGGREGATE(4,6,$D$146:$AD$146)),NA())</f>
        <v>0</v>
      </c>
      <c r="M148" s="5">
        <f>IF(ISNUMBER(M146),M146+0.08*MAX(1,_xlfn.AGGREGATE(4,6,$D$146:$AD$146)),NA())</f>
        <v>0</v>
      </c>
      <c r="N148" s="5">
        <f>IF(ISNUMBER(N146),N146+0.08*MAX(1,_xlfn.AGGREGATE(4,6,$D$146:$AD$146)),NA())</f>
        <v>0</v>
      </c>
      <c r="O148" s="5">
        <f>IF(ISNUMBER(O146),O146+0.08*MAX(1,_xlfn.AGGREGATE(4,6,$D$146:$AD$146)),NA())</f>
        <v>0</v>
      </c>
      <c r="P148" s="5">
        <f>IF(ISNUMBER(P146),P146+0.08*MAX(1,_xlfn.AGGREGATE(4,6,$D$146:$AD$146)),NA())</f>
        <v>0</v>
      </c>
      <c r="Q148" s="5">
        <f>IF(ISNUMBER(Q146),Q146+0.08*MAX(1,_xlfn.AGGREGATE(4,6,$D$146:$AD$146)),NA())</f>
        <v>0</v>
      </c>
      <c r="R148" s="5">
        <f>IF(ISNUMBER(R146),R146+0.08*MAX(1,_xlfn.AGGREGATE(4,6,$D$146:$AD$146)),NA())</f>
        <v>0</v>
      </c>
      <c r="S148" s="5">
        <f>IF(ISNUMBER(S146),S146+0.08*MAX(1,_xlfn.AGGREGATE(4,6,$D$146:$AD$146)),NA())</f>
        <v>0</v>
      </c>
      <c r="T148" s="5">
        <f>IF(ISNUMBER(T146),T146+0.08*MAX(1,_xlfn.AGGREGATE(4,6,$D$146:$AD$146)),NA())</f>
        <v>0</v>
      </c>
      <c r="U148" s="5">
        <f>IF(ISNUMBER(U146),U146+0.08*MAX(1,_xlfn.AGGREGATE(4,6,$D$146:$AD$146)),NA())</f>
        <v>0</v>
      </c>
      <c r="V148" s="5">
        <f>IF(ISNUMBER(V146),V146+0.08*MAX(1,_xlfn.AGGREGATE(4,6,$D$146:$AD$146)),NA())</f>
        <v>0</v>
      </c>
      <c r="W148" s="5">
        <f>IF(ISNUMBER(W146),W146+0.08*MAX(1,_xlfn.AGGREGATE(4,6,$D$146:$AD$146)),NA())</f>
        <v>0</v>
      </c>
      <c r="X148" s="5">
        <f>IF(ISNUMBER(X146),X146+0.08*MAX(1,_xlfn.AGGREGATE(4,6,$D$146:$AD$146)),NA())</f>
        <v>0</v>
      </c>
      <c r="Y148" s="5">
        <f>IF(ISNUMBER(Y146),Y146+0.08*MAX(1,_xlfn.AGGREGATE(4,6,$D$146:$AD$146)),NA())</f>
        <v>0</v>
      </c>
      <c r="Z148" s="5">
        <f>IF(ISNUMBER(Z146),Z146+0.08*MAX(1,_xlfn.AGGREGATE(4,6,$D$146:$AD$146)),NA())</f>
        <v>0</v>
      </c>
      <c r="AA148" s="5">
        <f>IF(ISNUMBER(AA146),AA146+0.08*MAX(1,_xlfn.AGGREGATE(4,6,$D$146:$AD$146)),NA())</f>
        <v>0</v>
      </c>
      <c r="AB148" s="5">
        <f>IF(ISNUMBER(AB146),AB146+0.08*MAX(1,_xlfn.AGGREGATE(4,6,$D$146:$AD$146)),NA())</f>
        <v>0</v>
      </c>
      <c r="AC148" s="5">
        <f>IF(ISNUMBER(AC146),AC146+0.08*MAX(1,_xlfn.AGGREGATE(4,6,$D$146:$AD$146)),NA())</f>
        <v>0</v>
      </c>
      <c r="AD148" s="5">
        <f>IF(ISNUMBER(AD146),AD146+0.08*MAX(1,_xlfn.AGGREGATE(4,6,$D$146:$AD$146)),NA())</f>
        <v>0</v>
      </c>
    </row>
    <row r="149" spans="1:100">
      <c r="A149" s="11" t="s">
        <v>361</v>
      </c>
      <c r="B149" s="11" t="s">
        <v>362</v>
      </c>
      <c r="C149" s="3" t="s">
        <v>137</v>
      </c>
      <c r="D149" s="5">
        <f>SLA_PV</f>
        <v>0</v>
      </c>
      <c r="E149" s="5">
        <f>SLA_PV</f>
        <v>0</v>
      </c>
      <c r="F149" s="5">
        <f>SLA_PV</f>
        <v>0</v>
      </c>
      <c r="G149" s="5">
        <f>SLA_PV</f>
        <v>0</v>
      </c>
      <c r="H149" s="5">
        <f>SLA_PV</f>
        <v>0</v>
      </c>
      <c r="I149" s="5">
        <f>SLA_PV</f>
        <v>0</v>
      </c>
      <c r="J149" s="5">
        <f>SLA_PV</f>
        <v>0</v>
      </c>
      <c r="K149" s="5">
        <f>SLA_PV</f>
        <v>0</v>
      </c>
      <c r="L149" s="5">
        <f>SLA_PV</f>
        <v>0</v>
      </c>
      <c r="M149" s="5">
        <f>SLA_PV</f>
        <v>0</v>
      </c>
      <c r="N149" s="5">
        <f>SLA_PV</f>
        <v>0</v>
      </c>
      <c r="O149" s="5">
        <f>SLA_PV</f>
        <v>0</v>
      </c>
      <c r="P149" s="5">
        <f>SLA_PV</f>
        <v>0</v>
      </c>
      <c r="Q149" s="5">
        <f>SLA_PV</f>
        <v>0</v>
      </c>
      <c r="R149" s="5">
        <f>SLA_PV</f>
        <v>0</v>
      </c>
      <c r="S149" s="5">
        <f>SLA_PV</f>
        <v>0</v>
      </c>
      <c r="T149" s="5">
        <f>SLA_PV</f>
        <v>0</v>
      </c>
      <c r="U149" s="5">
        <f>SLA_PV</f>
        <v>0</v>
      </c>
      <c r="V149" s="5">
        <f>SLA_PV</f>
        <v>0</v>
      </c>
      <c r="W149" s="5">
        <f>SLA_PV</f>
        <v>0</v>
      </c>
      <c r="X149" s="5">
        <f>SLA_PV</f>
        <v>0</v>
      </c>
      <c r="Y149" s="5">
        <f>SLA_PV</f>
        <v>0</v>
      </c>
      <c r="Z149" s="5">
        <f>SLA_PV</f>
        <v>0</v>
      </c>
      <c r="AA149" s="5">
        <f>SLA_PV</f>
        <v>0</v>
      </c>
      <c r="AB149" s="5">
        <f>SLA_PV</f>
        <v>0</v>
      </c>
      <c r="AC149" s="5">
        <f>SLA_PV</f>
        <v>0</v>
      </c>
      <c r="AD149" s="5">
        <f>SLA_PV</f>
        <v>0</v>
      </c>
    </row>
    <row r="150" spans="1:100">
      <c r="A150" s="11" t="s">
        <v>363</v>
      </c>
      <c r="B150" s="11" t="s">
        <v>364</v>
      </c>
      <c r="C150" s="3" t="str">
        <f>"Rohdaten Z. "&amp;ROW(Rohdaten!$A$167)</f>
        <v>Rohdaten Z. 167</v>
      </c>
      <c r="AF150" s="5">
        <f>IFERROR(IF(ISNUMBER(INDEX(Rohdaten!$A$167:$LJ$167,MATCH(AF$4,Rohdaten!$A$165:$LJ$165,0))),INDEX(Rohdaten!$A$167:$LJ$167,MATCH(AF$4,Rohdaten!$A$165:$LJ$165,0)),NA()),NA())</f>
        <v>0</v>
      </c>
      <c r="AG150" s="5">
        <f>IFERROR(IF(ISNUMBER(INDEX(Rohdaten!$A$167:$LJ$167,MATCH(AG$4,Rohdaten!$A$165:$LJ$165,0))),INDEX(Rohdaten!$A$167:$LJ$167,MATCH(AG$4,Rohdaten!$A$165:$LJ$165,0)),NA()),NA())</f>
        <v>0</v>
      </c>
      <c r="AH150" s="5">
        <f>IFERROR(IF(ISNUMBER(INDEX(Rohdaten!$A$167:$LJ$167,MATCH(AH$4,Rohdaten!$A$165:$LJ$165,0))),INDEX(Rohdaten!$A$167:$LJ$167,MATCH(AH$4,Rohdaten!$A$165:$LJ$165,0)),NA()),NA())</f>
        <v>0</v>
      </c>
      <c r="AI150" s="5">
        <f>IFERROR(IF(ISNUMBER(INDEX(Rohdaten!$A$167:$LJ$167,MATCH(AI$4,Rohdaten!$A$165:$LJ$165,0))),INDEX(Rohdaten!$A$167:$LJ$167,MATCH(AI$4,Rohdaten!$A$165:$LJ$165,0)),NA()),NA())</f>
        <v>0</v>
      </c>
      <c r="AJ150" s="5">
        <f>IFERROR(IF(ISNUMBER(INDEX(Rohdaten!$A$167:$LJ$167,MATCH(AJ$4,Rohdaten!$A$165:$LJ$165,0))),INDEX(Rohdaten!$A$167:$LJ$167,MATCH(AJ$4,Rohdaten!$A$165:$LJ$165,0)),NA()),NA())</f>
        <v>0</v>
      </c>
      <c r="AK150" s="5">
        <f>IFERROR(IF(ISNUMBER(INDEX(Rohdaten!$A$167:$LJ$167,MATCH(AK$4,Rohdaten!$A$165:$LJ$165,0))),INDEX(Rohdaten!$A$167:$LJ$167,MATCH(AK$4,Rohdaten!$A$165:$LJ$165,0)),NA()),NA())</f>
        <v>0</v>
      </c>
      <c r="AL150" s="5">
        <f>IFERROR(IF(ISNUMBER(INDEX(Rohdaten!$A$167:$LJ$167,MATCH(AL$4,Rohdaten!$A$165:$LJ$165,0))),INDEX(Rohdaten!$A$167:$LJ$167,MATCH(AL$4,Rohdaten!$A$165:$LJ$165,0)),NA()),NA())</f>
        <v>0</v>
      </c>
      <c r="AM150" s="5">
        <f>IFERROR(IF(ISNUMBER(INDEX(Rohdaten!$A$167:$LJ$167,MATCH(AM$4,Rohdaten!$A$165:$LJ$165,0))),INDEX(Rohdaten!$A$167:$LJ$167,MATCH(AM$4,Rohdaten!$A$165:$LJ$165,0)),NA()),NA())</f>
        <v>0</v>
      </c>
      <c r="AN150" s="5">
        <f>IFERROR(IF(ISNUMBER(INDEX(Rohdaten!$A$167:$LJ$167,MATCH(AN$4,Rohdaten!$A$165:$LJ$165,0))),INDEX(Rohdaten!$A$167:$LJ$167,MATCH(AN$4,Rohdaten!$A$165:$LJ$165,0)),NA()),NA())</f>
        <v>0</v>
      </c>
      <c r="AO150" s="5">
        <f>IFERROR(IF(ISNUMBER(INDEX(Rohdaten!$A$167:$LJ$167,MATCH(AO$4,Rohdaten!$A$165:$LJ$165,0))),INDEX(Rohdaten!$A$167:$LJ$167,MATCH(AO$4,Rohdaten!$A$165:$LJ$165,0)),NA()),NA())</f>
        <v>0</v>
      </c>
    </row>
    <row r="151" spans="1:100">
      <c r="A151" s="11" t="s">
        <v>365</v>
      </c>
      <c r="B151" s="11" t="s">
        <v>366</v>
      </c>
      <c r="C151" s="3" t="str">
        <f>"Rohdaten Z. "&amp;ROW(Rohdaten!$A$168)</f>
        <v>Rohdaten Z. 168</v>
      </c>
      <c r="AF151" s="5">
        <f>IFERROR(IF(ISNUMBER(INDEX(Rohdaten!$A$168:$LJ$168,MATCH(AF$4,Rohdaten!$A$165:$LJ$165,0))),INDEX(Rohdaten!$A$168:$LJ$168,MATCH(AF$4,Rohdaten!$A$165:$LJ$165,0)),NA()),NA())</f>
        <v>0</v>
      </c>
      <c r="AG151" s="5">
        <f>IFERROR(IF(ISNUMBER(INDEX(Rohdaten!$A$168:$LJ$168,MATCH(AG$4,Rohdaten!$A$165:$LJ$165,0))),INDEX(Rohdaten!$A$168:$LJ$168,MATCH(AG$4,Rohdaten!$A$165:$LJ$165,0)),NA()),NA())</f>
        <v>0</v>
      </c>
      <c r="AH151" s="5">
        <f>IFERROR(IF(ISNUMBER(INDEX(Rohdaten!$A$168:$LJ$168,MATCH(AH$4,Rohdaten!$A$165:$LJ$165,0))),INDEX(Rohdaten!$A$168:$LJ$168,MATCH(AH$4,Rohdaten!$A$165:$LJ$165,0)),NA()),NA())</f>
        <v>0</v>
      </c>
      <c r="AI151" s="5">
        <f>IFERROR(IF(ISNUMBER(INDEX(Rohdaten!$A$168:$LJ$168,MATCH(AI$4,Rohdaten!$A$165:$LJ$165,0))),INDEX(Rohdaten!$A$168:$LJ$168,MATCH(AI$4,Rohdaten!$A$165:$LJ$165,0)),NA()),NA())</f>
        <v>0</v>
      </c>
      <c r="AJ151" s="5">
        <f>IFERROR(IF(ISNUMBER(INDEX(Rohdaten!$A$168:$LJ$168,MATCH(AJ$4,Rohdaten!$A$165:$LJ$165,0))),INDEX(Rohdaten!$A$168:$LJ$168,MATCH(AJ$4,Rohdaten!$A$165:$LJ$165,0)),NA()),NA())</f>
        <v>0</v>
      </c>
      <c r="AK151" s="5">
        <f>IFERROR(IF(ISNUMBER(INDEX(Rohdaten!$A$168:$LJ$168,MATCH(AK$4,Rohdaten!$A$165:$LJ$165,0))),INDEX(Rohdaten!$A$168:$LJ$168,MATCH(AK$4,Rohdaten!$A$165:$LJ$165,0)),NA()),NA())</f>
        <v>0</v>
      </c>
      <c r="AL151" s="5">
        <f>IFERROR(IF(ISNUMBER(INDEX(Rohdaten!$A$168:$LJ$168,MATCH(AL$4,Rohdaten!$A$165:$LJ$165,0))),INDEX(Rohdaten!$A$168:$LJ$168,MATCH(AL$4,Rohdaten!$A$165:$LJ$165,0)),NA()),NA())</f>
        <v>0</v>
      </c>
      <c r="AM151" s="5">
        <f>IFERROR(IF(ISNUMBER(INDEX(Rohdaten!$A$168:$LJ$168,MATCH(AM$4,Rohdaten!$A$165:$LJ$165,0))),INDEX(Rohdaten!$A$168:$LJ$168,MATCH(AM$4,Rohdaten!$A$165:$LJ$165,0)),NA()),NA())</f>
        <v>0</v>
      </c>
      <c r="AN151" s="5">
        <f>IFERROR(IF(ISNUMBER(INDEX(Rohdaten!$A$168:$LJ$168,MATCH(AN$4,Rohdaten!$A$165:$LJ$165,0))),INDEX(Rohdaten!$A$168:$LJ$168,MATCH(AN$4,Rohdaten!$A$165:$LJ$165,0)),NA()),NA())</f>
        <v>0</v>
      </c>
      <c r="AO151" s="5">
        <f>IFERROR(IF(ISNUMBER(INDEX(Rohdaten!$A$168:$LJ$168,MATCH(AO$4,Rohdaten!$A$165:$LJ$165,0))),INDEX(Rohdaten!$A$168:$LJ$168,MATCH(AO$4,Rohdaten!$A$165:$LJ$165,0)),NA()),NA())</f>
        <v>0</v>
      </c>
    </row>
    <row r="152" spans="1:100">
      <c r="A152" s="11" t="s">
        <v>367</v>
      </c>
      <c r="B152" s="11" t="s">
        <v>368</v>
      </c>
      <c r="C152" s="3" t="str">
        <f>"Rohdaten Z. "&amp;ROW(Rohdaten!$A$169)</f>
        <v>Rohdaten Z. 169</v>
      </c>
      <c r="AF152" s="79">
        <f>IFERROR(IF(ISNUMBER(INDEX(Rohdaten!$A$169:$LJ$169,MATCH(AF$4,Rohdaten!$A$165:$LJ$165,0))),INDEX(Rohdaten!$A$169:$LJ$169,MATCH(AF$4,Rohdaten!$A$165:$LJ$165,0)),INDEX(Rohdaten!$A$169:$LJ$169,MATCH(AF$4,Rohdaten!$A$165:$LJ$165,0))&amp;""),NA())</f>
        <v>0</v>
      </c>
      <c r="AG152" s="79">
        <f>IFERROR(IF(ISNUMBER(INDEX(Rohdaten!$A$169:$LJ$169,MATCH(AG$4,Rohdaten!$A$165:$LJ$165,0))),INDEX(Rohdaten!$A$169:$LJ$169,MATCH(AG$4,Rohdaten!$A$165:$LJ$165,0)),INDEX(Rohdaten!$A$169:$LJ$169,MATCH(AG$4,Rohdaten!$A$165:$LJ$165,0))&amp;""),NA())</f>
        <v>0</v>
      </c>
      <c r="AH152" s="79">
        <f>IFERROR(IF(ISNUMBER(INDEX(Rohdaten!$A$169:$LJ$169,MATCH(AH$4,Rohdaten!$A$165:$LJ$165,0))),INDEX(Rohdaten!$A$169:$LJ$169,MATCH(AH$4,Rohdaten!$A$165:$LJ$165,0)),INDEX(Rohdaten!$A$169:$LJ$169,MATCH(AH$4,Rohdaten!$A$165:$LJ$165,0))&amp;""),NA())</f>
        <v>0</v>
      </c>
      <c r="AI152" s="79">
        <f>IFERROR(IF(ISNUMBER(INDEX(Rohdaten!$A$169:$LJ$169,MATCH(AI$4,Rohdaten!$A$165:$LJ$165,0))),INDEX(Rohdaten!$A$169:$LJ$169,MATCH(AI$4,Rohdaten!$A$165:$LJ$165,0)),INDEX(Rohdaten!$A$169:$LJ$169,MATCH(AI$4,Rohdaten!$A$165:$LJ$165,0))&amp;""),NA())</f>
        <v>0</v>
      </c>
      <c r="AJ152" s="79">
        <f>IFERROR(IF(ISNUMBER(INDEX(Rohdaten!$A$169:$LJ$169,MATCH(AJ$4,Rohdaten!$A$165:$LJ$165,0))),INDEX(Rohdaten!$A$169:$LJ$169,MATCH(AJ$4,Rohdaten!$A$165:$LJ$165,0)),INDEX(Rohdaten!$A$169:$LJ$169,MATCH(AJ$4,Rohdaten!$A$165:$LJ$165,0))&amp;""),NA())</f>
        <v>0</v>
      </c>
      <c r="AK152" s="79">
        <f>IFERROR(IF(ISNUMBER(INDEX(Rohdaten!$A$169:$LJ$169,MATCH(AK$4,Rohdaten!$A$165:$LJ$165,0))),INDEX(Rohdaten!$A$169:$LJ$169,MATCH(AK$4,Rohdaten!$A$165:$LJ$165,0)),INDEX(Rohdaten!$A$169:$LJ$169,MATCH(AK$4,Rohdaten!$A$165:$LJ$165,0))&amp;""),NA())</f>
        <v>0</v>
      </c>
      <c r="AL152" s="79">
        <f>IFERROR(IF(ISNUMBER(INDEX(Rohdaten!$A$169:$LJ$169,MATCH(AL$4,Rohdaten!$A$165:$LJ$165,0))),INDEX(Rohdaten!$A$169:$LJ$169,MATCH(AL$4,Rohdaten!$A$165:$LJ$165,0)),INDEX(Rohdaten!$A$169:$LJ$169,MATCH(AL$4,Rohdaten!$A$165:$LJ$165,0))&amp;""),NA())</f>
        <v>0</v>
      </c>
      <c r="AM152" s="79">
        <f>IFERROR(IF(ISNUMBER(INDEX(Rohdaten!$A$169:$LJ$169,MATCH(AM$4,Rohdaten!$A$165:$LJ$165,0))),INDEX(Rohdaten!$A$169:$LJ$169,MATCH(AM$4,Rohdaten!$A$165:$LJ$165,0)),INDEX(Rohdaten!$A$169:$LJ$169,MATCH(AM$4,Rohdaten!$A$165:$LJ$165,0))&amp;""),NA())</f>
        <v>0</v>
      </c>
      <c r="AN152" s="79">
        <f>IFERROR(IF(ISNUMBER(INDEX(Rohdaten!$A$169:$LJ$169,MATCH(AN$4,Rohdaten!$A$165:$LJ$165,0))),INDEX(Rohdaten!$A$169:$LJ$169,MATCH(AN$4,Rohdaten!$A$165:$LJ$165,0)),INDEX(Rohdaten!$A$169:$LJ$169,MATCH(AN$4,Rohdaten!$A$165:$LJ$165,0))&amp;""),NA())</f>
        <v>0</v>
      </c>
      <c r="AO152" s="79">
        <f>IFERROR(IF(ISNUMBER(INDEX(Rohdaten!$A$169:$LJ$169,MATCH(AO$4,Rohdaten!$A$165:$LJ$165,0))),INDEX(Rohdaten!$A$169:$LJ$169,MATCH(AO$4,Rohdaten!$A$165:$LJ$165,0)),INDEX(Rohdaten!$A$169:$LJ$169,MATCH(AO$4,Rohdaten!$A$165:$LJ$165,0))&amp;""),NA())</f>
        <v>0</v>
      </c>
    </row>
    <row r="153" spans="1:100">
      <c r="A153" s="11" t="s">
        <v>369</v>
      </c>
      <c r="B153" s="11" t="s">
        <v>370</v>
      </c>
      <c r="C153" s="3" t="s">
        <v>137</v>
      </c>
      <c r="AF153" s="79">
        <f>IFERROR(IF(ISNUMBER(AF152),AF152,IF(AF152="",NA(),_xlfn.NUMBERVALUE(TRIM(SUBSTITUTE(AF152,"%","")),",","."))),NA())</f>
        <v>0</v>
      </c>
      <c r="AG153" s="79">
        <f>IFERROR(IF(ISNUMBER(AG152),AG152,IF(AG152="",NA(),_xlfn.NUMBERVALUE(TRIM(SUBSTITUTE(AG152,"%","")),",","."))),NA())</f>
        <v>0</v>
      </c>
      <c r="AH153" s="79">
        <f>IFERROR(IF(ISNUMBER(AH152),AH152,IF(AH152="",NA(),_xlfn.NUMBERVALUE(TRIM(SUBSTITUTE(AH152,"%","")),",","."))),NA())</f>
        <v>0</v>
      </c>
      <c r="AI153" s="79">
        <f>IFERROR(IF(ISNUMBER(AI152),AI152,IF(AI152="",NA(),_xlfn.NUMBERVALUE(TRIM(SUBSTITUTE(AI152,"%","")),",","."))),NA())</f>
        <v>0</v>
      </c>
      <c r="AJ153" s="79">
        <f>IFERROR(IF(ISNUMBER(AJ152),AJ152,IF(AJ152="",NA(),_xlfn.NUMBERVALUE(TRIM(SUBSTITUTE(AJ152,"%","")),",","."))),NA())</f>
        <v>0</v>
      </c>
      <c r="AK153" s="79">
        <f>IFERROR(IF(ISNUMBER(AK152),AK152,IF(AK152="",NA(),_xlfn.NUMBERVALUE(TRIM(SUBSTITUTE(AK152,"%","")),",","."))),NA())</f>
        <v>0</v>
      </c>
      <c r="AL153" s="79">
        <f>IFERROR(IF(ISNUMBER(AL152),AL152,IF(AL152="",NA(),_xlfn.NUMBERVALUE(TRIM(SUBSTITUTE(AL152,"%","")),",","."))),NA())</f>
        <v>0</v>
      </c>
      <c r="AM153" s="79">
        <f>IFERROR(IF(ISNUMBER(AM152),AM152,IF(AM152="",NA(),_xlfn.NUMBERVALUE(TRIM(SUBSTITUTE(AM152,"%","")),",","."))),NA())</f>
        <v>0</v>
      </c>
      <c r="AN153" s="79">
        <f>IFERROR(IF(ISNUMBER(AN152),AN152,IF(AN152="",NA(),_xlfn.NUMBERVALUE(TRIM(SUBSTITUTE(AN152,"%","")),",","."))),NA())</f>
        <v>0</v>
      </c>
      <c r="AO153" s="79">
        <f>IFERROR(IF(ISNUMBER(AO152),AO152,IF(AO152="",NA(),_xlfn.NUMBERVALUE(TRIM(SUBSTITUTE(AO152,"%","")),",","."))),NA())</f>
        <v>0</v>
      </c>
    </row>
    <row r="154" spans="1:100">
      <c r="A154" s="11" t="s">
        <v>371</v>
      </c>
      <c r="B154" s="11" t="s">
        <v>372</v>
      </c>
      <c r="C154" s="3" t="s">
        <v>137</v>
      </c>
      <c r="AF154" s="79">
        <f>IF(ISNUMBER(AF153),IF(AF153&gt;1.5,AF153/100,AF153),IF(AND(ISNUMBER(AF150),ISNUMBER(AF151)),IF(AF150&gt;0,AF151/AF150,NA()),NA()))</f>
        <v>0</v>
      </c>
      <c r="AG154" s="79">
        <f>IF(ISNUMBER(AG153),IF(AG153&gt;1.5,AG153/100,AG153),IF(AND(ISNUMBER(AG150),ISNUMBER(AG151)),IF(AG150&gt;0,AG151/AG150,NA()),NA()))</f>
        <v>0</v>
      </c>
      <c r="AH154" s="79">
        <f>IF(ISNUMBER(AH153),IF(AH153&gt;1.5,AH153/100,AH153),IF(AND(ISNUMBER(AH150),ISNUMBER(AH151)),IF(AH150&gt;0,AH151/AH150,NA()),NA()))</f>
        <v>0</v>
      </c>
      <c r="AI154" s="79">
        <f>IF(ISNUMBER(AI153),IF(AI153&gt;1.5,AI153/100,AI153),IF(AND(ISNUMBER(AI150),ISNUMBER(AI151)),IF(AI150&gt;0,AI151/AI150,NA()),NA()))</f>
        <v>0</v>
      </c>
      <c r="AJ154" s="79">
        <f>IF(ISNUMBER(AJ153),IF(AJ153&gt;1.5,AJ153/100,AJ153),IF(AND(ISNUMBER(AJ150),ISNUMBER(AJ151)),IF(AJ150&gt;0,AJ151/AJ150,NA()),NA()))</f>
        <v>0</v>
      </c>
      <c r="AK154" s="79">
        <f>IF(ISNUMBER(AK153),IF(AK153&gt;1.5,AK153/100,AK153),IF(AND(ISNUMBER(AK150),ISNUMBER(AK151)),IF(AK150&gt;0,AK151/AK150,NA()),NA()))</f>
        <v>0</v>
      </c>
      <c r="AL154" s="79">
        <f>IF(ISNUMBER(AL153),IF(AL153&gt;1.5,AL153/100,AL153),IF(AND(ISNUMBER(AL150),ISNUMBER(AL151)),IF(AL150&gt;0,AL151/AL150,NA()),NA()))</f>
        <v>0</v>
      </c>
      <c r="AM154" s="79">
        <f>IF(ISNUMBER(AM153),IF(AM153&gt;1.5,AM153/100,AM153),IF(AND(ISNUMBER(AM150),ISNUMBER(AM151)),IF(AM150&gt;0,AM151/AM150,NA()),NA()))</f>
        <v>0</v>
      </c>
      <c r="AN154" s="79">
        <f>IF(ISNUMBER(AN153),IF(AN153&gt;1.5,AN153/100,AN153),IF(AND(ISNUMBER(AN150),ISNUMBER(AN151)),IF(AN150&gt;0,AN151/AN150,NA()),NA()))</f>
        <v>0</v>
      </c>
      <c r="AO154" s="79">
        <f>IF(ISNUMBER(AO153),IF(AO153&gt;1.5,AO153/100,AO153),IF(AND(ISNUMBER(AO150),ISNUMBER(AO151)),IF(AO150&gt;0,AO151/AO150,NA()),NA()))</f>
        <v>0</v>
      </c>
    </row>
    <row r="155" spans="1:100">
      <c r="A155" s="11" t="s">
        <v>373</v>
      </c>
      <c r="B155" s="11" t="s">
        <v>374</v>
      </c>
      <c r="C155" s="3" t="s">
        <v>137</v>
      </c>
      <c r="AF155" s="11">
        <f>IF(ISNUMBER(AF154),FIXED(AF154*100,0)&amp;" %","")</f>
        <v>0</v>
      </c>
      <c r="AG155" s="11">
        <f>IF(ISNUMBER(AG154),FIXED(AG154*100,0)&amp;" %","")</f>
        <v>0</v>
      </c>
      <c r="AH155" s="11">
        <f>IF(ISNUMBER(AH154),FIXED(AH154*100,0)&amp;" %","")</f>
        <v>0</v>
      </c>
      <c r="AI155" s="11">
        <f>IF(ISNUMBER(AI154),FIXED(AI154*100,0)&amp;" %","")</f>
        <v>0</v>
      </c>
      <c r="AJ155" s="11">
        <f>IF(ISNUMBER(AJ154),FIXED(AJ154*100,0)&amp;" %","")</f>
        <v>0</v>
      </c>
      <c r="AK155" s="11">
        <f>IF(ISNUMBER(AK154),FIXED(AK154*100,0)&amp;" %","")</f>
        <v>0</v>
      </c>
      <c r="AL155" s="11">
        <f>IF(ISNUMBER(AL154),FIXED(AL154*100,0)&amp;" %","")</f>
        <v>0</v>
      </c>
      <c r="AM155" s="11">
        <f>IF(ISNUMBER(AM154),FIXED(AM154*100,0)&amp;" %","")</f>
        <v>0</v>
      </c>
      <c r="AN155" s="11">
        <f>IF(ISNUMBER(AN154),FIXED(AN154*100,0)&amp;" %","")</f>
        <v>0</v>
      </c>
      <c r="AO155" s="11">
        <f>IF(ISNUMBER(AO154),FIXED(AO154*100,0)&amp;" %","")</f>
        <v>0</v>
      </c>
    </row>
    <row r="156" spans="1:100">
      <c r="A156" s="11" t="s">
        <v>375</v>
      </c>
      <c r="B156" s="11" t="s">
        <v>376</v>
      </c>
      <c r="C156" s="3" t="str">
        <f>"Rohdaten Z. "&amp;ROW(Rohdaten!$A$162)</f>
        <v>Rohdaten Z. 162</v>
      </c>
      <c r="CS156" s="5">
        <f>IFERROR(IF(ISNUMBER(INDEX(Rohdaten!$A$162:$LJ$162,MATCH(CS$4,Rohdaten!$A$159:$LJ$159,0))),INDEX(Rohdaten!$A$162:$LJ$162,MATCH(CS$4,Rohdaten!$A$159:$LJ$159,0)),NA()),NA())</f>
        <v>0</v>
      </c>
      <c r="CT156" s="5">
        <f>IFERROR(IF(ISNUMBER(INDEX(Rohdaten!$A$162:$LJ$162,MATCH(CT$4,Rohdaten!$A$159:$LJ$159,0))),INDEX(Rohdaten!$A$162:$LJ$162,MATCH(CT$4,Rohdaten!$A$159:$LJ$159,0)),NA()),NA())</f>
        <v>0</v>
      </c>
      <c r="CU156" s="5">
        <f>IFERROR(IF(ISNUMBER(INDEX(Rohdaten!$A$162:$LJ$162,MATCH(CU$4,Rohdaten!$A$159:$LJ$159,0))),INDEX(Rohdaten!$A$162:$LJ$162,MATCH(CU$4,Rohdaten!$A$159:$LJ$159,0)),NA()),NA())</f>
        <v>0</v>
      </c>
      <c r="CV156" s="5">
        <f>IFERROR(IF(ISNUMBER(INDEX(Rohdaten!$A$162:$LJ$162,MATCH(CV$4,Rohdaten!$A$159:$LJ$159,0))),INDEX(Rohdaten!$A$162:$LJ$162,MATCH(CV$4,Rohdaten!$A$159:$LJ$159,0)),NA()),NA())</f>
        <v>0</v>
      </c>
    </row>
    <row r="157" spans="1:100">
      <c r="A157" s="11" t="s">
        <v>377</v>
      </c>
      <c r="B157" s="11" t="s">
        <v>378</v>
      </c>
      <c r="C157" s="3" t="str">
        <f>"Rohdaten Z. "&amp;ROW(Rohdaten!$A$163)</f>
        <v>Rohdaten Z. 163</v>
      </c>
      <c r="CS157" s="5">
        <f>IFERROR(IF(ISNUMBER(INDEX(Rohdaten!$A$163:$LJ$163,MATCH(CS$4,Rohdaten!$A$159:$LJ$159,0))),INDEX(Rohdaten!$A$163:$LJ$163,MATCH(CS$4,Rohdaten!$A$159:$LJ$159,0)),NA()),NA())</f>
        <v>0</v>
      </c>
      <c r="CT157" s="5">
        <f>IFERROR(IF(ISNUMBER(INDEX(Rohdaten!$A$163:$LJ$163,MATCH(CT$4,Rohdaten!$A$159:$LJ$159,0))),INDEX(Rohdaten!$A$163:$LJ$163,MATCH(CT$4,Rohdaten!$A$159:$LJ$159,0)),NA()),NA())</f>
        <v>0</v>
      </c>
      <c r="CU157" s="5">
        <f>IFERROR(IF(ISNUMBER(INDEX(Rohdaten!$A$163:$LJ$163,MATCH(CU$4,Rohdaten!$A$159:$LJ$159,0))),INDEX(Rohdaten!$A$163:$LJ$163,MATCH(CU$4,Rohdaten!$A$159:$LJ$159,0)),NA()),NA())</f>
        <v>0</v>
      </c>
      <c r="CV157" s="5">
        <f>IFERROR(IF(ISNUMBER(INDEX(Rohdaten!$A$163:$LJ$163,MATCH(CV$4,Rohdaten!$A$159:$LJ$159,0))),INDEX(Rohdaten!$A$163:$LJ$163,MATCH(CV$4,Rohdaten!$A$159:$LJ$159,0)),NA()),NA())</f>
        <v>0</v>
      </c>
    </row>
    <row r="158" spans="1:100">
      <c r="A158" s="11" t="s">
        <v>379</v>
      </c>
      <c r="B158" s="11" t="s">
        <v>380</v>
      </c>
      <c r="C158" s="3" t="s">
        <v>137</v>
      </c>
      <c r="CS158" s="5">
        <f>IF(ISNUMBER(CS156),ROUND(CS156,0),NA())</f>
        <v>0</v>
      </c>
      <c r="CT158" s="5">
        <f>IF(ISNUMBER(CT156),ROUND(CT156,0),NA())</f>
        <v>0</v>
      </c>
      <c r="CU158" s="5">
        <f>IF(ISNUMBER(CU156),ROUND(CU156,0),NA())</f>
        <v>0</v>
      </c>
      <c r="CV158" s="5">
        <f>IF(ISNUMBER(CV156),ROUND(CV156,0),NA())</f>
        <v>0</v>
      </c>
    </row>
    <row r="159" spans="1:100">
      <c r="A159" s="11" t="s">
        <v>381</v>
      </c>
      <c r="B159" s="11" t="s">
        <v>382</v>
      </c>
      <c r="C159" s="3" t="s">
        <v>137</v>
      </c>
      <c r="CS159" s="5">
        <f>IF(ISNUMBER(CS157),ROUND(CS157,0),NA())</f>
        <v>0</v>
      </c>
      <c r="CT159" s="5">
        <f>IF(ISNUMBER(CT157),ROUND(CT157,0),NA())</f>
        <v>0</v>
      </c>
      <c r="CU159" s="5">
        <f>IF(ISNUMBER(CU157),ROUND(CU157,0),NA())</f>
        <v>0</v>
      </c>
      <c r="CV159" s="5">
        <f>IF(ISNUMBER(CV157),ROUND(CV157,0),NA())</f>
        <v>0</v>
      </c>
    </row>
    <row r="160" spans="1:100">
      <c r="A160" s="11" t="s">
        <v>385</v>
      </c>
      <c r="B160" s="11" t="s">
        <v>386</v>
      </c>
      <c r="C160" s="3" t="s">
        <v>387</v>
      </c>
      <c r="D160" s="8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60" s="11">
        <f>"Stand: "&amp;TEXT(DAY($D$160),"00")&amp;"."&amp;TEXT(MONTH($D$160),"00")&amp;"."&amp;RIGHT(YEAR($D$160),2)</f>
        <v>0</v>
      </c>
      <c r="F160" s="11">
        <f>"Stand:"&amp;CHAR(10)&amp;TEXT(DAY($D$160),"00")&amp;"."&amp;TEXT(MONTH($D$160),"00")&amp;"."&amp;RIGHT(YEAR($D$160),2)</f>
        <v>0</v>
      </c>
    </row>
    <row r="161" spans="1:95">
      <c r="A161" s="11" t="s">
        <v>388</v>
      </c>
      <c r="B161" s="11" t="s">
        <v>389</v>
      </c>
      <c r="C161" s="3" t="s">
        <v>387</v>
      </c>
      <c r="D161" s="80">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61" s="11">
        <f>"Stand: "&amp;TEXT(DAY($D$161),"00")&amp;"."&amp;TEXT(MONTH($D$161),"00")&amp;"."&amp;RIGHT(YEAR($D$161),2)</f>
        <v>0</v>
      </c>
      <c r="F161" s="11">
        <f>"Stand:"&amp;CHAR(10)&amp;TEXT(DAY($D$161),"00")&amp;"."&amp;TEXT(MONTH($D$161),"00")&amp;"."&amp;RIGHT(YEAR($D$161),2)</f>
        <v>0</v>
      </c>
    </row>
    <row r="162" spans="1:95">
      <c r="A162" s="11" t="s">
        <v>390</v>
      </c>
      <c r="B162" s="11" t="s">
        <v>391</v>
      </c>
      <c r="C162" s="3" t="s">
        <v>137</v>
      </c>
      <c r="D162" s="5">
        <f>IF(MAX($D$163:$AD$163)=0,27,MAX($D$163:$AD$163))</f>
        <v>0</v>
      </c>
    </row>
    <row r="163" spans="1:95">
      <c r="A163" s="11" t="s">
        <v>392</v>
      </c>
      <c r="B163" s="11" t="s">
        <v>393</v>
      </c>
      <c r="C163" s="3" t="s">
        <v>137</v>
      </c>
      <c r="D163" s="5">
        <f>IF(OR(ISNUMBER(D15)),1,0)</f>
        <v>0</v>
      </c>
      <c r="E163" s="5">
        <f>IF(OR(ISNUMBER(E15)),2,0)</f>
        <v>0</v>
      </c>
      <c r="F163" s="5">
        <f>IF(OR(ISNUMBER(F15)),3,0)</f>
        <v>0</v>
      </c>
      <c r="G163" s="5">
        <f>IF(OR(ISNUMBER(G15)),4,0)</f>
        <v>0</v>
      </c>
      <c r="H163" s="5">
        <f>IF(OR(ISNUMBER(H15)),5,0)</f>
        <v>0</v>
      </c>
      <c r="I163" s="5">
        <f>IF(OR(ISNUMBER(I15)),6,0)</f>
        <v>0</v>
      </c>
      <c r="J163" s="5">
        <f>IF(OR(ISNUMBER(J15)),7,0)</f>
        <v>0</v>
      </c>
      <c r="K163" s="5">
        <f>IF(OR(ISNUMBER(K15)),8,0)</f>
        <v>0</v>
      </c>
      <c r="L163" s="5">
        <f>IF(OR(ISNUMBER(L15)),9,0)</f>
        <v>0</v>
      </c>
      <c r="M163" s="5">
        <f>IF(OR(ISNUMBER(M15)),10,0)</f>
        <v>0</v>
      </c>
      <c r="N163" s="5">
        <f>IF(OR(ISNUMBER(N15)),11,0)</f>
        <v>0</v>
      </c>
      <c r="O163" s="5">
        <f>IF(OR(ISNUMBER(O15)),12,0)</f>
        <v>0</v>
      </c>
      <c r="P163" s="5">
        <f>IF(OR(ISNUMBER(P15)),13,0)</f>
        <v>0</v>
      </c>
      <c r="Q163" s="5">
        <f>IF(OR(ISNUMBER(Q15)),14,0)</f>
        <v>0</v>
      </c>
      <c r="R163" s="5">
        <f>IF(OR(ISNUMBER(R15)),15,0)</f>
        <v>0</v>
      </c>
      <c r="S163" s="5">
        <f>IF(OR(ISNUMBER(S15)),16,0)</f>
        <v>0</v>
      </c>
      <c r="T163" s="5">
        <f>IF(OR(ISNUMBER(T15)),17,0)</f>
        <v>0</v>
      </c>
      <c r="U163" s="5">
        <f>IF(OR(ISNUMBER(U15)),18,0)</f>
        <v>0</v>
      </c>
      <c r="V163" s="5">
        <f>IF(OR(ISNUMBER(V15)),19,0)</f>
        <v>0</v>
      </c>
      <c r="W163" s="5">
        <f>IF(OR(ISNUMBER(W15)),20,0)</f>
        <v>0</v>
      </c>
      <c r="X163" s="5">
        <f>IF(OR(ISNUMBER(X15)),21,0)</f>
        <v>0</v>
      </c>
      <c r="Y163" s="5">
        <f>IF(OR(ISNUMBER(Y15)),22,0)</f>
        <v>0</v>
      </c>
      <c r="Z163" s="5">
        <f>IF(OR(ISNUMBER(Z15)),23,0)</f>
        <v>0</v>
      </c>
      <c r="AA163" s="5">
        <f>IF(OR(ISNUMBER(AA15)),24,0)</f>
        <v>0</v>
      </c>
      <c r="AB163" s="5">
        <f>IF(OR(ISNUMBER(AB15)),25,0)</f>
        <v>0</v>
      </c>
      <c r="AC163" s="5">
        <f>IF(OR(ISNUMBER(AC15)),26,0)</f>
        <v>0</v>
      </c>
      <c r="AD163" s="5">
        <f>IF(OR(ISNUMBER(AD15)),27,0)</f>
        <v>0</v>
      </c>
    </row>
    <row r="164" spans="1:95">
      <c r="A164" s="11" t="s">
        <v>394</v>
      </c>
      <c r="B164" s="11" t="s">
        <v>395</v>
      </c>
      <c r="C164" s="3" t="s">
        <v>387</v>
      </c>
      <c r="D164" s="80">
        <f>IF(MAX(IFERROR(N(INDEX(Wertstand!$A$152:$LJ$152,MATCH(INDEX($D$4:$AD$4,$D$162),RD_Kopf,0))),0))&gt;0,MAX(IFERROR(N(INDEX(Wertstand!$A$152:$LJ$152,MATCH(INDEX($D$4:$AD$4,$D$162),RD_Kopf,0))),0)),INDEX($D$4:$AD$4,$D$162))</f>
        <v>0</v>
      </c>
      <c r="E164" s="11">
        <f>"Stand: "&amp;TEXT(DAY($D$164),"00")&amp;"."&amp;TEXT(MONTH($D$164),"00")&amp;"."&amp;RIGHT(YEAR($D$164),2)</f>
        <v>0</v>
      </c>
      <c r="F164" s="11">
        <f>"Stand:"&amp;CHAR(10)&amp;TEXT(DAY($D$164),"00")&amp;"."&amp;TEXT(MONTH($D$164),"00")&amp;"."&amp;RIGHT(YEAR($D$164),2)</f>
        <v>0</v>
      </c>
    </row>
    <row r="165" spans="1:95">
      <c r="A165" s="11" t="s">
        <v>396</v>
      </c>
      <c r="B165" s="11" t="s">
        <v>397</v>
      </c>
      <c r="C165" s="3" t="s">
        <v>398</v>
      </c>
      <c r="BR165" s="11">
        <f>IF(($D$162-25)&lt;1,"",INDEX($D$3:$AD$3,($D$162-25)))</f>
        <v>0</v>
      </c>
      <c r="BS165" s="11">
        <f>IF(($D$162-24)&lt;1,"",INDEX($D$3:$AD$3,($D$162-24)))</f>
        <v>0</v>
      </c>
      <c r="BT165" s="11">
        <f>IF(($D$162-23)&lt;1,"",INDEX($D$3:$AD$3,($D$162-23)))</f>
        <v>0</v>
      </c>
      <c r="BU165" s="11">
        <f>IF(($D$162-22)&lt;1,"",INDEX($D$3:$AD$3,($D$162-22)))</f>
        <v>0</v>
      </c>
      <c r="BV165" s="11">
        <f>IF(($D$162-21)&lt;1,"",INDEX($D$3:$AD$3,($D$162-21)))</f>
        <v>0</v>
      </c>
      <c r="BW165" s="11">
        <f>IF(($D$162-20)&lt;1,"",INDEX($D$3:$AD$3,($D$162-20)))</f>
        <v>0</v>
      </c>
      <c r="BX165" s="11">
        <f>IF(($D$162-19)&lt;1,"",INDEX($D$3:$AD$3,($D$162-19)))</f>
        <v>0</v>
      </c>
      <c r="BY165" s="11">
        <f>IF(($D$162-18)&lt;1,"",INDEX($D$3:$AD$3,($D$162-18)))</f>
        <v>0</v>
      </c>
      <c r="BZ165" s="11">
        <f>IF(($D$162-17)&lt;1,"",INDEX($D$3:$AD$3,($D$162-17)))</f>
        <v>0</v>
      </c>
      <c r="CA165" s="11">
        <f>IF(($D$162-16)&lt;1,"",INDEX($D$3:$AD$3,($D$162-16)))</f>
        <v>0</v>
      </c>
      <c r="CB165" s="11">
        <f>IF(($D$162-15)&lt;1,"",INDEX($D$3:$AD$3,($D$162-15)))</f>
        <v>0</v>
      </c>
      <c r="CC165" s="11">
        <f>IF(($D$162-14)&lt;1,"",INDEX($D$3:$AD$3,($D$162-14)))</f>
        <v>0</v>
      </c>
      <c r="CD165" s="11">
        <f>IF(($D$162-13)&lt;1,"",INDEX($D$3:$AD$3,($D$162-13)))</f>
        <v>0</v>
      </c>
      <c r="CE165" s="11">
        <f>IF(($D$162-12)&lt;1,"",INDEX($D$3:$AD$3,($D$162-12)))</f>
        <v>0</v>
      </c>
      <c r="CF165" s="11">
        <f>IF(($D$162-11)&lt;1,"",INDEX($D$3:$AD$3,($D$162-11)))</f>
        <v>0</v>
      </c>
      <c r="CG165" s="11">
        <f>IF(($D$162-10)&lt;1,"",INDEX($D$3:$AD$3,($D$162-10)))</f>
        <v>0</v>
      </c>
      <c r="CH165" s="11">
        <f>IF(($D$162-9)&lt;1,"",INDEX($D$3:$AD$3,($D$162-9)))</f>
        <v>0</v>
      </c>
      <c r="CI165" s="11">
        <f>IF(($D$162-8)&lt;1,"",INDEX($D$3:$AD$3,($D$162-8)))</f>
        <v>0</v>
      </c>
      <c r="CJ165" s="11">
        <f>IF(($D$162-7)&lt;1,"",INDEX($D$3:$AD$3,($D$162-7)))</f>
        <v>0</v>
      </c>
      <c r="CK165" s="11">
        <f>IF(($D$162-6)&lt;1,"",INDEX($D$3:$AD$3,($D$162-6)))</f>
        <v>0</v>
      </c>
      <c r="CL165" s="11">
        <f>IF(($D$162-5)&lt;1,"",INDEX($D$3:$AD$3,($D$162-5)))</f>
        <v>0</v>
      </c>
      <c r="CM165" s="11">
        <f>IF(($D$162-4)&lt;1,"",INDEX($D$3:$AD$3,($D$162-4)))</f>
        <v>0</v>
      </c>
      <c r="CN165" s="11">
        <f>IF(($D$162-3)&lt;1,"",INDEX($D$3:$AD$3,($D$162-3)))</f>
        <v>0</v>
      </c>
      <c r="CO165" s="11">
        <f>IF(($D$162-2)&lt;1,"",INDEX($D$3:$AD$3,($D$162-2)))</f>
        <v>0</v>
      </c>
      <c r="CP165" s="11">
        <f>IF(($D$162-1)&lt;1,"",INDEX($D$3:$AD$3,($D$162-1)))</f>
        <v>0</v>
      </c>
      <c r="CQ165" s="11">
        <f>IF(($D$162-0)&lt;1,"",INDEX($D$3:$AD$3,($D$162-0)))</f>
        <v>0</v>
      </c>
    </row>
    <row r="166" spans="1:95">
      <c r="A166" s="11" t="s">
        <v>399</v>
      </c>
      <c r="B166" s="11" t="s">
        <v>400</v>
      </c>
      <c r="C166" s="3" t="s">
        <v>398</v>
      </c>
      <c r="BR166" s="5">
        <f>IF(($D$162-25)&lt;1,NA(),INDEX($D$15:$AD$15,($D$162-25)))</f>
        <v>0</v>
      </c>
      <c r="BS166" s="5">
        <f>IF(($D$162-24)&lt;1,NA(),INDEX($D$15:$AD$15,($D$162-24)))</f>
        <v>0</v>
      </c>
      <c r="BT166" s="5">
        <f>IF(($D$162-23)&lt;1,NA(),INDEX($D$15:$AD$15,($D$162-23)))</f>
        <v>0</v>
      </c>
      <c r="BU166" s="5">
        <f>IF(($D$162-22)&lt;1,NA(),INDEX($D$15:$AD$15,($D$162-22)))</f>
        <v>0</v>
      </c>
      <c r="BV166" s="5">
        <f>IF(($D$162-21)&lt;1,NA(),INDEX($D$15:$AD$15,($D$162-21)))</f>
        <v>0</v>
      </c>
      <c r="BW166" s="5">
        <f>IF(($D$162-20)&lt;1,NA(),INDEX($D$15:$AD$15,($D$162-20)))</f>
        <v>0</v>
      </c>
      <c r="BX166" s="5">
        <f>IF(($D$162-19)&lt;1,NA(),INDEX($D$15:$AD$15,($D$162-19)))</f>
        <v>0</v>
      </c>
      <c r="BY166" s="5">
        <f>IF(($D$162-18)&lt;1,NA(),INDEX($D$15:$AD$15,($D$162-18)))</f>
        <v>0</v>
      </c>
      <c r="BZ166" s="5">
        <f>IF(($D$162-17)&lt;1,NA(),INDEX($D$15:$AD$15,($D$162-17)))</f>
        <v>0</v>
      </c>
      <c r="CA166" s="5">
        <f>IF(($D$162-16)&lt;1,NA(),INDEX($D$15:$AD$15,($D$162-16)))</f>
        <v>0</v>
      </c>
      <c r="CB166" s="5">
        <f>IF(($D$162-15)&lt;1,NA(),INDEX($D$15:$AD$15,($D$162-15)))</f>
        <v>0</v>
      </c>
      <c r="CC166" s="5">
        <f>IF(($D$162-14)&lt;1,NA(),INDEX($D$15:$AD$15,($D$162-14)))</f>
        <v>0</v>
      </c>
      <c r="CD166" s="5">
        <f>IF(($D$162-13)&lt;1,NA(),INDEX($D$15:$AD$15,($D$162-13)))</f>
        <v>0</v>
      </c>
      <c r="CE166" s="5">
        <f>IF(($D$162-12)&lt;1,NA(),INDEX($D$15:$AD$15,($D$162-12)))</f>
        <v>0</v>
      </c>
      <c r="CF166" s="5">
        <f>IF(($D$162-11)&lt;1,NA(),INDEX($D$15:$AD$15,($D$162-11)))</f>
        <v>0</v>
      </c>
      <c r="CG166" s="5">
        <f>IF(($D$162-10)&lt;1,NA(),INDEX($D$15:$AD$15,($D$162-10)))</f>
        <v>0</v>
      </c>
      <c r="CH166" s="5">
        <f>IF(($D$162-9)&lt;1,NA(),INDEX($D$15:$AD$15,($D$162-9)))</f>
        <v>0</v>
      </c>
      <c r="CI166" s="5">
        <f>IF(($D$162-8)&lt;1,NA(),INDEX($D$15:$AD$15,($D$162-8)))</f>
        <v>0</v>
      </c>
      <c r="CJ166" s="5">
        <f>IF(($D$162-7)&lt;1,NA(),INDEX($D$15:$AD$15,($D$162-7)))</f>
        <v>0</v>
      </c>
      <c r="CK166" s="5">
        <f>IF(($D$162-6)&lt;1,NA(),INDEX($D$15:$AD$15,($D$162-6)))</f>
        <v>0</v>
      </c>
      <c r="CL166" s="5">
        <f>IF(($D$162-5)&lt;1,NA(),INDEX($D$15:$AD$15,($D$162-5)))</f>
        <v>0</v>
      </c>
      <c r="CM166" s="5">
        <f>IF(($D$162-4)&lt;1,NA(),INDEX($D$15:$AD$15,($D$162-4)))</f>
        <v>0</v>
      </c>
      <c r="CN166" s="5">
        <f>IF(($D$162-3)&lt;1,NA(),INDEX($D$15:$AD$15,($D$162-3)))</f>
        <v>0</v>
      </c>
      <c r="CO166" s="5">
        <f>IF(($D$162-2)&lt;1,NA(),INDEX($D$15:$AD$15,($D$162-2)))</f>
        <v>0</v>
      </c>
      <c r="CP166" s="5">
        <f>IF(($D$162-1)&lt;1,NA(),INDEX($D$15:$AD$15,($D$162-1)))</f>
        <v>0</v>
      </c>
      <c r="CQ166" s="5">
        <f>IF(($D$162-0)&lt;1,NA(),INDEX($D$15:$AD$15,($D$162-0)))</f>
        <v>0</v>
      </c>
    </row>
    <row r="167" spans="1:95">
      <c r="A167" s="11" t="s">
        <v>401</v>
      </c>
      <c r="B167" s="11" t="s">
        <v>402</v>
      </c>
      <c r="C167" s="3" t="s">
        <v>137</v>
      </c>
      <c r="D167" s="5">
        <f>IF(MAX($D$168:$AD$168)=0,27,MAX($D$168:$AD$168))</f>
        <v>0</v>
      </c>
    </row>
    <row r="168" spans="1:95">
      <c r="A168" s="11" t="s">
        <v>403</v>
      </c>
      <c r="B168" s="11" t="s">
        <v>404</v>
      </c>
      <c r="C168" s="3" t="s">
        <v>137</v>
      </c>
      <c r="D168" s="5">
        <f>IF(OR(ISNUMBER(D9),ISNUMBER(D10),ISNUMBER(D11)),1,0)</f>
        <v>0</v>
      </c>
      <c r="E168" s="5">
        <f>IF(OR(ISNUMBER(E9),ISNUMBER(E10),ISNUMBER(E11)),2,0)</f>
        <v>0</v>
      </c>
      <c r="F168" s="5">
        <f>IF(OR(ISNUMBER(F9),ISNUMBER(F10),ISNUMBER(F11)),3,0)</f>
        <v>0</v>
      </c>
      <c r="G168" s="5">
        <f>IF(OR(ISNUMBER(G9),ISNUMBER(G10),ISNUMBER(G11)),4,0)</f>
        <v>0</v>
      </c>
      <c r="H168" s="5">
        <f>IF(OR(ISNUMBER(H9),ISNUMBER(H10),ISNUMBER(H11)),5,0)</f>
        <v>0</v>
      </c>
      <c r="I168" s="5">
        <f>IF(OR(ISNUMBER(I9),ISNUMBER(I10),ISNUMBER(I11)),6,0)</f>
        <v>0</v>
      </c>
      <c r="J168" s="5">
        <f>IF(OR(ISNUMBER(J9),ISNUMBER(J10),ISNUMBER(J11)),7,0)</f>
        <v>0</v>
      </c>
      <c r="K168" s="5">
        <f>IF(OR(ISNUMBER(K9),ISNUMBER(K10),ISNUMBER(K11)),8,0)</f>
        <v>0</v>
      </c>
      <c r="L168" s="5">
        <f>IF(OR(ISNUMBER(L9),ISNUMBER(L10),ISNUMBER(L11)),9,0)</f>
        <v>0</v>
      </c>
      <c r="M168" s="5">
        <f>IF(OR(ISNUMBER(M9),ISNUMBER(M10),ISNUMBER(M11)),10,0)</f>
        <v>0</v>
      </c>
      <c r="N168" s="5">
        <f>IF(OR(ISNUMBER(N9),ISNUMBER(N10),ISNUMBER(N11)),11,0)</f>
        <v>0</v>
      </c>
      <c r="O168" s="5">
        <f>IF(OR(ISNUMBER(O9),ISNUMBER(O10),ISNUMBER(O11)),12,0)</f>
        <v>0</v>
      </c>
      <c r="P168" s="5">
        <f>IF(OR(ISNUMBER(P9),ISNUMBER(P10),ISNUMBER(P11)),13,0)</f>
        <v>0</v>
      </c>
      <c r="Q168" s="5">
        <f>IF(OR(ISNUMBER(Q9),ISNUMBER(Q10),ISNUMBER(Q11)),14,0)</f>
        <v>0</v>
      </c>
      <c r="R168" s="5">
        <f>IF(OR(ISNUMBER(R9),ISNUMBER(R10),ISNUMBER(R11)),15,0)</f>
        <v>0</v>
      </c>
      <c r="S168" s="5">
        <f>IF(OR(ISNUMBER(S9),ISNUMBER(S10),ISNUMBER(S11)),16,0)</f>
        <v>0</v>
      </c>
      <c r="T168" s="5">
        <f>IF(OR(ISNUMBER(T9),ISNUMBER(T10),ISNUMBER(T11)),17,0)</f>
        <v>0</v>
      </c>
      <c r="U168" s="5">
        <f>IF(OR(ISNUMBER(U9),ISNUMBER(U10),ISNUMBER(U11)),18,0)</f>
        <v>0</v>
      </c>
      <c r="V168" s="5">
        <f>IF(OR(ISNUMBER(V9),ISNUMBER(V10),ISNUMBER(V11)),19,0)</f>
        <v>0</v>
      </c>
      <c r="W168" s="5">
        <f>IF(OR(ISNUMBER(W9),ISNUMBER(W10),ISNUMBER(W11)),20,0)</f>
        <v>0</v>
      </c>
      <c r="X168" s="5">
        <f>IF(OR(ISNUMBER(X9),ISNUMBER(X10),ISNUMBER(X11)),21,0)</f>
        <v>0</v>
      </c>
      <c r="Y168" s="5">
        <f>IF(OR(ISNUMBER(Y9),ISNUMBER(Y10),ISNUMBER(Y11)),22,0)</f>
        <v>0</v>
      </c>
      <c r="Z168" s="5">
        <f>IF(OR(ISNUMBER(Z9),ISNUMBER(Z10),ISNUMBER(Z11)),23,0)</f>
        <v>0</v>
      </c>
      <c r="AA168" s="5">
        <f>IF(OR(ISNUMBER(AA9),ISNUMBER(AA10),ISNUMBER(AA11)),24,0)</f>
        <v>0</v>
      </c>
      <c r="AB168" s="5">
        <f>IF(OR(ISNUMBER(AB9),ISNUMBER(AB10),ISNUMBER(AB11)),25,0)</f>
        <v>0</v>
      </c>
      <c r="AC168" s="5">
        <f>IF(OR(ISNUMBER(AC9),ISNUMBER(AC10),ISNUMBER(AC11)),26,0)</f>
        <v>0</v>
      </c>
      <c r="AD168" s="5">
        <f>IF(OR(ISNUMBER(AD9),ISNUMBER(AD10),ISNUMBER(AD11)),27,0)</f>
        <v>0</v>
      </c>
    </row>
    <row r="169" spans="1:95">
      <c r="A169" s="11" t="s">
        <v>405</v>
      </c>
      <c r="B169" s="11" t="s">
        <v>406</v>
      </c>
      <c r="C169" s="3" t="s">
        <v>387</v>
      </c>
      <c r="D169" s="80">
        <f>IF(MAX(IFERROR(N(INDEX(Wertstand!$A$105:$LJ$105,MATCH(INDEX($D$4:$AD$4,$D$167),RD_Kopf,0))),0),IFERROR(N(INDEX(Wertstand!$A$108:$LJ$108,MATCH(INDEX($D$4:$AD$4,$D$167),RD_Kopf,0))),0),IFERROR(N(INDEX(Wertstand!$A$111:$LJ$111,MATCH(INDEX($D$4:$AD$4,$D$167),RD_Kopf,0))),0))&gt;0,MAX(IFERROR(N(INDEX(Wertstand!$A$105:$LJ$105,MATCH(INDEX($D$4:$AD$4,$D$167),RD_Kopf,0))),0),IFERROR(N(INDEX(Wertstand!$A$108:$LJ$108,MATCH(INDEX($D$4:$AD$4,$D$167),RD_Kopf,0))),0),IFERROR(N(INDEX(Wertstand!$A$111:$LJ$111,MATCH(INDEX($D$4:$AD$4,$D$167),RD_Kopf,0))),0)),INDEX($D$4:$AD$4,$D$167))</f>
        <v>0</v>
      </c>
      <c r="E169" s="11">
        <f>"Stand: "&amp;TEXT(DAY($D$169),"00")&amp;"."&amp;TEXT(MONTH($D$169),"00")&amp;"."&amp;RIGHT(YEAR($D$169),2)</f>
        <v>0</v>
      </c>
      <c r="F169" s="11">
        <f>"Stand:"&amp;CHAR(10)&amp;TEXT(DAY($D$169),"00")&amp;"."&amp;TEXT(MONTH($D$169),"00")&amp;"."&amp;RIGHT(YEAR($D$169),2)</f>
        <v>0</v>
      </c>
    </row>
    <row r="170" spans="1:95">
      <c r="A170" s="11" t="s">
        <v>407</v>
      </c>
      <c r="B170" s="11" t="s">
        <v>408</v>
      </c>
      <c r="C170" s="3" t="s">
        <v>137</v>
      </c>
      <c r="D170" s="5">
        <f>MAX(1,N(SLA_PV),IFERROR(_xlfn.AGGREGATE(4,6,INDEX($D$9:$AD$9,MAX(1,$D$167+1-$D$178)):INDEX($D$9:$AD$9,$D$167)),0),IFERROR(_xlfn.AGGREGATE(4,6,INDEX($D$12:$AD$12,MAX(1,$D$200+1-$D$205)):INDEX($D$12:$AD$12,$D$200)),0))</f>
        <v>0</v>
      </c>
    </row>
    <row r="171" spans="1:95">
      <c r="A171" s="11" t="s">
        <v>409</v>
      </c>
      <c r="B171" s="11" t="s">
        <v>410</v>
      </c>
      <c r="C171" s="3" t="s">
        <v>137</v>
      </c>
      <c r="D171" s="5">
        <f>IF(N(D149)&gt;0,N(D149)/$D$170,NA())</f>
        <v>0</v>
      </c>
      <c r="E171" s="5">
        <f>IF(N(E149)&gt;0,N(E149)/$D$170,NA())</f>
        <v>0</v>
      </c>
      <c r="F171" s="5">
        <f>IF(N(F149)&gt;0,N(F149)/$D$170,NA())</f>
        <v>0</v>
      </c>
      <c r="G171" s="5">
        <f>IF(N(G149)&gt;0,N(G149)/$D$170,NA())</f>
        <v>0</v>
      </c>
      <c r="H171" s="5">
        <f>IF(N(H149)&gt;0,N(H149)/$D$170,NA())</f>
        <v>0</v>
      </c>
      <c r="I171" s="5">
        <f>IF(N(I149)&gt;0,N(I149)/$D$170,NA())</f>
        <v>0</v>
      </c>
      <c r="J171" s="5">
        <f>IF(N(J149)&gt;0,N(J149)/$D$170,NA())</f>
        <v>0</v>
      </c>
      <c r="K171" s="5">
        <f>IF(N(K149)&gt;0,N(K149)/$D$170,NA())</f>
        <v>0</v>
      </c>
      <c r="L171" s="5">
        <f>IF(N(L149)&gt;0,N(L149)/$D$170,NA())</f>
        <v>0</v>
      </c>
      <c r="M171" s="5">
        <f>IF(N(M149)&gt;0,N(M149)/$D$170,NA())</f>
        <v>0</v>
      </c>
      <c r="N171" s="5">
        <f>IF(N(N149)&gt;0,N(N149)/$D$170,NA())</f>
        <v>0</v>
      </c>
      <c r="O171" s="5">
        <f>IF(N(O149)&gt;0,N(O149)/$D$170,NA())</f>
        <v>0</v>
      </c>
      <c r="P171" s="5">
        <f>IF(N(P149)&gt;0,N(P149)/$D$170,NA())</f>
        <v>0</v>
      </c>
      <c r="Q171" s="5">
        <f>IF(N(Q149)&gt;0,N(Q149)/$D$170,NA())</f>
        <v>0</v>
      </c>
      <c r="R171" s="5">
        <f>IF(N(R149)&gt;0,N(R149)/$D$170,NA())</f>
        <v>0</v>
      </c>
      <c r="S171" s="5">
        <f>IF(N(S149)&gt;0,N(S149)/$D$170,NA())</f>
        <v>0</v>
      </c>
      <c r="T171" s="5">
        <f>IF(N(T149)&gt;0,N(T149)/$D$170,NA())</f>
        <v>0</v>
      </c>
      <c r="U171" s="5">
        <f>IF(N(U149)&gt;0,N(U149)/$D$170,NA())</f>
        <v>0</v>
      </c>
      <c r="V171" s="5">
        <f>IF(N(V149)&gt;0,N(V149)/$D$170,NA())</f>
        <v>0</v>
      </c>
      <c r="W171" s="5">
        <f>IF(N(W149)&gt;0,N(W149)/$D$170,NA())</f>
        <v>0</v>
      </c>
      <c r="X171" s="5">
        <f>IF(N(X149)&gt;0,N(X149)/$D$170,NA())</f>
        <v>0</v>
      </c>
      <c r="Y171" s="5">
        <f>IF(N(Y149)&gt;0,N(Y149)/$D$170,NA())</f>
        <v>0</v>
      </c>
      <c r="Z171" s="5">
        <f>IF(N(Z149)&gt;0,N(Z149)/$D$170,NA())</f>
        <v>0</v>
      </c>
      <c r="AA171" s="5">
        <f>IF(N(AA149)&gt;0,N(AA149)/$D$170,NA())</f>
        <v>0</v>
      </c>
      <c r="AB171" s="5">
        <f>IF(N(AB149)&gt;0,N(AB149)/$D$170,NA())</f>
        <v>0</v>
      </c>
      <c r="AC171" s="5">
        <f>IF(N(AC149)&gt;0,N(AC149)/$D$170,NA())</f>
        <v>0</v>
      </c>
      <c r="AD171" s="5">
        <f>IF(N(AD149)&gt;0,N(AD149)/$D$170,NA())</f>
        <v>0</v>
      </c>
    </row>
    <row r="172" spans="1:95">
      <c r="A172" s="11" t="s">
        <v>411</v>
      </c>
      <c r="B172" s="11" t="s">
        <v>412</v>
      </c>
      <c r="C172" s="3" t="s">
        <v>137</v>
      </c>
      <c r="D172" s="5">
        <f>IF(ISNUMBER(D9),D9/$D$170,NA())</f>
        <v>0</v>
      </c>
      <c r="E172" s="5">
        <f>IF(ISNUMBER(E9),E9/$D$170,NA())</f>
        <v>0</v>
      </c>
      <c r="F172" s="5">
        <f>IF(ISNUMBER(F9),F9/$D$170,NA())</f>
        <v>0</v>
      </c>
      <c r="G172" s="5">
        <f>IF(ISNUMBER(G9),G9/$D$170,NA())</f>
        <v>0</v>
      </c>
      <c r="H172" s="5">
        <f>IF(ISNUMBER(H9),H9/$D$170,NA())</f>
        <v>0</v>
      </c>
      <c r="I172" s="5">
        <f>IF(ISNUMBER(I9),I9/$D$170,NA())</f>
        <v>0</v>
      </c>
      <c r="J172" s="5">
        <f>IF(ISNUMBER(J9),J9/$D$170,NA())</f>
        <v>0</v>
      </c>
      <c r="K172" s="5">
        <f>IF(ISNUMBER(K9),K9/$D$170,NA())</f>
        <v>0</v>
      </c>
      <c r="L172" s="5">
        <f>IF(ISNUMBER(L9),L9/$D$170,NA())</f>
        <v>0</v>
      </c>
      <c r="M172" s="5">
        <f>IF(ISNUMBER(M9),M9/$D$170,NA())</f>
        <v>0</v>
      </c>
      <c r="N172" s="5">
        <f>IF(ISNUMBER(N9),N9/$D$170,NA())</f>
        <v>0</v>
      </c>
      <c r="O172" s="5">
        <f>IF(ISNUMBER(O9),O9/$D$170,NA())</f>
        <v>0</v>
      </c>
      <c r="P172" s="5">
        <f>IF(ISNUMBER(P9),P9/$D$170,NA())</f>
        <v>0</v>
      </c>
      <c r="Q172" s="5">
        <f>IF(ISNUMBER(Q9),Q9/$D$170,NA())</f>
        <v>0</v>
      </c>
      <c r="R172" s="5">
        <f>IF(ISNUMBER(R9),R9/$D$170,NA())</f>
        <v>0</v>
      </c>
      <c r="S172" s="5">
        <f>IF(ISNUMBER(S9),S9/$D$170,NA())</f>
        <v>0</v>
      </c>
      <c r="T172" s="5">
        <f>IF(ISNUMBER(T9),T9/$D$170,NA())</f>
        <v>0</v>
      </c>
      <c r="U172" s="5">
        <f>IF(ISNUMBER(U9),U9/$D$170,NA())</f>
        <v>0</v>
      </c>
      <c r="V172" s="5">
        <f>IF(ISNUMBER(V9),V9/$D$170,NA())</f>
        <v>0</v>
      </c>
      <c r="W172" s="5">
        <f>IF(ISNUMBER(W9),W9/$D$170,NA())</f>
        <v>0</v>
      </c>
      <c r="X172" s="5">
        <f>IF(ISNUMBER(X9),X9/$D$170,NA())</f>
        <v>0</v>
      </c>
      <c r="Y172" s="5">
        <f>IF(ISNUMBER(Y9),Y9/$D$170,NA())</f>
        <v>0</v>
      </c>
      <c r="Z172" s="5">
        <f>IF(ISNUMBER(Z9),Z9/$D$170,NA())</f>
        <v>0</v>
      </c>
      <c r="AA172" s="5">
        <f>IF(ISNUMBER(AA9),AA9/$D$170,NA())</f>
        <v>0</v>
      </c>
      <c r="AB172" s="5">
        <f>IF(ISNUMBER(AB9),AB9/$D$170,NA())</f>
        <v>0</v>
      </c>
      <c r="AC172" s="5">
        <f>IF(ISNUMBER(AC9),AC9/$D$170,NA())</f>
        <v>0</v>
      </c>
      <c r="AD172" s="5">
        <f>IF(ISNUMBER(AD9),AD9/$D$170,NA())</f>
        <v>0</v>
      </c>
    </row>
    <row r="173" spans="1:95">
      <c r="A173" s="11" t="s">
        <v>413</v>
      </c>
      <c r="B173" s="11" t="s">
        <v>414</v>
      </c>
      <c r="C173" s="3" t="s">
        <v>137</v>
      </c>
      <c r="D173" s="11">
        <f>IF(ISNUMBER(D9),FIXED(D9,0),"")</f>
        <v>0</v>
      </c>
      <c r="E173" s="11">
        <f>IF(ISNUMBER(E9),FIXED(E9,0),"")</f>
        <v>0</v>
      </c>
      <c r="F173" s="11">
        <f>IF(ISNUMBER(F9),FIXED(F9,0),"")</f>
        <v>0</v>
      </c>
      <c r="G173" s="11">
        <f>IF(ISNUMBER(G9),FIXED(G9,0),"")</f>
        <v>0</v>
      </c>
      <c r="H173" s="11">
        <f>IF(ISNUMBER(H9),FIXED(H9,0),"")</f>
        <v>0</v>
      </c>
      <c r="I173" s="11">
        <f>IF(ISNUMBER(I9),FIXED(I9,0),"")</f>
        <v>0</v>
      </c>
      <c r="J173" s="11">
        <f>IF(ISNUMBER(J9),FIXED(J9,0),"")</f>
        <v>0</v>
      </c>
      <c r="K173" s="11">
        <f>IF(ISNUMBER(K9),FIXED(K9,0),"")</f>
        <v>0</v>
      </c>
      <c r="L173" s="11">
        <f>IF(ISNUMBER(L9),FIXED(L9,0),"")</f>
        <v>0</v>
      </c>
      <c r="M173" s="11">
        <f>IF(ISNUMBER(M9),FIXED(M9,0),"")</f>
        <v>0</v>
      </c>
      <c r="N173" s="11">
        <f>IF(ISNUMBER(N9),FIXED(N9,0),"")</f>
        <v>0</v>
      </c>
      <c r="O173" s="11">
        <f>IF(ISNUMBER(O9),FIXED(O9,0),"")</f>
        <v>0</v>
      </c>
      <c r="P173" s="11">
        <f>IF(ISNUMBER(P9),FIXED(P9,0),"")</f>
        <v>0</v>
      </c>
      <c r="Q173" s="11">
        <f>IF(ISNUMBER(Q9),FIXED(Q9,0),"")</f>
        <v>0</v>
      </c>
      <c r="R173" s="11">
        <f>IF(ISNUMBER(R9),FIXED(R9,0),"")</f>
        <v>0</v>
      </c>
      <c r="S173" s="11">
        <f>IF(ISNUMBER(S9),FIXED(S9,0),"")</f>
        <v>0</v>
      </c>
      <c r="T173" s="11">
        <f>IF(ISNUMBER(T9),FIXED(T9,0),"")</f>
        <v>0</v>
      </c>
      <c r="U173" s="11">
        <f>IF(ISNUMBER(U9),FIXED(U9,0),"")</f>
        <v>0</v>
      </c>
      <c r="V173" s="11">
        <f>IF(ISNUMBER(V9),FIXED(V9,0),"")</f>
        <v>0</v>
      </c>
      <c r="W173" s="11">
        <f>IF(ISNUMBER(W9),FIXED(W9,0),"")</f>
        <v>0</v>
      </c>
      <c r="X173" s="11">
        <f>IF(ISNUMBER(X9),FIXED(X9,0),"")</f>
        <v>0</v>
      </c>
      <c r="Y173" s="11">
        <f>IF(ISNUMBER(Y9),FIXED(Y9,0),"")</f>
        <v>0</v>
      </c>
      <c r="Z173" s="11">
        <f>IF(ISNUMBER(Z9),FIXED(Z9,0),"")</f>
        <v>0</v>
      </c>
      <c r="AA173" s="11">
        <f>IF(ISNUMBER(AA9),FIXED(AA9,0),"")</f>
        <v>0</v>
      </c>
      <c r="AB173" s="11">
        <f>IF(ISNUMBER(AB9),FIXED(AB9,0),"")</f>
        <v>0</v>
      </c>
      <c r="AC173" s="11">
        <f>IF(ISNUMBER(AC9),FIXED(AC9,0),"")</f>
        <v>0</v>
      </c>
      <c r="AD173" s="11">
        <f>IF(ISNUMBER(AD9),FIXED(AD9,0),"")</f>
        <v>0</v>
      </c>
    </row>
    <row r="174" spans="1:95">
      <c r="A174" s="11" t="s">
        <v>415</v>
      </c>
      <c r="B174" s="11" t="s">
        <v>416</v>
      </c>
      <c r="C174" s="3" t="s">
        <v>398</v>
      </c>
      <c r="BR174" s="11">
        <f>IF(($D$167-25)&lt;1,"",INDEX($D$3:$AD$3,($D$167-25)))</f>
        <v>0</v>
      </c>
      <c r="BS174" s="11">
        <f>IF(($D$167-24)&lt;1,"",INDEX($D$3:$AD$3,($D$167-24)))</f>
        <v>0</v>
      </c>
      <c r="BT174" s="11">
        <f>IF(($D$167-23)&lt;1,"",INDEX($D$3:$AD$3,($D$167-23)))</f>
        <v>0</v>
      </c>
      <c r="BU174" s="11">
        <f>IF(($D$167-22)&lt;1,"",INDEX($D$3:$AD$3,($D$167-22)))</f>
        <v>0</v>
      </c>
      <c r="BV174" s="11">
        <f>IF(($D$167-21)&lt;1,"",INDEX($D$3:$AD$3,($D$167-21)))</f>
        <v>0</v>
      </c>
      <c r="BW174" s="11">
        <f>IF(($D$167-20)&lt;1,"",INDEX($D$3:$AD$3,($D$167-20)))</f>
        <v>0</v>
      </c>
      <c r="BX174" s="11">
        <f>IF(($D$167-19)&lt;1,"",INDEX($D$3:$AD$3,($D$167-19)))</f>
        <v>0</v>
      </c>
      <c r="BY174" s="11">
        <f>IF(($D$167-18)&lt;1,"",INDEX($D$3:$AD$3,($D$167-18)))</f>
        <v>0</v>
      </c>
      <c r="BZ174" s="11">
        <f>IF(($D$167-17)&lt;1,"",INDEX($D$3:$AD$3,($D$167-17)))</f>
        <v>0</v>
      </c>
      <c r="CA174" s="11">
        <f>IF(($D$167-16)&lt;1,"",INDEX($D$3:$AD$3,($D$167-16)))</f>
        <v>0</v>
      </c>
      <c r="CB174" s="11">
        <f>IF(($D$167-15)&lt;1,"",INDEX($D$3:$AD$3,($D$167-15)))</f>
        <v>0</v>
      </c>
      <c r="CC174" s="11">
        <f>IF(($D$167-14)&lt;1,"",INDEX($D$3:$AD$3,($D$167-14)))</f>
        <v>0</v>
      </c>
      <c r="CD174" s="11">
        <f>IF(($D$167-13)&lt;1,"",INDEX($D$3:$AD$3,($D$167-13)))</f>
        <v>0</v>
      </c>
      <c r="CE174" s="11">
        <f>IF(($D$167-12)&lt;1,"",INDEX($D$3:$AD$3,($D$167-12)))</f>
        <v>0</v>
      </c>
      <c r="CF174" s="11">
        <f>IF(($D$167-11)&lt;1,"",INDEX($D$3:$AD$3,($D$167-11)))</f>
        <v>0</v>
      </c>
      <c r="CG174" s="11">
        <f>IF(($D$167-10)&lt;1,"",INDEX($D$3:$AD$3,($D$167-10)))</f>
        <v>0</v>
      </c>
      <c r="CH174" s="11">
        <f>IF(($D$167-9)&lt;1,"",INDEX($D$3:$AD$3,($D$167-9)))</f>
        <v>0</v>
      </c>
      <c r="CI174" s="11">
        <f>IF(($D$167-8)&lt;1,"",INDEX($D$3:$AD$3,($D$167-8)))</f>
        <v>0</v>
      </c>
      <c r="CJ174" s="11">
        <f>IF(($D$167-7)&lt;1,"",INDEX($D$3:$AD$3,($D$167-7)))</f>
        <v>0</v>
      </c>
      <c r="CK174" s="11">
        <f>IF(($D$167-6)&lt;1,"",INDEX($D$3:$AD$3,($D$167-6)))</f>
        <v>0</v>
      </c>
      <c r="CL174" s="11">
        <f>IF(($D$167-5)&lt;1,"",INDEX($D$3:$AD$3,($D$167-5)))</f>
        <v>0</v>
      </c>
      <c r="CM174" s="11">
        <f>IF(($D$167-4)&lt;1,"",INDEX($D$3:$AD$3,($D$167-4)))</f>
        <v>0</v>
      </c>
      <c r="CN174" s="11">
        <f>IF(($D$167-3)&lt;1,"",INDEX($D$3:$AD$3,($D$167-3)))</f>
        <v>0</v>
      </c>
      <c r="CO174" s="11">
        <f>IF(($D$167-2)&lt;1,"",INDEX($D$3:$AD$3,($D$167-2)))</f>
        <v>0</v>
      </c>
      <c r="CP174" s="11">
        <f>IF(($D$167-1)&lt;1,"",INDEX($D$3:$AD$3,($D$167-1)))</f>
        <v>0</v>
      </c>
      <c r="CQ174" s="11">
        <f>IF(($D$167-0)&lt;1,"",INDEX($D$3:$AD$3,($D$167-0)))</f>
        <v>0</v>
      </c>
    </row>
    <row r="175" spans="1:95">
      <c r="A175" s="11" t="s">
        <v>417</v>
      </c>
      <c r="B175" s="11" t="s">
        <v>418</v>
      </c>
      <c r="C175" s="3" t="s">
        <v>398</v>
      </c>
      <c r="BR175" s="5">
        <f>IF(($D$167-25)&lt;1,NA(),INDEX($D$172:$AD$172,($D$167-25)))</f>
        <v>0</v>
      </c>
      <c r="BS175" s="5">
        <f>IF(($D$167-24)&lt;1,NA(),INDEX($D$172:$AD$172,($D$167-24)))</f>
        <v>0</v>
      </c>
      <c r="BT175" s="5">
        <f>IF(($D$167-23)&lt;1,NA(),INDEX($D$172:$AD$172,($D$167-23)))</f>
        <v>0</v>
      </c>
      <c r="BU175" s="5">
        <f>IF(($D$167-22)&lt;1,NA(),INDEX($D$172:$AD$172,($D$167-22)))</f>
        <v>0</v>
      </c>
      <c r="BV175" s="5">
        <f>IF(($D$167-21)&lt;1,NA(),INDEX($D$172:$AD$172,($D$167-21)))</f>
        <v>0</v>
      </c>
      <c r="BW175" s="5">
        <f>IF(($D$167-20)&lt;1,NA(),INDEX($D$172:$AD$172,($D$167-20)))</f>
        <v>0</v>
      </c>
      <c r="BX175" s="5">
        <f>IF(($D$167-19)&lt;1,NA(),INDEX($D$172:$AD$172,($D$167-19)))</f>
        <v>0</v>
      </c>
      <c r="BY175" s="5">
        <f>IF(($D$167-18)&lt;1,NA(),INDEX($D$172:$AD$172,($D$167-18)))</f>
        <v>0</v>
      </c>
      <c r="BZ175" s="5">
        <f>IF(($D$167-17)&lt;1,NA(),INDEX($D$172:$AD$172,($D$167-17)))</f>
        <v>0</v>
      </c>
      <c r="CA175" s="5">
        <f>IF(($D$167-16)&lt;1,NA(),INDEX($D$172:$AD$172,($D$167-16)))</f>
        <v>0</v>
      </c>
      <c r="CB175" s="5">
        <f>IF(($D$167-15)&lt;1,NA(),INDEX($D$172:$AD$172,($D$167-15)))</f>
        <v>0</v>
      </c>
      <c r="CC175" s="5">
        <f>IF(($D$167-14)&lt;1,NA(),INDEX($D$172:$AD$172,($D$167-14)))</f>
        <v>0</v>
      </c>
      <c r="CD175" s="5">
        <f>IF(($D$167-13)&lt;1,NA(),INDEX($D$172:$AD$172,($D$167-13)))</f>
        <v>0</v>
      </c>
      <c r="CE175" s="5">
        <f>IF(($D$167-12)&lt;1,NA(),INDEX($D$172:$AD$172,($D$167-12)))</f>
        <v>0</v>
      </c>
      <c r="CF175" s="5">
        <f>IF(($D$167-11)&lt;1,NA(),INDEX($D$172:$AD$172,($D$167-11)))</f>
        <v>0</v>
      </c>
      <c r="CG175" s="5">
        <f>IF(($D$167-10)&lt;1,NA(),INDEX($D$172:$AD$172,($D$167-10)))</f>
        <v>0</v>
      </c>
      <c r="CH175" s="5">
        <f>IF(($D$167-9)&lt;1,NA(),INDEX($D$172:$AD$172,($D$167-9)))</f>
        <v>0</v>
      </c>
      <c r="CI175" s="5">
        <f>IF(($D$167-8)&lt;1,NA(),INDEX($D$172:$AD$172,($D$167-8)))</f>
        <v>0</v>
      </c>
      <c r="CJ175" s="5">
        <f>IF(($D$167-7)&lt;1,NA(),INDEX($D$172:$AD$172,($D$167-7)))</f>
        <v>0</v>
      </c>
      <c r="CK175" s="5">
        <f>IF(($D$167-6)&lt;1,NA(),INDEX($D$172:$AD$172,($D$167-6)))</f>
        <v>0</v>
      </c>
      <c r="CL175" s="5">
        <f>IF(($D$167-5)&lt;1,NA(),INDEX($D$172:$AD$172,($D$167-5)))</f>
        <v>0</v>
      </c>
      <c r="CM175" s="5">
        <f>IF(($D$167-4)&lt;1,NA(),INDEX($D$172:$AD$172,($D$167-4)))</f>
        <v>0</v>
      </c>
      <c r="CN175" s="5">
        <f>IF(($D$167-3)&lt;1,NA(),INDEX($D$172:$AD$172,($D$167-3)))</f>
        <v>0</v>
      </c>
      <c r="CO175" s="5">
        <f>IF(($D$167-2)&lt;1,NA(),INDEX($D$172:$AD$172,($D$167-2)))</f>
        <v>0</v>
      </c>
      <c r="CP175" s="5">
        <f>IF(($D$167-1)&lt;1,NA(),INDEX($D$172:$AD$172,($D$167-1)))</f>
        <v>0</v>
      </c>
      <c r="CQ175" s="5">
        <f>IF(($D$167-0)&lt;1,NA(),INDEX($D$172:$AD$172,($D$167-0)))</f>
        <v>0</v>
      </c>
    </row>
    <row r="176" spans="1:95">
      <c r="A176" s="11" t="s">
        <v>419</v>
      </c>
      <c r="B176" s="11" t="s">
        <v>420</v>
      </c>
      <c r="C176" s="3" t="s">
        <v>398</v>
      </c>
      <c r="BR176" s="11">
        <f>IF(($D$167-25)&lt;1,"",INDEX($D$173:$AD$173,($D$167-25)))</f>
        <v>0</v>
      </c>
      <c r="BS176" s="11">
        <f>IF(($D$167-24)&lt;1,"",INDEX($D$173:$AD$173,($D$167-24)))</f>
        <v>0</v>
      </c>
      <c r="BT176" s="11">
        <f>IF(($D$167-23)&lt;1,"",INDEX($D$173:$AD$173,($D$167-23)))</f>
        <v>0</v>
      </c>
      <c r="BU176" s="11">
        <f>IF(($D$167-22)&lt;1,"",INDEX($D$173:$AD$173,($D$167-22)))</f>
        <v>0</v>
      </c>
      <c r="BV176" s="11">
        <f>IF(($D$167-21)&lt;1,"",INDEX($D$173:$AD$173,($D$167-21)))</f>
        <v>0</v>
      </c>
      <c r="BW176" s="11">
        <f>IF(($D$167-20)&lt;1,"",INDEX($D$173:$AD$173,($D$167-20)))</f>
        <v>0</v>
      </c>
      <c r="BX176" s="11">
        <f>IF(($D$167-19)&lt;1,"",INDEX($D$173:$AD$173,($D$167-19)))</f>
        <v>0</v>
      </c>
      <c r="BY176" s="11">
        <f>IF(($D$167-18)&lt;1,"",INDEX($D$173:$AD$173,($D$167-18)))</f>
        <v>0</v>
      </c>
      <c r="BZ176" s="11">
        <f>IF(($D$167-17)&lt;1,"",INDEX($D$173:$AD$173,($D$167-17)))</f>
        <v>0</v>
      </c>
      <c r="CA176" s="11">
        <f>IF(($D$167-16)&lt;1,"",INDEX($D$173:$AD$173,($D$167-16)))</f>
        <v>0</v>
      </c>
      <c r="CB176" s="11">
        <f>IF(($D$167-15)&lt;1,"",INDEX($D$173:$AD$173,($D$167-15)))</f>
        <v>0</v>
      </c>
      <c r="CC176" s="11">
        <f>IF(($D$167-14)&lt;1,"",INDEX($D$173:$AD$173,($D$167-14)))</f>
        <v>0</v>
      </c>
      <c r="CD176" s="11">
        <f>IF(($D$167-13)&lt;1,"",INDEX($D$173:$AD$173,($D$167-13)))</f>
        <v>0</v>
      </c>
      <c r="CE176" s="11">
        <f>IF(($D$167-12)&lt;1,"",INDEX($D$173:$AD$173,($D$167-12)))</f>
        <v>0</v>
      </c>
      <c r="CF176" s="11">
        <f>IF(($D$167-11)&lt;1,"",INDEX($D$173:$AD$173,($D$167-11)))</f>
        <v>0</v>
      </c>
      <c r="CG176" s="11">
        <f>IF(($D$167-10)&lt;1,"",INDEX($D$173:$AD$173,($D$167-10)))</f>
        <v>0</v>
      </c>
      <c r="CH176" s="11">
        <f>IF(($D$167-9)&lt;1,"",INDEX($D$173:$AD$173,($D$167-9)))</f>
        <v>0</v>
      </c>
      <c r="CI176" s="11">
        <f>IF(($D$167-8)&lt;1,"",INDEX($D$173:$AD$173,($D$167-8)))</f>
        <v>0</v>
      </c>
      <c r="CJ176" s="11">
        <f>IF(($D$167-7)&lt;1,"",INDEX($D$173:$AD$173,($D$167-7)))</f>
        <v>0</v>
      </c>
      <c r="CK176" s="11">
        <f>IF(($D$167-6)&lt;1,"",INDEX($D$173:$AD$173,($D$167-6)))</f>
        <v>0</v>
      </c>
      <c r="CL176" s="11">
        <f>IF(($D$167-5)&lt;1,"",INDEX($D$173:$AD$173,($D$167-5)))</f>
        <v>0</v>
      </c>
      <c r="CM176" s="11">
        <f>IF(($D$167-4)&lt;1,"",INDEX($D$173:$AD$173,($D$167-4)))</f>
        <v>0</v>
      </c>
      <c r="CN176" s="11">
        <f>IF(($D$167-3)&lt;1,"",INDEX($D$173:$AD$173,($D$167-3)))</f>
        <v>0</v>
      </c>
      <c r="CO176" s="11">
        <f>IF(($D$167-2)&lt;1,"",INDEX($D$173:$AD$173,($D$167-2)))</f>
        <v>0</v>
      </c>
      <c r="CP176" s="11">
        <f>IF(($D$167-1)&lt;1,"",INDEX($D$173:$AD$173,($D$167-1)))</f>
        <v>0</v>
      </c>
      <c r="CQ176" s="11">
        <f>IF(($D$167-0)&lt;1,"",INDEX($D$173:$AD$173,($D$167-0)))</f>
        <v>0</v>
      </c>
    </row>
    <row r="177" spans="1:95">
      <c r="A177" s="11" t="s">
        <v>421</v>
      </c>
      <c r="B177" s="11" t="s">
        <v>422</v>
      </c>
      <c r="C177" s="3" t="s">
        <v>398</v>
      </c>
      <c r="BR177" s="5">
        <f>IF(($D$167-25)&lt;1,NA(),INDEX($D$171:$AD$171,($D$167-25)))</f>
        <v>0</v>
      </c>
      <c r="BS177" s="5">
        <f>IF(($D$167-24)&lt;1,NA(),INDEX($D$171:$AD$171,($D$167-24)))</f>
        <v>0</v>
      </c>
      <c r="BT177" s="5">
        <f>IF(($D$167-23)&lt;1,NA(),INDEX($D$171:$AD$171,($D$167-23)))</f>
        <v>0</v>
      </c>
      <c r="BU177" s="5">
        <f>IF(($D$167-22)&lt;1,NA(),INDEX($D$171:$AD$171,($D$167-22)))</f>
        <v>0</v>
      </c>
      <c r="BV177" s="5">
        <f>IF(($D$167-21)&lt;1,NA(),INDEX($D$171:$AD$171,($D$167-21)))</f>
        <v>0</v>
      </c>
      <c r="BW177" s="5">
        <f>IF(($D$167-20)&lt;1,NA(),INDEX($D$171:$AD$171,($D$167-20)))</f>
        <v>0</v>
      </c>
      <c r="BX177" s="5">
        <f>IF(($D$167-19)&lt;1,NA(),INDEX($D$171:$AD$171,($D$167-19)))</f>
        <v>0</v>
      </c>
      <c r="BY177" s="5">
        <f>IF(($D$167-18)&lt;1,NA(),INDEX($D$171:$AD$171,($D$167-18)))</f>
        <v>0</v>
      </c>
      <c r="BZ177" s="5">
        <f>IF(($D$167-17)&lt;1,NA(),INDEX($D$171:$AD$171,($D$167-17)))</f>
        <v>0</v>
      </c>
      <c r="CA177" s="5">
        <f>IF(($D$167-16)&lt;1,NA(),INDEX($D$171:$AD$171,($D$167-16)))</f>
        <v>0</v>
      </c>
      <c r="CB177" s="5">
        <f>IF(($D$167-15)&lt;1,NA(),INDEX($D$171:$AD$171,($D$167-15)))</f>
        <v>0</v>
      </c>
      <c r="CC177" s="5">
        <f>IF(($D$167-14)&lt;1,NA(),INDEX($D$171:$AD$171,($D$167-14)))</f>
        <v>0</v>
      </c>
      <c r="CD177" s="5">
        <f>IF(($D$167-13)&lt;1,NA(),INDEX($D$171:$AD$171,($D$167-13)))</f>
        <v>0</v>
      </c>
      <c r="CE177" s="5">
        <f>IF(($D$167-12)&lt;1,NA(),INDEX($D$171:$AD$171,($D$167-12)))</f>
        <v>0</v>
      </c>
      <c r="CF177" s="5">
        <f>IF(($D$167-11)&lt;1,NA(),INDEX($D$171:$AD$171,($D$167-11)))</f>
        <v>0</v>
      </c>
      <c r="CG177" s="5">
        <f>IF(($D$167-10)&lt;1,NA(),INDEX($D$171:$AD$171,($D$167-10)))</f>
        <v>0</v>
      </c>
      <c r="CH177" s="5">
        <f>IF(($D$167-9)&lt;1,NA(),INDEX($D$171:$AD$171,($D$167-9)))</f>
        <v>0</v>
      </c>
      <c r="CI177" s="5">
        <f>IF(($D$167-8)&lt;1,NA(),INDEX($D$171:$AD$171,($D$167-8)))</f>
        <v>0</v>
      </c>
      <c r="CJ177" s="5">
        <f>IF(($D$167-7)&lt;1,NA(),INDEX($D$171:$AD$171,($D$167-7)))</f>
        <v>0</v>
      </c>
      <c r="CK177" s="5">
        <f>IF(($D$167-6)&lt;1,NA(),INDEX($D$171:$AD$171,($D$167-6)))</f>
        <v>0</v>
      </c>
      <c r="CL177" s="5">
        <f>IF(($D$167-5)&lt;1,NA(),INDEX($D$171:$AD$171,($D$167-5)))</f>
        <v>0</v>
      </c>
      <c r="CM177" s="5">
        <f>IF(($D$167-4)&lt;1,NA(),INDEX($D$171:$AD$171,($D$167-4)))</f>
        <v>0</v>
      </c>
      <c r="CN177" s="5">
        <f>IF(($D$167-3)&lt;1,NA(),INDEX($D$171:$AD$171,($D$167-3)))</f>
        <v>0</v>
      </c>
      <c r="CO177" s="5">
        <f>IF(($D$167-2)&lt;1,NA(),INDEX($D$171:$AD$171,($D$167-2)))</f>
        <v>0</v>
      </c>
      <c r="CP177" s="5">
        <f>IF(($D$167-1)&lt;1,NA(),INDEX($D$171:$AD$171,($D$167-1)))</f>
        <v>0</v>
      </c>
      <c r="CQ177" s="5">
        <f>IF(($D$167-0)&lt;1,NA(),INDEX($D$171:$AD$171,($D$167-0)))</f>
        <v>0</v>
      </c>
    </row>
    <row r="178" spans="1:95">
      <c r="A178" s="11" t="s">
        <v>423</v>
      </c>
      <c r="B178" s="11" t="s">
        <v>424</v>
      </c>
      <c r="C178" s="3" t="s">
        <v>134</v>
      </c>
      <c r="D178" s="5">
        <v>10</v>
      </c>
    </row>
    <row r="179" spans="1:95">
      <c r="A179" s="11" t="s">
        <v>425</v>
      </c>
      <c r="B179" s="11" t="s">
        <v>426</v>
      </c>
      <c r="C179" s="3" t="s">
        <v>137</v>
      </c>
      <c r="D179" s="5">
        <f>IF(ISNUMBER(D10),D10/MAX(1,_xlfn.AGGREGATE(4,6,INDEX($D$10:$AD$10,MAX(1,$D$167+1-$D$178)):INDEX($D$10:$AD$10,$D$167)),_xlfn.AGGREGATE(4,6,INDEX($D$11:$AD$11,MAX(1,$D$167+1-$D$178)):INDEX($D$11:$AD$11,$D$167))),NA())</f>
        <v>0</v>
      </c>
      <c r="E179" s="5">
        <f>IF(ISNUMBER(E10),E10/MAX(1,_xlfn.AGGREGATE(4,6,INDEX($D$10:$AD$10,MAX(1,$D$167+1-$D$178)):INDEX($D$10:$AD$10,$D$167)),_xlfn.AGGREGATE(4,6,INDEX($D$11:$AD$11,MAX(1,$D$167+1-$D$178)):INDEX($D$11:$AD$11,$D$167))),NA())</f>
        <v>0</v>
      </c>
      <c r="F179" s="5">
        <f>IF(ISNUMBER(F10),F10/MAX(1,_xlfn.AGGREGATE(4,6,INDEX($D$10:$AD$10,MAX(1,$D$167+1-$D$178)):INDEX($D$10:$AD$10,$D$167)),_xlfn.AGGREGATE(4,6,INDEX($D$11:$AD$11,MAX(1,$D$167+1-$D$178)):INDEX($D$11:$AD$11,$D$167))),NA())</f>
        <v>0</v>
      </c>
      <c r="G179" s="5">
        <f>IF(ISNUMBER(G10),G10/MAX(1,_xlfn.AGGREGATE(4,6,INDEX($D$10:$AD$10,MAX(1,$D$167+1-$D$178)):INDEX($D$10:$AD$10,$D$167)),_xlfn.AGGREGATE(4,6,INDEX($D$11:$AD$11,MAX(1,$D$167+1-$D$178)):INDEX($D$11:$AD$11,$D$167))),NA())</f>
        <v>0</v>
      </c>
      <c r="H179" s="5">
        <f>IF(ISNUMBER(H10),H10/MAX(1,_xlfn.AGGREGATE(4,6,INDEX($D$10:$AD$10,MAX(1,$D$167+1-$D$178)):INDEX($D$10:$AD$10,$D$167)),_xlfn.AGGREGATE(4,6,INDEX($D$11:$AD$11,MAX(1,$D$167+1-$D$178)):INDEX($D$11:$AD$11,$D$167))),NA())</f>
        <v>0</v>
      </c>
      <c r="I179" s="5">
        <f>IF(ISNUMBER(I10),I10/MAX(1,_xlfn.AGGREGATE(4,6,INDEX($D$10:$AD$10,MAX(1,$D$167+1-$D$178)):INDEX($D$10:$AD$10,$D$167)),_xlfn.AGGREGATE(4,6,INDEX($D$11:$AD$11,MAX(1,$D$167+1-$D$178)):INDEX($D$11:$AD$11,$D$167))),NA())</f>
        <v>0</v>
      </c>
      <c r="J179" s="5">
        <f>IF(ISNUMBER(J10),J10/MAX(1,_xlfn.AGGREGATE(4,6,INDEX($D$10:$AD$10,MAX(1,$D$167+1-$D$178)):INDEX($D$10:$AD$10,$D$167)),_xlfn.AGGREGATE(4,6,INDEX($D$11:$AD$11,MAX(1,$D$167+1-$D$178)):INDEX($D$11:$AD$11,$D$167))),NA())</f>
        <v>0</v>
      </c>
      <c r="K179" s="5">
        <f>IF(ISNUMBER(K10),K10/MAX(1,_xlfn.AGGREGATE(4,6,INDEX($D$10:$AD$10,MAX(1,$D$167+1-$D$178)):INDEX($D$10:$AD$10,$D$167)),_xlfn.AGGREGATE(4,6,INDEX($D$11:$AD$11,MAX(1,$D$167+1-$D$178)):INDEX($D$11:$AD$11,$D$167))),NA())</f>
        <v>0</v>
      </c>
      <c r="L179" s="5">
        <f>IF(ISNUMBER(L10),L10/MAX(1,_xlfn.AGGREGATE(4,6,INDEX($D$10:$AD$10,MAX(1,$D$167+1-$D$178)):INDEX($D$10:$AD$10,$D$167)),_xlfn.AGGREGATE(4,6,INDEX($D$11:$AD$11,MAX(1,$D$167+1-$D$178)):INDEX($D$11:$AD$11,$D$167))),NA())</f>
        <v>0</v>
      </c>
      <c r="M179" s="5">
        <f>IF(ISNUMBER(M10),M10/MAX(1,_xlfn.AGGREGATE(4,6,INDEX($D$10:$AD$10,MAX(1,$D$167+1-$D$178)):INDEX($D$10:$AD$10,$D$167)),_xlfn.AGGREGATE(4,6,INDEX($D$11:$AD$11,MAX(1,$D$167+1-$D$178)):INDEX($D$11:$AD$11,$D$167))),NA())</f>
        <v>0</v>
      </c>
      <c r="N179" s="5">
        <f>IF(ISNUMBER(N10),N10/MAX(1,_xlfn.AGGREGATE(4,6,INDEX($D$10:$AD$10,MAX(1,$D$167+1-$D$178)):INDEX($D$10:$AD$10,$D$167)),_xlfn.AGGREGATE(4,6,INDEX($D$11:$AD$11,MAX(1,$D$167+1-$D$178)):INDEX($D$11:$AD$11,$D$167))),NA())</f>
        <v>0</v>
      </c>
      <c r="O179" s="5">
        <f>IF(ISNUMBER(O10),O10/MAX(1,_xlfn.AGGREGATE(4,6,INDEX($D$10:$AD$10,MAX(1,$D$167+1-$D$178)):INDEX($D$10:$AD$10,$D$167)),_xlfn.AGGREGATE(4,6,INDEX($D$11:$AD$11,MAX(1,$D$167+1-$D$178)):INDEX($D$11:$AD$11,$D$167))),NA())</f>
        <v>0</v>
      </c>
      <c r="P179" s="5">
        <f>IF(ISNUMBER(P10),P10/MAX(1,_xlfn.AGGREGATE(4,6,INDEX($D$10:$AD$10,MAX(1,$D$167+1-$D$178)):INDEX($D$10:$AD$10,$D$167)),_xlfn.AGGREGATE(4,6,INDEX($D$11:$AD$11,MAX(1,$D$167+1-$D$178)):INDEX($D$11:$AD$11,$D$167))),NA())</f>
        <v>0</v>
      </c>
      <c r="Q179" s="5">
        <f>IF(ISNUMBER(Q10),Q10/MAX(1,_xlfn.AGGREGATE(4,6,INDEX($D$10:$AD$10,MAX(1,$D$167+1-$D$178)):INDEX($D$10:$AD$10,$D$167)),_xlfn.AGGREGATE(4,6,INDEX($D$11:$AD$11,MAX(1,$D$167+1-$D$178)):INDEX($D$11:$AD$11,$D$167))),NA())</f>
        <v>0</v>
      </c>
      <c r="R179" s="5">
        <f>IF(ISNUMBER(R10),R10/MAX(1,_xlfn.AGGREGATE(4,6,INDEX($D$10:$AD$10,MAX(1,$D$167+1-$D$178)):INDEX($D$10:$AD$10,$D$167)),_xlfn.AGGREGATE(4,6,INDEX($D$11:$AD$11,MAX(1,$D$167+1-$D$178)):INDEX($D$11:$AD$11,$D$167))),NA())</f>
        <v>0</v>
      </c>
      <c r="S179" s="5">
        <f>IF(ISNUMBER(S10),S10/MAX(1,_xlfn.AGGREGATE(4,6,INDEX($D$10:$AD$10,MAX(1,$D$167+1-$D$178)):INDEX($D$10:$AD$10,$D$167)),_xlfn.AGGREGATE(4,6,INDEX($D$11:$AD$11,MAX(1,$D$167+1-$D$178)):INDEX($D$11:$AD$11,$D$167))),NA())</f>
        <v>0</v>
      </c>
      <c r="T179" s="5">
        <f>IF(ISNUMBER(T10),T10/MAX(1,_xlfn.AGGREGATE(4,6,INDEX($D$10:$AD$10,MAX(1,$D$167+1-$D$178)):INDEX($D$10:$AD$10,$D$167)),_xlfn.AGGREGATE(4,6,INDEX($D$11:$AD$11,MAX(1,$D$167+1-$D$178)):INDEX($D$11:$AD$11,$D$167))),NA())</f>
        <v>0</v>
      </c>
      <c r="U179" s="5">
        <f>IF(ISNUMBER(U10),U10/MAX(1,_xlfn.AGGREGATE(4,6,INDEX($D$10:$AD$10,MAX(1,$D$167+1-$D$178)):INDEX($D$10:$AD$10,$D$167)),_xlfn.AGGREGATE(4,6,INDEX($D$11:$AD$11,MAX(1,$D$167+1-$D$178)):INDEX($D$11:$AD$11,$D$167))),NA())</f>
        <v>0</v>
      </c>
      <c r="V179" s="5">
        <f>IF(ISNUMBER(V10),V10/MAX(1,_xlfn.AGGREGATE(4,6,INDEX($D$10:$AD$10,MAX(1,$D$167+1-$D$178)):INDEX($D$10:$AD$10,$D$167)),_xlfn.AGGREGATE(4,6,INDEX($D$11:$AD$11,MAX(1,$D$167+1-$D$178)):INDEX($D$11:$AD$11,$D$167))),NA())</f>
        <v>0</v>
      </c>
      <c r="W179" s="5">
        <f>IF(ISNUMBER(W10),W10/MAX(1,_xlfn.AGGREGATE(4,6,INDEX($D$10:$AD$10,MAX(1,$D$167+1-$D$178)):INDEX($D$10:$AD$10,$D$167)),_xlfn.AGGREGATE(4,6,INDEX($D$11:$AD$11,MAX(1,$D$167+1-$D$178)):INDEX($D$11:$AD$11,$D$167))),NA())</f>
        <v>0</v>
      </c>
      <c r="X179" s="5">
        <f>IF(ISNUMBER(X10),X10/MAX(1,_xlfn.AGGREGATE(4,6,INDEX($D$10:$AD$10,MAX(1,$D$167+1-$D$178)):INDEX($D$10:$AD$10,$D$167)),_xlfn.AGGREGATE(4,6,INDEX($D$11:$AD$11,MAX(1,$D$167+1-$D$178)):INDEX($D$11:$AD$11,$D$167))),NA())</f>
        <v>0</v>
      </c>
      <c r="Y179" s="5">
        <f>IF(ISNUMBER(Y10),Y10/MAX(1,_xlfn.AGGREGATE(4,6,INDEX($D$10:$AD$10,MAX(1,$D$167+1-$D$178)):INDEX($D$10:$AD$10,$D$167)),_xlfn.AGGREGATE(4,6,INDEX($D$11:$AD$11,MAX(1,$D$167+1-$D$178)):INDEX($D$11:$AD$11,$D$167))),NA())</f>
        <v>0</v>
      </c>
      <c r="Z179" s="5">
        <f>IF(ISNUMBER(Z10),Z10/MAX(1,_xlfn.AGGREGATE(4,6,INDEX($D$10:$AD$10,MAX(1,$D$167+1-$D$178)):INDEX($D$10:$AD$10,$D$167)),_xlfn.AGGREGATE(4,6,INDEX($D$11:$AD$11,MAX(1,$D$167+1-$D$178)):INDEX($D$11:$AD$11,$D$167))),NA())</f>
        <v>0</v>
      </c>
      <c r="AA179" s="5">
        <f>IF(ISNUMBER(AA10),AA10/MAX(1,_xlfn.AGGREGATE(4,6,INDEX($D$10:$AD$10,MAX(1,$D$167+1-$D$178)):INDEX($D$10:$AD$10,$D$167)),_xlfn.AGGREGATE(4,6,INDEX($D$11:$AD$11,MAX(1,$D$167+1-$D$178)):INDEX($D$11:$AD$11,$D$167))),NA())</f>
        <v>0</v>
      </c>
      <c r="AB179" s="5">
        <f>IF(ISNUMBER(AB10),AB10/MAX(1,_xlfn.AGGREGATE(4,6,INDEX($D$10:$AD$10,MAX(1,$D$167+1-$D$178)):INDEX($D$10:$AD$10,$D$167)),_xlfn.AGGREGATE(4,6,INDEX($D$11:$AD$11,MAX(1,$D$167+1-$D$178)):INDEX($D$11:$AD$11,$D$167))),NA())</f>
        <v>0</v>
      </c>
      <c r="AC179" s="5">
        <f>IF(ISNUMBER(AC10),AC10/MAX(1,_xlfn.AGGREGATE(4,6,INDEX($D$10:$AD$10,MAX(1,$D$167+1-$D$178)):INDEX($D$10:$AD$10,$D$167)),_xlfn.AGGREGATE(4,6,INDEX($D$11:$AD$11,MAX(1,$D$167+1-$D$178)):INDEX($D$11:$AD$11,$D$167))),NA())</f>
        <v>0</v>
      </c>
      <c r="AD179" s="5">
        <f>IF(ISNUMBER(AD10),AD10/MAX(1,_xlfn.AGGREGATE(4,6,INDEX($D$10:$AD$10,MAX(1,$D$167+1-$D$178)):INDEX($D$10:$AD$10,$D$167)),_xlfn.AGGREGATE(4,6,INDEX($D$11:$AD$11,MAX(1,$D$167+1-$D$178)):INDEX($D$11:$AD$11,$D$167))),NA())</f>
        <v>0</v>
      </c>
    </row>
    <row r="180" spans="1:95">
      <c r="A180" s="11" t="s">
        <v>427</v>
      </c>
      <c r="B180" s="11" t="s">
        <v>428</v>
      </c>
      <c r="C180" s="3" t="s">
        <v>137</v>
      </c>
      <c r="D180" s="11">
        <f>IF(ISNUMBER(D10),FIXED(D10,0)&amp;REPT(_xlfn.UNICHAR(160),2),"")</f>
        <v>0</v>
      </c>
      <c r="E180" s="11">
        <f>IF(ISNUMBER(E10),FIXED(E10,0)&amp;REPT(_xlfn.UNICHAR(160),2),"")</f>
        <v>0</v>
      </c>
      <c r="F180" s="11">
        <f>IF(ISNUMBER(F10),FIXED(F10,0)&amp;REPT(_xlfn.UNICHAR(160),2),"")</f>
        <v>0</v>
      </c>
      <c r="G180" s="11">
        <f>IF(ISNUMBER(G10),FIXED(G10,0)&amp;REPT(_xlfn.UNICHAR(160),2),"")</f>
        <v>0</v>
      </c>
      <c r="H180" s="11">
        <f>IF(ISNUMBER(H10),FIXED(H10,0)&amp;REPT(_xlfn.UNICHAR(160),2),"")</f>
        <v>0</v>
      </c>
      <c r="I180" s="11">
        <f>IF(ISNUMBER(I10),FIXED(I10,0)&amp;REPT(_xlfn.UNICHAR(160),2),"")</f>
        <v>0</v>
      </c>
      <c r="J180" s="11">
        <f>IF(ISNUMBER(J10),FIXED(J10,0)&amp;REPT(_xlfn.UNICHAR(160),2),"")</f>
        <v>0</v>
      </c>
      <c r="K180" s="11">
        <f>IF(ISNUMBER(K10),FIXED(K10,0)&amp;REPT(_xlfn.UNICHAR(160),2),"")</f>
        <v>0</v>
      </c>
      <c r="L180" s="11">
        <f>IF(ISNUMBER(L10),FIXED(L10,0)&amp;REPT(_xlfn.UNICHAR(160),2),"")</f>
        <v>0</v>
      </c>
      <c r="M180" s="11">
        <f>IF(ISNUMBER(M10),FIXED(M10,0)&amp;REPT(_xlfn.UNICHAR(160),2),"")</f>
        <v>0</v>
      </c>
      <c r="N180" s="11">
        <f>IF(ISNUMBER(N10),FIXED(N10,0)&amp;REPT(_xlfn.UNICHAR(160),2),"")</f>
        <v>0</v>
      </c>
      <c r="O180" s="11">
        <f>IF(ISNUMBER(O10),FIXED(O10,0)&amp;REPT(_xlfn.UNICHAR(160),2),"")</f>
        <v>0</v>
      </c>
      <c r="P180" s="11">
        <f>IF(ISNUMBER(P10),FIXED(P10,0)&amp;REPT(_xlfn.UNICHAR(160),2),"")</f>
        <v>0</v>
      </c>
      <c r="Q180" s="11">
        <f>IF(ISNUMBER(Q10),FIXED(Q10,0)&amp;REPT(_xlfn.UNICHAR(160),2),"")</f>
        <v>0</v>
      </c>
      <c r="R180" s="11">
        <f>IF(ISNUMBER(R10),FIXED(R10,0)&amp;REPT(_xlfn.UNICHAR(160),2),"")</f>
        <v>0</v>
      </c>
      <c r="S180" s="11">
        <f>IF(ISNUMBER(S10),FIXED(S10,0)&amp;REPT(_xlfn.UNICHAR(160),2),"")</f>
        <v>0</v>
      </c>
      <c r="T180" s="11">
        <f>IF(ISNUMBER(T10),FIXED(T10,0)&amp;REPT(_xlfn.UNICHAR(160),2),"")</f>
        <v>0</v>
      </c>
      <c r="U180" s="11">
        <f>IF(ISNUMBER(U10),FIXED(U10,0)&amp;REPT(_xlfn.UNICHAR(160),2),"")</f>
        <v>0</v>
      </c>
      <c r="V180" s="11">
        <f>IF(ISNUMBER(V10),FIXED(V10,0)&amp;REPT(_xlfn.UNICHAR(160),2),"")</f>
        <v>0</v>
      </c>
      <c r="W180" s="11">
        <f>IF(ISNUMBER(W10),FIXED(W10,0)&amp;REPT(_xlfn.UNICHAR(160),2),"")</f>
        <v>0</v>
      </c>
      <c r="X180" s="11">
        <f>IF(ISNUMBER(X10),FIXED(X10,0)&amp;REPT(_xlfn.UNICHAR(160),2),"")</f>
        <v>0</v>
      </c>
      <c r="Y180" s="11">
        <f>IF(ISNUMBER(Y10),FIXED(Y10,0)&amp;REPT(_xlfn.UNICHAR(160),2),"")</f>
        <v>0</v>
      </c>
      <c r="Z180" s="11">
        <f>IF(ISNUMBER(Z10),FIXED(Z10,0)&amp;REPT(_xlfn.UNICHAR(160),2),"")</f>
        <v>0</v>
      </c>
      <c r="AA180" s="11">
        <f>IF(ISNUMBER(AA10),FIXED(AA10,0)&amp;REPT(_xlfn.UNICHAR(160),2),"")</f>
        <v>0</v>
      </c>
      <c r="AB180" s="11">
        <f>IF(ISNUMBER(AB10),FIXED(AB10,0)&amp;REPT(_xlfn.UNICHAR(160),2),"")</f>
        <v>0</v>
      </c>
      <c r="AC180" s="11">
        <f>IF(ISNUMBER(AC10),FIXED(AC10,0)&amp;REPT(_xlfn.UNICHAR(160),2),"")</f>
        <v>0</v>
      </c>
      <c r="AD180" s="11">
        <f>IF(ISNUMBER(AD10),FIXED(AD10,0)&amp;REPT(_xlfn.UNICHAR(160),2),"")</f>
        <v>0</v>
      </c>
    </row>
    <row r="181" spans="1:95">
      <c r="A181" s="11" t="s">
        <v>429</v>
      </c>
      <c r="B181" s="11" t="s">
        <v>430</v>
      </c>
      <c r="C181" s="3" t="s">
        <v>137</v>
      </c>
      <c r="D181" s="5">
        <f>IF(ISNUMBER(D11),D11/MAX(1,_xlfn.AGGREGATE(4,6,INDEX($D$10:$AD$10,MAX(1,$D$167+1-$D$178)):INDEX($D$10:$AD$10,$D$167)),_xlfn.AGGREGATE(4,6,INDEX($D$11:$AD$11,MAX(1,$D$167+1-$D$178)):INDEX($D$11:$AD$11,$D$167))),NA())</f>
        <v>0</v>
      </c>
      <c r="E181" s="5">
        <f>IF(ISNUMBER(E11),E11/MAX(1,_xlfn.AGGREGATE(4,6,INDEX($D$10:$AD$10,MAX(1,$D$167+1-$D$178)):INDEX($D$10:$AD$10,$D$167)),_xlfn.AGGREGATE(4,6,INDEX($D$11:$AD$11,MAX(1,$D$167+1-$D$178)):INDEX($D$11:$AD$11,$D$167))),NA())</f>
        <v>0</v>
      </c>
      <c r="F181" s="5">
        <f>IF(ISNUMBER(F11),F11/MAX(1,_xlfn.AGGREGATE(4,6,INDEX($D$10:$AD$10,MAX(1,$D$167+1-$D$178)):INDEX($D$10:$AD$10,$D$167)),_xlfn.AGGREGATE(4,6,INDEX($D$11:$AD$11,MAX(1,$D$167+1-$D$178)):INDEX($D$11:$AD$11,$D$167))),NA())</f>
        <v>0</v>
      </c>
      <c r="G181" s="5">
        <f>IF(ISNUMBER(G11),G11/MAX(1,_xlfn.AGGREGATE(4,6,INDEX($D$10:$AD$10,MAX(1,$D$167+1-$D$178)):INDEX($D$10:$AD$10,$D$167)),_xlfn.AGGREGATE(4,6,INDEX($D$11:$AD$11,MAX(1,$D$167+1-$D$178)):INDEX($D$11:$AD$11,$D$167))),NA())</f>
        <v>0</v>
      </c>
      <c r="H181" s="5">
        <f>IF(ISNUMBER(H11),H11/MAX(1,_xlfn.AGGREGATE(4,6,INDEX($D$10:$AD$10,MAX(1,$D$167+1-$D$178)):INDEX($D$10:$AD$10,$D$167)),_xlfn.AGGREGATE(4,6,INDEX($D$11:$AD$11,MAX(1,$D$167+1-$D$178)):INDEX($D$11:$AD$11,$D$167))),NA())</f>
        <v>0</v>
      </c>
      <c r="I181" s="5">
        <f>IF(ISNUMBER(I11),I11/MAX(1,_xlfn.AGGREGATE(4,6,INDEX($D$10:$AD$10,MAX(1,$D$167+1-$D$178)):INDEX($D$10:$AD$10,$D$167)),_xlfn.AGGREGATE(4,6,INDEX($D$11:$AD$11,MAX(1,$D$167+1-$D$178)):INDEX($D$11:$AD$11,$D$167))),NA())</f>
        <v>0</v>
      </c>
      <c r="J181" s="5">
        <f>IF(ISNUMBER(J11),J11/MAX(1,_xlfn.AGGREGATE(4,6,INDEX($D$10:$AD$10,MAX(1,$D$167+1-$D$178)):INDEX($D$10:$AD$10,$D$167)),_xlfn.AGGREGATE(4,6,INDEX($D$11:$AD$11,MAX(1,$D$167+1-$D$178)):INDEX($D$11:$AD$11,$D$167))),NA())</f>
        <v>0</v>
      </c>
      <c r="K181" s="5">
        <f>IF(ISNUMBER(K11),K11/MAX(1,_xlfn.AGGREGATE(4,6,INDEX($D$10:$AD$10,MAX(1,$D$167+1-$D$178)):INDEX($D$10:$AD$10,$D$167)),_xlfn.AGGREGATE(4,6,INDEX($D$11:$AD$11,MAX(1,$D$167+1-$D$178)):INDEX($D$11:$AD$11,$D$167))),NA())</f>
        <v>0</v>
      </c>
      <c r="L181" s="5">
        <f>IF(ISNUMBER(L11),L11/MAX(1,_xlfn.AGGREGATE(4,6,INDEX($D$10:$AD$10,MAX(1,$D$167+1-$D$178)):INDEX($D$10:$AD$10,$D$167)),_xlfn.AGGREGATE(4,6,INDEX($D$11:$AD$11,MAX(1,$D$167+1-$D$178)):INDEX($D$11:$AD$11,$D$167))),NA())</f>
        <v>0</v>
      </c>
      <c r="M181" s="5">
        <f>IF(ISNUMBER(M11),M11/MAX(1,_xlfn.AGGREGATE(4,6,INDEX($D$10:$AD$10,MAX(1,$D$167+1-$D$178)):INDEX($D$10:$AD$10,$D$167)),_xlfn.AGGREGATE(4,6,INDEX($D$11:$AD$11,MAX(1,$D$167+1-$D$178)):INDEX($D$11:$AD$11,$D$167))),NA())</f>
        <v>0</v>
      </c>
      <c r="N181" s="5">
        <f>IF(ISNUMBER(N11),N11/MAX(1,_xlfn.AGGREGATE(4,6,INDEX($D$10:$AD$10,MAX(1,$D$167+1-$D$178)):INDEX($D$10:$AD$10,$D$167)),_xlfn.AGGREGATE(4,6,INDEX($D$11:$AD$11,MAX(1,$D$167+1-$D$178)):INDEX($D$11:$AD$11,$D$167))),NA())</f>
        <v>0</v>
      </c>
      <c r="O181" s="5">
        <f>IF(ISNUMBER(O11),O11/MAX(1,_xlfn.AGGREGATE(4,6,INDEX($D$10:$AD$10,MAX(1,$D$167+1-$D$178)):INDEX($D$10:$AD$10,$D$167)),_xlfn.AGGREGATE(4,6,INDEX($D$11:$AD$11,MAX(1,$D$167+1-$D$178)):INDEX($D$11:$AD$11,$D$167))),NA())</f>
        <v>0</v>
      </c>
      <c r="P181" s="5">
        <f>IF(ISNUMBER(P11),P11/MAX(1,_xlfn.AGGREGATE(4,6,INDEX($D$10:$AD$10,MAX(1,$D$167+1-$D$178)):INDEX($D$10:$AD$10,$D$167)),_xlfn.AGGREGATE(4,6,INDEX($D$11:$AD$11,MAX(1,$D$167+1-$D$178)):INDEX($D$11:$AD$11,$D$167))),NA())</f>
        <v>0</v>
      </c>
      <c r="Q181" s="5">
        <f>IF(ISNUMBER(Q11),Q11/MAX(1,_xlfn.AGGREGATE(4,6,INDEX($D$10:$AD$10,MAX(1,$D$167+1-$D$178)):INDEX($D$10:$AD$10,$D$167)),_xlfn.AGGREGATE(4,6,INDEX($D$11:$AD$11,MAX(1,$D$167+1-$D$178)):INDEX($D$11:$AD$11,$D$167))),NA())</f>
        <v>0</v>
      </c>
      <c r="R181" s="5">
        <f>IF(ISNUMBER(R11),R11/MAX(1,_xlfn.AGGREGATE(4,6,INDEX($D$10:$AD$10,MAX(1,$D$167+1-$D$178)):INDEX($D$10:$AD$10,$D$167)),_xlfn.AGGREGATE(4,6,INDEX($D$11:$AD$11,MAX(1,$D$167+1-$D$178)):INDEX($D$11:$AD$11,$D$167))),NA())</f>
        <v>0</v>
      </c>
      <c r="S181" s="5">
        <f>IF(ISNUMBER(S11),S11/MAX(1,_xlfn.AGGREGATE(4,6,INDEX($D$10:$AD$10,MAX(1,$D$167+1-$D$178)):INDEX($D$10:$AD$10,$D$167)),_xlfn.AGGREGATE(4,6,INDEX($D$11:$AD$11,MAX(1,$D$167+1-$D$178)):INDEX($D$11:$AD$11,$D$167))),NA())</f>
        <v>0</v>
      </c>
      <c r="T181" s="5">
        <f>IF(ISNUMBER(T11),T11/MAX(1,_xlfn.AGGREGATE(4,6,INDEX($D$10:$AD$10,MAX(1,$D$167+1-$D$178)):INDEX($D$10:$AD$10,$D$167)),_xlfn.AGGREGATE(4,6,INDEX($D$11:$AD$11,MAX(1,$D$167+1-$D$178)):INDEX($D$11:$AD$11,$D$167))),NA())</f>
        <v>0</v>
      </c>
      <c r="U181" s="5">
        <f>IF(ISNUMBER(U11),U11/MAX(1,_xlfn.AGGREGATE(4,6,INDEX($D$10:$AD$10,MAX(1,$D$167+1-$D$178)):INDEX($D$10:$AD$10,$D$167)),_xlfn.AGGREGATE(4,6,INDEX($D$11:$AD$11,MAX(1,$D$167+1-$D$178)):INDEX($D$11:$AD$11,$D$167))),NA())</f>
        <v>0</v>
      </c>
      <c r="V181" s="5">
        <f>IF(ISNUMBER(V11),V11/MAX(1,_xlfn.AGGREGATE(4,6,INDEX($D$10:$AD$10,MAX(1,$D$167+1-$D$178)):INDEX($D$10:$AD$10,$D$167)),_xlfn.AGGREGATE(4,6,INDEX($D$11:$AD$11,MAX(1,$D$167+1-$D$178)):INDEX($D$11:$AD$11,$D$167))),NA())</f>
        <v>0</v>
      </c>
      <c r="W181" s="5">
        <f>IF(ISNUMBER(W11),W11/MAX(1,_xlfn.AGGREGATE(4,6,INDEX($D$10:$AD$10,MAX(1,$D$167+1-$D$178)):INDEX($D$10:$AD$10,$D$167)),_xlfn.AGGREGATE(4,6,INDEX($D$11:$AD$11,MAX(1,$D$167+1-$D$178)):INDEX($D$11:$AD$11,$D$167))),NA())</f>
        <v>0</v>
      </c>
      <c r="X181" s="5">
        <f>IF(ISNUMBER(X11),X11/MAX(1,_xlfn.AGGREGATE(4,6,INDEX($D$10:$AD$10,MAX(1,$D$167+1-$D$178)):INDEX($D$10:$AD$10,$D$167)),_xlfn.AGGREGATE(4,6,INDEX($D$11:$AD$11,MAX(1,$D$167+1-$D$178)):INDEX($D$11:$AD$11,$D$167))),NA())</f>
        <v>0</v>
      </c>
      <c r="Y181" s="5">
        <f>IF(ISNUMBER(Y11),Y11/MAX(1,_xlfn.AGGREGATE(4,6,INDEX($D$10:$AD$10,MAX(1,$D$167+1-$D$178)):INDEX($D$10:$AD$10,$D$167)),_xlfn.AGGREGATE(4,6,INDEX($D$11:$AD$11,MAX(1,$D$167+1-$D$178)):INDEX($D$11:$AD$11,$D$167))),NA())</f>
        <v>0</v>
      </c>
      <c r="Z181" s="5">
        <f>IF(ISNUMBER(Z11),Z11/MAX(1,_xlfn.AGGREGATE(4,6,INDEX($D$10:$AD$10,MAX(1,$D$167+1-$D$178)):INDEX($D$10:$AD$10,$D$167)),_xlfn.AGGREGATE(4,6,INDEX($D$11:$AD$11,MAX(1,$D$167+1-$D$178)):INDEX($D$11:$AD$11,$D$167))),NA())</f>
        <v>0</v>
      </c>
      <c r="AA181" s="5">
        <f>IF(ISNUMBER(AA11),AA11/MAX(1,_xlfn.AGGREGATE(4,6,INDEX($D$10:$AD$10,MAX(1,$D$167+1-$D$178)):INDEX($D$10:$AD$10,$D$167)),_xlfn.AGGREGATE(4,6,INDEX($D$11:$AD$11,MAX(1,$D$167+1-$D$178)):INDEX($D$11:$AD$11,$D$167))),NA())</f>
        <v>0</v>
      </c>
      <c r="AB181" s="5">
        <f>IF(ISNUMBER(AB11),AB11/MAX(1,_xlfn.AGGREGATE(4,6,INDEX($D$10:$AD$10,MAX(1,$D$167+1-$D$178)):INDEX($D$10:$AD$10,$D$167)),_xlfn.AGGREGATE(4,6,INDEX($D$11:$AD$11,MAX(1,$D$167+1-$D$178)):INDEX($D$11:$AD$11,$D$167))),NA())</f>
        <v>0</v>
      </c>
      <c r="AC181" s="5">
        <f>IF(ISNUMBER(AC11),AC11/MAX(1,_xlfn.AGGREGATE(4,6,INDEX($D$10:$AD$10,MAX(1,$D$167+1-$D$178)):INDEX($D$10:$AD$10,$D$167)),_xlfn.AGGREGATE(4,6,INDEX($D$11:$AD$11,MAX(1,$D$167+1-$D$178)):INDEX($D$11:$AD$11,$D$167))),NA())</f>
        <v>0</v>
      </c>
      <c r="AD181" s="5">
        <f>IF(ISNUMBER(AD11),AD11/MAX(1,_xlfn.AGGREGATE(4,6,INDEX($D$10:$AD$10,MAX(1,$D$167+1-$D$178)):INDEX($D$10:$AD$10,$D$167)),_xlfn.AGGREGATE(4,6,INDEX($D$11:$AD$11,MAX(1,$D$167+1-$D$178)):INDEX($D$11:$AD$11,$D$167))),NA())</f>
        <v>0</v>
      </c>
    </row>
    <row r="182" spans="1:95">
      <c r="A182" s="11" t="s">
        <v>431</v>
      </c>
      <c r="B182" s="11" t="s">
        <v>432</v>
      </c>
      <c r="C182" s="3" t="s">
        <v>137</v>
      </c>
      <c r="D182" s="11">
        <f>IF(ISNUMBER(D11),REPT(_xlfn.UNICHAR(160),2)&amp;FIXED(D11,0),"")</f>
        <v>0</v>
      </c>
      <c r="E182" s="11">
        <f>IF(ISNUMBER(E11),REPT(_xlfn.UNICHAR(160),2)&amp;FIXED(E11,0),"")</f>
        <v>0</v>
      </c>
      <c r="F182" s="11">
        <f>IF(ISNUMBER(F11),REPT(_xlfn.UNICHAR(160),2)&amp;FIXED(F11,0),"")</f>
        <v>0</v>
      </c>
      <c r="G182" s="11">
        <f>IF(ISNUMBER(G11),REPT(_xlfn.UNICHAR(160),2)&amp;FIXED(G11,0),"")</f>
        <v>0</v>
      </c>
      <c r="H182" s="11">
        <f>IF(ISNUMBER(H11),REPT(_xlfn.UNICHAR(160),2)&amp;FIXED(H11,0),"")</f>
        <v>0</v>
      </c>
      <c r="I182" s="11">
        <f>IF(ISNUMBER(I11),REPT(_xlfn.UNICHAR(160),2)&amp;FIXED(I11,0),"")</f>
        <v>0</v>
      </c>
      <c r="J182" s="11">
        <f>IF(ISNUMBER(J11),REPT(_xlfn.UNICHAR(160),2)&amp;FIXED(J11,0),"")</f>
        <v>0</v>
      </c>
      <c r="K182" s="11">
        <f>IF(ISNUMBER(K11),REPT(_xlfn.UNICHAR(160),2)&amp;FIXED(K11,0),"")</f>
        <v>0</v>
      </c>
      <c r="L182" s="11">
        <f>IF(ISNUMBER(L11),REPT(_xlfn.UNICHAR(160),2)&amp;FIXED(L11,0),"")</f>
        <v>0</v>
      </c>
      <c r="M182" s="11">
        <f>IF(ISNUMBER(M11),REPT(_xlfn.UNICHAR(160),2)&amp;FIXED(M11,0),"")</f>
        <v>0</v>
      </c>
      <c r="N182" s="11">
        <f>IF(ISNUMBER(N11),REPT(_xlfn.UNICHAR(160),2)&amp;FIXED(N11,0),"")</f>
        <v>0</v>
      </c>
      <c r="O182" s="11">
        <f>IF(ISNUMBER(O11),REPT(_xlfn.UNICHAR(160),2)&amp;FIXED(O11,0),"")</f>
        <v>0</v>
      </c>
      <c r="P182" s="11">
        <f>IF(ISNUMBER(P11),REPT(_xlfn.UNICHAR(160),2)&amp;FIXED(P11,0),"")</f>
        <v>0</v>
      </c>
      <c r="Q182" s="11">
        <f>IF(ISNUMBER(Q11),REPT(_xlfn.UNICHAR(160),2)&amp;FIXED(Q11,0),"")</f>
        <v>0</v>
      </c>
      <c r="R182" s="11">
        <f>IF(ISNUMBER(R11),REPT(_xlfn.UNICHAR(160),2)&amp;FIXED(R11,0),"")</f>
        <v>0</v>
      </c>
      <c r="S182" s="11">
        <f>IF(ISNUMBER(S11),REPT(_xlfn.UNICHAR(160),2)&amp;FIXED(S11,0),"")</f>
        <v>0</v>
      </c>
      <c r="T182" s="11">
        <f>IF(ISNUMBER(T11),REPT(_xlfn.UNICHAR(160),2)&amp;FIXED(T11,0),"")</f>
        <v>0</v>
      </c>
      <c r="U182" s="11">
        <f>IF(ISNUMBER(U11),REPT(_xlfn.UNICHAR(160),2)&amp;FIXED(U11,0),"")</f>
        <v>0</v>
      </c>
      <c r="V182" s="11">
        <f>IF(ISNUMBER(V11),REPT(_xlfn.UNICHAR(160),2)&amp;FIXED(V11,0),"")</f>
        <v>0</v>
      </c>
      <c r="W182" s="11">
        <f>IF(ISNUMBER(W11),REPT(_xlfn.UNICHAR(160),2)&amp;FIXED(W11,0),"")</f>
        <v>0</v>
      </c>
      <c r="X182" s="11">
        <f>IF(ISNUMBER(X11),REPT(_xlfn.UNICHAR(160),2)&amp;FIXED(X11,0),"")</f>
        <v>0</v>
      </c>
      <c r="Y182" s="11">
        <f>IF(ISNUMBER(Y11),REPT(_xlfn.UNICHAR(160),2)&amp;FIXED(Y11,0),"")</f>
        <v>0</v>
      </c>
      <c r="Z182" s="11">
        <f>IF(ISNUMBER(Z11),REPT(_xlfn.UNICHAR(160),2)&amp;FIXED(Z11,0),"")</f>
        <v>0</v>
      </c>
      <c r="AA182" s="11">
        <f>IF(ISNUMBER(AA11),REPT(_xlfn.UNICHAR(160),2)&amp;FIXED(AA11,0),"")</f>
        <v>0</v>
      </c>
      <c r="AB182" s="11">
        <f>IF(ISNUMBER(AB11),REPT(_xlfn.UNICHAR(160),2)&amp;FIXED(AB11,0),"")</f>
        <v>0</v>
      </c>
      <c r="AC182" s="11">
        <f>IF(ISNUMBER(AC11),REPT(_xlfn.UNICHAR(160),2)&amp;FIXED(AC11,0),"")</f>
        <v>0</v>
      </c>
      <c r="AD182" s="11">
        <f>IF(ISNUMBER(AD11),REPT(_xlfn.UNICHAR(160),2)&amp;FIXED(AD11,0),"")</f>
        <v>0</v>
      </c>
    </row>
    <row r="183" spans="1:95">
      <c r="A183" s="11" t="s">
        <v>433</v>
      </c>
      <c r="B183" s="11" t="s">
        <v>434</v>
      </c>
      <c r="C183" s="3" t="s">
        <v>137</v>
      </c>
      <c r="D183" s="5">
        <f>IF(ISNUMBER(D10),IF(AND(D179&gt;=IFERROR(D181,-9),D179-IFERROR(D181,-9)&lt;0.28322),D181+0.28322,D179),NA())</f>
        <v>0</v>
      </c>
      <c r="E183" s="5">
        <f>IF(ISNUMBER(E10),IF(AND(E179&gt;=IFERROR(E181,-9),E179-IFERROR(E181,-9)&lt;0.28322),E181+0.28322,E179),NA())</f>
        <v>0</v>
      </c>
      <c r="F183" s="5">
        <f>IF(ISNUMBER(F10),IF(AND(F179&gt;=IFERROR(F181,-9),F179-IFERROR(F181,-9)&lt;0.28322),F181+0.28322,F179),NA())</f>
        <v>0</v>
      </c>
      <c r="G183" s="5">
        <f>IF(ISNUMBER(G10),IF(AND(G179&gt;=IFERROR(G181,-9),G179-IFERROR(G181,-9)&lt;0.28322),G181+0.28322,G179),NA())</f>
        <v>0</v>
      </c>
      <c r="H183" s="5">
        <f>IF(ISNUMBER(H10),IF(AND(H179&gt;=IFERROR(H181,-9),H179-IFERROR(H181,-9)&lt;0.28322),H181+0.28322,H179),NA())</f>
        <v>0</v>
      </c>
      <c r="I183" s="5">
        <f>IF(ISNUMBER(I10),IF(AND(I179&gt;=IFERROR(I181,-9),I179-IFERROR(I181,-9)&lt;0.28322),I181+0.28322,I179),NA())</f>
        <v>0</v>
      </c>
      <c r="J183" s="5">
        <f>IF(ISNUMBER(J10),IF(AND(J179&gt;=IFERROR(J181,-9),J179-IFERROR(J181,-9)&lt;0.28322),J181+0.28322,J179),NA())</f>
        <v>0</v>
      </c>
      <c r="K183" s="5">
        <f>IF(ISNUMBER(K10),IF(AND(K179&gt;=IFERROR(K181,-9),K179-IFERROR(K181,-9)&lt;0.28322),K181+0.28322,K179),NA())</f>
        <v>0</v>
      </c>
      <c r="L183" s="5">
        <f>IF(ISNUMBER(L10),IF(AND(L179&gt;=IFERROR(L181,-9),L179-IFERROR(L181,-9)&lt;0.28322),L181+0.28322,L179),NA())</f>
        <v>0</v>
      </c>
      <c r="M183" s="5">
        <f>IF(ISNUMBER(M10),IF(AND(M179&gt;=IFERROR(M181,-9),M179-IFERROR(M181,-9)&lt;0.28322),M181+0.28322,M179),NA())</f>
        <v>0</v>
      </c>
      <c r="N183" s="5">
        <f>IF(ISNUMBER(N10),IF(AND(N179&gt;=IFERROR(N181,-9),N179-IFERROR(N181,-9)&lt;0.28322),N181+0.28322,N179),NA())</f>
        <v>0</v>
      </c>
      <c r="O183" s="5">
        <f>IF(ISNUMBER(O10),IF(AND(O179&gt;=IFERROR(O181,-9),O179-IFERROR(O181,-9)&lt;0.28322),O181+0.28322,O179),NA())</f>
        <v>0</v>
      </c>
      <c r="P183" s="5">
        <f>IF(ISNUMBER(P10),IF(AND(P179&gt;=IFERROR(P181,-9),P179-IFERROR(P181,-9)&lt;0.28322),P181+0.28322,P179),NA())</f>
        <v>0</v>
      </c>
      <c r="Q183" s="5">
        <f>IF(ISNUMBER(Q10),IF(AND(Q179&gt;=IFERROR(Q181,-9),Q179-IFERROR(Q181,-9)&lt;0.28322),Q181+0.28322,Q179),NA())</f>
        <v>0</v>
      </c>
      <c r="R183" s="5">
        <f>IF(ISNUMBER(R10),IF(AND(R179&gt;=IFERROR(R181,-9),R179-IFERROR(R181,-9)&lt;0.28322),R181+0.28322,R179),NA())</f>
        <v>0</v>
      </c>
      <c r="S183" s="5">
        <f>IF(ISNUMBER(S10),IF(AND(S179&gt;=IFERROR(S181,-9),S179-IFERROR(S181,-9)&lt;0.28322),S181+0.28322,S179),NA())</f>
        <v>0</v>
      </c>
      <c r="T183" s="5">
        <f>IF(ISNUMBER(T10),IF(AND(T179&gt;=IFERROR(T181,-9),T179-IFERROR(T181,-9)&lt;0.28322),T181+0.28322,T179),NA())</f>
        <v>0</v>
      </c>
      <c r="U183" s="5">
        <f>IF(ISNUMBER(U10),IF(AND(U179&gt;=IFERROR(U181,-9),U179-IFERROR(U181,-9)&lt;0.28322),U181+0.28322,U179),NA())</f>
        <v>0</v>
      </c>
      <c r="V183" s="5">
        <f>IF(ISNUMBER(V10),IF(AND(V179&gt;=IFERROR(V181,-9),V179-IFERROR(V181,-9)&lt;0.28322),V181+0.28322,V179),NA())</f>
        <v>0</v>
      </c>
      <c r="W183" s="5">
        <f>IF(ISNUMBER(W10),IF(AND(W179&gt;=IFERROR(W181,-9),W179-IFERROR(W181,-9)&lt;0.28322),W181+0.28322,W179),NA())</f>
        <v>0</v>
      </c>
      <c r="X183" s="5">
        <f>IF(ISNUMBER(X10),IF(AND(X179&gt;=IFERROR(X181,-9),X179-IFERROR(X181,-9)&lt;0.28322),X181+0.28322,X179),NA())</f>
        <v>0</v>
      </c>
      <c r="Y183" s="5">
        <f>IF(ISNUMBER(Y10),IF(AND(Y179&gt;=IFERROR(Y181,-9),Y179-IFERROR(Y181,-9)&lt;0.28322),Y181+0.28322,Y179),NA())</f>
        <v>0</v>
      </c>
      <c r="Z183" s="5">
        <f>IF(ISNUMBER(Z10),IF(AND(Z179&gt;=IFERROR(Z181,-9),Z179-IFERROR(Z181,-9)&lt;0.28322),Z181+0.28322,Z179),NA())</f>
        <v>0</v>
      </c>
      <c r="AA183" s="5">
        <f>IF(ISNUMBER(AA10),IF(AND(AA179&gt;=IFERROR(AA181,-9),AA179-IFERROR(AA181,-9)&lt;0.28322),AA181+0.28322,AA179),NA())</f>
        <v>0</v>
      </c>
      <c r="AB183" s="5">
        <f>IF(ISNUMBER(AB10),IF(AND(AB179&gt;=IFERROR(AB181,-9),AB179-IFERROR(AB181,-9)&lt;0.28322),AB181+0.28322,AB179),NA())</f>
        <v>0</v>
      </c>
      <c r="AC183" s="5">
        <f>IF(ISNUMBER(AC10),IF(AND(AC179&gt;=IFERROR(AC181,-9),AC179-IFERROR(AC181,-9)&lt;0.28322),AC181+0.28322,AC179),NA())</f>
        <v>0</v>
      </c>
      <c r="AD183" s="5">
        <f>IF(ISNUMBER(AD10),IF(AND(AD179&gt;=IFERROR(AD181,-9),AD179-IFERROR(AD181,-9)&lt;0.28322),AD181+0.28322,AD179),NA())</f>
        <v>0</v>
      </c>
    </row>
    <row r="184" spans="1:95">
      <c r="A184" s="11" t="s">
        <v>435</v>
      </c>
      <c r="B184" s="11" t="s">
        <v>436</v>
      </c>
      <c r="C184" s="3" t="s">
        <v>137</v>
      </c>
      <c r="D184" s="5">
        <f>IF(ISNUMBER(D11),IF(AND(D181&gt;IFERROR(D179,-9),D181-IFERROR(D179,-9)&lt;0.28322),D179+0.28322,D181),NA())</f>
        <v>0</v>
      </c>
      <c r="E184" s="5">
        <f>IF(ISNUMBER(E11),IF(AND(E181&gt;IFERROR(E179,-9),E181-IFERROR(E179,-9)&lt;0.28322),E179+0.28322,E181),NA())</f>
        <v>0</v>
      </c>
      <c r="F184" s="5">
        <f>IF(ISNUMBER(F11),IF(AND(F181&gt;IFERROR(F179,-9),F181-IFERROR(F179,-9)&lt;0.28322),F179+0.28322,F181),NA())</f>
        <v>0</v>
      </c>
      <c r="G184" s="5">
        <f>IF(ISNUMBER(G11),IF(AND(G181&gt;IFERROR(G179,-9),G181-IFERROR(G179,-9)&lt;0.28322),G179+0.28322,G181),NA())</f>
        <v>0</v>
      </c>
      <c r="H184" s="5">
        <f>IF(ISNUMBER(H11),IF(AND(H181&gt;IFERROR(H179,-9),H181-IFERROR(H179,-9)&lt;0.28322),H179+0.28322,H181),NA())</f>
        <v>0</v>
      </c>
      <c r="I184" s="5">
        <f>IF(ISNUMBER(I11),IF(AND(I181&gt;IFERROR(I179,-9),I181-IFERROR(I179,-9)&lt;0.28322),I179+0.28322,I181),NA())</f>
        <v>0</v>
      </c>
      <c r="J184" s="5">
        <f>IF(ISNUMBER(J11),IF(AND(J181&gt;IFERROR(J179,-9),J181-IFERROR(J179,-9)&lt;0.28322),J179+0.28322,J181),NA())</f>
        <v>0</v>
      </c>
      <c r="K184" s="5">
        <f>IF(ISNUMBER(K11),IF(AND(K181&gt;IFERROR(K179,-9),K181-IFERROR(K179,-9)&lt;0.28322),K179+0.28322,K181),NA())</f>
        <v>0</v>
      </c>
      <c r="L184" s="5">
        <f>IF(ISNUMBER(L11),IF(AND(L181&gt;IFERROR(L179,-9),L181-IFERROR(L179,-9)&lt;0.28322),L179+0.28322,L181),NA())</f>
        <v>0</v>
      </c>
      <c r="M184" s="5">
        <f>IF(ISNUMBER(M11),IF(AND(M181&gt;IFERROR(M179,-9),M181-IFERROR(M179,-9)&lt;0.28322),M179+0.28322,M181),NA())</f>
        <v>0</v>
      </c>
      <c r="N184" s="5">
        <f>IF(ISNUMBER(N11),IF(AND(N181&gt;IFERROR(N179,-9),N181-IFERROR(N179,-9)&lt;0.28322),N179+0.28322,N181),NA())</f>
        <v>0</v>
      </c>
      <c r="O184" s="5">
        <f>IF(ISNUMBER(O11),IF(AND(O181&gt;IFERROR(O179,-9),O181-IFERROR(O179,-9)&lt;0.28322),O179+0.28322,O181),NA())</f>
        <v>0</v>
      </c>
      <c r="P184" s="5">
        <f>IF(ISNUMBER(P11),IF(AND(P181&gt;IFERROR(P179,-9),P181-IFERROR(P179,-9)&lt;0.28322),P179+0.28322,P181),NA())</f>
        <v>0</v>
      </c>
      <c r="Q184" s="5">
        <f>IF(ISNUMBER(Q11),IF(AND(Q181&gt;IFERROR(Q179,-9),Q181-IFERROR(Q179,-9)&lt;0.28322),Q179+0.28322,Q181),NA())</f>
        <v>0</v>
      </c>
      <c r="R184" s="5">
        <f>IF(ISNUMBER(R11),IF(AND(R181&gt;IFERROR(R179,-9),R181-IFERROR(R179,-9)&lt;0.28322),R179+0.28322,R181),NA())</f>
        <v>0</v>
      </c>
      <c r="S184" s="5">
        <f>IF(ISNUMBER(S11),IF(AND(S181&gt;IFERROR(S179,-9),S181-IFERROR(S179,-9)&lt;0.28322),S179+0.28322,S181),NA())</f>
        <v>0</v>
      </c>
      <c r="T184" s="5">
        <f>IF(ISNUMBER(T11),IF(AND(T181&gt;IFERROR(T179,-9),T181-IFERROR(T179,-9)&lt;0.28322),T179+0.28322,T181),NA())</f>
        <v>0</v>
      </c>
      <c r="U184" s="5">
        <f>IF(ISNUMBER(U11),IF(AND(U181&gt;IFERROR(U179,-9),U181-IFERROR(U179,-9)&lt;0.28322),U179+0.28322,U181),NA())</f>
        <v>0</v>
      </c>
      <c r="V184" s="5">
        <f>IF(ISNUMBER(V11),IF(AND(V181&gt;IFERROR(V179,-9),V181-IFERROR(V179,-9)&lt;0.28322),V179+0.28322,V181),NA())</f>
        <v>0</v>
      </c>
      <c r="W184" s="5">
        <f>IF(ISNUMBER(W11),IF(AND(W181&gt;IFERROR(W179,-9),W181-IFERROR(W179,-9)&lt;0.28322),W179+0.28322,W181),NA())</f>
        <v>0</v>
      </c>
      <c r="X184" s="5">
        <f>IF(ISNUMBER(X11),IF(AND(X181&gt;IFERROR(X179,-9),X181-IFERROR(X179,-9)&lt;0.28322),X179+0.28322,X181),NA())</f>
        <v>0</v>
      </c>
      <c r="Y184" s="5">
        <f>IF(ISNUMBER(Y11),IF(AND(Y181&gt;IFERROR(Y179,-9),Y181-IFERROR(Y179,-9)&lt;0.28322),Y179+0.28322,Y181),NA())</f>
        <v>0</v>
      </c>
      <c r="Z184" s="5">
        <f>IF(ISNUMBER(Z11),IF(AND(Z181&gt;IFERROR(Z179,-9),Z181-IFERROR(Z179,-9)&lt;0.28322),Z179+0.28322,Z181),NA())</f>
        <v>0</v>
      </c>
      <c r="AA184" s="5">
        <f>IF(ISNUMBER(AA11),IF(AND(AA181&gt;IFERROR(AA179,-9),AA181-IFERROR(AA179,-9)&lt;0.28322),AA179+0.28322,AA181),NA())</f>
        <v>0</v>
      </c>
      <c r="AB184" s="5">
        <f>IF(ISNUMBER(AB11),IF(AND(AB181&gt;IFERROR(AB179,-9),AB181-IFERROR(AB179,-9)&lt;0.28322),AB179+0.28322,AB181),NA())</f>
        <v>0</v>
      </c>
      <c r="AC184" s="5">
        <f>IF(ISNUMBER(AC11),IF(AND(AC181&gt;IFERROR(AC179,-9),AC181-IFERROR(AC179,-9)&lt;0.28322),AC179+0.28322,AC181),NA())</f>
        <v>0</v>
      </c>
      <c r="AD184" s="5">
        <f>IF(ISNUMBER(AD11),IF(AND(AD181&gt;IFERROR(AD179,-9),AD181-IFERROR(AD179,-9)&lt;0.28322),AD179+0.28322,AD181),NA())</f>
        <v>0</v>
      </c>
    </row>
    <row r="185" spans="1:95">
      <c r="A185" s="11" t="s">
        <v>437</v>
      </c>
      <c r="B185" s="11" t="s">
        <v>438</v>
      </c>
      <c r="C185" s="3" t="s">
        <v>134</v>
      </c>
      <c r="D185" s="5">
        <v>1</v>
      </c>
    </row>
    <row r="186" spans="1:95">
      <c r="A186" s="11" t="s">
        <v>439</v>
      </c>
      <c r="B186" s="11" t="s">
        <v>440</v>
      </c>
      <c r="C186" s="3" t="s">
        <v>137</v>
      </c>
      <c r="D186" s="5">
        <f>IF(AND($D$185=1,ISNUMBER(D10),ISNUMBER(D11)),IF((D10-D11)&gt;0,0.5,NA()),NA())</f>
        <v>0</v>
      </c>
      <c r="E186" s="5">
        <f>IF(AND($D$185=1,ISNUMBER(E10),ISNUMBER(E11)),IF((E10-E11)&gt;0,0.5,NA()),NA())</f>
        <v>0</v>
      </c>
      <c r="F186" s="5">
        <f>IF(AND($D$185=1,ISNUMBER(F10),ISNUMBER(F11)),IF((F10-F11)&gt;0,0.5,NA()),NA())</f>
        <v>0</v>
      </c>
      <c r="G186" s="5">
        <f>IF(AND($D$185=1,ISNUMBER(G10),ISNUMBER(G11)),IF((G10-G11)&gt;0,0.5,NA()),NA())</f>
        <v>0</v>
      </c>
      <c r="H186" s="5">
        <f>IF(AND($D$185=1,ISNUMBER(H10),ISNUMBER(H11)),IF((H10-H11)&gt;0,0.5,NA()),NA())</f>
        <v>0</v>
      </c>
      <c r="I186" s="5">
        <f>IF(AND($D$185=1,ISNUMBER(I10),ISNUMBER(I11)),IF((I10-I11)&gt;0,0.5,NA()),NA())</f>
        <v>0</v>
      </c>
      <c r="J186" s="5">
        <f>IF(AND($D$185=1,ISNUMBER(J10),ISNUMBER(J11)),IF((J10-J11)&gt;0,0.5,NA()),NA())</f>
        <v>0</v>
      </c>
      <c r="K186" s="5">
        <f>IF(AND($D$185=1,ISNUMBER(K10),ISNUMBER(K11)),IF((K10-K11)&gt;0,0.5,NA()),NA())</f>
        <v>0</v>
      </c>
      <c r="L186" s="5">
        <f>IF(AND($D$185=1,ISNUMBER(L10),ISNUMBER(L11)),IF((L10-L11)&gt;0,0.5,NA()),NA())</f>
        <v>0</v>
      </c>
      <c r="M186" s="5">
        <f>IF(AND($D$185=1,ISNUMBER(M10),ISNUMBER(M11)),IF((M10-M11)&gt;0,0.5,NA()),NA())</f>
        <v>0</v>
      </c>
      <c r="N186" s="5">
        <f>IF(AND($D$185=1,ISNUMBER(N10),ISNUMBER(N11)),IF((N10-N11)&gt;0,0.5,NA()),NA())</f>
        <v>0</v>
      </c>
      <c r="O186" s="5">
        <f>IF(AND($D$185=1,ISNUMBER(O10),ISNUMBER(O11)),IF((O10-O11)&gt;0,0.5,NA()),NA())</f>
        <v>0</v>
      </c>
      <c r="P186" s="5">
        <f>IF(AND($D$185=1,ISNUMBER(P10),ISNUMBER(P11)),IF((P10-P11)&gt;0,0.5,NA()),NA())</f>
        <v>0</v>
      </c>
      <c r="Q186" s="5">
        <f>IF(AND($D$185=1,ISNUMBER(Q10),ISNUMBER(Q11)),IF((Q10-Q11)&gt;0,0.5,NA()),NA())</f>
        <v>0</v>
      </c>
      <c r="R186" s="5">
        <f>IF(AND($D$185=1,ISNUMBER(R10),ISNUMBER(R11)),IF((R10-R11)&gt;0,0.5,NA()),NA())</f>
        <v>0</v>
      </c>
      <c r="S186" s="5">
        <f>IF(AND($D$185=1,ISNUMBER(S10),ISNUMBER(S11)),IF((S10-S11)&gt;0,0.5,NA()),NA())</f>
        <v>0</v>
      </c>
      <c r="T186" s="5">
        <f>IF(AND($D$185=1,ISNUMBER(T10),ISNUMBER(T11)),IF((T10-T11)&gt;0,0.5,NA()),NA())</f>
        <v>0</v>
      </c>
      <c r="U186" s="5">
        <f>IF(AND($D$185=1,ISNUMBER(U10),ISNUMBER(U11)),IF((U10-U11)&gt;0,0.5,NA()),NA())</f>
        <v>0</v>
      </c>
      <c r="V186" s="5">
        <f>IF(AND($D$185=1,ISNUMBER(V10),ISNUMBER(V11)),IF((V10-V11)&gt;0,0.5,NA()),NA())</f>
        <v>0</v>
      </c>
      <c r="W186" s="5">
        <f>IF(AND($D$185=1,ISNUMBER(W10),ISNUMBER(W11)),IF((W10-W11)&gt;0,0.5,NA()),NA())</f>
        <v>0</v>
      </c>
      <c r="X186" s="5">
        <f>IF(AND($D$185=1,ISNUMBER(X10),ISNUMBER(X11)),IF((X10-X11)&gt;0,0.5,NA()),NA())</f>
        <v>0</v>
      </c>
      <c r="Y186" s="5">
        <f>IF(AND($D$185=1,ISNUMBER(Y10),ISNUMBER(Y11)),IF((Y10-Y11)&gt;0,0.5,NA()),NA())</f>
        <v>0</v>
      </c>
      <c r="Z186" s="5">
        <f>IF(AND($D$185=1,ISNUMBER(Z10),ISNUMBER(Z11)),IF((Z10-Z11)&gt;0,0.5,NA()),NA())</f>
        <v>0</v>
      </c>
      <c r="AA186" s="5">
        <f>IF(AND($D$185=1,ISNUMBER(AA10),ISNUMBER(AA11)),IF((AA10-AA11)&gt;0,0.5,NA()),NA())</f>
        <v>0</v>
      </c>
      <c r="AB186" s="5">
        <f>IF(AND($D$185=1,ISNUMBER(AB10),ISNUMBER(AB11)),IF((AB10-AB11)&gt;0,0.5,NA()),NA())</f>
        <v>0</v>
      </c>
      <c r="AC186" s="5">
        <f>IF(AND($D$185=1,ISNUMBER(AC10),ISNUMBER(AC11)),IF((AC10-AC11)&gt;0,0.5,NA()),NA())</f>
        <v>0</v>
      </c>
      <c r="AD186" s="5">
        <f>IF(AND($D$185=1,ISNUMBER(AD10),ISNUMBER(AD11)),IF((AD10-AD11)&gt;0,0.5,NA()),NA())</f>
        <v>0</v>
      </c>
    </row>
    <row r="187" spans="1:95">
      <c r="A187" s="11" t="s">
        <v>441</v>
      </c>
      <c r="B187" s="11" t="s">
        <v>442</v>
      </c>
      <c r="C187" s="3" t="s">
        <v>137</v>
      </c>
      <c r="D187" s="5">
        <f>IF(AND($D$185=1,ISNUMBER(D10),ISNUMBER(D11)),IF((D10-D11)&lt;0,0.5,NA()),NA())</f>
        <v>0</v>
      </c>
      <c r="E187" s="5">
        <f>IF(AND($D$185=1,ISNUMBER(E10),ISNUMBER(E11)),IF((E10-E11)&lt;0,0.5,NA()),NA())</f>
        <v>0</v>
      </c>
      <c r="F187" s="5">
        <f>IF(AND($D$185=1,ISNUMBER(F10),ISNUMBER(F11)),IF((F10-F11)&lt;0,0.5,NA()),NA())</f>
        <v>0</v>
      </c>
      <c r="G187" s="5">
        <f>IF(AND($D$185=1,ISNUMBER(G10),ISNUMBER(G11)),IF((G10-G11)&lt;0,0.5,NA()),NA())</f>
        <v>0</v>
      </c>
      <c r="H187" s="5">
        <f>IF(AND($D$185=1,ISNUMBER(H10),ISNUMBER(H11)),IF((H10-H11)&lt;0,0.5,NA()),NA())</f>
        <v>0</v>
      </c>
      <c r="I187" s="5">
        <f>IF(AND($D$185=1,ISNUMBER(I10),ISNUMBER(I11)),IF((I10-I11)&lt;0,0.5,NA()),NA())</f>
        <v>0</v>
      </c>
      <c r="J187" s="5">
        <f>IF(AND($D$185=1,ISNUMBER(J10),ISNUMBER(J11)),IF((J10-J11)&lt;0,0.5,NA()),NA())</f>
        <v>0</v>
      </c>
      <c r="K187" s="5">
        <f>IF(AND($D$185=1,ISNUMBER(K10),ISNUMBER(K11)),IF((K10-K11)&lt;0,0.5,NA()),NA())</f>
        <v>0</v>
      </c>
      <c r="L187" s="5">
        <f>IF(AND($D$185=1,ISNUMBER(L10),ISNUMBER(L11)),IF((L10-L11)&lt;0,0.5,NA()),NA())</f>
        <v>0</v>
      </c>
      <c r="M187" s="5">
        <f>IF(AND($D$185=1,ISNUMBER(M10),ISNUMBER(M11)),IF((M10-M11)&lt;0,0.5,NA()),NA())</f>
        <v>0</v>
      </c>
      <c r="N187" s="5">
        <f>IF(AND($D$185=1,ISNUMBER(N10),ISNUMBER(N11)),IF((N10-N11)&lt;0,0.5,NA()),NA())</f>
        <v>0</v>
      </c>
      <c r="O187" s="5">
        <f>IF(AND($D$185=1,ISNUMBER(O10),ISNUMBER(O11)),IF((O10-O11)&lt;0,0.5,NA()),NA())</f>
        <v>0</v>
      </c>
      <c r="P187" s="5">
        <f>IF(AND($D$185=1,ISNUMBER(P10),ISNUMBER(P11)),IF((P10-P11)&lt;0,0.5,NA()),NA())</f>
        <v>0</v>
      </c>
      <c r="Q187" s="5">
        <f>IF(AND($D$185=1,ISNUMBER(Q10),ISNUMBER(Q11)),IF((Q10-Q11)&lt;0,0.5,NA()),NA())</f>
        <v>0</v>
      </c>
      <c r="R187" s="5">
        <f>IF(AND($D$185=1,ISNUMBER(R10),ISNUMBER(R11)),IF((R10-R11)&lt;0,0.5,NA()),NA())</f>
        <v>0</v>
      </c>
      <c r="S187" s="5">
        <f>IF(AND($D$185=1,ISNUMBER(S10),ISNUMBER(S11)),IF((S10-S11)&lt;0,0.5,NA()),NA())</f>
        <v>0</v>
      </c>
      <c r="T187" s="5">
        <f>IF(AND($D$185=1,ISNUMBER(T10),ISNUMBER(T11)),IF((T10-T11)&lt;0,0.5,NA()),NA())</f>
        <v>0</v>
      </c>
      <c r="U187" s="5">
        <f>IF(AND($D$185=1,ISNUMBER(U10),ISNUMBER(U11)),IF((U10-U11)&lt;0,0.5,NA()),NA())</f>
        <v>0</v>
      </c>
      <c r="V187" s="5">
        <f>IF(AND($D$185=1,ISNUMBER(V10),ISNUMBER(V11)),IF((V10-V11)&lt;0,0.5,NA()),NA())</f>
        <v>0</v>
      </c>
      <c r="W187" s="5">
        <f>IF(AND($D$185=1,ISNUMBER(W10),ISNUMBER(W11)),IF((W10-W11)&lt;0,0.5,NA()),NA())</f>
        <v>0</v>
      </c>
      <c r="X187" s="5">
        <f>IF(AND($D$185=1,ISNUMBER(X10),ISNUMBER(X11)),IF((X10-X11)&lt;0,0.5,NA()),NA())</f>
        <v>0</v>
      </c>
      <c r="Y187" s="5">
        <f>IF(AND($D$185=1,ISNUMBER(Y10),ISNUMBER(Y11)),IF((Y10-Y11)&lt;0,0.5,NA()),NA())</f>
        <v>0</v>
      </c>
      <c r="Z187" s="5">
        <f>IF(AND($D$185=1,ISNUMBER(Z10),ISNUMBER(Z11)),IF((Z10-Z11)&lt;0,0.5,NA()),NA())</f>
        <v>0</v>
      </c>
      <c r="AA187" s="5">
        <f>IF(AND($D$185=1,ISNUMBER(AA10),ISNUMBER(AA11)),IF((AA10-AA11)&lt;0,0.5,NA()),NA())</f>
        <v>0</v>
      </c>
      <c r="AB187" s="5">
        <f>IF(AND($D$185=1,ISNUMBER(AB10),ISNUMBER(AB11)),IF((AB10-AB11)&lt;0,0.5,NA()),NA())</f>
        <v>0</v>
      </c>
      <c r="AC187" s="5">
        <f>IF(AND($D$185=1,ISNUMBER(AC10),ISNUMBER(AC11)),IF((AC10-AC11)&lt;0,0.5,NA()),NA())</f>
        <v>0</v>
      </c>
      <c r="AD187" s="5">
        <f>IF(AND($D$185=1,ISNUMBER(AD10),ISNUMBER(AD11)),IF((AD10-AD11)&lt;0,0.5,NA()),NA())</f>
        <v>0</v>
      </c>
    </row>
    <row r="188" spans="1:95">
      <c r="A188" s="11" t="s">
        <v>443</v>
      </c>
      <c r="B188" s="11" t="s">
        <v>444</v>
      </c>
      <c r="C188" s="3" t="s">
        <v>137</v>
      </c>
      <c r="D188" s="5">
        <f>IF(AND($D$185=1,ISNUMBER(D10),ISNUMBER(D11)),IF((D10-D11)=0,0.5,NA()),NA())</f>
        <v>0</v>
      </c>
      <c r="E188" s="5">
        <f>IF(AND($D$185=1,ISNUMBER(E10),ISNUMBER(E11)),IF((E10-E11)=0,0.5,NA()),NA())</f>
        <v>0</v>
      </c>
      <c r="F188" s="5">
        <f>IF(AND($D$185=1,ISNUMBER(F10),ISNUMBER(F11)),IF((F10-F11)=0,0.5,NA()),NA())</f>
        <v>0</v>
      </c>
      <c r="G188" s="5">
        <f>IF(AND($D$185=1,ISNUMBER(G10),ISNUMBER(G11)),IF((G10-G11)=0,0.5,NA()),NA())</f>
        <v>0</v>
      </c>
      <c r="H188" s="5">
        <f>IF(AND($D$185=1,ISNUMBER(H10),ISNUMBER(H11)),IF((H10-H11)=0,0.5,NA()),NA())</f>
        <v>0</v>
      </c>
      <c r="I188" s="5">
        <f>IF(AND($D$185=1,ISNUMBER(I10),ISNUMBER(I11)),IF((I10-I11)=0,0.5,NA()),NA())</f>
        <v>0</v>
      </c>
      <c r="J188" s="5">
        <f>IF(AND($D$185=1,ISNUMBER(J10),ISNUMBER(J11)),IF((J10-J11)=0,0.5,NA()),NA())</f>
        <v>0</v>
      </c>
      <c r="K188" s="5">
        <f>IF(AND($D$185=1,ISNUMBER(K10),ISNUMBER(K11)),IF((K10-K11)=0,0.5,NA()),NA())</f>
        <v>0</v>
      </c>
      <c r="L188" s="5">
        <f>IF(AND($D$185=1,ISNUMBER(L10),ISNUMBER(L11)),IF((L10-L11)=0,0.5,NA()),NA())</f>
        <v>0</v>
      </c>
      <c r="M188" s="5">
        <f>IF(AND($D$185=1,ISNUMBER(M10),ISNUMBER(M11)),IF((M10-M11)=0,0.5,NA()),NA())</f>
        <v>0</v>
      </c>
      <c r="N188" s="5">
        <f>IF(AND($D$185=1,ISNUMBER(N10),ISNUMBER(N11)),IF((N10-N11)=0,0.5,NA()),NA())</f>
        <v>0</v>
      </c>
      <c r="O188" s="5">
        <f>IF(AND($D$185=1,ISNUMBER(O10),ISNUMBER(O11)),IF((O10-O11)=0,0.5,NA()),NA())</f>
        <v>0</v>
      </c>
      <c r="P188" s="5">
        <f>IF(AND($D$185=1,ISNUMBER(P10),ISNUMBER(P11)),IF((P10-P11)=0,0.5,NA()),NA())</f>
        <v>0</v>
      </c>
      <c r="Q188" s="5">
        <f>IF(AND($D$185=1,ISNUMBER(Q10),ISNUMBER(Q11)),IF((Q10-Q11)=0,0.5,NA()),NA())</f>
        <v>0</v>
      </c>
      <c r="R188" s="5">
        <f>IF(AND($D$185=1,ISNUMBER(R10),ISNUMBER(R11)),IF((R10-R11)=0,0.5,NA()),NA())</f>
        <v>0</v>
      </c>
      <c r="S188" s="5">
        <f>IF(AND($D$185=1,ISNUMBER(S10),ISNUMBER(S11)),IF((S10-S11)=0,0.5,NA()),NA())</f>
        <v>0</v>
      </c>
      <c r="T188" s="5">
        <f>IF(AND($D$185=1,ISNUMBER(T10),ISNUMBER(T11)),IF((T10-T11)=0,0.5,NA()),NA())</f>
        <v>0</v>
      </c>
      <c r="U188" s="5">
        <f>IF(AND($D$185=1,ISNUMBER(U10),ISNUMBER(U11)),IF((U10-U11)=0,0.5,NA()),NA())</f>
        <v>0</v>
      </c>
      <c r="V188" s="5">
        <f>IF(AND($D$185=1,ISNUMBER(V10),ISNUMBER(V11)),IF((V10-V11)=0,0.5,NA()),NA())</f>
        <v>0</v>
      </c>
      <c r="W188" s="5">
        <f>IF(AND($D$185=1,ISNUMBER(W10),ISNUMBER(W11)),IF((W10-W11)=0,0.5,NA()),NA())</f>
        <v>0</v>
      </c>
      <c r="X188" s="5">
        <f>IF(AND($D$185=1,ISNUMBER(X10),ISNUMBER(X11)),IF((X10-X11)=0,0.5,NA()),NA())</f>
        <v>0</v>
      </c>
      <c r="Y188" s="5">
        <f>IF(AND($D$185=1,ISNUMBER(Y10),ISNUMBER(Y11)),IF((Y10-Y11)=0,0.5,NA()),NA())</f>
        <v>0</v>
      </c>
      <c r="Z188" s="5">
        <f>IF(AND($D$185=1,ISNUMBER(Z10),ISNUMBER(Z11)),IF((Z10-Z11)=0,0.5,NA()),NA())</f>
        <v>0</v>
      </c>
      <c r="AA188" s="5">
        <f>IF(AND($D$185=1,ISNUMBER(AA10),ISNUMBER(AA11)),IF((AA10-AA11)=0,0.5,NA()),NA())</f>
        <v>0</v>
      </c>
      <c r="AB188" s="5">
        <f>IF(AND($D$185=1,ISNUMBER(AB10),ISNUMBER(AB11)),IF((AB10-AB11)=0,0.5,NA()),NA())</f>
        <v>0</v>
      </c>
      <c r="AC188" s="5">
        <f>IF(AND($D$185=1,ISNUMBER(AC10),ISNUMBER(AC11)),IF((AC10-AC11)=0,0.5,NA()),NA())</f>
        <v>0</v>
      </c>
      <c r="AD188" s="5">
        <f>IF(AND($D$185=1,ISNUMBER(AD10),ISNUMBER(AD11)),IF((AD10-AD11)=0,0.5,NA()),NA())</f>
        <v>0</v>
      </c>
    </row>
    <row r="189" spans="1:95">
      <c r="A189" s="11" t="s">
        <v>445</v>
      </c>
      <c r="B189" s="11" t="s">
        <v>446</v>
      </c>
      <c r="C189" s="3" t="s">
        <v>137</v>
      </c>
      <c r="D189" s="11">
        <f>IF(AND(ISNUMBER(D10),ISNUMBER(D11)),IF((D10-D11)&gt;0,"+"&amp;FIXED((D10-D11),0),IF((D10-D11)&lt;0,"−"&amp;FIXED(-(D10-D11),0),"±0")),"")</f>
        <v>0</v>
      </c>
      <c r="E189" s="11">
        <f>IF(AND(ISNUMBER(E10),ISNUMBER(E11)),IF((E10-E11)&gt;0,"+"&amp;FIXED((E10-E11),0),IF((E10-E11)&lt;0,"−"&amp;FIXED(-(E10-E11),0),"±0")),"")</f>
        <v>0</v>
      </c>
      <c r="F189" s="11">
        <f>IF(AND(ISNUMBER(F10),ISNUMBER(F11)),IF((F10-F11)&gt;0,"+"&amp;FIXED((F10-F11),0),IF((F10-F11)&lt;0,"−"&amp;FIXED(-(F10-F11),0),"±0")),"")</f>
        <v>0</v>
      </c>
      <c r="G189" s="11">
        <f>IF(AND(ISNUMBER(G10),ISNUMBER(G11)),IF((G10-G11)&gt;0,"+"&amp;FIXED((G10-G11),0),IF((G10-G11)&lt;0,"−"&amp;FIXED(-(G10-G11),0),"±0")),"")</f>
        <v>0</v>
      </c>
      <c r="H189" s="11">
        <f>IF(AND(ISNUMBER(H10),ISNUMBER(H11)),IF((H10-H11)&gt;0,"+"&amp;FIXED((H10-H11),0),IF((H10-H11)&lt;0,"−"&amp;FIXED(-(H10-H11),0),"±0")),"")</f>
        <v>0</v>
      </c>
      <c r="I189" s="11">
        <f>IF(AND(ISNUMBER(I10),ISNUMBER(I11)),IF((I10-I11)&gt;0,"+"&amp;FIXED((I10-I11),0),IF((I10-I11)&lt;0,"−"&amp;FIXED(-(I10-I11),0),"±0")),"")</f>
        <v>0</v>
      </c>
      <c r="J189" s="11">
        <f>IF(AND(ISNUMBER(J10),ISNUMBER(J11)),IF((J10-J11)&gt;0,"+"&amp;FIXED((J10-J11),0),IF((J10-J11)&lt;0,"−"&amp;FIXED(-(J10-J11),0),"±0")),"")</f>
        <v>0</v>
      </c>
      <c r="K189" s="11">
        <f>IF(AND(ISNUMBER(K10),ISNUMBER(K11)),IF((K10-K11)&gt;0,"+"&amp;FIXED((K10-K11),0),IF((K10-K11)&lt;0,"−"&amp;FIXED(-(K10-K11),0),"±0")),"")</f>
        <v>0</v>
      </c>
      <c r="L189" s="11">
        <f>IF(AND(ISNUMBER(L10),ISNUMBER(L11)),IF((L10-L11)&gt;0,"+"&amp;FIXED((L10-L11),0),IF((L10-L11)&lt;0,"−"&amp;FIXED(-(L10-L11),0),"±0")),"")</f>
        <v>0</v>
      </c>
      <c r="M189" s="11">
        <f>IF(AND(ISNUMBER(M10),ISNUMBER(M11)),IF((M10-M11)&gt;0,"+"&amp;FIXED((M10-M11),0),IF((M10-M11)&lt;0,"−"&amp;FIXED(-(M10-M11),0),"±0")),"")</f>
        <v>0</v>
      </c>
      <c r="N189" s="11">
        <f>IF(AND(ISNUMBER(N10),ISNUMBER(N11)),IF((N10-N11)&gt;0,"+"&amp;FIXED((N10-N11),0),IF((N10-N11)&lt;0,"−"&amp;FIXED(-(N10-N11),0),"±0")),"")</f>
        <v>0</v>
      </c>
      <c r="O189" s="11">
        <f>IF(AND(ISNUMBER(O10),ISNUMBER(O11)),IF((O10-O11)&gt;0,"+"&amp;FIXED((O10-O11),0),IF((O10-O11)&lt;0,"−"&amp;FIXED(-(O10-O11),0),"±0")),"")</f>
        <v>0</v>
      </c>
      <c r="P189" s="11">
        <f>IF(AND(ISNUMBER(P10),ISNUMBER(P11)),IF((P10-P11)&gt;0,"+"&amp;FIXED((P10-P11),0),IF((P10-P11)&lt;0,"−"&amp;FIXED(-(P10-P11),0),"±0")),"")</f>
        <v>0</v>
      </c>
      <c r="Q189" s="11">
        <f>IF(AND(ISNUMBER(Q10),ISNUMBER(Q11)),IF((Q10-Q11)&gt;0,"+"&amp;FIXED((Q10-Q11),0),IF((Q10-Q11)&lt;0,"−"&amp;FIXED(-(Q10-Q11),0),"±0")),"")</f>
        <v>0</v>
      </c>
      <c r="R189" s="11">
        <f>IF(AND(ISNUMBER(R10),ISNUMBER(R11)),IF((R10-R11)&gt;0,"+"&amp;FIXED((R10-R11),0),IF((R10-R11)&lt;0,"−"&amp;FIXED(-(R10-R11),0),"±0")),"")</f>
        <v>0</v>
      </c>
      <c r="S189" s="11">
        <f>IF(AND(ISNUMBER(S10),ISNUMBER(S11)),IF((S10-S11)&gt;0,"+"&amp;FIXED((S10-S11),0),IF((S10-S11)&lt;0,"−"&amp;FIXED(-(S10-S11),0),"±0")),"")</f>
        <v>0</v>
      </c>
      <c r="T189" s="11">
        <f>IF(AND(ISNUMBER(T10),ISNUMBER(T11)),IF((T10-T11)&gt;0,"+"&amp;FIXED((T10-T11),0),IF((T10-T11)&lt;0,"−"&amp;FIXED(-(T10-T11),0),"±0")),"")</f>
        <v>0</v>
      </c>
      <c r="U189" s="11">
        <f>IF(AND(ISNUMBER(U10),ISNUMBER(U11)),IF((U10-U11)&gt;0,"+"&amp;FIXED((U10-U11),0),IF((U10-U11)&lt;0,"−"&amp;FIXED(-(U10-U11),0),"±0")),"")</f>
        <v>0</v>
      </c>
      <c r="V189" s="11">
        <f>IF(AND(ISNUMBER(V10),ISNUMBER(V11)),IF((V10-V11)&gt;0,"+"&amp;FIXED((V10-V11),0),IF((V10-V11)&lt;0,"−"&amp;FIXED(-(V10-V11),0),"±0")),"")</f>
        <v>0</v>
      </c>
      <c r="W189" s="11">
        <f>IF(AND(ISNUMBER(W10),ISNUMBER(W11)),IF((W10-W11)&gt;0,"+"&amp;FIXED((W10-W11),0),IF((W10-W11)&lt;0,"−"&amp;FIXED(-(W10-W11),0),"±0")),"")</f>
        <v>0</v>
      </c>
      <c r="X189" s="11">
        <f>IF(AND(ISNUMBER(X10),ISNUMBER(X11)),IF((X10-X11)&gt;0,"+"&amp;FIXED((X10-X11),0),IF((X10-X11)&lt;0,"−"&amp;FIXED(-(X10-X11),0),"±0")),"")</f>
        <v>0</v>
      </c>
      <c r="Y189" s="11">
        <f>IF(AND(ISNUMBER(Y10),ISNUMBER(Y11)),IF((Y10-Y11)&gt;0,"+"&amp;FIXED((Y10-Y11),0),IF((Y10-Y11)&lt;0,"−"&amp;FIXED(-(Y10-Y11),0),"±0")),"")</f>
        <v>0</v>
      </c>
      <c r="Z189" s="11">
        <f>IF(AND(ISNUMBER(Z10),ISNUMBER(Z11)),IF((Z10-Z11)&gt;0,"+"&amp;FIXED((Z10-Z11),0),IF((Z10-Z11)&lt;0,"−"&amp;FIXED(-(Z10-Z11),0),"±0")),"")</f>
        <v>0</v>
      </c>
      <c r="AA189" s="11">
        <f>IF(AND(ISNUMBER(AA10),ISNUMBER(AA11)),IF((AA10-AA11)&gt;0,"+"&amp;FIXED((AA10-AA11),0),IF((AA10-AA11)&lt;0,"−"&amp;FIXED(-(AA10-AA11),0),"±0")),"")</f>
        <v>0</v>
      </c>
      <c r="AB189" s="11">
        <f>IF(AND(ISNUMBER(AB10),ISNUMBER(AB11)),IF((AB10-AB11)&gt;0,"+"&amp;FIXED((AB10-AB11),0),IF((AB10-AB11)&lt;0,"−"&amp;FIXED(-(AB10-AB11),0),"±0")),"")</f>
        <v>0</v>
      </c>
      <c r="AC189" s="11">
        <f>IF(AND(ISNUMBER(AC10),ISNUMBER(AC11)),IF((AC10-AC11)&gt;0,"+"&amp;FIXED((AC10-AC11),0),IF((AC10-AC11)&lt;0,"−"&amp;FIXED(-(AC10-AC11),0),"±0")),"")</f>
        <v>0</v>
      </c>
      <c r="AD189" s="11">
        <f>IF(AND(ISNUMBER(AD10),ISNUMBER(AD11)),IF((AD10-AD11)&gt;0,"+"&amp;FIXED((AD10-AD11),0),IF((AD10-AD11)&lt;0,"−"&amp;FIXED(-(AD10-AD11),0),"±0")),"")</f>
        <v>0</v>
      </c>
    </row>
    <row r="190" spans="1:95">
      <c r="A190" s="11" t="s">
        <v>447</v>
      </c>
      <c r="B190" s="11" t="s">
        <v>448</v>
      </c>
      <c r="C190" s="3" t="s">
        <v>398</v>
      </c>
      <c r="BR190" s="5">
        <f>IF(($D$167-25)&lt;1,NA(),INDEX($D$179:$AD$179,($D$167-25)))</f>
        <v>0</v>
      </c>
      <c r="BS190" s="5">
        <f>IF(($D$167-24)&lt;1,NA(),INDEX($D$179:$AD$179,($D$167-24)))</f>
        <v>0</v>
      </c>
      <c r="BT190" s="5">
        <f>IF(($D$167-23)&lt;1,NA(),INDEX($D$179:$AD$179,($D$167-23)))</f>
        <v>0</v>
      </c>
      <c r="BU190" s="5">
        <f>IF(($D$167-22)&lt;1,NA(),INDEX($D$179:$AD$179,($D$167-22)))</f>
        <v>0</v>
      </c>
      <c r="BV190" s="5">
        <f>IF(($D$167-21)&lt;1,NA(),INDEX($D$179:$AD$179,($D$167-21)))</f>
        <v>0</v>
      </c>
      <c r="BW190" s="5">
        <f>IF(($D$167-20)&lt;1,NA(),INDEX($D$179:$AD$179,($D$167-20)))</f>
        <v>0</v>
      </c>
      <c r="BX190" s="5">
        <f>IF(($D$167-19)&lt;1,NA(),INDEX($D$179:$AD$179,($D$167-19)))</f>
        <v>0</v>
      </c>
      <c r="BY190" s="5">
        <f>IF(($D$167-18)&lt;1,NA(),INDEX($D$179:$AD$179,($D$167-18)))</f>
        <v>0</v>
      </c>
      <c r="BZ190" s="5">
        <f>IF(($D$167-17)&lt;1,NA(),INDEX($D$179:$AD$179,($D$167-17)))</f>
        <v>0</v>
      </c>
      <c r="CA190" s="5">
        <f>IF(($D$167-16)&lt;1,NA(),INDEX($D$179:$AD$179,($D$167-16)))</f>
        <v>0</v>
      </c>
      <c r="CB190" s="5">
        <f>IF(($D$167-15)&lt;1,NA(),INDEX($D$179:$AD$179,($D$167-15)))</f>
        <v>0</v>
      </c>
      <c r="CC190" s="5">
        <f>IF(($D$167-14)&lt;1,NA(),INDEX($D$179:$AD$179,($D$167-14)))</f>
        <v>0</v>
      </c>
      <c r="CD190" s="5">
        <f>IF(($D$167-13)&lt;1,NA(),INDEX($D$179:$AD$179,($D$167-13)))</f>
        <v>0</v>
      </c>
      <c r="CE190" s="5">
        <f>IF(($D$167-12)&lt;1,NA(),INDEX($D$179:$AD$179,($D$167-12)))</f>
        <v>0</v>
      </c>
      <c r="CF190" s="5">
        <f>IF(($D$167-11)&lt;1,NA(),INDEX($D$179:$AD$179,($D$167-11)))</f>
        <v>0</v>
      </c>
      <c r="CG190" s="5">
        <f>IF(($D$167-10)&lt;1,NA(),INDEX($D$179:$AD$179,($D$167-10)))</f>
        <v>0</v>
      </c>
      <c r="CH190" s="5">
        <f>IF(($D$167-9)&lt;1,NA(),INDEX($D$179:$AD$179,($D$167-9)))</f>
        <v>0</v>
      </c>
      <c r="CI190" s="5">
        <f>IF(($D$167-8)&lt;1,NA(),INDEX($D$179:$AD$179,($D$167-8)))</f>
        <v>0</v>
      </c>
      <c r="CJ190" s="5">
        <f>IF(($D$167-7)&lt;1,NA(),INDEX($D$179:$AD$179,($D$167-7)))</f>
        <v>0</v>
      </c>
      <c r="CK190" s="5">
        <f>IF(($D$167-6)&lt;1,NA(),INDEX($D$179:$AD$179,($D$167-6)))</f>
        <v>0</v>
      </c>
      <c r="CL190" s="5">
        <f>IF(($D$167-5)&lt;1,NA(),INDEX($D$179:$AD$179,($D$167-5)))</f>
        <v>0</v>
      </c>
      <c r="CM190" s="5">
        <f>IF(($D$167-4)&lt;1,NA(),INDEX($D$179:$AD$179,($D$167-4)))</f>
        <v>0</v>
      </c>
      <c r="CN190" s="5">
        <f>IF(($D$167-3)&lt;1,NA(),INDEX($D$179:$AD$179,($D$167-3)))</f>
        <v>0</v>
      </c>
      <c r="CO190" s="5">
        <f>IF(($D$167-2)&lt;1,NA(),INDEX($D$179:$AD$179,($D$167-2)))</f>
        <v>0</v>
      </c>
      <c r="CP190" s="5">
        <f>IF(($D$167-1)&lt;1,NA(),INDEX($D$179:$AD$179,($D$167-1)))</f>
        <v>0</v>
      </c>
      <c r="CQ190" s="5">
        <f>IF(($D$167-0)&lt;1,NA(),INDEX($D$179:$AD$179,($D$167-0)))</f>
        <v>0</v>
      </c>
    </row>
    <row r="191" spans="1:95">
      <c r="A191" s="11" t="s">
        <v>449</v>
      </c>
      <c r="B191" s="11" t="s">
        <v>450</v>
      </c>
      <c r="C191" s="3" t="s">
        <v>398</v>
      </c>
      <c r="BR191" s="5">
        <f>IF(($D$167-25)&lt;1,NA(),INDEX($D$181:$AD$181,($D$167-25)))</f>
        <v>0</v>
      </c>
      <c r="BS191" s="5">
        <f>IF(($D$167-24)&lt;1,NA(),INDEX($D$181:$AD$181,($D$167-24)))</f>
        <v>0</v>
      </c>
      <c r="BT191" s="5">
        <f>IF(($D$167-23)&lt;1,NA(),INDEX($D$181:$AD$181,($D$167-23)))</f>
        <v>0</v>
      </c>
      <c r="BU191" s="5">
        <f>IF(($D$167-22)&lt;1,NA(),INDEX($D$181:$AD$181,($D$167-22)))</f>
        <v>0</v>
      </c>
      <c r="BV191" s="5">
        <f>IF(($D$167-21)&lt;1,NA(),INDEX($D$181:$AD$181,($D$167-21)))</f>
        <v>0</v>
      </c>
      <c r="BW191" s="5">
        <f>IF(($D$167-20)&lt;1,NA(),INDEX($D$181:$AD$181,($D$167-20)))</f>
        <v>0</v>
      </c>
      <c r="BX191" s="5">
        <f>IF(($D$167-19)&lt;1,NA(),INDEX($D$181:$AD$181,($D$167-19)))</f>
        <v>0</v>
      </c>
      <c r="BY191" s="5">
        <f>IF(($D$167-18)&lt;1,NA(),INDEX($D$181:$AD$181,($D$167-18)))</f>
        <v>0</v>
      </c>
      <c r="BZ191" s="5">
        <f>IF(($D$167-17)&lt;1,NA(),INDEX($D$181:$AD$181,($D$167-17)))</f>
        <v>0</v>
      </c>
      <c r="CA191" s="5">
        <f>IF(($D$167-16)&lt;1,NA(),INDEX($D$181:$AD$181,($D$167-16)))</f>
        <v>0</v>
      </c>
      <c r="CB191" s="5">
        <f>IF(($D$167-15)&lt;1,NA(),INDEX($D$181:$AD$181,($D$167-15)))</f>
        <v>0</v>
      </c>
      <c r="CC191" s="5">
        <f>IF(($D$167-14)&lt;1,NA(),INDEX($D$181:$AD$181,($D$167-14)))</f>
        <v>0</v>
      </c>
      <c r="CD191" s="5">
        <f>IF(($D$167-13)&lt;1,NA(),INDEX($D$181:$AD$181,($D$167-13)))</f>
        <v>0</v>
      </c>
      <c r="CE191" s="5">
        <f>IF(($D$167-12)&lt;1,NA(),INDEX($D$181:$AD$181,($D$167-12)))</f>
        <v>0</v>
      </c>
      <c r="CF191" s="5">
        <f>IF(($D$167-11)&lt;1,NA(),INDEX($D$181:$AD$181,($D$167-11)))</f>
        <v>0</v>
      </c>
      <c r="CG191" s="5">
        <f>IF(($D$167-10)&lt;1,NA(),INDEX($D$181:$AD$181,($D$167-10)))</f>
        <v>0</v>
      </c>
      <c r="CH191" s="5">
        <f>IF(($D$167-9)&lt;1,NA(),INDEX($D$181:$AD$181,($D$167-9)))</f>
        <v>0</v>
      </c>
      <c r="CI191" s="5">
        <f>IF(($D$167-8)&lt;1,NA(),INDEX($D$181:$AD$181,($D$167-8)))</f>
        <v>0</v>
      </c>
      <c r="CJ191" s="5">
        <f>IF(($D$167-7)&lt;1,NA(),INDEX($D$181:$AD$181,($D$167-7)))</f>
        <v>0</v>
      </c>
      <c r="CK191" s="5">
        <f>IF(($D$167-6)&lt;1,NA(),INDEX($D$181:$AD$181,($D$167-6)))</f>
        <v>0</v>
      </c>
      <c r="CL191" s="5">
        <f>IF(($D$167-5)&lt;1,NA(),INDEX($D$181:$AD$181,($D$167-5)))</f>
        <v>0</v>
      </c>
      <c r="CM191" s="5">
        <f>IF(($D$167-4)&lt;1,NA(),INDEX($D$181:$AD$181,($D$167-4)))</f>
        <v>0</v>
      </c>
      <c r="CN191" s="5">
        <f>IF(($D$167-3)&lt;1,NA(),INDEX($D$181:$AD$181,($D$167-3)))</f>
        <v>0</v>
      </c>
      <c r="CO191" s="5">
        <f>IF(($D$167-2)&lt;1,NA(),INDEX($D$181:$AD$181,($D$167-2)))</f>
        <v>0</v>
      </c>
      <c r="CP191" s="5">
        <f>IF(($D$167-1)&lt;1,NA(),INDEX($D$181:$AD$181,($D$167-1)))</f>
        <v>0</v>
      </c>
      <c r="CQ191" s="5">
        <f>IF(($D$167-0)&lt;1,NA(),INDEX($D$181:$AD$181,($D$167-0)))</f>
        <v>0</v>
      </c>
    </row>
    <row r="192" spans="1:95">
      <c r="A192" s="11" t="s">
        <v>451</v>
      </c>
      <c r="B192" s="11" t="s">
        <v>452</v>
      </c>
      <c r="C192" s="3" t="s">
        <v>398</v>
      </c>
      <c r="BR192" s="5">
        <f>IF(($D$167-25)&lt;1,NA(),INDEX($D$183:$AD$183,($D$167-25)))</f>
        <v>0</v>
      </c>
      <c r="BS192" s="5">
        <f>IF(($D$167-24)&lt;1,NA(),INDEX($D$183:$AD$183,($D$167-24)))</f>
        <v>0</v>
      </c>
      <c r="BT192" s="5">
        <f>IF(($D$167-23)&lt;1,NA(),INDEX($D$183:$AD$183,($D$167-23)))</f>
        <v>0</v>
      </c>
      <c r="BU192" s="5">
        <f>IF(($D$167-22)&lt;1,NA(),INDEX($D$183:$AD$183,($D$167-22)))</f>
        <v>0</v>
      </c>
      <c r="BV192" s="5">
        <f>IF(($D$167-21)&lt;1,NA(),INDEX($D$183:$AD$183,($D$167-21)))</f>
        <v>0</v>
      </c>
      <c r="BW192" s="5">
        <f>IF(($D$167-20)&lt;1,NA(),INDEX($D$183:$AD$183,($D$167-20)))</f>
        <v>0</v>
      </c>
      <c r="BX192" s="5">
        <f>IF(($D$167-19)&lt;1,NA(),INDEX($D$183:$AD$183,($D$167-19)))</f>
        <v>0</v>
      </c>
      <c r="BY192" s="5">
        <f>IF(($D$167-18)&lt;1,NA(),INDEX($D$183:$AD$183,($D$167-18)))</f>
        <v>0</v>
      </c>
      <c r="BZ192" s="5">
        <f>IF(($D$167-17)&lt;1,NA(),INDEX($D$183:$AD$183,($D$167-17)))</f>
        <v>0</v>
      </c>
      <c r="CA192" s="5">
        <f>IF(($D$167-16)&lt;1,NA(),INDEX($D$183:$AD$183,($D$167-16)))</f>
        <v>0</v>
      </c>
      <c r="CB192" s="5">
        <f>IF(($D$167-15)&lt;1,NA(),INDEX($D$183:$AD$183,($D$167-15)))</f>
        <v>0</v>
      </c>
      <c r="CC192" s="5">
        <f>IF(($D$167-14)&lt;1,NA(),INDEX($D$183:$AD$183,($D$167-14)))</f>
        <v>0</v>
      </c>
      <c r="CD192" s="5">
        <f>IF(($D$167-13)&lt;1,NA(),INDEX($D$183:$AD$183,($D$167-13)))</f>
        <v>0</v>
      </c>
      <c r="CE192" s="5">
        <f>IF(($D$167-12)&lt;1,NA(),INDEX($D$183:$AD$183,($D$167-12)))</f>
        <v>0</v>
      </c>
      <c r="CF192" s="5">
        <f>IF(($D$167-11)&lt;1,NA(),INDEX($D$183:$AD$183,($D$167-11)))</f>
        <v>0</v>
      </c>
      <c r="CG192" s="5">
        <f>IF(($D$167-10)&lt;1,NA(),INDEX($D$183:$AD$183,($D$167-10)))</f>
        <v>0</v>
      </c>
      <c r="CH192" s="5">
        <f>IF(($D$167-9)&lt;1,NA(),INDEX($D$183:$AD$183,($D$167-9)))</f>
        <v>0</v>
      </c>
      <c r="CI192" s="5">
        <f>IF(($D$167-8)&lt;1,NA(),INDEX($D$183:$AD$183,($D$167-8)))</f>
        <v>0</v>
      </c>
      <c r="CJ192" s="5">
        <f>IF(($D$167-7)&lt;1,NA(),INDEX($D$183:$AD$183,($D$167-7)))</f>
        <v>0</v>
      </c>
      <c r="CK192" s="5">
        <f>IF(($D$167-6)&lt;1,NA(),INDEX($D$183:$AD$183,($D$167-6)))</f>
        <v>0</v>
      </c>
      <c r="CL192" s="5">
        <f>IF(($D$167-5)&lt;1,NA(),INDEX($D$183:$AD$183,($D$167-5)))</f>
        <v>0</v>
      </c>
      <c r="CM192" s="5">
        <f>IF(($D$167-4)&lt;1,NA(),INDEX($D$183:$AD$183,($D$167-4)))</f>
        <v>0</v>
      </c>
      <c r="CN192" s="5">
        <f>IF(($D$167-3)&lt;1,NA(),INDEX($D$183:$AD$183,($D$167-3)))</f>
        <v>0</v>
      </c>
      <c r="CO192" s="5">
        <f>IF(($D$167-2)&lt;1,NA(),INDEX($D$183:$AD$183,($D$167-2)))</f>
        <v>0</v>
      </c>
      <c r="CP192" s="5">
        <f>IF(($D$167-1)&lt;1,NA(),INDEX($D$183:$AD$183,($D$167-1)))</f>
        <v>0</v>
      </c>
      <c r="CQ192" s="5">
        <f>IF(($D$167-0)&lt;1,NA(),INDEX($D$183:$AD$183,($D$167-0)))</f>
        <v>0</v>
      </c>
    </row>
    <row r="193" spans="1:95">
      <c r="A193" s="11" t="s">
        <v>453</v>
      </c>
      <c r="B193" s="11" t="s">
        <v>454</v>
      </c>
      <c r="C193" s="3" t="s">
        <v>398</v>
      </c>
      <c r="BR193" s="11">
        <f>IF(($D$167-25)&lt;1,"",INDEX($D$180:$AD$180,($D$167-25)))</f>
        <v>0</v>
      </c>
      <c r="BS193" s="11">
        <f>IF(($D$167-24)&lt;1,"",INDEX($D$180:$AD$180,($D$167-24)))</f>
        <v>0</v>
      </c>
      <c r="BT193" s="11">
        <f>IF(($D$167-23)&lt;1,"",INDEX($D$180:$AD$180,($D$167-23)))</f>
        <v>0</v>
      </c>
      <c r="BU193" s="11">
        <f>IF(($D$167-22)&lt;1,"",INDEX($D$180:$AD$180,($D$167-22)))</f>
        <v>0</v>
      </c>
      <c r="BV193" s="11">
        <f>IF(($D$167-21)&lt;1,"",INDEX($D$180:$AD$180,($D$167-21)))</f>
        <v>0</v>
      </c>
      <c r="BW193" s="11">
        <f>IF(($D$167-20)&lt;1,"",INDEX($D$180:$AD$180,($D$167-20)))</f>
        <v>0</v>
      </c>
      <c r="BX193" s="11">
        <f>IF(($D$167-19)&lt;1,"",INDEX($D$180:$AD$180,($D$167-19)))</f>
        <v>0</v>
      </c>
      <c r="BY193" s="11">
        <f>IF(($D$167-18)&lt;1,"",INDEX($D$180:$AD$180,($D$167-18)))</f>
        <v>0</v>
      </c>
      <c r="BZ193" s="11">
        <f>IF(($D$167-17)&lt;1,"",INDEX($D$180:$AD$180,($D$167-17)))</f>
        <v>0</v>
      </c>
      <c r="CA193" s="11">
        <f>IF(($D$167-16)&lt;1,"",INDEX($D$180:$AD$180,($D$167-16)))</f>
        <v>0</v>
      </c>
      <c r="CB193" s="11">
        <f>IF(($D$167-15)&lt;1,"",INDEX($D$180:$AD$180,($D$167-15)))</f>
        <v>0</v>
      </c>
      <c r="CC193" s="11">
        <f>IF(($D$167-14)&lt;1,"",INDEX($D$180:$AD$180,($D$167-14)))</f>
        <v>0</v>
      </c>
      <c r="CD193" s="11">
        <f>IF(($D$167-13)&lt;1,"",INDEX($D$180:$AD$180,($D$167-13)))</f>
        <v>0</v>
      </c>
      <c r="CE193" s="11">
        <f>IF(($D$167-12)&lt;1,"",INDEX($D$180:$AD$180,($D$167-12)))</f>
        <v>0</v>
      </c>
      <c r="CF193" s="11">
        <f>IF(($D$167-11)&lt;1,"",INDEX($D$180:$AD$180,($D$167-11)))</f>
        <v>0</v>
      </c>
      <c r="CG193" s="11">
        <f>IF(($D$167-10)&lt;1,"",INDEX($D$180:$AD$180,($D$167-10)))</f>
        <v>0</v>
      </c>
      <c r="CH193" s="11">
        <f>IF(($D$167-9)&lt;1,"",INDEX($D$180:$AD$180,($D$167-9)))</f>
        <v>0</v>
      </c>
      <c r="CI193" s="11">
        <f>IF(($D$167-8)&lt;1,"",INDEX($D$180:$AD$180,($D$167-8)))</f>
        <v>0</v>
      </c>
      <c r="CJ193" s="11">
        <f>IF(($D$167-7)&lt;1,"",INDEX($D$180:$AD$180,($D$167-7)))</f>
        <v>0</v>
      </c>
      <c r="CK193" s="11">
        <f>IF(($D$167-6)&lt;1,"",INDEX($D$180:$AD$180,($D$167-6)))</f>
        <v>0</v>
      </c>
      <c r="CL193" s="11">
        <f>IF(($D$167-5)&lt;1,"",INDEX($D$180:$AD$180,($D$167-5)))</f>
        <v>0</v>
      </c>
      <c r="CM193" s="11">
        <f>IF(($D$167-4)&lt;1,"",INDEX($D$180:$AD$180,($D$167-4)))</f>
        <v>0</v>
      </c>
      <c r="CN193" s="11">
        <f>IF(($D$167-3)&lt;1,"",INDEX($D$180:$AD$180,($D$167-3)))</f>
        <v>0</v>
      </c>
      <c r="CO193" s="11">
        <f>IF(($D$167-2)&lt;1,"",INDEX($D$180:$AD$180,($D$167-2)))</f>
        <v>0</v>
      </c>
      <c r="CP193" s="11">
        <f>IF(($D$167-1)&lt;1,"",INDEX($D$180:$AD$180,($D$167-1)))</f>
        <v>0</v>
      </c>
      <c r="CQ193" s="11">
        <f>IF(($D$167-0)&lt;1,"",INDEX($D$180:$AD$180,($D$167-0)))</f>
        <v>0</v>
      </c>
    </row>
    <row r="194" spans="1:95">
      <c r="A194" s="11" t="s">
        <v>455</v>
      </c>
      <c r="B194" s="11" t="s">
        <v>456</v>
      </c>
      <c r="C194" s="3" t="s">
        <v>398</v>
      </c>
      <c r="BR194" s="5">
        <f>IF(($D$167-25)&lt;1,NA(),INDEX($D$184:$AD$184,($D$167-25)))</f>
        <v>0</v>
      </c>
      <c r="BS194" s="5">
        <f>IF(($D$167-24)&lt;1,NA(),INDEX($D$184:$AD$184,($D$167-24)))</f>
        <v>0</v>
      </c>
      <c r="BT194" s="5">
        <f>IF(($D$167-23)&lt;1,NA(),INDEX($D$184:$AD$184,($D$167-23)))</f>
        <v>0</v>
      </c>
      <c r="BU194" s="5">
        <f>IF(($D$167-22)&lt;1,NA(),INDEX($D$184:$AD$184,($D$167-22)))</f>
        <v>0</v>
      </c>
      <c r="BV194" s="5">
        <f>IF(($D$167-21)&lt;1,NA(),INDEX($D$184:$AD$184,($D$167-21)))</f>
        <v>0</v>
      </c>
      <c r="BW194" s="5">
        <f>IF(($D$167-20)&lt;1,NA(),INDEX($D$184:$AD$184,($D$167-20)))</f>
        <v>0</v>
      </c>
      <c r="BX194" s="5">
        <f>IF(($D$167-19)&lt;1,NA(),INDEX($D$184:$AD$184,($D$167-19)))</f>
        <v>0</v>
      </c>
      <c r="BY194" s="5">
        <f>IF(($D$167-18)&lt;1,NA(),INDEX($D$184:$AD$184,($D$167-18)))</f>
        <v>0</v>
      </c>
      <c r="BZ194" s="5">
        <f>IF(($D$167-17)&lt;1,NA(),INDEX($D$184:$AD$184,($D$167-17)))</f>
        <v>0</v>
      </c>
      <c r="CA194" s="5">
        <f>IF(($D$167-16)&lt;1,NA(),INDEX($D$184:$AD$184,($D$167-16)))</f>
        <v>0</v>
      </c>
      <c r="CB194" s="5">
        <f>IF(($D$167-15)&lt;1,NA(),INDEX($D$184:$AD$184,($D$167-15)))</f>
        <v>0</v>
      </c>
      <c r="CC194" s="5">
        <f>IF(($D$167-14)&lt;1,NA(),INDEX($D$184:$AD$184,($D$167-14)))</f>
        <v>0</v>
      </c>
      <c r="CD194" s="5">
        <f>IF(($D$167-13)&lt;1,NA(),INDEX($D$184:$AD$184,($D$167-13)))</f>
        <v>0</v>
      </c>
      <c r="CE194" s="5">
        <f>IF(($D$167-12)&lt;1,NA(),INDEX($D$184:$AD$184,($D$167-12)))</f>
        <v>0</v>
      </c>
      <c r="CF194" s="5">
        <f>IF(($D$167-11)&lt;1,NA(),INDEX($D$184:$AD$184,($D$167-11)))</f>
        <v>0</v>
      </c>
      <c r="CG194" s="5">
        <f>IF(($D$167-10)&lt;1,NA(),INDEX($D$184:$AD$184,($D$167-10)))</f>
        <v>0</v>
      </c>
      <c r="CH194" s="5">
        <f>IF(($D$167-9)&lt;1,NA(),INDEX($D$184:$AD$184,($D$167-9)))</f>
        <v>0</v>
      </c>
      <c r="CI194" s="5">
        <f>IF(($D$167-8)&lt;1,NA(),INDEX($D$184:$AD$184,($D$167-8)))</f>
        <v>0</v>
      </c>
      <c r="CJ194" s="5">
        <f>IF(($D$167-7)&lt;1,NA(),INDEX($D$184:$AD$184,($D$167-7)))</f>
        <v>0</v>
      </c>
      <c r="CK194" s="5">
        <f>IF(($D$167-6)&lt;1,NA(),INDEX($D$184:$AD$184,($D$167-6)))</f>
        <v>0</v>
      </c>
      <c r="CL194" s="5">
        <f>IF(($D$167-5)&lt;1,NA(),INDEX($D$184:$AD$184,($D$167-5)))</f>
        <v>0</v>
      </c>
      <c r="CM194" s="5">
        <f>IF(($D$167-4)&lt;1,NA(),INDEX($D$184:$AD$184,($D$167-4)))</f>
        <v>0</v>
      </c>
      <c r="CN194" s="5">
        <f>IF(($D$167-3)&lt;1,NA(),INDEX($D$184:$AD$184,($D$167-3)))</f>
        <v>0</v>
      </c>
      <c r="CO194" s="5">
        <f>IF(($D$167-2)&lt;1,NA(),INDEX($D$184:$AD$184,($D$167-2)))</f>
        <v>0</v>
      </c>
      <c r="CP194" s="5">
        <f>IF(($D$167-1)&lt;1,NA(),INDEX($D$184:$AD$184,($D$167-1)))</f>
        <v>0</v>
      </c>
      <c r="CQ194" s="5">
        <f>IF(($D$167-0)&lt;1,NA(),INDEX($D$184:$AD$184,($D$167-0)))</f>
        <v>0</v>
      </c>
    </row>
    <row r="195" spans="1:95">
      <c r="A195" s="11" t="s">
        <v>457</v>
      </c>
      <c r="B195" s="11" t="s">
        <v>458</v>
      </c>
      <c r="C195" s="3" t="s">
        <v>398</v>
      </c>
      <c r="BR195" s="11">
        <f>IF(($D$167-25)&lt;1,"",INDEX($D$182:$AD$182,($D$167-25)))</f>
        <v>0</v>
      </c>
      <c r="BS195" s="11">
        <f>IF(($D$167-24)&lt;1,"",INDEX($D$182:$AD$182,($D$167-24)))</f>
        <v>0</v>
      </c>
      <c r="BT195" s="11">
        <f>IF(($D$167-23)&lt;1,"",INDEX($D$182:$AD$182,($D$167-23)))</f>
        <v>0</v>
      </c>
      <c r="BU195" s="11">
        <f>IF(($D$167-22)&lt;1,"",INDEX($D$182:$AD$182,($D$167-22)))</f>
        <v>0</v>
      </c>
      <c r="BV195" s="11">
        <f>IF(($D$167-21)&lt;1,"",INDEX($D$182:$AD$182,($D$167-21)))</f>
        <v>0</v>
      </c>
      <c r="BW195" s="11">
        <f>IF(($D$167-20)&lt;1,"",INDEX($D$182:$AD$182,($D$167-20)))</f>
        <v>0</v>
      </c>
      <c r="BX195" s="11">
        <f>IF(($D$167-19)&lt;1,"",INDEX($D$182:$AD$182,($D$167-19)))</f>
        <v>0</v>
      </c>
      <c r="BY195" s="11">
        <f>IF(($D$167-18)&lt;1,"",INDEX($D$182:$AD$182,($D$167-18)))</f>
        <v>0</v>
      </c>
      <c r="BZ195" s="11">
        <f>IF(($D$167-17)&lt;1,"",INDEX($D$182:$AD$182,($D$167-17)))</f>
        <v>0</v>
      </c>
      <c r="CA195" s="11">
        <f>IF(($D$167-16)&lt;1,"",INDEX($D$182:$AD$182,($D$167-16)))</f>
        <v>0</v>
      </c>
      <c r="CB195" s="11">
        <f>IF(($D$167-15)&lt;1,"",INDEX($D$182:$AD$182,($D$167-15)))</f>
        <v>0</v>
      </c>
      <c r="CC195" s="11">
        <f>IF(($D$167-14)&lt;1,"",INDEX($D$182:$AD$182,($D$167-14)))</f>
        <v>0</v>
      </c>
      <c r="CD195" s="11">
        <f>IF(($D$167-13)&lt;1,"",INDEX($D$182:$AD$182,($D$167-13)))</f>
        <v>0</v>
      </c>
      <c r="CE195" s="11">
        <f>IF(($D$167-12)&lt;1,"",INDEX($D$182:$AD$182,($D$167-12)))</f>
        <v>0</v>
      </c>
      <c r="CF195" s="11">
        <f>IF(($D$167-11)&lt;1,"",INDEX($D$182:$AD$182,($D$167-11)))</f>
        <v>0</v>
      </c>
      <c r="CG195" s="11">
        <f>IF(($D$167-10)&lt;1,"",INDEX($D$182:$AD$182,($D$167-10)))</f>
        <v>0</v>
      </c>
      <c r="CH195" s="11">
        <f>IF(($D$167-9)&lt;1,"",INDEX($D$182:$AD$182,($D$167-9)))</f>
        <v>0</v>
      </c>
      <c r="CI195" s="11">
        <f>IF(($D$167-8)&lt;1,"",INDEX($D$182:$AD$182,($D$167-8)))</f>
        <v>0</v>
      </c>
      <c r="CJ195" s="11">
        <f>IF(($D$167-7)&lt;1,"",INDEX($D$182:$AD$182,($D$167-7)))</f>
        <v>0</v>
      </c>
      <c r="CK195" s="11">
        <f>IF(($D$167-6)&lt;1,"",INDEX($D$182:$AD$182,($D$167-6)))</f>
        <v>0</v>
      </c>
      <c r="CL195" s="11">
        <f>IF(($D$167-5)&lt;1,"",INDEX($D$182:$AD$182,($D$167-5)))</f>
        <v>0</v>
      </c>
      <c r="CM195" s="11">
        <f>IF(($D$167-4)&lt;1,"",INDEX($D$182:$AD$182,($D$167-4)))</f>
        <v>0</v>
      </c>
      <c r="CN195" s="11">
        <f>IF(($D$167-3)&lt;1,"",INDEX($D$182:$AD$182,($D$167-3)))</f>
        <v>0</v>
      </c>
      <c r="CO195" s="11">
        <f>IF(($D$167-2)&lt;1,"",INDEX($D$182:$AD$182,($D$167-2)))</f>
        <v>0</v>
      </c>
      <c r="CP195" s="11">
        <f>IF(($D$167-1)&lt;1,"",INDEX($D$182:$AD$182,($D$167-1)))</f>
        <v>0</v>
      </c>
      <c r="CQ195" s="11">
        <f>IF(($D$167-0)&lt;1,"",INDEX($D$182:$AD$182,($D$167-0)))</f>
        <v>0</v>
      </c>
    </row>
    <row r="196" spans="1:95">
      <c r="A196" s="11" t="s">
        <v>459</v>
      </c>
      <c r="B196" s="11" t="s">
        <v>460</v>
      </c>
      <c r="C196" s="3" t="s">
        <v>398</v>
      </c>
      <c r="BR196" s="5">
        <f>IF(($D$167-25)&lt;1,NA(),INDEX($D$186:$AD$186,($D$167-25)))</f>
        <v>0</v>
      </c>
      <c r="BS196" s="5">
        <f>IF(($D$167-24)&lt;1,NA(),INDEX($D$186:$AD$186,($D$167-24)))</f>
        <v>0</v>
      </c>
      <c r="BT196" s="5">
        <f>IF(($D$167-23)&lt;1,NA(),INDEX($D$186:$AD$186,($D$167-23)))</f>
        <v>0</v>
      </c>
      <c r="BU196" s="5">
        <f>IF(($D$167-22)&lt;1,NA(),INDEX($D$186:$AD$186,($D$167-22)))</f>
        <v>0</v>
      </c>
      <c r="BV196" s="5">
        <f>IF(($D$167-21)&lt;1,NA(),INDEX($D$186:$AD$186,($D$167-21)))</f>
        <v>0</v>
      </c>
      <c r="BW196" s="5">
        <f>IF(($D$167-20)&lt;1,NA(),INDEX($D$186:$AD$186,($D$167-20)))</f>
        <v>0</v>
      </c>
      <c r="BX196" s="5">
        <f>IF(($D$167-19)&lt;1,NA(),INDEX($D$186:$AD$186,($D$167-19)))</f>
        <v>0</v>
      </c>
      <c r="BY196" s="5">
        <f>IF(($D$167-18)&lt;1,NA(),INDEX($D$186:$AD$186,($D$167-18)))</f>
        <v>0</v>
      </c>
      <c r="BZ196" s="5">
        <f>IF(($D$167-17)&lt;1,NA(),INDEX($D$186:$AD$186,($D$167-17)))</f>
        <v>0</v>
      </c>
      <c r="CA196" s="5">
        <f>IF(($D$167-16)&lt;1,NA(),INDEX($D$186:$AD$186,($D$167-16)))</f>
        <v>0</v>
      </c>
      <c r="CB196" s="5">
        <f>IF(($D$167-15)&lt;1,NA(),INDEX($D$186:$AD$186,($D$167-15)))</f>
        <v>0</v>
      </c>
      <c r="CC196" s="5">
        <f>IF(($D$167-14)&lt;1,NA(),INDEX($D$186:$AD$186,($D$167-14)))</f>
        <v>0</v>
      </c>
      <c r="CD196" s="5">
        <f>IF(($D$167-13)&lt;1,NA(),INDEX($D$186:$AD$186,($D$167-13)))</f>
        <v>0</v>
      </c>
      <c r="CE196" s="5">
        <f>IF(($D$167-12)&lt;1,NA(),INDEX($D$186:$AD$186,($D$167-12)))</f>
        <v>0</v>
      </c>
      <c r="CF196" s="5">
        <f>IF(($D$167-11)&lt;1,NA(),INDEX($D$186:$AD$186,($D$167-11)))</f>
        <v>0</v>
      </c>
      <c r="CG196" s="5">
        <f>IF(($D$167-10)&lt;1,NA(),INDEX($D$186:$AD$186,($D$167-10)))</f>
        <v>0</v>
      </c>
      <c r="CH196" s="5">
        <f>IF(($D$167-9)&lt;1,NA(),INDEX($D$186:$AD$186,($D$167-9)))</f>
        <v>0</v>
      </c>
      <c r="CI196" s="5">
        <f>IF(($D$167-8)&lt;1,NA(),INDEX($D$186:$AD$186,($D$167-8)))</f>
        <v>0</v>
      </c>
      <c r="CJ196" s="5">
        <f>IF(($D$167-7)&lt;1,NA(),INDEX($D$186:$AD$186,($D$167-7)))</f>
        <v>0</v>
      </c>
      <c r="CK196" s="5">
        <f>IF(($D$167-6)&lt;1,NA(),INDEX($D$186:$AD$186,($D$167-6)))</f>
        <v>0</v>
      </c>
      <c r="CL196" s="5">
        <f>IF(($D$167-5)&lt;1,NA(),INDEX($D$186:$AD$186,($D$167-5)))</f>
        <v>0</v>
      </c>
      <c r="CM196" s="5">
        <f>IF(($D$167-4)&lt;1,NA(),INDEX($D$186:$AD$186,($D$167-4)))</f>
        <v>0</v>
      </c>
      <c r="CN196" s="5">
        <f>IF(($D$167-3)&lt;1,NA(),INDEX($D$186:$AD$186,($D$167-3)))</f>
        <v>0</v>
      </c>
      <c r="CO196" s="5">
        <f>IF(($D$167-2)&lt;1,NA(),INDEX($D$186:$AD$186,($D$167-2)))</f>
        <v>0</v>
      </c>
      <c r="CP196" s="5">
        <f>IF(($D$167-1)&lt;1,NA(),INDEX($D$186:$AD$186,($D$167-1)))</f>
        <v>0</v>
      </c>
      <c r="CQ196" s="5">
        <f>IF(($D$167-0)&lt;1,NA(),INDEX($D$186:$AD$186,($D$167-0)))</f>
        <v>0</v>
      </c>
    </row>
    <row r="197" spans="1:95">
      <c r="A197" s="11" t="s">
        <v>461</v>
      </c>
      <c r="B197" s="11" t="s">
        <v>462</v>
      </c>
      <c r="C197" s="3" t="s">
        <v>398</v>
      </c>
      <c r="BR197" s="5">
        <f>IF(($D$167-25)&lt;1,NA(),INDEX($D$187:$AD$187,($D$167-25)))</f>
        <v>0</v>
      </c>
      <c r="BS197" s="5">
        <f>IF(($D$167-24)&lt;1,NA(),INDEX($D$187:$AD$187,($D$167-24)))</f>
        <v>0</v>
      </c>
      <c r="BT197" s="5">
        <f>IF(($D$167-23)&lt;1,NA(),INDEX($D$187:$AD$187,($D$167-23)))</f>
        <v>0</v>
      </c>
      <c r="BU197" s="5">
        <f>IF(($D$167-22)&lt;1,NA(),INDEX($D$187:$AD$187,($D$167-22)))</f>
        <v>0</v>
      </c>
      <c r="BV197" s="5">
        <f>IF(($D$167-21)&lt;1,NA(),INDEX($D$187:$AD$187,($D$167-21)))</f>
        <v>0</v>
      </c>
      <c r="BW197" s="5">
        <f>IF(($D$167-20)&lt;1,NA(),INDEX($D$187:$AD$187,($D$167-20)))</f>
        <v>0</v>
      </c>
      <c r="BX197" s="5">
        <f>IF(($D$167-19)&lt;1,NA(),INDEX($D$187:$AD$187,($D$167-19)))</f>
        <v>0</v>
      </c>
      <c r="BY197" s="5">
        <f>IF(($D$167-18)&lt;1,NA(),INDEX($D$187:$AD$187,($D$167-18)))</f>
        <v>0</v>
      </c>
      <c r="BZ197" s="5">
        <f>IF(($D$167-17)&lt;1,NA(),INDEX($D$187:$AD$187,($D$167-17)))</f>
        <v>0</v>
      </c>
      <c r="CA197" s="5">
        <f>IF(($D$167-16)&lt;1,NA(),INDEX($D$187:$AD$187,($D$167-16)))</f>
        <v>0</v>
      </c>
      <c r="CB197" s="5">
        <f>IF(($D$167-15)&lt;1,NA(),INDEX($D$187:$AD$187,($D$167-15)))</f>
        <v>0</v>
      </c>
      <c r="CC197" s="5">
        <f>IF(($D$167-14)&lt;1,NA(),INDEX($D$187:$AD$187,($D$167-14)))</f>
        <v>0</v>
      </c>
      <c r="CD197" s="5">
        <f>IF(($D$167-13)&lt;1,NA(),INDEX($D$187:$AD$187,($D$167-13)))</f>
        <v>0</v>
      </c>
      <c r="CE197" s="5">
        <f>IF(($D$167-12)&lt;1,NA(),INDEX($D$187:$AD$187,($D$167-12)))</f>
        <v>0</v>
      </c>
      <c r="CF197" s="5">
        <f>IF(($D$167-11)&lt;1,NA(),INDEX($D$187:$AD$187,($D$167-11)))</f>
        <v>0</v>
      </c>
      <c r="CG197" s="5">
        <f>IF(($D$167-10)&lt;1,NA(),INDEX($D$187:$AD$187,($D$167-10)))</f>
        <v>0</v>
      </c>
      <c r="CH197" s="5">
        <f>IF(($D$167-9)&lt;1,NA(),INDEX($D$187:$AD$187,($D$167-9)))</f>
        <v>0</v>
      </c>
      <c r="CI197" s="5">
        <f>IF(($D$167-8)&lt;1,NA(),INDEX($D$187:$AD$187,($D$167-8)))</f>
        <v>0</v>
      </c>
      <c r="CJ197" s="5">
        <f>IF(($D$167-7)&lt;1,NA(),INDEX($D$187:$AD$187,($D$167-7)))</f>
        <v>0</v>
      </c>
      <c r="CK197" s="5">
        <f>IF(($D$167-6)&lt;1,NA(),INDEX($D$187:$AD$187,($D$167-6)))</f>
        <v>0</v>
      </c>
      <c r="CL197" s="5">
        <f>IF(($D$167-5)&lt;1,NA(),INDEX($D$187:$AD$187,($D$167-5)))</f>
        <v>0</v>
      </c>
      <c r="CM197" s="5">
        <f>IF(($D$167-4)&lt;1,NA(),INDEX($D$187:$AD$187,($D$167-4)))</f>
        <v>0</v>
      </c>
      <c r="CN197" s="5">
        <f>IF(($D$167-3)&lt;1,NA(),INDEX($D$187:$AD$187,($D$167-3)))</f>
        <v>0</v>
      </c>
      <c r="CO197" s="5">
        <f>IF(($D$167-2)&lt;1,NA(),INDEX($D$187:$AD$187,($D$167-2)))</f>
        <v>0</v>
      </c>
      <c r="CP197" s="5">
        <f>IF(($D$167-1)&lt;1,NA(),INDEX($D$187:$AD$187,($D$167-1)))</f>
        <v>0</v>
      </c>
      <c r="CQ197" s="5">
        <f>IF(($D$167-0)&lt;1,NA(),INDEX($D$187:$AD$187,($D$167-0)))</f>
        <v>0</v>
      </c>
    </row>
    <row r="198" spans="1:95">
      <c r="A198" s="11" t="s">
        <v>463</v>
      </c>
      <c r="B198" s="11" t="s">
        <v>464</v>
      </c>
      <c r="C198" s="3" t="s">
        <v>398</v>
      </c>
      <c r="BR198" s="5">
        <f>IF(($D$167-25)&lt;1,NA(),INDEX($D$188:$AD$188,($D$167-25)))</f>
        <v>0</v>
      </c>
      <c r="BS198" s="5">
        <f>IF(($D$167-24)&lt;1,NA(),INDEX($D$188:$AD$188,($D$167-24)))</f>
        <v>0</v>
      </c>
      <c r="BT198" s="5">
        <f>IF(($D$167-23)&lt;1,NA(),INDEX($D$188:$AD$188,($D$167-23)))</f>
        <v>0</v>
      </c>
      <c r="BU198" s="5">
        <f>IF(($D$167-22)&lt;1,NA(),INDEX($D$188:$AD$188,($D$167-22)))</f>
        <v>0</v>
      </c>
      <c r="BV198" s="5">
        <f>IF(($D$167-21)&lt;1,NA(),INDEX($D$188:$AD$188,($D$167-21)))</f>
        <v>0</v>
      </c>
      <c r="BW198" s="5">
        <f>IF(($D$167-20)&lt;1,NA(),INDEX($D$188:$AD$188,($D$167-20)))</f>
        <v>0</v>
      </c>
      <c r="BX198" s="5">
        <f>IF(($D$167-19)&lt;1,NA(),INDEX($D$188:$AD$188,($D$167-19)))</f>
        <v>0</v>
      </c>
      <c r="BY198" s="5">
        <f>IF(($D$167-18)&lt;1,NA(),INDEX($D$188:$AD$188,($D$167-18)))</f>
        <v>0</v>
      </c>
      <c r="BZ198" s="5">
        <f>IF(($D$167-17)&lt;1,NA(),INDEX($D$188:$AD$188,($D$167-17)))</f>
        <v>0</v>
      </c>
      <c r="CA198" s="5">
        <f>IF(($D$167-16)&lt;1,NA(),INDEX($D$188:$AD$188,($D$167-16)))</f>
        <v>0</v>
      </c>
      <c r="CB198" s="5">
        <f>IF(($D$167-15)&lt;1,NA(),INDEX($D$188:$AD$188,($D$167-15)))</f>
        <v>0</v>
      </c>
      <c r="CC198" s="5">
        <f>IF(($D$167-14)&lt;1,NA(),INDEX($D$188:$AD$188,($D$167-14)))</f>
        <v>0</v>
      </c>
      <c r="CD198" s="5">
        <f>IF(($D$167-13)&lt;1,NA(),INDEX($D$188:$AD$188,($D$167-13)))</f>
        <v>0</v>
      </c>
      <c r="CE198" s="5">
        <f>IF(($D$167-12)&lt;1,NA(),INDEX($D$188:$AD$188,($D$167-12)))</f>
        <v>0</v>
      </c>
      <c r="CF198" s="5">
        <f>IF(($D$167-11)&lt;1,NA(),INDEX($D$188:$AD$188,($D$167-11)))</f>
        <v>0</v>
      </c>
      <c r="CG198" s="5">
        <f>IF(($D$167-10)&lt;1,NA(),INDEX($D$188:$AD$188,($D$167-10)))</f>
        <v>0</v>
      </c>
      <c r="CH198" s="5">
        <f>IF(($D$167-9)&lt;1,NA(),INDEX($D$188:$AD$188,($D$167-9)))</f>
        <v>0</v>
      </c>
      <c r="CI198" s="5">
        <f>IF(($D$167-8)&lt;1,NA(),INDEX($D$188:$AD$188,($D$167-8)))</f>
        <v>0</v>
      </c>
      <c r="CJ198" s="5">
        <f>IF(($D$167-7)&lt;1,NA(),INDEX($D$188:$AD$188,($D$167-7)))</f>
        <v>0</v>
      </c>
      <c r="CK198" s="5">
        <f>IF(($D$167-6)&lt;1,NA(),INDEX($D$188:$AD$188,($D$167-6)))</f>
        <v>0</v>
      </c>
      <c r="CL198" s="5">
        <f>IF(($D$167-5)&lt;1,NA(),INDEX($D$188:$AD$188,($D$167-5)))</f>
        <v>0</v>
      </c>
      <c r="CM198" s="5">
        <f>IF(($D$167-4)&lt;1,NA(),INDEX($D$188:$AD$188,($D$167-4)))</f>
        <v>0</v>
      </c>
      <c r="CN198" s="5">
        <f>IF(($D$167-3)&lt;1,NA(),INDEX($D$188:$AD$188,($D$167-3)))</f>
        <v>0</v>
      </c>
      <c r="CO198" s="5">
        <f>IF(($D$167-2)&lt;1,NA(),INDEX($D$188:$AD$188,($D$167-2)))</f>
        <v>0</v>
      </c>
      <c r="CP198" s="5">
        <f>IF(($D$167-1)&lt;1,NA(),INDEX($D$188:$AD$188,($D$167-1)))</f>
        <v>0</v>
      </c>
      <c r="CQ198" s="5">
        <f>IF(($D$167-0)&lt;1,NA(),INDEX($D$188:$AD$188,($D$167-0)))</f>
        <v>0</v>
      </c>
    </row>
    <row r="199" spans="1:95">
      <c r="A199" s="11" t="s">
        <v>465</v>
      </c>
      <c r="B199" s="11" t="s">
        <v>466</v>
      </c>
      <c r="C199" s="3" t="s">
        <v>398</v>
      </c>
      <c r="BR199" s="11">
        <f>IF(($D$167-25)&lt;1,"",INDEX($D$189:$AD$189,($D$167-25)))</f>
        <v>0</v>
      </c>
      <c r="BS199" s="11">
        <f>IF(($D$167-24)&lt;1,"",INDEX($D$189:$AD$189,($D$167-24)))</f>
        <v>0</v>
      </c>
      <c r="BT199" s="11">
        <f>IF(($D$167-23)&lt;1,"",INDEX($D$189:$AD$189,($D$167-23)))</f>
        <v>0</v>
      </c>
      <c r="BU199" s="11">
        <f>IF(($D$167-22)&lt;1,"",INDEX($D$189:$AD$189,($D$167-22)))</f>
        <v>0</v>
      </c>
      <c r="BV199" s="11">
        <f>IF(($D$167-21)&lt;1,"",INDEX($D$189:$AD$189,($D$167-21)))</f>
        <v>0</v>
      </c>
      <c r="BW199" s="11">
        <f>IF(($D$167-20)&lt;1,"",INDEX($D$189:$AD$189,($D$167-20)))</f>
        <v>0</v>
      </c>
      <c r="BX199" s="11">
        <f>IF(($D$167-19)&lt;1,"",INDEX($D$189:$AD$189,($D$167-19)))</f>
        <v>0</v>
      </c>
      <c r="BY199" s="11">
        <f>IF(($D$167-18)&lt;1,"",INDEX($D$189:$AD$189,($D$167-18)))</f>
        <v>0</v>
      </c>
      <c r="BZ199" s="11">
        <f>IF(($D$167-17)&lt;1,"",INDEX($D$189:$AD$189,($D$167-17)))</f>
        <v>0</v>
      </c>
      <c r="CA199" s="11">
        <f>IF(($D$167-16)&lt;1,"",INDEX($D$189:$AD$189,($D$167-16)))</f>
        <v>0</v>
      </c>
      <c r="CB199" s="11">
        <f>IF(($D$167-15)&lt;1,"",INDEX($D$189:$AD$189,($D$167-15)))</f>
        <v>0</v>
      </c>
      <c r="CC199" s="11">
        <f>IF(($D$167-14)&lt;1,"",INDEX($D$189:$AD$189,($D$167-14)))</f>
        <v>0</v>
      </c>
      <c r="CD199" s="11">
        <f>IF(($D$167-13)&lt;1,"",INDEX($D$189:$AD$189,($D$167-13)))</f>
        <v>0</v>
      </c>
      <c r="CE199" s="11">
        <f>IF(($D$167-12)&lt;1,"",INDEX($D$189:$AD$189,($D$167-12)))</f>
        <v>0</v>
      </c>
      <c r="CF199" s="11">
        <f>IF(($D$167-11)&lt;1,"",INDEX($D$189:$AD$189,($D$167-11)))</f>
        <v>0</v>
      </c>
      <c r="CG199" s="11">
        <f>IF(($D$167-10)&lt;1,"",INDEX($D$189:$AD$189,($D$167-10)))</f>
        <v>0</v>
      </c>
      <c r="CH199" s="11">
        <f>IF(($D$167-9)&lt;1,"",INDEX($D$189:$AD$189,($D$167-9)))</f>
        <v>0</v>
      </c>
      <c r="CI199" s="11">
        <f>IF(($D$167-8)&lt;1,"",INDEX($D$189:$AD$189,($D$167-8)))</f>
        <v>0</v>
      </c>
      <c r="CJ199" s="11">
        <f>IF(($D$167-7)&lt;1,"",INDEX($D$189:$AD$189,($D$167-7)))</f>
        <v>0</v>
      </c>
      <c r="CK199" s="11">
        <f>IF(($D$167-6)&lt;1,"",INDEX($D$189:$AD$189,($D$167-6)))</f>
        <v>0</v>
      </c>
      <c r="CL199" s="11">
        <f>IF(($D$167-5)&lt;1,"",INDEX($D$189:$AD$189,($D$167-5)))</f>
        <v>0</v>
      </c>
      <c r="CM199" s="11">
        <f>IF(($D$167-4)&lt;1,"",INDEX($D$189:$AD$189,($D$167-4)))</f>
        <v>0</v>
      </c>
      <c r="CN199" s="11">
        <f>IF(($D$167-3)&lt;1,"",INDEX($D$189:$AD$189,($D$167-3)))</f>
        <v>0</v>
      </c>
      <c r="CO199" s="11">
        <f>IF(($D$167-2)&lt;1,"",INDEX($D$189:$AD$189,($D$167-2)))</f>
        <v>0</v>
      </c>
      <c r="CP199" s="11">
        <f>IF(($D$167-1)&lt;1,"",INDEX($D$189:$AD$189,($D$167-1)))</f>
        <v>0</v>
      </c>
      <c r="CQ199" s="11">
        <f>IF(($D$167-0)&lt;1,"",INDEX($D$189:$AD$189,($D$167-0)))</f>
        <v>0</v>
      </c>
    </row>
    <row r="200" spans="1:95">
      <c r="A200" s="11" t="s">
        <v>467</v>
      </c>
      <c r="B200" s="11" t="s">
        <v>468</v>
      </c>
      <c r="C200" s="3" t="s">
        <v>137</v>
      </c>
      <c r="D200" s="5">
        <f>IF(MAX($D$201:$AD$201)=0,27,MAX($D$201:$AD$201))</f>
        <v>0</v>
      </c>
    </row>
    <row r="201" spans="1:95">
      <c r="A201" s="11" t="s">
        <v>469</v>
      </c>
      <c r="B201" s="11" t="s">
        <v>470</v>
      </c>
      <c r="C201" s="3" t="s">
        <v>137</v>
      </c>
      <c r="D201" s="5">
        <f>IF(OR(ISNUMBER(D12)),1,0)</f>
        <v>0</v>
      </c>
      <c r="E201" s="5">
        <f>IF(OR(ISNUMBER(E12)),2,0)</f>
        <v>0</v>
      </c>
      <c r="F201" s="5">
        <f>IF(OR(ISNUMBER(F12)),3,0)</f>
        <v>0</v>
      </c>
      <c r="G201" s="5">
        <f>IF(OR(ISNUMBER(G12)),4,0)</f>
        <v>0</v>
      </c>
      <c r="H201" s="5">
        <f>IF(OR(ISNUMBER(H12)),5,0)</f>
        <v>0</v>
      </c>
      <c r="I201" s="5">
        <f>IF(OR(ISNUMBER(I12)),6,0)</f>
        <v>0</v>
      </c>
      <c r="J201" s="5">
        <f>IF(OR(ISNUMBER(J12)),7,0)</f>
        <v>0</v>
      </c>
      <c r="K201" s="5">
        <f>IF(OR(ISNUMBER(K12)),8,0)</f>
        <v>0</v>
      </c>
      <c r="L201" s="5">
        <f>IF(OR(ISNUMBER(L12)),9,0)</f>
        <v>0</v>
      </c>
      <c r="M201" s="5">
        <f>IF(OR(ISNUMBER(M12)),10,0)</f>
        <v>0</v>
      </c>
      <c r="N201" s="5">
        <f>IF(OR(ISNUMBER(N12)),11,0)</f>
        <v>0</v>
      </c>
      <c r="O201" s="5">
        <f>IF(OR(ISNUMBER(O12)),12,0)</f>
        <v>0</v>
      </c>
      <c r="P201" s="5">
        <f>IF(OR(ISNUMBER(P12)),13,0)</f>
        <v>0</v>
      </c>
      <c r="Q201" s="5">
        <f>IF(OR(ISNUMBER(Q12)),14,0)</f>
        <v>0</v>
      </c>
      <c r="R201" s="5">
        <f>IF(OR(ISNUMBER(R12)),15,0)</f>
        <v>0</v>
      </c>
      <c r="S201" s="5">
        <f>IF(OR(ISNUMBER(S12)),16,0)</f>
        <v>0</v>
      </c>
      <c r="T201" s="5">
        <f>IF(OR(ISNUMBER(T12)),17,0)</f>
        <v>0</v>
      </c>
      <c r="U201" s="5">
        <f>IF(OR(ISNUMBER(U12)),18,0)</f>
        <v>0</v>
      </c>
      <c r="V201" s="5">
        <f>IF(OR(ISNUMBER(V12)),19,0)</f>
        <v>0</v>
      </c>
      <c r="W201" s="5">
        <f>IF(OR(ISNUMBER(W12)),20,0)</f>
        <v>0</v>
      </c>
      <c r="X201" s="5">
        <f>IF(OR(ISNUMBER(X12)),21,0)</f>
        <v>0</v>
      </c>
      <c r="Y201" s="5">
        <f>IF(OR(ISNUMBER(Y12)),22,0)</f>
        <v>0</v>
      </c>
      <c r="Z201" s="5">
        <f>IF(OR(ISNUMBER(Z12)),23,0)</f>
        <v>0</v>
      </c>
      <c r="AA201" s="5">
        <f>IF(OR(ISNUMBER(AA12)),24,0)</f>
        <v>0</v>
      </c>
      <c r="AB201" s="5">
        <f>IF(OR(ISNUMBER(AB12)),25,0)</f>
        <v>0</v>
      </c>
      <c r="AC201" s="5">
        <f>IF(OR(ISNUMBER(AC12)),26,0)</f>
        <v>0</v>
      </c>
      <c r="AD201" s="5">
        <f>IF(OR(ISNUMBER(AD12)),27,0)</f>
        <v>0</v>
      </c>
    </row>
    <row r="202" spans="1:95">
      <c r="A202" s="11" t="s">
        <v>471</v>
      </c>
      <c r="B202" s="11" t="s">
        <v>472</v>
      </c>
      <c r="C202" s="3" t="s">
        <v>387</v>
      </c>
      <c r="D202" s="80">
        <f>IF(MAX(IFERROR(N(INDEX(Wertstand!$A$113:$LJ$113,MATCH(INDEX($D$4:$AD$4,$D$200),RD_Kopf,0))),0))&gt;0,MAX(IFERROR(N(INDEX(Wertstand!$A$113:$LJ$113,MATCH(INDEX($D$4:$AD$4,$D$200),RD_Kopf,0))),0)),INDEX($D$4:$AD$4,$D$200))</f>
        <v>0</v>
      </c>
      <c r="E202" s="11">
        <f>"Stand: "&amp;TEXT(DAY($D$202),"00")&amp;"."&amp;TEXT(MONTH($D$202),"00")&amp;"."&amp;RIGHT(YEAR($D$202),2)</f>
        <v>0</v>
      </c>
      <c r="F202" s="11">
        <f>"Stand:"&amp;CHAR(10)&amp;TEXT(DAY($D$202),"00")&amp;"."&amp;TEXT(MONTH($D$202),"00")&amp;"."&amp;RIGHT(YEAR($D$202),2)</f>
        <v>0</v>
      </c>
    </row>
    <row r="203" spans="1:95">
      <c r="A203" s="11" t="s">
        <v>473</v>
      </c>
      <c r="B203" s="11" t="s">
        <v>474</v>
      </c>
      <c r="C203" s="3" t="s">
        <v>137</v>
      </c>
      <c r="D203" s="5">
        <f>IF(ISNUMBER(D12),D12/$D$170,NA())</f>
        <v>0</v>
      </c>
      <c r="E203" s="5">
        <f>IF(ISNUMBER(E12),E12/$D$170,NA())</f>
        <v>0</v>
      </c>
      <c r="F203" s="5">
        <f>IF(ISNUMBER(F12),F12/$D$170,NA())</f>
        <v>0</v>
      </c>
      <c r="G203" s="5">
        <f>IF(ISNUMBER(G12),G12/$D$170,NA())</f>
        <v>0</v>
      </c>
      <c r="H203" s="5">
        <f>IF(ISNUMBER(H12),H12/$D$170,NA())</f>
        <v>0</v>
      </c>
      <c r="I203" s="5">
        <f>IF(ISNUMBER(I12),I12/$D$170,NA())</f>
        <v>0</v>
      </c>
      <c r="J203" s="5">
        <f>IF(ISNUMBER(J12),J12/$D$170,NA())</f>
        <v>0</v>
      </c>
      <c r="K203" s="5">
        <f>IF(ISNUMBER(K12),K12/$D$170,NA())</f>
        <v>0</v>
      </c>
      <c r="L203" s="5">
        <f>IF(ISNUMBER(L12),L12/$D$170,NA())</f>
        <v>0</v>
      </c>
      <c r="M203" s="5">
        <f>IF(ISNUMBER(M12),M12/$D$170,NA())</f>
        <v>0</v>
      </c>
      <c r="N203" s="5">
        <f>IF(ISNUMBER(N12),N12/$D$170,NA())</f>
        <v>0</v>
      </c>
      <c r="O203" s="5">
        <f>IF(ISNUMBER(O12),O12/$D$170,NA())</f>
        <v>0</v>
      </c>
      <c r="P203" s="5">
        <f>IF(ISNUMBER(P12),P12/$D$170,NA())</f>
        <v>0</v>
      </c>
      <c r="Q203" s="5">
        <f>IF(ISNUMBER(Q12),Q12/$D$170,NA())</f>
        <v>0</v>
      </c>
      <c r="R203" s="5">
        <f>IF(ISNUMBER(R12),R12/$D$170,NA())</f>
        <v>0</v>
      </c>
      <c r="S203" s="5">
        <f>IF(ISNUMBER(S12),S12/$D$170,NA())</f>
        <v>0</v>
      </c>
      <c r="T203" s="5">
        <f>IF(ISNUMBER(T12),T12/$D$170,NA())</f>
        <v>0</v>
      </c>
      <c r="U203" s="5">
        <f>IF(ISNUMBER(U12),U12/$D$170,NA())</f>
        <v>0</v>
      </c>
      <c r="V203" s="5">
        <f>IF(ISNUMBER(V12),V12/$D$170,NA())</f>
        <v>0</v>
      </c>
      <c r="W203" s="5">
        <f>IF(ISNUMBER(W12),W12/$D$170,NA())</f>
        <v>0</v>
      </c>
      <c r="X203" s="5">
        <f>IF(ISNUMBER(X12),X12/$D$170,NA())</f>
        <v>0</v>
      </c>
      <c r="Y203" s="5">
        <f>IF(ISNUMBER(Y12),Y12/$D$170,NA())</f>
        <v>0</v>
      </c>
      <c r="Z203" s="5">
        <f>IF(ISNUMBER(Z12),Z12/$D$170,NA())</f>
        <v>0</v>
      </c>
      <c r="AA203" s="5">
        <f>IF(ISNUMBER(AA12),AA12/$D$170,NA())</f>
        <v>0</v>
      </c>
      <c r="AB203" s="5">
        <f>IF(ISNUMBER(AB12),AB12/$D$170,NA())</f>
        <v>0</v>
      </c>
      <c r="AC203" s="5">
        <f>IF(ISNUMBER(AC12),AC12/$D$170,NA())</f>
        <v>0</v>
      </c>
      <c r="AD203" s="5">
        <f>IF(ISNUMBER(AD12),AD12/$D$170,NA())</f>
        <v>0</v>
      </c>
    </row>
    <row r="204" spans="1:95">
      <c r="A204" s="11" t="s">
        <v>475</v>
      </c>
      <c r="B204" s="11" t="s">
        <v>476</v>
      </c>
      <c r="C204" s="3" t="s">
        <v>137</v>
      </c>
      <c r="D204" s="11">
        <f>IF(ISNUMBER(D12),FIXED(D12,0),"")</f>
        <v>0</v>
      </c>
      <c r="E204" s="11">
        <f>IF(ISNUMBER(E12),FIXED(E12,0),"")</f>
        <v>0</v>
      </c>
      <c r="F204" s="11">
        <f>IF(ISNUMBER(F12),FIXED(F12,0),"")</f>
        <v>0</v>
      </c>
      <c r="G204" s="11">
        <f>IF(ISNUMBER(G12),FIXED(G12,0),"")</f>
        <v>0</v>
      </c>
      <c r="H204" s="11">
        <f>IF(ISNUMBER(H12),FIXED(H12,0),"")</f>
        <v>0</v>
      </c>
      <c r="I204" s="11">
        <f>IF(ISNUMBER(I12),FIXED(I12,0),"")</f>
        <v>0</v>
      </c>
      <c r="J204" s="11">
        <f>IF(ISNUMBER(J12),FIXED(J12,0),"")</f>
        <v>0</v>
      </c>
      <c r="K204" s="11">
        <f>IF(ISNUMBER(K12),FIXED(K12,0),"")</f>
        <v>0</v>
      </c>
      <c r="L204" s="11">
        <f>IF(ISNUMBER(L12),FIXED(L12,0),"")</f>
        <v>0</v>
      </c>
      <c r="M204" s="11">
        <f>IF(ISNUMBER(M12),FIXED(M12,0),"")</f>
        <v>0</v>
      </c>
      <c r="N204" s="11">
        <f>IF(ISNUMBER(N12),FIXED(N12,0),"")</f>
        <v>0</v>
      </c>
      <c r="O204" s="11">
        <f>IF(ISNUMBER(O12),FIXED(O12,0),"")</f>
        <v>0</v>
      </c>
      <c r="P204" s="11">
        <f>IF(ISNUMBER(P12),FIXED(P12,0),"")</f>
        <v>0</v>
      </c>
      <c r="Q204" s="11">
        <f>IF(ISNUMBER(Q12),FIXED(Q12,0),"")</f>
        <v>0</v>
      </c>
      <c r="R204" s="11">
        <f>IF(ISNUMBER(R12),FIXED(R12,0),"")</f>
        <v>0</v>
      </c>
      <c r="S204" s="11">
        <f>IF(ISNUMBER(S12),FIXED(S12,0),"")</f>
        <v>0</v>
      </c>
      <c r="T204" s="11">
        <f>IF(ISNUMBER(T12),FIXED(T12,0),"")</f>
        <v>0</v>
      </c>
      <c r="U204" s="11">
        <f>IF(ISNUMBER(U12),FIXED(U12,0),"")</f>
        <v>0</v>
      </c>
      <c r="V204" s="11">
        <f>IF(ISNUMBER(V12),FIXED(V12,0),"")</f>
        <v>0</v>
      </c>
      <c r="W204" s="11">
        <f>IF(ISNUMBER(W12),FIXED(W12,0),"")</f>
        <v>0</v>
      </c>
      <c r="X204" s="11">
        <f>IF(ISNUMBER(X12),FIXED(X12,0),"")</f>
        <v>0</v>
      </c>
      <c r="Y204" s="11">
        <f>IF(ISNUMBER(Y12),FIXED(Y12,0),"")</f>
        <v>0</v>
      </c>
      <c r="Z204" s="11">
        <f>IF(ISNUMBER(Z12),FIXED(Z12,0),"")</f>
        <v>0</v>
      </c>
      <c r="AA204" s="11">
        <f>IF(ISNUMBER(AA12),FIXED(AA12,0),"")</f>
        <v>0</v>
      </c>
      <c r="AB204" s="11">
        <f>IF(ISNUMBER(AB12),FIXED(AB12,0),"")</f>
        <v>0</v>
      </c>
      <c r="AC204" s="11">
        <f>IF(ISNUMBER(AC12),FIXED(AC12,0),"")</f>
        <v>0</v>
      </c>
      <c r="AD204" s="11">
        <f>IF(ISNUMBER(AD12),FIXED(AD12,0),"")</f>
        <v>0</v>
      </c>
    </row>
    <row r="205" spans="1:95">
      <c r="A205" s="11" t="s">
        <v>477</v>
      </c>
      <c r="B205" s="11" t="s">
        <v>478</v>
      </c>
      <c r="C205" s="3" t="s">
        <v>134</v>
      </c>
      <c r="D205" s="5">
        <v>10</v>
      </c>
    </row>
    <row r="206" spans="1:95">
      <c r="A206" s="11" t="s">
        <v>479</v>
      </c>
      <c r="B206" s="11" t="s">
        <v>480</v>
      </c>
      <c r="C206" s="3" t="s">
        <v>398</v>
      </c>
      <c r="BR206" s="11">
        <f>IF(($D$200-25)&lt;1,"",INDEX($D$3:$AD$3,($D$200-25)))</f>
        <v>0</v>
      </c>
      <c r="BS206" s="11">
        <f>IF(($D$200-24)&lt;1,"",INDEX($D$3:$AD$3,($D$200-24)))</f>
        <v>0</v>
      </c>
      <c r="BT206" s="11">
        <f>IF(($D$200-23)&lt;1,"",INDEX($D$3:$AD$3,($D$200-23)))</f>
        <v>0</v>
      </c>
      <c r="BU206" s="11">
        <f>IF(($D$200-22)&lt;1,"",INDEX($D$3:$AD$3,($D$200-22)))</f>
        <v>0</v>
      </c>
      <c r="BV206" s="11">
        <f>IF(($D$200-21)&lt;1,"",INDEX($D$3:$AD$3,($D$200-21)))</f>
        <v>0</v>
      </c>
      <c r="BW206" s="11">
        <f>IF(($D$200-20)&lt;1,"",INDEX($D$3:$AD$3,($D$200-20)))</f>
        <v>0</v>
      </c>
      <c r="BX206" s="11">
        <f>IF(($D$200-19)&lt;1,"",INDEX($D$3:$AD$3,($D$200-19)))</f>
        <v>0</v>
      </c>
      <c r="BY206" s="11">
        <f>IF(($D$200-18)&lt;1,"",INDEX($D$3:$AD$3,($D$200-18)))</f>
        <v>0</v>
      </c>
      <c r="BZ206" s="11">
        <f>IF(($D$200-17)&lt;1,"",INDEX($D$3:$AD$3,($D$200-17)))</f>
        <v>0</v>
      </c>
      <c r="CA206" s="11">
        <f>IF(($D$200-16)&lt;1,"",INDEX($D$3:$AD$3,($D$200-16)))</f>
        <v>0</v>
      </c>
      <c r="CB206" s="11">
        <f>IF(($D$200-15)&lt;1,"",INDEX($D$3:$AD$3,($D$200-15)))</f>
        <v>0</v>
      </c>
      <c r="CC206" s="11">
        <f>IF(($D$200-14)&lt;1,"",INDEX($D$3:$AD$3,($D$200-14)))</f>
        <v>0</v>
      </c>
      <c r="CD206" s="11">
        <f>IF(($D$200-13)&lt;1,"",INDEX($D$3:$AD$3,($D$200-13)))</f>
        <v>0</v>
      </c>
      <c r="CE206" s="11">
        <f>IF(($D$200-12)&lt;1,"",INDEX($D$3:$AD$3,($D$200-12)))</f>
        <v>0</v>
      </c>
      <c r="CF206" s="11">
        <f>IF(($D$200-11)&lt;1,"",INDEX($D$3:$AD$3,($D$200-11)))</f>
        <v>0</v>
      </c>
      <c r="CG206" s="11">
        <f>IF(($D$200-10)&lt;1,"",INDEX($D$3:$AD$3,($D$200-10)))</f>
        <v>0</v>
      </c>
      <c r="CH206" s="11">
        <f>IF(($D$200-9)&lt;1,"",INDEX($D$3:$AD$3,($D$200-9)))</f>
        <v>0</v>
      </c>
      <c r="CI206" s="11">
        <f>IF(($D$200-8)&lt;1,"",INDEX($D$3:$AD$3,($D$200-8)))</f>
        <v>0</v>
      </c>
      <c r="CJ206" s="11">
        <f>IF(($D$200-7)&lt;1,"",INDEX($D$3:$AD$3,($D$200-7)))</f>
        <v>0</v>
      </c>
      <c r="CK206" s="11">
        <f>IF(($D$200-6)&lt;1,"",INDEX($D$3:$AD$3,($D$200-6)))</f>
        <v>0</v>
      </c>
      <c r="CL206" s="11">
        <f>IF(($D$200-5)&lt;1,"",INDEX($D$3:$AD$3,($D$200-5)))</f>
        <v>0</v>
      </c>
      <c r="CM206" s="11">
        <f>IF(($D$200-4)&lt;1,"",INDEX($D$3:$AD$3,($D$200-4)))</f>
        <v>0</v>
      </c>
      <c r="CN206" s="11">
        <f>IF(($D$200-3)&lt;1,"",INDEX($D$3:$AD$3,($D$200-3)))</f>
        <v>0</v>
      </c>
      <c r="CO206" s="11">
        <f>IF(($D$200-2)&lt;1,"",INDEX($D$3:$AD$3,($D$200-2)))</f>
        <v>0</v>
      </c>
      <c r="CP206" s="11">
        <f>IF(($D$200-1)&lt;1,"",INDEX($D$3:$AD$3,($D$200-1)))</f>
        <v>0</v>
      </c>
      <c r="CQ206" s="11">
        <f>IF(($D$200-0)&lt;1,"",INDEX($D$3:$AD$3,($D$200-0)))</f>
        <v>0</v>
      </c>
    </row>
    <row r="207" spans="1:95">
      <c r="A207" s="11" t="s">
        <v>481</v>
      </c>
      <c r="B207" s="11" t="s">
        <v>482</v>
      </c>
      <c r="C207" s="3" t="s">
        <v>398</v>
      </c>
      <c r="BR207" s="5">
        <f>IF(($D$200-25)&lt;1,NA(),INDEX($D$203:$AD$203,($D$200-25)))</f>
        <v>0</v>
      </c>
      <c r="BS207" s="5">
        <f>IF(($D$200-24)&lt;1,NA(),INDEX($D$203:$AD$203,($D$200-24)))</f>
        <v>0</v>
      </c>
      <c r="BT207" s="5">
        <f>IF(($D$200-23)&lt;1,NA(),INDEX($D$203:$AD$203,($D$200-23)))</f>
        <v>0</v>
      </c>
      <c r="BU207" s="5">
        <f>IF(($D$200-22)&lt;1,NA(),INDEX($D$203:$AD$203,($D$200-22)))</f>
        <v>0</v>
      </c>
      <c r="BV207" s="5">
        <f>IF(($D$200-21)&lt;1,NA(),INDEX($D$203:$AD$203,($D$200-21)))</f>
        <v>0</v>
      </c>
      <c r="BW207" s="5">
        <f>IF(($D$200-20)&lt;1,NA(),INDEX($D$203:$AD$203,($D$200-20)))</f>
        <v>0</v>
      </c>
      <c r="BX207" s="5">
        <f>IF(($D$200-19)&lt;1,NA(),INDEX($D$203:$AD$203,($D$200-19)))</f>
        <v>0</v>
      </c>
      <c r="BY207" s="5">
        <f>IF(($D$200-18)&lt;1,NA(),INDEX($D$203:$AD$203,($D$200-18)))</f>
        <v>0</v>
      </c>
      <c r="BZ207" s="5">
        <f>IF(($D$200-17)&lt;1,NA(),INDEX($D$203:$AD$203,($D$200-17)))</f>
        <v>0</v>
      </c>
      <c r="CA207" s="5">
        <f>IF(($D$200-16)&lt;1,NA(),INDEX($D$203:$AD$203,($D$200-16)))</f>
        <v>0</v>
      </c>
      <c r="CB207" s="5">
        <f>IF(($D$200-15)&lt;1,NA(),INDEX($D$203:$AD$203,($D$200-15)))</f>
        <v>0</v>
      </c>
      <c r="CC207" s="5">
        <f>IF(($D$200-14)&lt;1,NA(),INDEX($D$203:$AD$203,($D$200-14)))</f>
        <v>0</v>
      </c>
      <c r="CD207" s="5">
        <f>IF(($D$200-13)&lt;1,NA(),INDEX($D$203:$AD$203,($D$200-13)))</f>
        <v>0</v>
      </c>
      <c r="CE207" s="5">
        <f>IF(($D$200-12)&lt;1,NA(),INDEX($D$203:$AD$203,($D$200-12)))</f>
        <v>0</v>
      </c>
      <c r="CF207" s="5">
        <f>IF(($D$200-11)&lt;1,NA(),INDEX($D$203:$AD$203,($D$200-11)))</f>
        <v>0</v>
      </c>
      <c r="CG207" s="5">
        <f>IF(($D$200-10)&lt;1,NA(),INDEX($D$203:$AD$203,($D$200-10)))</f>
        <v>0</v>
      </c>
      <c r="CH207" s="5">
        <f>IF(($D$200-9)&lt;1,NA(),INDEX($D$203:$AD$203,($D$200-9)))</f>
        <v>0</v>
      </c>
      <c r="CI207" s="5">
        <f>IF(($D$200-8)&lt;1,NA(),INDEX($D$203:$AD$203,($D$200-8)))</f>
        <v>0</v>
      </c>
      <c r="CJ207" s="5">
        <f>IF(($D$200-7)&lt;1,NA(),INDEX($D$203:$AD$203,($D$200-7)))</f>
        <v>0</v>
      </c>
      <c r="CK207" s="5">
        <f>IF(($D$200-6)&lt;1,NA(),INDEX($D$203:$AD$203,($D$200-6)))</f>
        <v>0</v>
      </c>
      <c r="CL207" s="5">
        <f>IF(($D$200-5)&lt;1,NA(),INDEX($D$203:$AD$203,($D$200-5)))</f>
        <v>0</v>
      </c>
      <c r="CM207" s="5">
        <f>IF(($D$200-4)&lt;1,NA(),INDEX($D$203:$AD$203,($D$200-4)))</f>
        <v>0</v>
      </c>
      <c r="CN207" s="5">
        <f>IF(($D$200-3)&lt;1,NA(),INDEX($D$203:$AD$203,($D$200-3)))</f>
        <v>0</v>
      </c>
      <c r="CO207" s="5">
        <f>IF(($D$200-2)&lt;1,NA(),INDEX($D$203:$AD$203,($D$200-2)))</f>
        <v>0</v>
      </c>
      <c r="CP207" s="5">
        <f>IF(($D$200-1)&lt;1,NA(),INDEX($D$203:$AD$203,($D$200-1)))</f>
        <v>0</v>
      </c>
      <c r="CQ207" s="5">
        <f>IF(($D$200-0)&lt;1,NA(),INDEX($D$203:$AD$203,($D$200-0)))</f>
        <v>0</v>
      </c>
    </row>
    <row r="208" spans="1:95">
      <c r="A208" s="11" t="s">
        <v>483</v>
      </c>
      <c r="B208" s="11" t="s">
        <v>484</v>
      </c>
      <c r="C208" s="3" t="s">
        <v>398</v>
      </c>
      <c r="BR208" s="11">
        <f>IF(($D$200-25)&lt;1,"",INDEX($D$204:$AD$204,($D$200-25)))</f>
        <v>0</v>
      </c>
      <c r="BS208" s="11">
        <f>IF(($D$200-24)&lt;1,"",INDEX($D$204:$AD$204,($D$200-24)))</f>
        <v>0</v>
      </c>
      <c r="BT208" s="11">
        <f>IF(($D$200-23)&lt;1,"",INDEX($D$204:$AD$204,($D$200-23)))</f>
        <v>0</v>
      </c>
      <c r="BU208" s="11">
        <f>IF(($D$200-22)&lt;1,"",INDEX($D$204:$AD$204,($D$200-22)))</f>
        <v>0</v>
      </c>
      <c r="BV208" s="11">
        <f>IF(($D$200-21)&lt;1,"",INDEX($D$204:$AD$204,($D$200-21)))</f>
        <v>0</v>
      </c>
      <c r="BW208" s="11">
        <f>IF(($D$200-20)&lt;1,"",INDEX($D$204:$AD$204,($D$200-20)))</f>
        <v>0</v>
      </c>
      <c r="BX208" s="11">
        <f>IF(($D$200-19)&lt;1,"",INDEX($D$204:$AD$204,($D$200-19)))</f>
        <v>0</v>
      </c>
      <c r="BY208" s="11">
        <f>IF(($D$200-18)&lt;1,"",INDEX($D$204:$AD$204,($D$200-18)))</f>
        <v>0</v>
      </c>
      <c r="BZ208" s="11">
        <f>IF(($D$200-17)&lt;1,"",INDEX($D$204:$AD$204,($D$200-17)))</f>
        <v>0</v>
      </c>
      <c r="CA208" s="11">
        <f>IF(($D$200-16)&lt;1,"",INDEX($D$204:$AD$204,($D$200-16)))</f>
        <v>0</v>
      </c>
      <c r="CB208" s="11">
        <f>IF(($D$200-15)&lt;1,"",INDEX($D$204:$AD$204,($D$200-15)))</f>
        <v>0</v>
      </c>
      <c r="CC208" s="11">
        <f>IF(($D$200-14)&lt;1,"",INDEX($D$204:$AD$204,($D$200-14)))</f>
        <v>0</v>
      </c>
      <c r="CD208" s="11">
        <f>IF(($D$200-13)&lt;1,"",INDEX($D$204:$AD$204,($D$200-13)))</f>
        <v>0</v>
      </c>
      <c r="CE208" s="11">
        <f>IF(($D$200-12)&lt;1,"",INDEX($D$204:$AD$204,($D$200-12)))</f>
        <v>0</v>
      </c>
      <c r="CF208" s="11">
        <f>IF(($D$200-11)&lt;1,"",INDEX($D$204:$AD$204,($D$200-11)))</f>
        <v>0</v>
      </c>
      <c r="CG208" s="11">
        <f>IF(($D$200-10)&lt;1,"",INDEX($D$204:$AD$204,($D$200-10)))</f>
        <v>0</v>
      </c>
      <c r="CH208" s="11">
        <f>IF(($D$200-9)&lt;1,"",INDEX($D$204:$AD$204,($D$200-9)))</f>
        <v>0</v>
      </c>
      <c r="CI208" s="11">
        <f>IF(($D$200-8)&lt;1,"",INDEX($D$204:$AD$204,($D$200-8)))</f>
        <v>0</v>
      </c>
      <c r="CJ208" s="11">
        <f>IF(($D$200-7)&lt;1,"",INDEX($D$204:$AD$204,($D$200-7)))</f>
        <v>0</v>
      </c>
      <c r="CK208" s="11">
        <f>IF(($D$200-6)&lt;1,"",INDEX($D$204:$AD$204,($D$200-6)))</f>
        <v>0</v>
      </c>
      <c r="CL208" s="11">
        <f>IF(($D$200-5)&lt;1,"",INDEX($D$204:$AD$204,($D$200-5)))</f>
        <v>0</v>
      </c>
      <c r="CM208" s="11">
        <f>IF(($D$200-4)&lt;1,"",INDEX($D$204:$AD$204,($D$200-4)))</f>
        <v>0</v>
      </c>
      <c r="CN208" s="11">
        <f>IF(($D$200-3)&lt;1,"",INDEX($D$204:$AD$204,($D$200-3)))</f>
        <v>0</v>
      </c>
      <c r="CO208" s="11">
        <f>IF(($D$200-2)&lt;1,"",INDEX($D$204:$AD$204,($D$200-2)))</f>
        <v>0</v>
      </c>
      <c r="CP208" s="11">
        <f>IF(($D$200-1)&lt;1,"",INDEX($D$204:$AD$204,($D$200-1)))</f>
        <v>0</v>
      </c>
      <c r="CQ208" s="11">
        <f>IF(($D$200-0)&lt;1,"",INDEX($D$204:$AD$204,($D$200-0)))</f>
        <v>0</v>
      </c>
    </row>
    <row r="209" spans="1:95">
      <c r="A209" s="11" t="s">
        <v>485</v>
      </c>
      <c r="B209" s="11" t="s">
        <v>486</v>
      </c>
      <c r="C209" s="3" t="s">
        <v>398</v>
      </c>
      <c r="BR209" s="5">
        <f>IF(($D$200-25)&lt;1,NA(),INDEX($D$171:$AD$171,($D$200-25)))</f>
        <v>0</v>
      </c>
      <c r="BS209" s="5">
        <f>IF(($D$200-24)&lt;1,NA(),INDEX($D$171:$AD$171,($D$200-24)))</f>
        <v>0</v>
      </c>
      <c r="BT209" s="5">
        <f>IF(($D$200-23)&lt;1,NA(),INDEX($D$171:$AD$171,($D$200-23)))</f>
        <v>0</v>
      </c>
      <c r="BU209" s="5">
        <f>IF(($D$200-22)&lt;1,NA(),INDEX($D$171:$AD$171,($D$200-22)))</f>
        <v>0</v>
      </c>
      <c r="BV209" s="5">
        <f>IF(($D$200-21)&lt;1,NA(),INDEX($D$171:$AD$171,($D$200-21)))</f>
        <v>0</v>
      </c>
      <c r="BW209" s="5">
        <f>IF(($D$200-20)&lt;1,NA(),INDEX($D$171:$AD$171,($D$200-20)))</f>
        <v>0</v>
      </c>
      <c r="BX209" s="5">
        <f>IF(($D$200-19)&lt;1,NA(),INDEX($D$171:$AD$171,($D$200-19)))</f>
        <v>0</v>
      </c>
      <c r="BY209" s="5">
        <f>IF(($D$200-18)&lt;1,NA(),INDEX($D$171:$AD$171,($D$200-18)))</f>
        <v>0</v>
      </c>
      <c r="BZ209" s="5">
        <f>IF(($D$200-17)&lt;1,NA(),INDEX($D$171:$AD$171,($D$200-17)))</f>
        <v>0</v>
      </c>
      <c r="CA209" s="5">
        <f>IF(($D$200-16)&lt;1,NA(),INDEX($D$171:$AD$171,($D$200-16)))</f>
        <v>0</v>
      </c>
      <c r="CB209" s="5">
        <f>IF(($D$200-15)&lt;1,NA(),INDEX($D$171:$AD$171,($D$200-15)))</f>
        <v>0</v>
      </c>
      <c r="CC209" s="5">
        <f>IF(($D$200-14)&lt;1,NA(),INDEX($D$171:$AD$171,($D$200-14)))</f>
        <v>0</v>
      </c>
      <c r="CD209" s="5">
        <f>IF(($D$200-13)&lt;1,NA(),INDEX($D$171:$AD$171,($D$200-13)))</f>
        <v>0</v>
      </c>
      <c r="CE209" s="5">
        <f>IF(($D$200-12)&lt;1,NA(),INDEX($D$171:$AD$171,($D$200-12)))</f>
        <v>0</v>
      </c>
      <c r="CF209" s="5">
        <f>IF(($D$200-11)&lt;1,NA(),INDEX($D$171:$AD$171,($D$200-11)))</f>
        <v>0</v>
      </c>
      <c r="CG209" s="5">
        <f>IF(($D$200-10)&lt;1,NA(),INDEX($D$171:$AD$171,($D$200-10)))</f>
        <v>0</v>
      </c>
      <c r="CH209" s="5">
        <f>IF(($D$200-9)&lt;1,NA(),INDEX($D$171:$AD$171,($D$200-9)))</f>
        <v>0</v>
      </c>
      <c r="CI209" s="5">
        <f>IF(($D$200-8)&lt;1,NA(),INDEX($D$171:$AD$171,($D$200-8)))</f>
        <v>0</v>
      </c>
      <c r="CJ209" s="5">
        <f>IF(($D$200-7)&lt;1,NA(),INDEX($D$171:$AD$171,($D$200-7)))</f>
        <v>0</v>
      </c>
      <c r="CK209" s="5">
        <f>IF(($D$200-6)&lt;1,NA(),INDEX($D$171:$AD$171,($D$200-6)))</f>
        <v>0</v>
      </c>
      <c r="CL209" s="5">
        <f>IF(($D$200-5)&lt;1,NA(),INDEX($D$171:$AD$171,($D$200-5)))</f>
        <v>0</v>
      </c>
      <c r="CM209" s="5">
        <f>IF(($D$200-4)&lt;1,NA(),INDEX($D$171:$AD$171,($D$200-4)))</f>
        <v>0</v>
      </c>
      <c r="CN209" s="5">
        <f>IF(($D$200-3)&lt;1,NA(),INDEX($D$171:$AD$171,($D$200-3)))</f>
        <v>0</v>
      </c>
      <c r="CO209" s="5">
        <f>IF(($D$200-2)&lt;1,NA(),INDEX($D$171:$AD$171,($D$200-2)))</f>
        <v>0</v>
      </c>
      <c r="CP209" s="5">
        <f>IF(($D$200-1)&lt;1,NA(),INDEX($D$171:$AD$171,($D$200-1)))</f>
        <v>0</v>
      </c>
      <c r="CQ209" s="5">
        <f>IF(($D$200-0)&lt;1,NA(),INDEX($D$171:$AD$171,($D$200-0)))</f>
        <v>0</v>
      </c>
    </row>
    <row r="210" spans="1:95">
      <c r="A210" s="11" t="s">
        <v>487</v>
      </c>
      <c r="B210" s="11" t="s">
        <v>488</v>
      </c>
      <c r="C210" s="3" t="s">
        <v>137</v>
      </c>
      <c r="D210" s="5">
        <f>IF(MAX($D$211:$AD$211)=0,27,MAX($D$211:$AD$211))</f>
        <v>0</v>
      </c>
    </row>
    <row r="211" spans="1:95">
      <c r="A211" s="11" t="s">
        <v>489</v>
      </c>
      <c r="B211" s="11" t="s">
        <v>490</v>
      </c>
      <c r="C211" s="3" t="s">
        <v>137</v>
      </c>
      <c r="D211" s="5">
        <f>IF(OR(ISNUMBER(D13)),1,0)</f>
        <v>0</v>
      </c>
      <c r="E211" s="5">
        <f>IF(OR(ISNUMBER(E13)),2,0)</f>
        <v>0</v>
      </c>
      <c r="F211" s="5">
        <f>IF(OR(ISNUMBER(F13)),3,0)</f>
        <v>0</v>
      </c>
      <c r="G211" s="5">
        <f>IF(OR(ISNUMBER(G13)),4,0)</f>
        <v>0</v>
      </c>
      <c r="H211" s="5">
        <f>IF(OR(ISNUMBER(H13)),5,0)</f>
        <v>0</v>
      </c>
      <c r="I211" s="5">
        <f>IF(OR(ISNUMBER(I13)),6,0)</f>
        <v>0</v>
      </c>
      <c r="J211" s="5">
        <f>IF(OR(ISNUMBER(J13)),7,0)</f>
        <v>0</v>
      </c>
      <c r="K211" s="5">
        <f>IF(OR(ISNUMBER(K13)),8,0)</f>
        <v>0</v>
      </c>
      <c r="L211" s="5">
        <f>IF(OR(ISNUMBER(L13)),9,0)</f>
        <v>0</v>
      </c>
      <c r="M211" s="5">
        <f>IF(OR(ISNUMBER(M13)),10,0)</f>
        <v>0</v>
      </c>
      <c r="N211" s="5">
        <f>IF(OR(ISNUMBER(N13)),11,0)</f>
        <v>0</v>
      </c>
      <c r="O211" s="5">
        <f>IF(OR(ISNUMBER(O13)),12,0)</f>
        <v>0</v>
      </c>
      <c r="P211" s="5">
        <f>IF(OR(ISNUMBER(P13)),13,0)</f>
        <v>0</v>
      </c>
      <c r="Q211" s="5">
        <f>IF(OR(ISNUMBER(Q13)),14,0)</f>
        <v>0</v>
      </c>
      <c r="R211" s="5">
        <f>IF(OR(ISNUMBER(R13)),15,0)</f>
        <v>0</v>
      </c>
      <c r="S211" s="5">
        <f>IF(OR(ISNUMBER(S13)),16,0)</f>
        <v>0</v>
      </c>
      <c r="T211" s="5">
        <f>IF(OR(ISNUMBER(T13)),17,0)</f>
        <v>0</v>
      </c>
      <c r="U211" s="5">
        <f>IF(OR(ISNUMBER(U13)),18,0)</f>
        <v>0</v>
      </c>
      <c r="V211" s="5">
        <f>IF(OR(ISNUMBER(V13)),19,0)</f>
        <v>0</v>
      </c>
      <c r="W211" s="5">
        <f>IF(OR(ISNUMBER(W13)),20,0)</f>
        <v>0</v>
      </c>
      <c r="X211" s="5">
        <f>IF(OR(ISNUMBER(X13)),21,0)</f>
        <v>0</v>
      </c>
      <c r="Y211" s="5">
        <f>IF(OR(ISNUMBER(Y13)),22,0)</f>
        <v>0</v>
      </c>
      <c r="Z211" s="5">
        <f>IF(OR(ISNUMBER(Z13)),23,0)</f>
        <v>0</v>
      </c>
      <c r="AA211" s="5">
        <f>IF(OR(ISNUMBER(AA13)),24,0)</f>
        <v>0</v>
      </c>
      <c r="AB211" s="5">
        <f>IF(OR(ISNUMBER(AB13)),25,0)</f>
        <v>0</v>
      </c>
      <c r="AC211" s="5">
        <f>IF(OR(ISNUMBER(AC13)),26,0)</f>
        <v>0</v>
      </c>
      <c r="AD211" s="5">
        <f>IF(OR(ISNUMBER(AD13)),27,0)</f>
        <v>0</v>
      </c>
    </row>
    <row r="212" spans="1:95">
      <c r="A212" s="11" t="s">
        <v>491</v>
      </c>
      <c r="B212" s="11" t="s">
        <v>492</v>
      </c>
      <c r="C212" s="3" t="s">
        <v>387</v>
      </c>
      <c r="D212" s="80">
        <f>IF(MAX(IFERROR(N(INDEX(Wertstand!$A$156:$LJ$156,MATCH(INDEX($D$4:$AD$4,$D$210),RD_Kopf,0))),0))&gt;0,MAX(IFERROR(N(INDEX(Wertstand!$A$156:$LJ$156,MATCH(INDEX($D$4:$AD$4,$D$210),RD_Kopf,0))),0)),INDEX($D$4:$AD$4,$D$210))</f>
        <v>0</v>
      </c>
      <c r="E212" s="11">
        <f>"Stand: "&amp;TEXT(DAY($D$212),"00")&amp;"."&amp;TEXT(MONTH($D$212),"00")&amp;"."&amp;RIGHT(YEAR($D$212),2)</f>
        <v>0</v>
      </c>
      <c r="F212" s="11">
        <f>"Stand:"&amp;CHAR(10)&amp;TEXT(DAY($D$212),"00")&amp;"."&amp;TEXT(MONTH($D$212),"00")&amp;"."&amp;RIGHT(YEAR($D$212),2)</f>
        <v>0</v>
      </c>
    </row>
    <row r="213" spans="1:95">
      <c r="A213" s="11" t="s">
        <v>493</v>
      </c>
      <c r="B213" s="11" t="s">
        <v>494</v>
      </c>
      <c r="C213" s="3" t="s">
        <v>398</v>
      </c>
      <c r="BR213" s="11">
        <f>IF(($D$210-25)&lt;1,"",INDEX($D$3:$AD$3,($D$210-25)))</f>
        <v>0</v>
      </c>
      <c r="BS213" s="11">
        <f>IF(($D$210-24)&lt;1,"",INDEX($D$3:$AD$3,($D$210-24)))</f>
        <v>0</v>
      </c>
      <c r="BT213" s="11">
        <f>IF(($D$210-23)&lt;1,"",INDEX($D$3:$AD$3,($D$210-23)))</f>
        <v>0</v>
      </c>
      <c r="BU213" s="11">
        <f>IF(($D$210-22)&lt;1,"",INDEX($D$3:$AD$3,($D$210-22)))</f>
        <v>0</v>
      </c>
      <c r="BV213" s="11">
        <f>IF(($D$210-21)&lt;1,"",INDEX($D$3:$AD$3,($D$210-21)))</f>
        <v>0</v>
      </c>
      <c r="BW213" s="11">
        <f>IF(($D$210-20)&lt;1,"",INDEX($D$3:$AD$3,($D$210-20)))</f>
        <v>0</v>
      </c>
      <c r="BX213" s="11">
        <f>IF(($D$210-19)&lt;1,"",INDEX($D$3:$AD$3,($D$210-19)))</f>
        <v>0</v>
      </c>
      <c r="BY213" s="11">
        <f>IF(($D$210-18)&lt;1,"",INDEX($D$3:$AD$3,($D$210-18)))</f>
        <v>0</v>
      </c>
      <c r="BZ213" s="11">
        <f>IF(($D$210-17)&lt;1,"",INDEX($D$3:$AD$3,($D$210-17)))</f>
        <v>0</v>
      </c>
      <c r="CA213" s="11">
        <f>IF(($D$210-16)&lt;1,"",INDEX($D$3:$AD$3,($D$210-16)))</f>
        <v>0</v>
      </c>
      <c r="CB213" s="11">
        <f>IF(($D$210-15)&lt;1,"",INDEX($D$3:$AD$3,($D$210-15)))</f>
        <v>0</v>
      </c>
      <c r="CC213" s="11">
        <f>IF(($D$210-14)&lt;1,"",INDEX($D$3:$AD$3,($D$210-14)))</f>
        <v>0</v>
      </c>
      <c r="CD213" s="11">
        <f>IF(($D$210-13)&lt;1,"",INDEX($D$3:$AD$3,($D$210-13)))</f>
        <v>0</v>
      </c>
      <c r="CE213" s="11">
        <f>IF(($D$210-12)&lt;1,"",INDEX($D$3:$AD$3,($D$210-12)))</f>
        <v>0</v>
      </c>
      <c r="CF213" s="11">
        <f>IF(($D$210-11)&lt;1,"",INDEX($D$3:$AD$3,($D$210-11)))</f>
        <v>0</v>
      </c>
      <c r="CG213" s="11">
        <f>IF(($D$210-10)&lt;1,"",INDEX($D$3:$AD$3,($D$210-10)))</f>
        <v>0</v>
      </c>
      <c r="CH213" s="11">
        <f>IF(($D$210-9)&lt;1,"",INDEX($D$3:$AD$3,($D$210-9)))</f>
        <v>0</v>
      </c>
      <c r="CI213" s="11">
        <f>IF(($D$210-8)&lt;1,"",INDEX($D$3:$AD$3,($D$210-8)))</f>
        <v>0</v>
      </c>
      <c r="CJ213" s="11">
        <f>IF(($D$210-7)&lt;1,"",INDEX($D$3:$AD$3,($D$210-7)))</f>
        <v>0</v>
      </c>
      <c r="CK213" s="11">
        <f>IF(($D$210-6)&lt;1,"",INDEX($D$3:$AD$3,($D$210-6)))</f>
        <v>0</v>
      </c>
      <c r="CL213" s="11">
        <f>IF(($D$210-5)&lt;1,"",INDEX($D$3:$AD$3,($D$210-5)))</f>
        <v>0</v>
      </c>
      <c r="CM213" s="11">
        <f>IF(($D$210-4)&lt;1,"",INDEX($D$3:$AD$3,($D$210-4)))</f>
        <v>0</v>
      </c>
      <c r="CN213" s="11">
        <f>IF(($D$210-3)&lt;1,"",INDEX($D$3:$AD$3,($D$210-3)))</f>
        <v>0</v>
      </c>
      <c r="CO213" s="11">
        <f>IF(($D$210-2)&lt;1,"",INDEX($D$3:$AD$3,($D$210-2)))</f>
        <v>0</v>
      </c>
      <c r="CP213" s="11">
        <f>IF(($D$210-1)&lt;1,"",INDEX($D$3:$AD$3,($D$210-1)))</f>
        <v>0</v>
      </c>
      <c r="CQ213" s="11">
        <f>IF(($D$210-0)&lt;1,"",INDEX($D$3:$AD$3,($D$210-0)))</f>
        <v>0</v>
      </c>
    </row>
    <row r="214" spans="1:95">
      <c r="A214" s="11" t="s">
        <v>495</v>
      </c>
      <c r="B214" s="11" t="s">
        <v>496</v>
      </c>
      <c r="C214" s="3" t="s">
        <v>398</v>
      </c>
      <c r="BR214" s="5">
        <f>IF(($D$210-25)&lt;1,NA(),INDEX($D$13:$AD$13,($D$210-25)))</f>
        <v>0</v>
      </c>
      <c r="BS214" s="5">
        <f>IF(($D$210-24)&lt;1,NA(),INDEX($D$13:$AD$13,($D$210-24)))</f>
        <v>0</v>
      </c>
      <c r="BT214" s="5">
        <f>IF(($D$210-23)&lt;1,NA(),INDEX($D$13:$AD$13,($D$210-23)))</f>
        <v>0</v>
      </c>
      <c r="BU214" s="5">
        <f>IF(($D$210-22)&lt;1,NA(),INDEX($D$13:$AD$13,($D$210-22)))</f>
        <v>0</v>
      </c>
      <c r="BV214" s="5">
        <f>IF(($D$210-21)&lt;1,NA(),INDEX($D$13:$AD$13,($D$210-21)))</f>
        <v>0</v>
      </c>
      <c r="BW214" s="5">
        <f>IF(($D$210-20)&lt;1,NA(),INDEX($D$13:$AD$13,($D$210-20)))</f>
        <v>0</v>
      </c>
      <c r="BX214" s="5">
        <f>IF(($D$210-19)&lt;1,NA(),INDEX($D$13:$AD$13,($D$210-19)))</f>
        <v>0</v>
      </c>
      <c r="BY214" s="5">
        <f>IF(($D$210-18)&lt;1,NA(),INDEX($D$13:$AD$13,($D$210-18)))</f>
        <v>0</v>
      </c>
      <c r="BZ214" s="5">
        <f>IF(($D$210-17)&lt;1,NA(),INDEX($D$13:$AD$13,($D$210-17)))</f>
        <v>0</v>
      </c>
      <c r="CA214" s="5">
        <f>IF(($D$210-16)&lt;1,NA(),INDEX($D$13:$AD$13,($D$210-16)))</f>
        <v>0</v>
      </c>
      <c r="CB214" s="5">
        <f>IF(($D$210-15)&lt;1,NA(),INDEX($D$13:$AD$13,($D$210-15)))</f>
        <v>0</v>
      </c>
      <c r="CC214" s="5">
        <f>IF(($D$210-14)&lt;1,NA(),INDEX($D$13:$AD$13,($D$210-14)))</f>
        <v>0</v>
      </c>
      <c r="CD214" s="5">
        <f>IF(($D$210-13)&lt;1,NA(),INDEX($D$13:$AD$13,($D$210-13)))</f>
        <v>0</v>
      </c>
      <c r="CE214" s="5">
        <f>IF(($D$210-12)&lt;1,NA(),INDEX($D$13:$AD$13,($D$210-12)))</f>
        <v>0</v>
      </c>
      <c r="CF214" s="5">
        <f>IF(($D$210-11)&lt;1,NA(),INDEX($D$13:$AD$13,($D$210-11)))</f>
        <v>0</v>
      </c>
      <c r="CG214" s="5">
        <f>IF(($D$210-10)&lt;1,NA(),INDEX($D$13:$AD$13,($D$210-10)))</f>
        <v>0</v>
      </c>
      <c r="CH214" s="5">
        <f>IF(($D$210-9)&lt;1,NA(),INDEX($D$13:$AD$13,($D$210-9)))</f>
        <v>0</v>
      </c>
      <c r="CI214" s="5">
        <f>IF(($D$210-8)&lt;1,NA(),INDEX($D$13:$AD$13,($D$210-8)))</f>
        <v>0</v>
      </c>
      <c r="CJ214" s="5">
        <f>IF(($D$210-7)&lt;1,NA(),INDEX($D$13:$AD$13,($D$210-7)))</f>
        <v>0</v>
      </c>
      <c r="CK214" s="5">
        <f>IF(($D$210-6)&lt;1,NA(),INDEX($D$13:$AD$13,($D$210-6)))</f>
        <v>0</v>
      </c>
      <c r="CL214" s="5">
        <f>IF(($D$210-5)&lt;1,NA(),INDEX($D$13:$AD$13,($D$210-5)))</f>
        <v>0</v>
      </c>
      <c r="CM214" s="5">
        <f>IF(($D$210-4)&lt;1,NA(),INDEX($D$13:$AD$13,($D$210-4)))</f>
        <v>0</v>
      </c>
      <c r="CN214" s="5">
        <f>IF(($D$210-3)&lt;1,NA(),INDEX($D$13:$AD$13,($D$210-3)))</f>
        <v>0</v>
      </c>
      <c r="CO214" s="5">
        <f>IF(($D$210-2)&lt;1,NA(),INDEX($D$13:$AD$13,($D$210-2)))</f>
        <v>0</v>
      </c>
      <c r="CP214" s="5">
        <f>IF(($D$210-1)&lt;1,NA(),INDEX($D$13:$AD$13,($D$210-1)))</f>
        <v>0</v>
      </c>
      <c r="CQ214" s="5">
        <f>IF(($D$210-0)&lt;1,NA(),INDEX($D$13:$AD$13,($D$210-0)))</f>
        <v>0</v>
      </c>
    </row>
    <row r="215" spans="1:95">
      <c r="A215" s="11" t="s">
        <v>497</v>
      </c>
      <c r="B215" s="11" t="s">
        <v>498</v>
      </c>
      <c r="C215" s="3" t="s">
        <v>137</v>
      </c>
      <c r="D215" s="5">
        <f>IF(MAX($D$216:$AD$216)=0,27,MAX($D$216:$AD$216))</f>
        <v>0</v>
      </c>
    </row>
    <row r="216" spans="1:95">
      <c r="A216" s="11" t="s">
        <v>499</v>
      </c>
      <c r="B216" s="11" t="s">
        <v>500</v>
      </c>
      <c r="C216" s="3" t="s">
        <v>137</v>
      </c>
      <c r="D216" s="5">
        <f>IF(OR(ISNUMBER(D14)),1,0)</f>
        <v>0</v>
      </c>
      <c r="E216" s="5">
        <f>IF(OR(ISNUMBER(E14)),2,0)</f>
        <v>0</v>
      </c>
      <c r="F216" s="5">
        <f>IF(OR(ISNUMBER(F14)),3,0)</f>
        <v>0</v>
      </c>
      <c r="G216" s="5">
        <f>IF(OR(ISNUMBER(G14)),4,0)</f>
        <v>0</v>
      </c>
      <c r="H216" s="5">
        <f>IF(OR(ISNUMBER(H14)),5,0)</f>
        <v>0</v>
      </c>
      <c r="I216" s="5">
        <f>IF(OR(ISNUMBER(I14)),6,0)</f>
        <v>0</v>
      </c>
      <c r="J216" s="5">
        <f>IF(OR(ISNUMBER(J14)),7,0)</f>
        <v>0</v>
      </c>
      <c r="K216" s="5">
        <f>IF(OR(ISNUMBER(K14)),8,0)</f>
        <v>0</v>
      </c>
      <c r="L216" s="5">
        <f>IF(OR(ISNUMBER(L14)),9,0)</f>
        <v>0</v>
      </c>
      <c r="M216" s="5">
        <f>IF(OR(ISNUMBER(M14)),10,0)</f>
        <v>0</v>
      </c>
      <c r="N216" s="5">
        <f>IF(OR(ISNUMBER(N14)),11,0)</f>
        <v>0</v>
      </c>
      <c r="O216" s="5">
        <f>IF(OR(ISNUMBER(O14)),12,0)</f>
        <v>0</v>
      </c>
      <c r="P216" s="5">
        <f>IF(OR(ISNUMBER(P14)),13,0)</f>
        <v>0</v>
      </c>
      <c r="Q216" s="5">
        <f>IF(OR(ISNUMBER(Q14)),14,0)</f>
        <v>0</v>
      </c>
      <c r="R216" s="5">
        <f>IF(OR(ISNUMBER(R14)),15,0)</f>
        <v>0</v>
      </c>
      <c r="S216" s="5">
        <f>IF(OR(ISNUMBER(S14)),16,0)</f>
        <v>0</v>
      </c>
      <c r="T216" s="5">
        <f>IF(OR(ISNUMBER(T14)),17,0)</f>
        <v>0</v>
      </c>
      <c r="U216" s="5">
        <f>IF(OR(ISNUMBER(U14)),18,0)</f>
        <v>0</v>
      </c>
      <c r="V216" s="5">
        <f>IF(OR(ISNUMBER(V14)),19,0)</f>
        <v>0</v>
      </c>
      <c r="W216" s="5">
        <f>IF(OR(ISNUMBER(W14)),20,0)</f>
        <v>0</v>
      </c>
      <c r="X216" s="5">
        <f>IF(OR(ISNUMBER(X14)),21,0)</f>
        <v>0</v>
      </c>
      <c r="Y216" s="5">
        <f>IF(OR(ISNUMBER(Y14)),22,0)</f>
        <v>0</v>
      </c>
      <c r="Z216" s="5">
        <f>IF(OR(ISNUMBER(Z14)),23,0)</f>
        <v>0</v>
      </c>
      <c r="AA216" s="5">
        <f>IF(OR(ISNUMBER(AA14)),24,0)</f>
        <v>0</v>
      </c>
      <c r="AB216" s="5">
        <f>IF(OR(ISNUMBER(AB14)),25,0)</f>
        <v>0</v>
      </c>
      <c r="AC216" s="5">
        <f>IF(OR(ISNUMBER(AC14)),26,0)</f>
        <v>0</v>
      </c>
      <c r="AD216" s="5">
        <f>IF(OR(ISNUMBER(AD14)),27,0)</f>
        <v>0</v>
      </c>
    </row>
    <row r="217" spans="1:95">
      <c r="A217" s="11" t="s">
        <v>501</v>
      </c>
      <c r="B217" s="11" t="s">
        <v>502</v>
      </c>
      <c r="C217" s="3" t="s">
        <v>387</v>
      </c>
      <c r="D217" s="80">
        <f>IF(MAX(IFERROR(N(INDEX(Wertstand!$A$157:$LJ$157,MATCH(INDEX($D$4:$AD$4,$D$215),RD_Kopf,0))),0))&gt;0,MAX(IFERROR(N(INDEX(Wertstand!$A$157:$LJ$157,MATCH(INDEX($D$4:$AD$4,$D$215),RD_Kopf,0))),0)),INDEX($D$4:$AD$4,$D$215))</f>
        <v>0</v>
      </c>
      <c r="E217" s="11">
        <f>"Stand: "&amp;TEXT(DAY($D$217),"00")&amp;"."&amp;TEXT(MONTH($D$217),"00")&amp;"."&amp;RIGHT(YEAR($D$217),2)</f>
        <v>0</v>
      </c>
      <c r="F217" s="11">
        <f>"Stand:"&amp;CHAR(10)&amp;TEXT(DAY($D$217),"00")&amp;"."&amp;TEXT(MONTH($D$217),"00")&amp;"."&amp;RIGHT(YEAR($D$217),2)</f>
        <v>0</v>
      </c>
    </row>
    <row r="218" spans="1:95">
      <c r="A218" s="11" t="s">
        <v>503</v>
      </c>
      <c r="B218" s="11" t="s">
        <v>504</v>
      </c>
      <c r="C218" s="3" t="s">
        <v>398</v>
      </c>
      <c r="BR218" s="11">
        <f>IF(($D$215-25)&lt;1,"",INDEX($D$3:$AD$3,($D$215-25)))</f>
        <v>0</v>
      </c>
      <c r="BS218" s="11">
        <f>IF(($D$215-24)&lt;1,"",INDEX($D$3:$AD$3,($D$215-24)))</f>
        <v>0</v>
      </c>
      <c r="BT218" s="11">
        <f>IF(($D$215-23)&lt;1,"",INDEX($D$3:$AD$3,($D$215-23)))</f>
        <v>0</v>
      </c>
      <c r="BU218" s="11">
        <f>IF(($D$215-22)&lt;1,"",INDEX($D$3:$AD$3,($D$215-22)))</f>
        <v>0</v>
      </c>
      <c r="BV218" s="11">
        <f>IF(($D$215-21)&lt;1,"",INDEX($D$3:$AD$3,($D$215-21)))</f>
        <v>0</v>
      </c>
      <c r="BW218" s="11">
        <f>IF(($D$215-20)&lt;1,"",INDEX($D$3:$AD$3,($D$215-20)))</f>
        <v>0</v>
      </c>
      <c r="BX218" s="11">
        <f>IF(($D$215-19)&lt;1,"",INDEX($D$3:$AD$3,($D$215-19)))</f>
        <v>0</v>
      </c>
      <c r="BY218" s="11">
        <f>IF(($D$215-18)&lt;1,"",INDEX($D$3:$AD$3,($D$215-18)))</f>
        <v>0</v>
      </c>
      <c r="BZ218" s="11">
        <f>IF(($D$215-17)&lt;1,"",INDEX($D$3:$AD$3,($D$215-17)))</f>
        <v>0</v>
      </c>
      <c r="CA218" s="11">
        <f>IF(($D$215-16)&lt;1,"",INDEX($D$3:$AD$3,($D$215-16)))</f>
        <v>0</v>
      </c>
      <c r="CB218" s="11">
        <f>IF(($D$215-15)&lt;1,"",INDEX($D$3:$AD$3,($D$215-15)))</f>
        <v>0</v>
      </c>
      <c r="CC218" s="11">
        <f>IF(($D$215-14)&lt;1,"",INDEX($D$3:$AD$3,($D$215-14)))</f>
        <v>0</v>
      </c>
      <c r="CD218" s="11">
        <f>IF(($D$215-13)&lt;1,"",INDEX($D$3:$AD$3,($D$215-13)))</f>
        <v>0</v>
      </c>
      <c r="CE218" s="11">
        <f>IF(($D$215-12)&lt;1,"",INDEX($D$3:$AD$3,($D$215-12)))</f>
        <v>0</v>
      </c>
      <c r="CF218" s="11">
        <f>IF(($D$215-11)&lt;1,"",INDEX($D$3:$AD$3,($D$215-11)))</f>
        <v>0</v>
      </c>
      <c r="CG218" s="11">
        <f>IF(($D$215-10)&lt;1,"",INDEX($D$3:$AD$3,($D$215-10)))</f>
        <v>0</v>
      </c>
      <c r="CH218" s="11">
        <f>IF(($D$215-9)&lt;1,"",INDEX($D$3:$AD$3,($D$215-9)))</f>
        <v>0</v>
      </c>
      <c r="CI218" s="11">
        <f>IF(($D$215-8)&lt;1,"",INDEX($D$3:$AD$3,($D$215-8)))</f>
        <v>0</v>
      </c>
      <c r="CJ218" s="11">
        <f>IF(($D$215-7)&lt;1,"",INDEX($D$3:$AD$3,($D$215-7)))</f>
        <v>0</v>
      </c>
      <c r="CK218" s="11">
        <f>IF(($D$215-6)&lt;1,"",INDEX($D$3:$AD$3,($D$215-6)))</f>
        <v>0</v>
      </c>
      <c r="CL218" s="11">
        <f>IF(($D$215-5)&lt;1,"",INDEX($D$3:$AD$3,($D$215-5)))</f>
        <v>0</v>
      </c>
      <c r="CM218" s="11">
        <f>IF(($D$215-4)&lt;1,"",INDEX($D$3:$AD$3,($D$215-4)))</f>
        <v>0</v>
      </c>
      <c r="CN218" s="11">
        <f>IF(($D$215-3)&lt;1,"",INDEX($D$3:$AD$3,($D$215-3)))</f>
        <v>0</v>
      </c>
      <c r="CO218" s="11">
        <f>IF(($D$215-2)&lt;1,"",INDEX($D$3:$AD$3,($D$215-2)))</f>
        <v>0</v>
      </c>
      <c r="CP218" s="11">
        <f>IF(($D$215-1)&lt;1,"",INDEX($D$3:$AD$3,($D$215-1)))</f>
        <v>0</v>
      </c>
      <c r="CQ218" s="11">
        <f>IF(($D$215-0)&lt;1,"",INDEX($D$3:$AD$3,($D$215-0)))</f>
        <v>0</v>
      </c>
    </row>
    <row r="219" spans="1:95">
      <c r="A219" s="11" t="s">
        <v>505</v>
      </c>
      <c r="B219" s="11" t="s">
        <v>506</v>
      </c>
      <c r="C219" s="3" t="s">
        <v>398</v>
      </c>
      <c r="BR219" s="5">
        <f>IF(($D$215-25)&lt;1,NA(),INDEX($D$14:$AD$14,($D$215-25)))</f>
        <v>0</v>
      </c>
      <c r="BS219" s="5">
        <f>IF(($D$215-24)&lt;1,NA(),INDEX($D$14:$AD$14,($D$215-24)))</f>
        <v>0</v>
      </c>
      <c r="BT219" s="5">
        <f>IF(($D$215-23)&lt;1,NA(),INDEX($D$14:$AD$14,($D$215-23)))</f>
        <v>0</v>
      </c>
      <c r="BU219" s="5">
        <f>IF(($D$215-22)&lt;1,NA(),INDEX($D$14:$AD$14,($D$215-22)))</f>
        <v>0</v>
      </c>
      <c r="BV219" s="5">
        <f>IF(($D$215-21)&lt;1,NA(),INDEX($D$14:$AD$14,($D$215-21)))</f>
        <v>0</v>
      </c>
      <c r="BW219" s="5">
        <f>IF(($D$215-20)&lt;1,NA(),INDEX($D$14:$AD$14,($D$215-20)))</f>
        <v>0</v>
      </c>
      <c r="BX219" s="5">
        <f>IF(($D$215-19)&lt;1,NA(),INDEX($D$14:$AD$14,($D$215-19)))</f>
        <v>0</v>
      </c>
      <c r="BY219" s="5">
        <f>IF(($D$215-18)&lt;1,NA(),INDEX($D$14:$AD$14,($D$215-18)))</f>
        <v>0</v>
      </c>
      <c r="BZ219" s="5">
        <f>IF(($D$215-17)&lt;1,NA(),INDEX($D$14:$AD$14,($D$215-17)))</f>
        <v>0</v>
      </c>
      <c r="CA219" s="5">
        <f>IF(($D$215-16)&lt;1,NA(),INDEX($D$14:$AD$14,($D$215-16)))</f>
        <v>0</v>
      </c>
      <c r="CB219" s="5">
        <f>IF(($D$215-15)&lt;1,NA(),INDEX($D$14:$AD$14,($D$215-15)))</f>
        <v>0</v>
      </c>
      <c r="CC219" s="5">
        <f>IF(($D$215-14)&lt;1,NA(),INDEX($D$14:$AD$14,($D$215-14)))</f>
        <v>0</v>
      </c>
      <c r="CD219" s="5">
        <f>IF(($D$215-13)&lt;1,NA(),INDEX($D$14:$AD$14,($D$215-13)))</f>
        <v>0</v>
      </c>
      <c r="CE219" s="5">
        <f>IF(($D$215-12)&lt;1,NA(),INDEX($D$14:$AD$14,($D$215-12)))</f>
        <v>0</v>
      </c>
      <c r="CF219" s="5">
        <f>IF(($D$215-11)&lt;1,NA(),INDEX($D$14:$AD$14,($D$215-11)))</f>
        <v>0</v>
      </c>
      <c r="CG219" s="5">
        <f>IF(($D$215-10)&lt;1,NA(),INDEX($D$14:$AD$14,($D$215-10)))</f>
        <v>0</v>
      </c>
      <c r="CH219" s="5">
        <f>IF(($D$215-9)&lt;1,NA(),INDEX($D$14:$AD$14,($D$215-9)))</f>
        <v>0</v>
      </c>
      <c r="CI219" s="5">
        <f>IF(($D$215-8)&lt;1,NA(),INDEX($D$14:$AD$14,($D$215-8)))</f>
        <v>0</v>
      </c>
      <c r="CJ219" s="5">
        <f>IF(($D$215-7)&lt;1,NA(),INDEX($D$14:$AD$14,($D$215-7)))</f>
        <v>0</v>
      </c>
      <c r="CK219" s="5">
        <f>IF(($D$215-6)&lt;1,NA(),INDEX($D$14:$AD$14,($D$215-6)))</f>
        <v>0</v>
      </c>
      <c r="CL219" s="5">
        <f>IF(($D$215-5)&lt;1,NA(),INDEX($D$14:$AD$14,($D$215-5)))</f>
        <v>0</v>
      </c>
      <c r="CM219" s="5">
        <f>IF(($D$215-4)&lt;1,NA(),INDEX($D$14:$AD$14,($D$215-4)))</f>
        <v>0</v>
      </c>
      <c r="CN219" s="5">
        <f>IF(($D$215-3)&lt;1,NA(),INDEX($D$14:$AD$14,($D$215-3)))</f>
        <v>0</v>
      </c>
      <c r="CO219" s="5">
        <f>IF(($D$215-2)&lt;1,NA(),INDEX($D$14:$AD$14,($D$215-2)))</f>
        <v>0</v>
      </c>
      <c r="CP219" s="5">
        <f>IF(($D$215-1)&lt;1,NA(),INDEX($D$14:$AD$14,($D$215-1)))</f>
        <v>0</v>
      </c>
      <c r="CQ219" s="5">
        <f>IF(($D$215-0)&lt;1,NA(),INDEX($D$14:$AD$14,($D$215-0)))</f>
        <v>0</v>
      </c>
    </row>
    <row r="220" spans="1:95">
      <c r="A220" s="11" t="s">
        <v>507</v>
      </c>
      <c r="B220" s="11" t="s">
        <v>508</v>
      </c>
      <c r="C220" s="3" t="s">
        <v>137</v>
      </c>
      <c r="D220" s="5">
        <f>IF(MAX($D$221:$AD$221)=0,27,MAX($D$221:$AD$221))</f>
        <v>0</v>
      </c>
    </row>
    <row r="221" spans="1:95">
      <c r="A221" s="11" t="s">
        <v>509</v>
      </c>
      <c r="B221" s="11" t="s">
        <v>510</v>
      </c>
      <c r="C221" s="3" t="s">
        <v>137</v>
      </c>
      <c r="D221" s="5">
        <f>IF(OR(ISNUMBER(D135)),1,0)</f>
        <v>0</v>
      </c>
      <c r="E221" s="5">
        <f>IF(OR(ISNUMBER(E135)),2,0)</f>
        <v>0</v>
      </c>
      <c r="F221" s="5">
        <f>IF(OR(ISNUMBER(F135)),3,0)</f>
        <v>0</v>
      </c>
      <c r="G221" s="5">
        <f>IF(OR(ISNUMBER(G135)),4,0)</f>
        <v>0</v>
      </c>
      <c r="H221" s="5">
        <f>IF(OR(ISNUMBER(H135)),5,0)</f>
        <v>0</v>
      </c>
      <c r="I221" s="5">
        <f>IF(OR(ISNUMBER(I135)),6,0)</f>
        <v>0</v>
      </c>
      <c r="J221" s="5">
        <f>IF(OR(ISNUMBER(J135)),7,0)</f>
        <v>0</v>
      </c>
      <c r="K221" s="5">
        <f>IF(OR(ISNUMBER(K135)),8,0)</f>
        <v>0</v>
      </c>
      <c r="L221" s="5">
        <f>IF(OR(ISNUMBER(L135)),9,0)</f>
        <v>0</v>
      </c>
      <c r="M221" s="5">
        <f>IF(OR(ISNUMBER(M135)),10,0)</f>
        <v>0</v>
      </c>
      <c r="N221" s="5">
        <f>IF(OR(ISNUMBER(N135)),11,0)</f>
        <v>0</v>
      </c>
      <c r="O221" s="5">
        <f>IF(OR(ISNUMBER(O135)),12,0)</f>
        <v>0</v>
      </c>
      <c r="P221" s="5">
        <f>IF(OR(ISNUMBER(P135)),13,0)</f>
        <v>0</v>
      </c>
      <c r="Q221" s="5">
        <f>IF(OR(ISNUMBER(Q135)),14,0)</f>
        <v>0</v>
      </c>
      <c r="R221" s="5">
        <f>IF(OR(ISNUMBER(R135)),15,0)</f>
        <v>0</v>
      </c>
      <c r="S221" s="5">
        <f>IF(OR(ISNUMBER(S135)),16,0)</f>
        <v>0</v>
      </c>
      <c r="T221" s="5">
        <f>IF(OR(ISNUMBER(T135)),17,0)</f>
        <v>0</v>
      </c>
      <c r="U221" s="5">
        <f>IF(OR(ISNUMBER(U135)),18,0)</f>
        <v>0</v>
      </c>
      <c r="V221" s="5">
        <f>IF(OR(ISNUMBER(V135)),19,0)</f>
        <v>0</v>
      </c>
      <c r="W221" s="5">
        <f>IF(OR(ISNUMBER(W135)),20,0)</f>
        <v>0</v>
      </c>
      <c r="X221" s="5">
        <f>IF(OR(ISNUMBER(X135)),21,0)</f>
        <v>0</v>
      </c>
      <c r="Y221" s="5">
        <f>IF(OR(ISNUMBER(Y135)),22,0)</f>
        <v>0</v>
      </c>
      <c r="Z221" s="5">
        <f>IF(OR(ISNUMBER(Z135)),23,0)</f>
        <v>0</v>
      </c>
      <c r="AA221" s="5">
        <f>IF(OR(ISNUMBER(AA135)),24,0)</f>
        <v>0</v>
      </c>
      <c r="AB221" s="5">
        <f>IF(OR(ISNUMBER(AB135)),25,0)</f>
        <v>0</v>
      </c>
      <c r="AC221" s="5">
        <f>IF(OR(ISNUMBER(AC135)),26,0)</f>
        <v>0</v>
      </c>
      <c r="AD221" s="5">
        <f>IF(OR(ISNUMBER(AD135)),27,0)</f>
        <v>0</v>
      </c>
    </row>
    <row r="222" spans="1:95">
      <c r="A222" s="11" t="s">
        <v>511</v>
      </c>
      <c r="B222" s="11" t="s">
        <v>512</v>
      </c>
      <c r="C222" s="3" t="s">
        <v>387</v>
      </c>
      <c r="D222" s="80">
        <f>IF(MAX(IFERROR(N(INDEX(Wertstand!$A$64:$LJ$64,MATCH(INDEX($D$4:$AD$4,$D$220),RD_Kopf,0))),0))&gt;0,MAX(IFERROR(N(INDEX(Wertstand!$A$64:$LJ$64,MATCH(INDEX($D$4:$AD$4,$D$220),RD_Kopf,0))),0)),INDEX($D$4:$AD$4,$D$220))</f>
        <v>0</v>
      </c>
      <c r="E222" s="11">
        <f>"Stand: "&amp;TEXT(DAY($D$222),"00")&amp;"."&amp;TEXT(MONTH($D$222),"00")&amp;"."&amp;RIGHT(YEAR($D$222),2)</f>
        <v>0</v>
      </c>
      <c r="F222" s="11">
        <f>"Stand:"&amp;CHAR(10)&amp;TEXT(DAY($D$222),"00")&amp;"."&amp;TEXT(MONTH($D$222),"00")&amp;"."&amp;RIGHT(YEAR($D$222),2)</f>
        <v>0</v>
      </c>
    </row>
    <row r="223" spans="1:95">
      <c r="A223" s="11" t="s">
        <v>513</v>
      </c>
      <c r="B223" s="11" t="s">
        <v>514</v>
      </c>
      <c r="C223" s="3" t="s">
        <v>398</v>
      </c>
      <c r="BR223" s="11">
        <f>IF(($D$220-25)&lt;1,"",INDEX($D$3:$AD$3,($D$220-25)))</f>
        <v>0</v>
      </c>
      <c r="BS223" s="11">
        <f>IF(($D$220-24)&lt;1,"",INDEX($D$3:$AD$3,($D$220-24)))</f>
        <v>0</v>
      </c>
      <c r="BT223" s="11">
        <f>IF(($D$220-23)&lt;1,"",INDEX($D$3:$AD$3,($D$220-23)))</f>
        <v>0</v>
      </c>
      <c r="BU223" s="11">
        <f>IF(($D$220-22)&lt;1,"",INDEX($D$3:$AD$3,($D$220-22)))</f>
        <v>0</v>
      </c>
      <c r="BV223" s="11">
        <f>IF(($D$220-21)&lt;1,"",INDEX($D$3:$AD$3,($D$220-21)))</f>
        <v>0</v>
      </c>
      <c r="BW223" s="11">
        <f>IF(($D$220-20)&lt;1,"",INDEX($D$3:$AD$3,($D$220-20)))</f>
        <v>0</v>
      </c>
      <c r="BX223" s="11">
        <f>IF(($D$220-19)&lt;1,"",INDEX($D$3:$AD$3,($D$220-19)))</f>
        <v>0</v>
      </c>
      <c r="BY223" s="11">
        <f>IF(($D$220-18)&lt;1,"",INDEX($D$3:$AD$3,($D$220-18)))</f>
        <v>0</v>
      </c>
      <c r="BZ223" s="11">
        <f>IF(($D$220-17)&lt;1,"",INDEX($D$3:$AD$3,($D$220-17)))</f>
        <v>0</v>
      </c>
      <c r="CA223" s="11">
        <f>IF(($D$220-16)&lt;1,"",INDEX($D$3:$AD$3,($D$220-16)))</f>
        <v>0</v>
      </c>
      <c r="CB223" s="11">
        <f>IF(($D$220-15)&lt;1,"",INDEX($D$3:$AD$3,($D$220-15)))</f>
        <v>0</v>
      </c>
      <c r="CC223" s="11">
        <f>IF(($D$220-14)&lt;1,"",INDEX($D$3:$AD$3,($D$220-14)))</f>
        <v>0</v>
      </c>
      <c r="CD223" s="11">
        <f>IF(($D$220-13)&lt;1,"",INDEX($D$3:$AD$3,($D$220-13)))</f>
        <v>0</v>
      </c>
      <c r="CE223" s="11">
        <f>IF(($D$220-12)&lt;1,"",INDEX($D$3:$AD$3,($D$220-12)))</f>
        <v>0</v>
      </c>
      <c r="CF223" s="11">
        <f>IF(($D$220-11)&lt;1,"",INDEX($D$3:$AD$3,($D$220-11)))</f>
        <v>0</v>
      </c>
      <c r="CG223" s="11">
        <f>IF(($D$220-10)&lt;1,"",INDEX($D$3:$AD$3,($D$220-10)))</f>
        <v>0</v>
      </c>
      <c r="CH223" s="11">
        <f>IF(($D$220-9)&lt;1,"",INDEX($D$3:$AD$3,($D$220-9)))</f>
        <v>0</v>
      </c>
      <c r="CI223" s="11">
        <f>IF(($D$220-8)&lt;1,"",INDEX($D$3:$AD$3,($D$220-8)))</f>
        <v>0</v>
      </c>
      <c r="CJ223" s="11">
        <f>IF(($D$220-7)&lt;1,"",INDEX($D$3:$AD$3,($D$220-7)))</f>
        <v>0</v>
      </c>
      <c r="CK223" s="11">
        <f>IF(($D$220-6)&lt;1,"",INDEX($D$3:$AD$3,($D$220-6)))</f>
        <v>0</v>
      </c>
      <c r="CL223" s="11">
        <f>IF(($D$220-5)&lt;1,"",INDEX($D$3:$AD$3,($D$220-5)))</f>
        <v>0</v>
      </c>
      <c r="CM223" s="11">
        <f>IF(($D$220-4)&lt;1,"",INDEX($D$3:$AD$3,($D$220-4)))</f>
        <v>0</v>
      </c>
      <c r="CN223" s="11">
        <f>IF(($D$220-3)&lt;1,"",INDEX($D$3:$AD$3,($D$220-3)))</f>
        <v>0</v>
      </c>
      <c r="CO223" s="11">
        <f>IF(($D$220-2)&lt;1,"",INDEX($D$3:$AD$3,($D$220-2)))</f>
        <v>0</v>
      </c>
      <c r="CP223" s="11">
        <f>IF(($D$220-1)&lt;1,"",INDEX($D$3:$AD$3,($D$220-1)))</f>
        <v>0</v>
      </c>
      <c r="CQ223" s="11">
        <f>IF(($D$220-0)&lt;1,"",INDEX($D$3:$AD$3,($D$220-0)))</f>
        <v>0</v>
      </c>
    </row>
    <row r="224" spans="1:95">
      <c r="A224" s="11" t="s">
        <v>515</v>
      </c>
      <c r="B224" s="11" t="s">
        <v>516</v>
      </c>
      <c r="C224" s="3" t="s">
        <v>398</v>
      </c>
      <c r="BR224" s="5">
        <f>IF(($D$220-25)&lt;1,NA(),INDEX($D$135:$AD$135,($D$220-25)))</f>
        <v>0</v>
      </c>
      <c r="BS224" s="5">
        <f>IF(($D$220-24)&lt;1,NA(),INDEX($D$135:$AD$135,($D$220-24)))</f>
        <v>0</v>
      </c>
      <c r="BT224" s="5">
        <f>IF(($D$220-23)&lt;1,NA(),INDEX($D$135:$AD$135,($D$220-23)))</f>
        <v>0</v>
      </c>
      <c r="BU224" s="5">
        <f>IF(($D$220-22)&lt;1,NA(),INDEX($D$135:$AD$135,($D$220-22)))</f>
        <v>0</v>
      </c>
      <c r="BV224" s="5">
        <f>IF(($D$220-21)&lt;1,NA(),INDEX($D$135:$AD$135,($D$220-21)))</f>
        <v>0</v>
      </c>
      <c r="BW224" s="5">
        <f>IF(($D$220-20)&lt;1,NA(),INDEX($D$135:$AD$135,($D$220-20)))</f>
        <v>0</v>
      </c>
      <c r="BX224" s="5">
        <f>IF(($D$220-19)&lt;1,NA(),INDEX($D$135:$AD$135,($D$220-19)))</f>
        <v>0</v>
      </c>
      <c r="BY224" s="5">
        <f>IF(($D$220-18)&lt;1,NA(),INDEX($D$135:$AD$135,($D$220-18)))</f>
        <v>0</v>
      </c>
      <c r="BZ224" s="5">
        <f>IF(($D$220-17)&lt;1,NA(),INDEX($D$135:$AD$135,($D$220-17)))</f>
        <v>0</v>
      </c>
      <c r="CA224" s="5">
        <f>IF(($D$220-16)&lt;1,NA(),INDEX($D$135:$AD$135,($D$220-16)))</f>
        <v>0</v>
      </c>
      <c r="CB224" s="5">
        <f>IF(($D$220-15)&lt;1,NA(),INDEX($D$135:$AD$135,($D$220-15)))</f>
        <v>0</v>
      </c>
      <c r="CC224" s="5">
        <f>IF(($D$220-14)&lt;1,NA(),INDEX($D$135:$AD$135,($D$220-14)))</f>
        <v>0</v>
      </c>
      <c r="CD224" s="5">
        <f>IF(($D$220-13)&lt;1,NA(),INDEX($D$135:$AD$135,($D$220-13)))</f>
        <v>0</v>
      </c>
      <c r="CE224" s="5">
        <f>IF(($D$220-12)&lt;1,NA(),INDEX($D$135:$AD$135,($D$220-12)))</f>
        <v>0</v>
      </c>
      <c r="CF224" s="5">
        <f>IF(($D$220-11)&lt;1,NA(),INDEX($D$135:$AD$135,($D$220-11)))</f>
        <v>0</v>
      </c>
      <c r="CG224" s="5">
        <f>IF(($D$220-10)&lt;1,NA(),INDEX($D$135:$AD$135,($D$220-10)))</f>
        <v>0</v>
      </c>
      <c r="CH224" s="5">
        <f>IF(($D$220-9)&lt;1,NA(),INDEX($D$135:$AD$135,($D$220-9)))</f>
        <v>0</v>
      </c>
      <c r="CI224" s="5">
        <f>IF(($D$220-8)&lt;1,NA(),INDEX($D$135:$AD$135,($D$220-8)))</f>
        <v>0</v>
      </c>
      <c r="CJ224" s="5">
        <f>IF(($D$220-7)&lt;1,NA(),INDEX($D$135:$AD$135,($D$220-7)))</f>
        <v>0</v>
      </c>
      <c r="CK224" s="5">
        <f>IF(($D$220-6)&lt;1,NA(),INDEX($D$135:$AD$135,($D$220-6)))</f>
        <v>0</v>
      </c>
      <c r="CL224" s="5">
        <f>IF(($D$220-5)&lt;1,NA(),INDEX($D$135:$AD$135,($D$220-5)))</f>
        <v>0</v>
      </c>
      <c r="CM224" s="5">
        <f>IF(($D$220-4)&lt;1,NA(),INDEX($D$135:$AD$135,($D$220-4)))</f>
        <v>0</v>
      </c>
      <c r="CN224" s="5">
        <f>IF(($D$220-3)&lt;1,NA(),INDEX($D$135:$AD$135,($D$220-3)))</f>
        <v>0</v>
      </c>
      <c r="CO224" s="5">
        <f>IF(($D$220-2)&lt;1,NA(),INDEX($D$135:$AD$135,($D$220-2)))</f>
        <v>0</v>
      </c>
      <c r="CP224" s="5">
        <f>IF(($D$220-1)&lt;1,NA(),INDEX($D$135:$AD$135,($D$220-1)))</f>
        <v>0</v>
      </c>
      <c r="CQ224" s="5">
        <f>IF(($D$220-0)&lt;1,NA(),INDEX($D$135:$AD$135,($D$220-0)))</f>
        <v>0</v>
      </c>
    </row>
    <row r="225" spans="1:95">
      <c r="A225" s="11" t="s">
        <v>517</v>
      </c>
      <c r="B225" s="11" t="s">
        <v>518</v>
      </c>
      <c r="C225" s="3" t="s">
        <v>137</v>
      </c>
      <c r="D225" s="5">
        <f>IF(MAX($D$226:$AD$226)=0,27,MAX($D$226:$AD$226))</f>
        <v>0</v>
      </c>
    </row>
    <row r="226" spans="1:95">
      <c r="A226" s="11" t="s">
        <v>519</v>
      </c>
      <c r="B226" s="11" t="s">
        <v>520</v>
      </c>
      <c r="C226" s="3" t="s">
        <v>137</v>
      </c>
      <c r="D226" s="5">
        <f>IF(OR(ISNUMBER(D136),ISNUMBER(D17),ISNUMBER(D18),ISNUMBER(D19)),1,0)</f>
        <v>0</v>
      </c>
      <c r="E226" s="5">
        <f>IF(OR(ISNUMBER(E136),ISNUMBER(E17),ISNUMBER(E18),ISNUMBER(E19)),2,0)</f>
        <v>0</v>
      </c>
      <c r="F226" s="5">
        <f>IF(OR(ISNUMBER(F136),ISNUMBER(F17),ISNUMBER(F18),ISNUMBER(F19)),3,0)</f>
        <v>0</v>
      </c>
      <c r="G226" s="5">
        <f>IF(OR(ISNUMBER(G136),ISNUMBER(G17),ISNUMBER(G18),ISNUMBER(G19)),4,0)</f>
        <v>0</v>
      </c>
      <c r="H226" s="5">
        <f>IF(OR(ISNUMBER(H136),ISNUMBER(H17),ISNUMBER(H18),ISNUMBER(H19)),5,0)</f>
        <v>0</v>
      </c>
      <c r="I226" s="5">
        <f>IF(OR(ISNUMBER(I136),ISNUMBER(I17),ISNUMBER(I18),ISNUMBER(I19)),6,0)</f>
        <v>0</v>
      </c>
      <c r="J226" s="5">
        <f>IF(OR(ISNUMBER(J136),ISNUMBER(J17),ISNUMBER(J18),ISNUMBER(J19)),7,0)</f>
        <v>0</v>
      </c>
      <c r="K226" s="5">
        <f>IF(OR(ISNUMBER(K136),ISNUMBER(K17),ISNUMBER(K18),ISNUMBER(K19)),8,0)</f>
        <v>0</v>
      </c>
      <c r="L226" s="5">
        <f>IF(OR(ISNUMBER(L136),ISNUMBER(L17),ISNUMBER(L18),ISNUMBER(L19)),9,0)</f>
        <v>0</v>
      </c>
      <c r="M226" s="5">
        <f>IF(OR(ISNUMBER(M136),ISNUMBER(M17),ISNUMBER(M18),ISNUMBER(M19)),10,0)</f>
        <v>0</v>
      </c>
      <c r="N226" s="5">
        <f>IF(OR(ISNUMBER(N136),ISNUMBER(N17),ISNUMBER(N18),ISNUMBER(N19)),11,0)</f>
        <v>0</v>
      </c>
      <c r="O226" s="5">
        <f>IF(OR(ISNUMBER(O136),ISNUMBER(O17),ISNUMBER(O18),ISNUMBER(O19)),12,0)</f>
        <v>0</v>
      </c>
      <c r="P226" s="5">
        <f>IF(OR(ISNUMBER(P136),ISNUMBER(P17),ISNUMBER(P18),ISNUMBER(P19)),13,0)</f>
        <v>0</v>
      </c>
      <c r="Q226" s="5">
        <f>IF(OR(ISNUMBER(Q136),ISNUMBER(Q17),ISNUMBER(Q18),ISNUMBER(Q19)),14,0)</f>
        <v>0</v>
      </c>
      <c r="R226" s="5">
        <f>IF(OR(ISNUMBER(R136),ISNUMBER(R17),ISNUMBER(R18),ISNUMBER(R19)),15,0)</f>
        <v>0</v>
      </c>
      <c r="S226" s="5">
        <f>IF(OR(ISNUMBER(S136),ISNUMBER(S17),ISNUMBER(S18),ISNUMBER(S19)),16,0)</f>
        <v>0</v>
      </c>
      <c r="T226" s="5">
        <f>IF(OR(ISNUMBER(T136),ISNUMBER(T17),ISNUMBER(T18),ISNUMBER(T19)),17,0)</f>
        <v>0</v>
      </c>
      <c r="U226" s="5">
        <f>IF(OR(ISNUMBER(U136),ISNUMBER(U17),ISNUMBER(U18),ISNUMBER(U19)),18,0)</f>
        <v>0</v>
      </c>
      <c r="V226" s="5">
        <f>IF(OR(ISNUMBER(V136),ISNUMBER(V17),ISNUMBER(V18),ISNUMBER(V19)),19,0)</f>
        <v>0</v>
      </c>
      <c r="W226" s="5">
        <f>IF(OR(ISNUMBER(W136),ISNUMBER(W17),ISNUMBER(W18),ISNUMBER(W19)),20,0)</f>
        <v>0</v>
      </c>
      <c r="X226" s="5">
        <f>IF(OR(ISNUMBER(X136),ISNUMBER(X17),ISNUMBER(X18),ISNUMBER(X19)),21,0)</f>
        <v>0</v>
      </c>
      <c r="Y226" s="5">
        <f>IF(OR(ISNUMBER(Y136),ISNUMBER(Y17),ISNUMBER(Y18),ISNUMBER(Y19)),22,0)</f>
        <v>0</v>
      </c>
      <c r="Z226" s="5">
        <f>IF(OR(ISNUMBER(Z136),ISNUMBER(Z17),ISNUMBER(Z18),ISNUMBER(Z19)),23,0)</f>
        <v>0</v>
      </c>
      <c r="AA226" s="5">
        <f>IF(OR(ISNUMBER(AA136),ISNUMBER(AA17),ISNUMBER(AA18),ISNUMBER(AA19)),24,0)</f>
        <v>0</v>
      </c>
      <c r="AB226" s="5">
        <f>IF(OR(ISNUMBER(AB136),ISNUMBER(AB17),ISNUMBER(AB18),ISNUMBER(AB19)),25,0)</f>
        <v>0</v>
      </c>
      <c r="AC226" s="5">
        <f>IF(OR(ISNUMBER(AC136),ISNUMBER(AC17),ISNUMBER(AC18),ISNUMBER(AC19)),26,0)</f>
        <v>0</v>
      </c>
      <c r="AD226" s="5">
        <f>IF(OR(ISNUMBER(AD136),ISNUMBER(AD17),ISNUMBER(AD18),ISNUMBER(AD19)),27,0)</f>
        <v>0</v>
      </c>
    </row>
    <row r="227" spans="1:95">
      <c r="A227" s="11" t="s">
        <v>521</v>
      </c>
      <c r="B227" s="11" t="s">
        <v>522</v>
      </c>
      <c r="C227" s="3" t="s">
        <v>387</v>
      </c>
      <c r="D227" s="80">
        <f>IF(MAX(IFERROR(N(INDEX(Wertstand!$A$142:$LJ$142,MATCH(INDEX($D$4:$AD$4,$D$225),RD_Kopf,0))),0),IFERROR(N(INDEX(Wertstand!$A$143:$LJ$143,MATCH(INDEX($D$4:$AD$4,$D$225),RD_Kopf,0))),0),IFERROR(N(INDEX(Wertstand!$A$144:$LJ$144,MATCH(INDEX($D$4:$AD$4,$D$225),RD_Kopf,0))),0),IFERROR(N(INDEX(Wertstand!$A$145:$LJ$145,MATCH(INDEX($D$4:$AD$4,$D$225),RD_Kopf,0))),0))&gt;0,MAX(IFERROR(N(INDEX(Wertstand!$A$142:$LJ$142,MATCH(INDEX($D$4:$AD$4,$D$225),RD_Kopf,0))),0),IFERROR(N(INDEX(Wertstand!$A$143:$LJ$143,MATCH(INDEX($D$4:$AD$4,$D$225),RD_Kopf,0))),0),IFERROR(N(INDEX(Wertstand!$A$144:$LJ$144,MATCH(INDEX($D$4:$AD$4,$D$225),RD_Kopf,0))),0),IFERROR(N(INDEX(Wertstand!$A$145:$LJ$145,MATCH(INDEX($D$4:$AD$4,$D$225),RD_Kopf,0))),0)),INDEX($D$4:$AD$4,$D$225))</f>
        <v>0</v>
      </c>
      <c r="E227" s="11">
        <f>"Stand: "&amp;TEXT(DAY($D$227),"00")&amp;"."&amp;TEXT(MONTH($D$227),"00")&amp;"."&amp;RIGHT(YEAR($D$227),2)</f>
        <v>0</v>
      </c>
      <c r="F227" s="11">
        <f>"Stand:"&amp;CHAR(10)&amp;TEXT(DAY($D$227),"00")&amp;"."&amp;TEXT(MONTH($D$227),"00")&amp;"."&amp;RIGHT(YEAR($D$227),2)</f>
        <v>0</v>
      </c>
    </row>
    <row r="228" spans="1:95">
      <c r="A228" s="11" t="s">
        <v>523</v>
      </c>
      <c r="B228" s="11" t="s">
        <v>524</v>
      </c>
      <c r="C228" s="3" t="s">
        <v>398</v>
      </c>
      <c r="BR228" s="11">
        <f>IF(($D$225-25)&lt;1,"",INDEX($D$3:$AD$3,($D$225-25)))</f>
        <v>0</v>
      </c>
      <c r="BS228" s="11">
        <f>IF(($D$225-24)&lt;1,"",INDEX($D$3:$AD$3,($D$225-24)))</f>
        <v>0</v>
      </c>
      <c r="BT228" s="11">
        <f>IF(($D$225-23)&lt;1,"",INDEX($D$3:$AD$3,($D$225-23)))</f>
        <v>0</v>
      </c>
      <c r="BU228" s="11">
        <f>IF(($D$225-22)&lt;1,"",INDEX($D$3:$AD$3,($D$225-22)))</f>
        <v>0</v>
      </c>
      <c r="BV228" s="11">
        <f>IF(($D$225-21)&lt;1,"",INDEX($D$3:$AD$3,($D$225-21)))</f>
        <v>0</v>
      </c>
      <c r="BW228" s="11">
        <f>IF(($D$225-20)&lt;1,"",INDEX($D$3:$AD$3,($D$225-20)))</f>
        <v>0</v>
      </c>
      <c r="BX228" s="11">
        <f>IF(($D$225-19)&lt;1,"",INDEX($D$3:$AD$3,($D$225-19)))</f>
        <v>0</v>
      </c>
      <c r="BY228" s="11">
        <f>IF(($D$225-18)&lt;1,"",INDEX($D$3:$AD$3,($D$225-18)))</f>
        <v>0</v>
      </c>
      <c r="BZ228" s="11">
        <f>IF(($D$225-17)&lt;1,"",INDEX($D$3:$AD$3,($D$225-17)))</f>
        <v>0</v>
      </c>
      <c r="CA228" s="11">
        <f>IF(($D$225-16)&lt;1,"",INDEX($D$3:$AD$3,($D$225-16)))</f>
        <v>0</v>
      </c>
      <c r="CB228" s="11">
        <f>IF(($D$225-15)&lt;1,"",INDEX($D$3:$AD$3,($D$225-15)))</f>
        <v>0</v>
      </c>
      <c r="CC228" s="11">
        <f>IF(($D$225-14)&lt;1,"",INDEX($D$3:$AD$3,($D$225-14)))</f>
        <v>0</v>
      </c>
      <c r="CD228" s="11">
        <f>IF(($D$225-13)&lt;1,"",INDEX($D$3:$AD$3,($D$225-13)))</f>
        <v>0</v>
      </c>
      <c r="CE228" s="11">
        <f>IF(($D$225-12)&lt;1,"",INDEX($D$3:$AD$3,($D$225-12)))</f>
        <v>0</v>
      </c>
      <c r="CF228" s="11">
        <f>IF(($D$225-11)&lt;1,"",INDEX($D$3:$AD$3,($D$225-11)))</f>
        <v>0</v>
      </c>
      <c r="CG228" s="11">
        <f>IF(($D$225-10)&lt;1,"",INDEX($D$3:$AD$3,($D$225-10)))</f>
        <v>0</v>
      </c>
      <c r="CH228" s="11">
        <f>IF(($D$225-9)&lt;1,"",INDEX($D$3:$AD$3,($D$225-9)))</f>
        <v>0</v>
      </c>
      <c r="CI228" s="11">
        <f>IF(($D$225-8)&lt;1,"",INDEX($D$3:$AD$3,($D$225-8)))</f>
        <v>0</v>
      </c>
      <c r="CJ228" s="11">
        <f>IF(($D$225-7)&lt;1,"",INDEX($D$3:$AD$3,($D$225-7)))</f>
        <v>0</v>
      </c>
      <c r="CK228" s="11">
        <f>IF(($D$225-6)&lt;1,"",INDEX($D$3:$AD$3,($D$225-6)))</f>
        <v>0</v>
      </c>
      <c r="CL228" s="11">
        <f>IF(($D$225-5)&lt;1,"",INDEX($D$3:$AD$3,($D$225-5)))</f>
        <v>0</v>
      </c>
      <c r="CM228" s="11">
        <f>IF(($D$225-4)&lt;1,"",INDEX($D$3:$AD$3,($D$225-4)))</f>
        <v>0</v>
      </c>
      <c r="CN228" s="11">
        <f>IF(($D$225-3)&lt;1,"",INDEX($D$3:$AD$3,($D$225-3)))</f>
        <v>0</v>
      </c>
      <c r="CO228" s="11">
        <f>IF(($D$225-2)&lt;1,"",INDEX($D$3:$AD$3,($D$225-2)))</f>
        <v>0</v>
      </c>
      <c r="CP228" s="11">
        <f>IF(($D$225-1)&lt;1,"",INDEX($D$3:$AD$3,($D$225-1)))</f>
        <v>0</v>
      </c>
      <c r="CQ228" s="11">
        <f>IF(($D$225-0)&lt;1,"",INDEX($D$3:$AD$3,($D$225-0)))</f>
        <v>0</v>
      </c>
    </row>
    <row r="229" spans="1:95">
      <c r="A229" s="11" t="s">
        <v>525</v>
      </c>
      <c r="B229" s="11" t="s">
        <v>526</v>
      </c>
      <c r="C229" s="3" t="s">
        <v>398</v>
      </c>
      <c r="BR229" s="5">
        <f>IF(($D$225-25)&lt;1,NA(),INDEX($D$136:$AD$136,($D$225-25)))</f>
        <v>0</v>
      </c>
      <c r="BS229" s="5">
        <f>IF(($D$225-24)&lt;1,NA(),INDEX($D$136:$AD$136,($D$225-24)))</f>
        <v>0</v>
      </c>
      <c r="BT229" s="5">
        <f>IF(($D$225-23)&lt;1,NA(),INDEX($D$136:$AD$136,($D$225-23)))</f>
        <v>0</v>
      </c>
      <c r="BU229" s="5">
        <f>IF(($D$225-22)&lt;1,NA(),INDEX($D$136:$AD$136,($D$225-22)))</f>
        <v>0</v>
      </c>
      <c r="BV229" s="5">
        <f>IF(($D$225-21)&lt;1,NA(),INDEX($D$136:$AD$136,($D$225-21)))</f>
        <v>0</v>
      </c>
      <c r="BW229" s="5">
        <f>IF(($D$225-20)&lt;1,NA(),INDEX($D$136:$AD$136,($D$225-20)))</f>
        <v>0</v>
      </c>
      <c r="BX229" s="5">
        <f>IF(($D$225-19)&lt;1,NA(),INDEX($D$136:$AD$136,($D$225-19)))</f>
        <v>0</v>
      </c>
      <c r="BY229" s="5">
        <f>IF(($D$225-18)&lt;1,NA(),INDEX($D$136:$AD$136,($D$225-18)))</f>
        <v>0</v>
      </c>
      <c r="BZ229" s="5">
        <f>IF(($D$225-17)&lt;1,NA(),INDEX($D$136:$AD$136,($D$225-17)))</f>
        <v>0</v>
      </c>
      <c r="CA229" s="5">
        <f>IF(($D$225-16)&lt;1,NA(),INDEX($D$136:$AD$136,($D$225-16)))</f>
        <v>0</v>
      </c>
      <c r="CB229" s="5">
        <f>IF(($D$225-15)&lt;1,NA(),INDEX($D$136:$AD$136,($D$225-15)))</f>
        <v>0</v>
      </c>
      <c r="CC229" s="5">
        <f>IF(($D$225-14)&lt;1,NA(),INDEX($D$136:$AD$136,($D$225-14)))</f>
        <v>0</v>
      </c>
      <c r="CD229" s="5">
        <f>IF(($D$225-13)&lt;1,NA(),INDEX($D$136:$AD$136,($D$225-13)))</f>
        <v>0</v>
      </c>
      <c r="CE229" s="5">
        <f>IF(($D$225-12)&lt;1,NA(),INDEX($D$136:$AD$136,($D$225-12)))</f>
        <v>0</v>
      </c>
      <c r="CF229" s="5">
        <f>IF(($D$225-11)&lt;1,NA(),INDEX($D$136:$AD$136,($D$225-11)))</f>
        <v>0</v>
      </c>
      <c r="CG229" s="5">
        <f>IF(($D$225-10)&lt;1,NA(),INDEX($D$136:$AD$136,($D$225-10)))</f>
        <v>0</v>
      </c>
      <c r="CH229" s="5">
        <f>IF(($D$225-9)&lt;1,NA(),INDEX($D$136:$AD$136,($D$225-9)))</f>
        <v>0</v>
      </c>
      <c r="CI229" s="5">
        <f>IF(($D$225-8)&lt;1,NA(),INDEX($D$136:$AD$136,($D$225-8)))</f>
        <v>0</v>
      </c>
      <c r="CJ229" s="5">
        <f>IF(($D$225-7)&lt;1,NA(),INDEX($D$136:$AD$136,($D$225-7)))</f>
        <v>0</v>
      </c>
      <c r="CK229" s="5">
        <f>IF(($D$225-6)&lt;1,NA(),INDEX($D$136:$AD$136,($D$225-6)))</f>
        <v>0</v>
      </c>
      <c r="CL229" s="5">
        <f>IF(($D$225-5)&lt;1,NA(),INDEX($D$136:$AD$136,($D$225-5)))</f>
        <v>0</v>
      </c>
      <c r="CM229" s="5">
        <f>IF(($D$225-4)&lt;1,NA(),INDEX($D$136:$AD$136,($D$225-4)))</f>
        <v>0</v>
      </c>
      <c r="CN229" s="5">
        <f>IF(($D$225-3)&lt;1,NA(),INDEX($D$136:$AD$136,($D$225-3)))</f>
        <v>0</v>
      </c>
      <c r="CO229" s="5">
        <f>IF(($D$225-2)&lt;1,NA(),INDEX($D$136:$AD$136,($D$225-2)))</f>
        <v>0</v>
      </c>
      <c r="CP229" s="5">
        <f>IF(($D$225-1)&lt;1,NA(),INDEX($D$136:$AD$136,($D$225-1)))</f>
        <v>0</v>
      </c>
      <c r="CQ229" s="5">
        <f>IF(($D$225-0)&lt;1,NA(),INDEX($D$136:$AD$136,($D$225-0)))</f>
        <v>0</v>
      </c>
    </row>
    <row r="230" spans="1:95">
      <c r="A230" s="11" t="s">
        <v>527</v>
      </c>
      <c r="B230" s="11" t="s">
        <v>528</v>
      </c>
      <c r="C230" s="3" t="s">
        <v>398</v>
      </c>
      <c r="BR230" s="5">
        <f>IF(($D$225-25)&lt;1,NA(),INDEX($D$17:$AD$17,($D$225-25)))</f>
        <v>0</v>
      </c>
      <c r="BS230" s="5">
        <f>IF(($D$225-24)&lt;1,NA(),INDEX($D$17:$AD$17,($D$225-24)))</f>
        <v>0</v>
      </c>
      <c r="BT230" s="5">
        <f>IF(($D$225-23)&lt;1,NA(),INDEX($D$17:$AD$17,($D$225-23)))</f>
        <v>0</v>
      </c>
      <c r="BU230" s="5">
        <f>IF(($D$225-22)&lt;1,NA(),INDEX($D$17:$AD$17,($D$225-22)))</f>
        <v>0</v>
      </c>
      <c r="BV230" s="5">
        <f>IF(($D$225-21)&lt;1,NA(),INDEX($D$17:$AD$17,($D$225-21)))</f>
        <v>0</v>
      </c>
      <c r="BW230" s="5">
        <f>IF(($D$225-20)&lt;1,NA(),INDEX($D$17:$AD$17,($D$225-20)))</f>
        <v>0</v>
      </c>
      <c r="BX230" s="5">
        <f>IF(($D$225-19)&lt;1,NA(),INDEX($D$17:$AD$17,($D$225-19)))</f>
        <v>0</v>
      </c>
      <c r="BY230" s="5">
        <f>IF(($D$225-18)&lt;1,NA(),INDEX($D$17:$AD$17,($D$225-18)))</f>
        <v>0</v>
      </c>
      <c r="BZ230" s="5">
        <f>IF(($D$225-17)&lt;1,NA(),INDEX($D$17:$AD$17,($D$225-17)))</f>
        <v>0</v>
      </c>
      <c r="CA230" s="5">
        <f>IF(($D$225-16)&lt;1,NA(),INDEX($D$17:$AD$17,($D$225-16)))</f>
        <v>0</v>
      </c>
      <c r="CB230" s="5">
        <f>IF(($D$225-15)&lt;1,NA(),INDEX($D$17:$AD$17,($D$225-15)))</f>
        <v>0</v>
      </c>
      <c r="CC230" s="5">
        <f>IF(($D$225-14)&lt;1,NA(),INDEX($D$17:$AD$17,($D$225-14)))</f>
        <v>0</v>
      </c>
      <c r="CD230" s="5">
        <f>IF(($D$225-13)&lt;1,NA(),INDEX($D$17:$AD$17,($D$225-13)))</f>
        <v>0</v>
      </c>
      <c r="CE230" s="5">
        <f>IF(($D$225-12)&lt;1,NA(),INDEX($D$17:$AD$17,($D$225-12)))</f>
        <v>0</v>
      </c>
      <c r="CF230" s="5">
        <f>IF(($D$225-11)&lt;1,NA(),INDEX($D$17:$AD$17,($D$225-11)))</f>
        <v>0</v>
      </c>
      <c r="CG230" s="5">
        <f>IF(($D$225-10)&lt;1,NA(),INDEX($D$17:$AD$17,($D$225-10)))</f>
        <v>0</v>
      </c>
      <c r="CH230" s="5">
        <f>IF(($D$225-9)&lt;1,NA(),INDEX($D$17:$AD$17,($D$225-9)))</f>
        <v>0</v>
      </c>
      <c r="CI230" s="5">
        <f>IF(($D$225-8)&lt;1,NA(),INDEX($D$17:$AD$17,($D$225-8)))</f>
        <v>0</v>
      </c>
      <c r="CJ230" s="5">
        <f>IF(($D$225-7)&lt;1,NA(),INDEX($D$17:$AD$17,($D$225-7)))</f>
        <v>0</v>
      </c>
      <c r="CK230" s="5">
        <f>IF(($D$225-6)&lt;1,NA(),INDEX($D$17:$AD$17,($D$225-6)))</f>
        <v>0</v>
      </c>
      <c r="CL230" s="5">
        <f>IF(($D$225-5)&lt;1,NA(),INDEX($D$17:$AD$17,($D$225-5)))</f>
        <v>0</v>
      </c>
      <c r="CM230" s="5">
        <f>IF(($D$225-4)&lt;1,NA(),INDEX($D$17:$AD$17,($D$225-4)))</f>
        <v>0</v>
      </c>
      <c r="CN230" s="5">
        <f>IF(($D$225-3)&lt;1,NA(),INDEX($D$17:$AD$17,($D$225-3)))</f>
        <v>0</v>
      </c>
      <c r="CO230" s="5">
        <f>IF(($D$225-2)&lt;1,NA(),INDEX($D$17:$AD$17,($D$225-2)))</f>
        <v>0</v>
      </c>
      <c r="CP230" s="5">
        <f>IF(($D$225-1)&lt;1,NA(),INDEX($D$17:$AD$17,($D$225-1)))</f>
        <v>0</v>
      </c>
      <c r="CQ230" s="5">
        <f>IF(($D$225-0)&lt;1,NA(),INDEX($D$17:$AD$17,($D$225-0)))</f>
        <v>0</v>
      </c>
    </row>
    <row r="231" spans="1:95">
      <c r="A231" s="11" t="s">
        <v>529</v>
      </c>
      <c r="B231" s="11" t="s">
        <v>530</v>
      </c>
      <c r="C231" s="3" t="s">
        <v>398</v>
      </c>
      <c r="BR231" s="11">
        <f>IF(($D$225-25)&lt;1,"",INDEX($D$138:$AD$138,($D$225-25)))</f>
        <v>0</v>
      </c>
      <c r="BS231" s="11">
        <f>IF(($D$225-24)&lt;1,"",INDEX($D$138:$AD$138,($D$225-24)))</f>
        <v>0</v>
      </c>
      <c r="BT231" s="11">
        <f>IF(($D$225-23)&lt;1,"",INDEX($D$138:$AD$138,($D$225-23)))</f>
        <v>0</v>
      </c>
      <c r="BU231" s="11">
        <f>IF(($D$225-22)&lt;1,"",INDEX($D$138:$AD$138,($D$225-22)))</f>
        <v>0</v>
      </c>
      <c r="BV231" s="11">
        <f>IF(($D$225-21)&lt;1,"",INDEX($D$138:$AD$138,($D$225-21)))</f>
        <v>0</v>
      </c>
      <c r="BW231" s="11">
        <f>IF(($D$225-20)&lt;1,"",INDEX($D$138:$AD$138,($D$225-20)))</f>
        <v>0</v>
      </c>
      <c r="BX231" s="11">
        <f>IF(($D$225-19)&lt;1,"",INDEX($D$138:$AD$138,($D$225-19)))</f>
        <v>0</v>
      </c>
      <c r="BY231" s="11">
        <f>IF(($D$225-18)&lt;1,"",INDEX($D$138:$AD$138,($D$225-18)))</f>
        <v>0</v>
      </c>
      <c r="BZ231" s="11">
        <f>IF(($D$225-17)&lt;1,"",INDEX($D$138:$AD$138,($D$225-17)))</f>
        <v>0</v>
      </c>
      <c r="CA231" s="11">
        <f>IF(($D$225-16)&lt;1,"",INDEX($D$138:$AD$138,($D$225-16)))</f>
        <v>0</v>
      </c>
      <c r="CB231" s="11">
        <f>IF(($D$225-15)&lt;1,"",INDEX($D$138:$AD$138,($D$225-15)))</f>
        <v>0</v>
      </c>
      <c r="CC231" s="11">
        <f>IF(($D$225-14)&lt;1,"",INDEX($D$138:$AD$138,($D$225-14)))</f>
        <v>0</v>
      </c>
      <c r="CD231" s="11">
        <f>IF(($D$225-13)&lt;1,"",INDEX($D$138:$AD$138,($D$225-13)))</f>
        <v>0</v>
      </c>
      <c r="CE231" s="11">
        <f>IF(($D$225-12)&lt;1,"",INDEX($D$138:$AD$138,($D$225-12)))</f>
        <v>0</v>
      </c>
      <c r="CF231" s="11">
        <f>IF(($D$225-11)&lt;1,"",INDEX($D$138:$AD$138,($D$225-11)))</f>
        <v>0</v>
      </c>
      <c r="CG231" s="11">
        <f>IF(($D$225-10)&lt;1,"",INDEX($D$138:$AD$138,($D$225-10)))</f>
        <v>0</v>
      </c>
      <c r="CH231" s="11">
        <f>IF(($D$225-9)&lt;1,"",INDEX($D$138:$AD$138,($D$225-9)))</f>
        <v>0</v>
      </c>
      <c r="CI231" s="11">
        <f>IF(($D$225-8)&lt;1,"",INDEX($D$138:$AD$138,($D$225-8)))</f>
        <v>0</v>
      </c>
      <c r="CJ231" s="11">
        <f>IF(($D$225-7)&lt;1,"",INDEX($D$138:$AD$138,($D$225-7)))</f>
        <v>0</v>
      </c>
      <c r="CK231" s="11">
        <f>IF(($D$225-6)&lt;1,"",INDEX($D$138:$AD$138,($D$225-6)))</f>
        <v>0</v>
      </c>
      <c r="CL231" s="11">
        <f>IF(($D$225-5)&lt;1,"",INDEX($D$138:$AD$138,($D$225-5)))</f>
        <v>0</v>
      </c>
      <c r="CM231" s="11">
        <f>IF(($D$225-4)&lt;1,"",INDEX($D$138:$AD$138,($D$225-4)))</f>
        <v>0</v>
      </c>
      <c r="CN231" s="11">
        <f>IF(($D$225-3)&lt;1,"",INDEX($D$138:$AD$138,($D$225-3)))</f>
        <v>0</v>
      </c>
      <c r="CO231" s="11">
        <f>IF(($D$225-2)&lt;1,"",INDEX($D$138:$AD$138,($D$225-2)))</f>
        <v>0</v>
      </c>
      <c r="CP231" s="11">
        <f>IF(($D$225-1)&lt;1,"",INDEX($D$138:$AD$138,($D$225-1)))</f>
        <v>0</v>
      </c>
      <c r="CQ231" s="11">
        <f>IF(($D$225-0)&lt;1,"",INDEX($D$138:$AD$138,($D$225-0)))</f>
        <v>0</v>
      </c>
    </row>
    <row r="232" spans="1:95">
      <c r="A232" s="11" t="s">
        <v>531</v>
      </c>
      <c r="B232" s="11" t="s">
        <v>532</v>
      </c>
      <c r="C232" s="3" t="s">
        <v>398</v>
      </c>
      <c r="BR232" s="5">
        <f>IF(($D$225-25)&lt;1,NA(),INDEX($D$18:$AD$18,($D$225-25)))</f>
        <v>0</v>
      </c>
      <c r="BS232" s="5">
        <f>IF(($D$225-24)&lt;1,NA(),INDEX($D$18:$AD$18,($D$225-24)))</f>
        <v>0</v>
      </c>
      <c r="BT232" s="5">
        <f>IF(($D$225-23)&lt;1,NA(),INDEX($D$18:$AD$18,($D$225-23)))</f>
        <v>0</v>
      </c>
      <c r="BU232" s="5">
        <f>IF(($D$225-22)&lt;1,NA(),INDEX($D$18:$AD$18,($D$225-22)))</f>
        <v>0</v>
      </c>
      <c r="BV232" s="5">
        <f>IF(($D$225-21)&lt;1,NA(),INDEX($D$18:$AD$18,($D$225-21)))</f>
        <v>0</v>
      </c>
      <c r="BW232" s="5">
        <f>IF(($D$225-20)&lt;1,NA(),INDEX($D$18:$AD$18,($D$225-20)))</f>
        <v>0</v>
      </c>
      <c r="BX232" s="5">
        <f>IF(($D$225-19)&lt;1,NA(),INDEX($D$18:$AD$18,($D$225-19)))</f>
        <v>0</v>
      </c>
      <c r="BY232" s="5">
        <f>IF(($D$225-18)&lt;1,NA(),INDEX($D$18:$AD$18,($D$225-18)))</f>
        <v>0</v>
      </c>
      <c r="BZ232" s="5">
        <f>IF(($D$225-17)&lt;1,NA(),INDEX($D$18:$AD$18,($D$225-17)))</f>
        <v>0</v>
      </c>
      <c r="CA232" s="5">
        <f>IF(($D$225-16)&lt;1,NA(),INDEX($D$18:$AD$18,($D$225-16)))</f>
        <v>0</v>
      </c>
      <c r="CB232" s="5">
        <f>IF(($D$225-15)&lt;1,NA(),INDEX($D$18:$AD$18,($D$225-15)))</f>
        <v>0</v>
      </c>
      <c r="CC232" s="5">
        <f>IF(($D$225-14)&lt;1,NA(),INDEX($D$18:$AD$18,($D$225-14)))</f>
        <v>0</v>
      </c>
      <c r="CD232" s="5">
        <f>IF(($D$225-13)&lt;1,NA(),INDEX($D$18:$AD$18,($D$225-13)))</f>
        <v>0</v>
      </c>
      <c r="CE232" s="5">
        <f>IF(($D$225-12)&lt;1,NA(),INDEX($D$18:$AD$18,($D$225-12)))</f>
        <v>0</v>
      </c>
      <c r="CF232" s="5">
        <f>IF(($D$225-11)&lt;1,NA(),INDEX($D$18:$AD$18,($D$225-11)))</f>
        <v>0</v>
      </c>
      <c r="CG232" s="5">
        <f>IF(($D$225-10)&lt;1,NA(),INDEX($D$18:$AD$18,($D$225-10)))</f>
        <v>0</v>
      </c>
      <c r="CH232" s="5">
        <f>IF(($D$225-9)&lt;1,NA(),INDEX($D$18:$AD$18,($D$225-9)))</f>
        <v>0</v>
      </c>
      <c r="CI232" s="5">
        <f>IF(($D$225-8)&lt;1,NA(),INDEX($D$18:$AD$18,($D$225-8)))</f>
        <v>0</v>
      </c>
      <c r="CJ232" s="5">
        <f>IF(($D$225-7)&lt;1,NA(),INDEX($D$18:$AD$18,($D$225-7)))</f>
        <v>0</v>
      </c>
      <c r="CK232" s="5">
        <f>IF(($D$225-6)&lt;1,NA(),INDEX($D$18:$AD$18,($D$225-6)))</f>
        <v>0</v>
      </c>
      <c r="CL232" s="5">
        <f>IF(($D$225-5)&lt;1,NA(),INDEX($D$18:$AD$18,($D$225-5)))</f>
        <v>0</v>
      </c>
      <c r="CM232" s="5">
        <f>IF(($D$225-4)&lt;1,NA(),INDEX($D$18:$AD$18,($D$225-4)))</f>
        <v>0</v>
      </c>
      <c r="CN232" s="5">
        <f>IF(($D$225-3)&lt;1,NA(),INDEX($D$18:$AD$18,($D$225-3)))</f>
        <v>0</v>
      </c>
      <c r="CO232" s="5">
        <f>IF(($D$225-2)&lt;1,NA(),INDEX($D$18:$AD$18,($D$225-2)))</f>
        <v>0</v>
      </c>
      <c r="CP232" s="5">
        <f>IF(($D$225-1)&lt;1,NA(),INDEX($D$18:$AD$18,($D$225-1)))</f>
        <v>0</v>
      </c>
      <c r="CQ232" s="5">
        <f>IF(($D$225-0)&lt;1,NA(),INDEX($D$18:$AD$18,($D$225-0)))</f>
        <v>0</v>
      </c>
    </row>
    <row r="233" spans="1:95">
      <c r="A233" s="11" t="s">
        <v>533</v>
      </c>
      <c r="B233" s="11" t="s">
        <v>534</v>
      </c>
      <c r="C233" s="3" t="s">
        <v>398</v>
      </c>
      <c r="BR233" s="11">
        <f>IF(($D$225-25)&lt;1,"",INDEX($D$140:$AD$140,($D$225-25)))</f>
        <v>0</v>
      </c>
      <c r="BS233" s="11">
        <f>IF(($D$225-24)&lt;1,"",INDEX($D$140:$AD$140,($D$225-24)))</f>
        <v>0</v>
      </c>
      <c r="BT233" s="11">
        <f>IF(($D$225-23)&lt;1,"",INDEX($D$140:$AD$140,($D$225-23)))</f>
        <v>0</v>
      </c>
      <c r="BU233" s="11">
        <f>IF(($D$225-22)&lt;1,"",INDEX($D$140:$AD$140,($D$225-22)))</f>
        <v>0</v>
      </c>
      <c r="BV233" s="11">
        <f>IF(($D$225-21)&lt;1,"",INDEX($D$140:$AD$140,($D$225-21)))</f>
        <v>0</v>
      </c>
      <c r="BW233" s="11">
        <f>IF(($D$225-20)&lt;1,"",INDEX($D$140:$AD$140,($D$225-20)))</f>
        <v>0</v>
      </c>
      <c r="BX233" s="11">
        <f>IF(($D$225-19)&lt;1,"",INDEX($D$140:$AD$140,($D$225-19)))</f>
        <v>0</v>
      </c>
      <c r="BY233" s="11">
        <f>IF(($D$225-18)&lt;1,"",INDEX($D$140:$AD$140,($D$225-18)))</f>
        <v>0</v>
      </c>
      <c r="BZ233" s="11">
        <f>IF(($D$225-17)&lt;1,"",INDEX($D$140:$AD$140,($D$225-17)))</f>
        <v>0</v>
      </c>
      <c r="CA233" s="11">
        <f>IF(($D$225-16)&lt;1,"",INDEX($D$140:$AD$140,($D$225-16)))</f>
        <v>0</v>
      </c>
      <c r="CB233" s="11">
        <f>IF(($D$225-15)&lt;1,"",INDEX($D$140:$AD$140,($D$225-15)))</f>
        <v>0</v>
      </c>
      <c r="CC233" s="11">
        <f>IF(($D$225-14)&lt;1,"",INDEX($D$140:$AD$140,($D$225-14)))</f>
        <v>0</v>
      </c>
      <c r="CD233" s="11">
        <f>IF(($D$225-13)&lt;1,"",INDEX($D$140:$AD$140,($D$225-13)))</f>
        <v>0</v>
      </c>
      <c r="CE233" s="11">
        <f>IF(($D$225-12)&lt;1,"",INDEX($D$140:$AD$140,($D$225-12)))</f>
        <v>0</v>
      </c>
      <c r="CF233" s="11">
        <f>IF(($D$225-11)&lt;1,"",INDEX($D$140:$AD$140,($D$225-11)))</f>
        <v>0</v>
      </c>
      <c r="CG233" s="11">
        <f>IF(($D$225-10)&lt;1,"",INDEX($D$140:$AD$140,($D$225-10)))</f>
        <v>0</v>
      </c>
      <c r="CH233" s="11">
        <f>IF(($D$225-9)&lt;1,"",INDEX($D$140:$AD$140,($D$225-9)))</f>
        <v>0</v>
      </c>
      <c r="CI233" s="11">
        <f>IF(($D$225-8)&lt;1,"",INDEX($D$140:$AD$140,($D$225-8)))</f>
        <v>0</v>
      </c>
      <c r="CJ233" s="11">
        <f>IF(($D$225-7)&lt;1,"",INDEX($D$140:$AD$140,($D$225-7)))</f>
        <v>0</v>
      </c>
      <c r="CK233" s="11">
        <f>IF(($D$225-6)&lt;1,"",INDEX($D$140:$AD$140,($D$225-6)))</f>
        <v>0</v>
      </c>
      <c r="CL233" s="11">
        <f>IF(($D$225-5)&lt;1,"",INDEX($D$140:$AD$140,($D$225-5)))</f>
        <v>0</v>
      </c>
      <c r="CM233" s="11">
        <f>IF(($D$225-4)&lt;1,"",INDEX($D$140:$AD$140,($D$225-4)))</f>
        <v>0</v>
      </c>
      <c r="CN233" s="11">
        <f>IF(($D$225-3)&lt;1,"",INDEX($D$140:$AD$140,($D$225-3)))</f>
        <v>0</v>
      </c>
      <c r="CO233" s="11">
        <f>IF(($D$225-2)&lt;1,"",INDEX($D$140:$AD$140,($D$225-2)))</f>
        <v>0</v>
      </c>
      <c r="CP233" s="11">
        <f>IF(($D$225-1)&lt;1,"",INDEX($D$140:$AD$140,($D$225-1)))</f>
        <v>0</v>
      </c>
      <c r="CQ233" s="11">
        <f>IF(($D$225-0)&lt;1,"",INDEX($D$140:$AD$140,($D$225-0)))</f>
        <v>0</v>
      </c>
    </row>
    <row r="234" spans="1:95">
      <c r="A234" s="11" t="s">
        <v>535</v>
      </c>
      <c r="B234" s="11" t="s">
        <v>536</v>
      </c>
      <c r="C234" s="3" t="s">
        <v>398</v>
      </c>
      <c r="BR234" s="5">
        <f>IF(($D$225-25)&lt;1,NA(),INDEX($D$19:$AD$19,($D$225-25)))</f>
        <v>0</v>
      </c>
      <c r="BS234" s="5">
        <f>IF(($D$225-24)&lt;1,NA(),INDEX($D$19:$AD$19,($D$225-24)))</f>
        <v>0</v>
      </c>
      <c r="BT234" s="5">
        <f>IF(($D$225-23)&lt;1,NA(),INDEX($D$19:$AD$19,($D$225-23)))</f>
        <v>0</v>
      </c>
      <c r="BU234" s="5">
        <f>IF(($D$225-22)&lt;1,NA(),INDEX($D$19:$AD$19,($D$225-22)))</f>
        <v>0</v>
      </c>
      <c r="BV234" s="5">
        <f>IF(($D$225-21)&lt;1,NA(),INDEX($D$19:$AD$19,($D$225-21)))</f>
        <v>0</v>
      </c>
      <c r="BW234" s="5">
        <f>IF(($D$225-20)&lt;1,NA(),INDEX($D$19:$AD$19,($D$225-20)))</f>
        <v>0</v>
      </c>
      <c r="BX234" s="5">
        <f>IF(($D$225-19)&lt;1,NA(),INDEX($D$19:$AD$19,($D$225-19)))</f>
        <v>0</v>
      </c>
      <c r="BY234" s="5">
        <f>IF(($D$225-18)&lt;1,NA(),INDEX($D$19:$AD$19,($D$225-18)))</f>
        <v>0</v>
      </c>
      <c r="BZ234" s="5">
        <f>IF(($D$225-17)&lt;1,NA(),INDEX($D$19:$AD$19,($D$225-17)))</f>
        <v>0</v>
      </c>
      <c r="CA234" s="5">
        <f>IF(($D$225-16)&lt;1,NA(),INDEX($D$19:$AD$19,($D$225-16)))</f>
        <v>0</v>
      </c>
      <c r="CB234" s="5">
        <f>IF(($D$225-15)&lt;1,NA(),INDEX($D$19:$AD$19,($D$225-15)))</f>
        <v>0</v>
      </c>
      <c r="CC234" s="5">
        <f>IF(($D$225-14)&lt;1,NA(),INDEX($D$19:$AD$19,($D$225-14)))</f>
        <v>0</v>
      </c>
      <c r="CD234" s="5">
        <f>IF(($D$225-13)&lt;1,NA(),INDEX($D$19:$AD$19,($D$225-13)))</f>
        <v>0</v>
      </c>
      <c r="CE234" s="5">
        <f>IF(($D$225-12)&lt;1,NA(),INDEX($D$19:$AD$19,($D$225-12)))</f>
        <v>0</v>
      </c>
      <c r="CF234" s="5">
        <f>IF(($D$225-11)&lt;1,NA(),INDEX($D$19:$AD$19,($D$225-11)))</f>
        <v>0</v>
      </c>
      <c r="CG234" s="5">
        <f>IF(($D$225-10)&lt;1,NA(),INDEX($D$19:$AD$19,($D$225-10)))</f>
        <v>0</v>
      </c>
      <c r="CH234" s="5">
        <f>IF(($D$225-9)&lt;1,NA(),INDEX($D$19:$AD$19,($D$225-9)))</f>
        <v>0</v>
      </c>
      <c r="CI234" s="5">
        <f>IF(($D$225-8)&lt;1,NA(),INDEX($D$19:$AD$19,($D$225-8)))</f>
        <v>0</v>
      </c>
      <c r="CJ234" s="5">
        <f>IF(($D$225-7)&lt;1,NA(),INDEX($D$19:$AD$19,($D$225-7)))</f>
        <v>0</v>
      </c>
      <c r="CK234" s="5">
        <f>IF(($D$225-6)&lt;1,NA(),INDEX($D$19:$AD$19,($D$225-6)))</f>
        <v>0</v>
      </c>
      <c r="CL234" s="5">
        <f>IF(($D$225-5)&lt;1,NA(),INDEX($D$19:$AD$19,($D$225-5)))</f>
        <v>0</v>
      </c>
      <c r="CM234" s="5">
        <f>IF(($D$225-4)&lt;1,NA(),INDEX($D$19:$AD$19,($D$225-4)))</f>
        <v>0</v>
      </c>
      <c r="CN234" s="5">
        <f>IF(($D$225-3)&lt;1,NA(),INDEX($D$19:$AD$19,($D$225-3)))</f>
        <v>0</v>
      </c>
      <c r="CO234" s="5">
        <f>IF(($D$225-2)&lt;1,NA(),INDEX($D$19:$AD$19,($D$225-2)))</f>
        <v>0</v>
      </c>
      <c r="CP234" s="5">
        <f>IF(($D$225-1)&lt;1,NA(),INDEX($D$19:$AD$19,($D$225-1)))</f>
        <v>0</v>
      </c>
      <c r="CQ234" s="5">
        <f>IF(($D$225-0)&lt;1,NA(),INDEX($D$19:$AD$19,($D$225-0)))</f>
        <v>0</v>
      </c>
    </row>
    <row r="235" spans="1:95">
      <c r="A235" s="11" t="s">
        <v>537</v>
      </c>
      <c r="B235" s="11" t="s">
        <v>538</v>
      </c>
      <c r="C235" s="3" t="s">
        <v>398</v>
      </c>
      <c r="BR235" s="11">
        <f>IF(($D$225-25)&lt;1,"",INDEX($D$142:$AD$142,($D$225-25)))</f>
        <v>0</v>
      </c>
      <c r="BS235" s="11">
        <f>IF(($D$225-24)&lt;1,"",INDEX($D$142:$AD$142,($D$225-24)))</f>
        <v>0</v>
      </c>
      <c r="BT235" s="11">
        <f>IF(($D$225-23)&lt;1,"",INDEX($D$142:$AD$142,($D$225-23)))</f>
        <v>0</v>
      </c>
      <c r="BU235" s="11">
        <f>IF(($D$225-22)&lt;1,"",INDEX($D$142:$AD$142,($D$225-22)))</f>
        <v>0</v>
      </c>
      <c r="BV235" s="11">
        <f>IF(($D$225-21)&lt;1,"",INDEX($D$142:$AD$142,($D$225-21)))</f>
        <v>0</v>
      </c>
      <c r="BW235" s="11">
        <f>IF(($D$225-20)&lt;1,"",INDEX($D$142:$AD$142,($D$225-20)))</f>
        <v>0</v>
      </c>
      <c r="BX235" s="11">
        <f>IF(($D$225-19)&lt;1,"",INDEX($D$142:$AD$142,($D$225-19)))</f>
        <v>0</v>
      </c>
      <c r="BY235" s="11">
        <f>IF(($D$225-18)&lt;1,"",INDEX($D$142:$AD$142,($D$225-18)))</f>
        <v>0</v>
      </c>
      <c r="BZ235" s="11">
        <f>IF(($D$225-17)&lt;1,"",INDEX($D$142:$AD$142,($D$225-17)))</f>
        <v>0</v>
      </c>
      <c r="CA235" s="11">
        <f>IF(($D$225-16)&lt;1,"",INDEX($D$142:$AD$142,($D$225-16)))</f>
        <v>0</v>
      </c>
      <c r="CB235" s="11">
        <f>IF(($D$225-15)&lt;1,"",INDEX($D$142:$AD$142,($D$225-15)))</f>
        <v>0</v>
      </c>
      <c r="CC235" s="11">
        <f>IF(($D$225-14)&lt;1,"",INDEX($D$142:$AD$142,($D$225-14)))</f>
        <v>0</v>
      </c>
      <c r="CD235" s="11">
        <f>IF(($D$225-13)&lt;1,"",INDEX($D$142:$AD$142,($D$225-13)))</f>
        <v>0</v>
      </c>
      <c r="CE235" s="11">
        <f>IF(($D$225-12)&lt;1,"",INDEX($D$142:$AD$142,($D$225-12)))</f>
        <v>0</v>
      </c>
      <c r="CF235" s="11">
        <f>IF(($D$225-11)&lt;1,"",INDEX($D$142:$AD$142,($D$225-11)))</f>
        <v>0</v>
      </c>
      <c r="CG235" s="11">
        <f>IF(($D$225-10)&lt;1,"",INDEX($D$142:$AD$142,($D$225-10)))</f>
        <v>0</v>
      </c>
      <c r="CH235" s="11">
        <f>IF(($D$225-9)&lt;1,"",INDEX($D$142:$AD$142,($D$225-9)))</f>
        <v>0</v>
      </c>
      <c r="CI235" s="11">
        <f>IF(($D$225-8)&lt;1,"",INDEX($D$142:$AD$142,($D$225-8)))</f>
        <v>0</v>
      </c>
      <c r="CJ235" s="11">
        <f>IF(($D$225-7)&lt;1,"",INDEX($D$142:$AD$142,($D$225-7)))</f>
        <v>0</v>
      </c>
      <c r="CK235" s="11">
        <f>IF(($D$225-6)&lt;1,"",INDEX($D$142:$AD$142,($D$225-6)))</f>
        <v>0</v>
      </c>
      <c r="CL235" s="11">
        <f>IF(($D$225-5)&lt;1,"",INDEX($D$142:$AD$142,($D$225-5)))</f>
        <v>0</v>
      </c>
      <c r="CM235" s="11">
        <f>IF(($D$225-4)&lt;1,"",INDEX($D$142:$AD$142,($D$225-4)))</f>
        <v>0</v>
      </c>
      <c r="CN235" s="11">
        <f>IF(($D$225-3)&lt;1,"",INDEX($D$142:$AD$142,($D$225-3)))</f>
        <v>0</v>
      </c>
      <c r="CO235" s="11">
        <f>IF(($D$225-2)&lt;1,"",INDEX($D$142:$AD$142,($D$225-2)))</f>
        <v>0</v>
      </c>
      <c r="CP235" s="11">
        <f>IF(($D$225-1)&lt;1,"",INDEX($D$142:$AD$142,($D$225-1)))</f>
        <v>0</v>
      </c>
      <c r="CQ235" s="11">
        <f>IF(($D$225-0)&lt;1,"",INDEX($D$142:$AD$142,($D$225-0)))</f>
        <v>0</v>
      </c>
    </row>
    <row r="236" spans="1:95">
      <c r="A236" s="11" t="s">
        <v>539</v>
      </c>
      <c r="B236" s="11" t="s">
        <v>540</v>
      </c>
      <c r="C236" s="3" t="s">
        <v>137</v>
      </c>
      <c r="D236" s="5">
        <f>IF(MAX($D$237:$AD$237)=0,27,MAX($D$237:$AD$237))</f>
        <v>0</v>
      </c>
    </row>
    <row r="237" spans="1:95">
      <c r="A237" s="11" t="s">
        <v>541</v>
      </c>
      <c r="B237" s="11" t="s">
        <v>542</v>
      </c>
      <c r="C237" s="3" t="s">
        <v>137</v>
      </c>
      <c r="D237" s="5">
        <f>IF(OR(ISNUMBER(D8)),1,0)</f>
        <v>0</v>
      </c>
      <c r="E237" s="5">
        <f>IF(OR(ISNUMBER(E8)),2,0)</f>
        <v>0</v>
      </c>
      <c r="F237" s="5">
        <f>IF(OR(ISNUMBER(F8)),3,0)</f>
        <v>0</v>
      </c>
      <c r="G237" s="5">
        <f>IF(OR(ISNUMBER(G8)),4,0)</f>
        <v>0</v>
      </c>
      <c r="H237" s="5">
        <f>IF(OR(ISNUMBER(H8)),5,0)</f>
        <v>0</v>
      </c>
      <c r="I237" s="5">
        <f>IF(OR(ISNUMBER(I8)),6,0)</f>
        <v>0</v>
      </c>
      <c r="J237" s="5">
        <f>IF(OR(ISNUMBER(J8)),7,0)</f>
        <v>0</v>
      </c>
      <c r="K237" s="5">
        <f>IF(OR(ISNUMBER(K8)),8,0)</f>
        <v>0</v>
      </c>
      <c r="L237" s="5">
        <f>IF(OR(ISNUMBER(L8)),9,0)</f>
        <v>0</v>
      </c>
      <c r="M237" s="5">
        <f>IF(OR(ISNUMBER(M8)),10,0)</f>
        <v>0</v>
      </c>
      <c r="N237" s="5">
        <f>IF(OR(ISNUMBER(N8)),11,0)</f>
        <v>0</v>
      </c>
      <c r="O237" s="5">
        <f>IF(OR(ISNUMBER(O8)),12,0)</f>
        <v>0</v>
      </c>
      <c r="P237" s="5">
        <f>IF(OR(ISNUMBER(P8)),13,0)</f>
        <v>0</v>
      </c>
      <c r="Q237" s="5">
        <f>IF(OR(ISNUMBER(Q8)),14,0)</f>
        <v>0</v>
      </c>
      <c r="R237" s="5">
        <f>IF(OR(ISNUMBER(R8)),15,0)</f>
        <v>0</v>
      </c>
      <c r="S237" s="5">
        <f>IF(OR(ISNUMBER(S8)),16,0)</f>
        <v>0</v>
      </c>
      <c r="T237" s="5">
        <f>IF(OR(ISNUMBER(T8)),17,0)</f>
        <v>0</v>
      </c>
      <c r="U237" s="5">
        <f>IF(OR(ISNUMBER(U8)),18,0)</f>
        <v>0</v>
      </c>
      <c r="V237" s="5">
        <f>IF(OR(ISNUMBER(V8)),19,0)</f>
        <v>0</v>
      </c>
      <c r="W237" s="5">
        <f>IF(OR(ISNUMBER(W8)),20,0)</f>
        <v>0</v>
      </c>
      <c r="X237" s="5">
        <f>IF(OR(ISNUMBER(X8)),21,0)</f>
        <v>0</v>
      </c>
      <c r="Y237" s="5">
        <f>IF(OR(ISNUMBER(Y8)),22,0)</f>
        <v>0</v>
      </c>
      <c r="Z237" s="5">
        <f>IF(OR(ISNUMBER(Z8)),23,0)</f>
        <v>0</v>
      </c>
      <c r="AA237" s="5">
        <f>IF(OR(ISNUMBER(AA8)),24,0)</f>
        <v>0</v>
      </c>
      <c r="AB237" s="5">
        <f>IF(OR(ISNUMBER(AB8)),25,0)</f>
        <v>0</v>
      </c>
      <c r="AC237" s="5">
        <f>IF(OR(ISNUMBER(AC8)),26,0)</f>
        <v>0</v>
      </c>
      <c r="AD237" s="5">
        <f>IF(OR(ISNUMBER(AD8)),27,0)</f>
        <v>0</v>
      </c>
    </row>
    <row r="238" spans="1:95">
      <c r="A238" s="11" t="s">
        <v>543</v>
      </c>
      <c r="B238" s="11" t="s">
        <v>544</v>
      </c>
      <c r="C238" s="3" t="s">
        <v>387</v>
      </c>
      <c r="D238" s="80">
        <f>IF(MAX(IFERROR(N(INDEX(Wertstand!$A$116:$LJ$116,MATCH(INDEX($D$4:$AD$4,$D$236),RD_Kopf,0))),0))&gt;0,MAX(IFERROR(N(INDEX(Wertstand!$A$116:$LJ$116,MATCH(INDEX($D$4:$AD$4,$D$236),RD_Kopf,0))),0)),INDEX($D$4:$AD$4,$D$236))</f>
        <v>0</v>
      </c>
      <c r="E238" s="11">
        <f>"Stand: "&amp;TEXT(DAY($D$238),"00")&amp;"."&amp;TEXT(MONTH($D$238),"00")&amp;"."&amp;RIGHT(YEAR($D$238),2)</f>
        <v>0</v>
      </c>
      <c r="F238" s="11">
        <f>"Stand:"&amp;CHAR(10)&amp;TEXT(DAY($D$238),"00")&amp;"."&amp;TEXT(MONTH($D$238),"00")&amp;"."&amp;RIGHT(YEAR($D$238),2)</f>
        <v>0</v>
      </c>
    </row>
    <row r="239" spans="1:95">
      <c r="A239" s="11" t="s">
        <v>545</v>
      </c>
      <c r="B239" s="11" t="s">
        <v>546</v>
      </c>
      <c r="C239" s="3" t="s">
        <v>398</v>
      </c>
      <c r="BR239" s="11">
        <f>IF(($D$236-25)&lt;1,"",INDEX($D$3:$AD$3,($D$236-25)))</f>
        <v>0</v>
      </c>
      <c r="BS239" s="11">
        <f>IF(($D$236-24)&lt;1,"",INDEX($D$3:$AD$3,($D$236-24)))</f>
        <v>0</v>
      </c>
      <c r="BT239" s="11">
        <f>IF(($D$236-23)&lt;1,"",INDEX($D$3:$AD$3,($D$236-23)))</f>
        <v>0</v>
      </c>
      <c r="BU239" s="11">
        <f>IF(($D$236-22)&lt;1,"",INDEX($D$3:$AD$3,($D$236-22)))</f>
        <v>0</v>
      </c>
      <c r="BV239" s="11">
        <f>IF(($D$236-21)&lt;1,"",INDEX($D$3:$AD$3,($D$236-21)))</f>
        <v>0</v>
      </c>
      <c r="BW239" s="11">
        <f>IF(($D$236-20)&lt;1,"",INDEX($D$3:$AD$3,($D$236-20)))</f>
        <v>0</v>
      </c>
      <c r="BX239" s="11">
        <f>IF(($D$236-19)&lt;1,"",INDEX($D$3:$AD$3,($D$236-19)))</f>
        <v>0</v>
      </c>
      <c r="BY239" s="11">
        <f>IF(($D$236-18)&lt;1,"",INDEX($D$3:$AD$3,($D$236-18)))</f>
        <v>0</v>
      </c>
      <c r="BZ239" s="11">
        <f>IF(($D$236-17)&lt;1,"",INDEX($D$3:$AD$3,($D$236-17)))</f>
        <v>0</v>
      </c>
      <c r="CA239" s="11">
        <f>IF(($D$236-16)&lt;1,"",INDEX($D$3:$AD$3,($D$236-16)))</f>
        <v>0</v>
      </c>
      <c r="CB239" s="11">
        <f>IF(($D$236-15)&lt;1,"",INDEX($D$3:$AD$3,($D$236-15)))</f>
        <v>0</v>
      </c>
      <c r="CC239" s="11">
        <f>IF(($D$236-14)&lt;1,"",INDEX($D$3:$AD$3,($D$236-14)))</f>
        <v>0</v>
      </c>
      <c r="CD239" s="11">
        <f>IF(($D$236-13)&lt;1,"",INDEX($D$3:$AD$3,($D$236-13)))</f>
        <v>0</v>
      </c>
      <c r="CE239" s="11">
        <f>IF(($D$236-12)&lt;1,"",INDEX($D$3:$AD$3,($D$236-12)))</f>
        <v>0</v>
      </c>
      <c r="CF239" s="11">
        <f>IF(($D$236-11)&lt;1,"",INDEX($D$3:$AD$3,($D$236-11)))</f>
        <v>0</v>
      </c>
      <c r="CG239" s="11">
        <f>IF(($D$236-10)&lt;1,"",INDEX($D$3:$AD$3,($D$236-10)))</f>
        <v>0</v>
      </c>
      <c r="CH239" s="11">
        <f>IF(($D$236-9)&lt;1,"",INDEX($D$3:$AD$3,($D$236-9)))</f>
        <v>0</v>
      </c>
      <c r="CI239" s="11">
        <f>IF(($D$236-8)&lt;1,"",INDEX($D$3:$AD$3,($D$236-8)))</f>
        <v>0</v>
      </c>
      <c r="CJ239" s="11">
        <f>IF(($D$236-7)&lt;1,"",INDEX($D$3:$AD$3,($D$236-7)))</f>
        <v>0</v>
      </c>
      <c r="CK239" s="11">
        <f>IF(($D$236-6)&lt;1,"",INDEX($D$3:$AD$3,($D$236-6)))</f>
        <v>0</v>
      </c>
      <c r="CL239" s="11">
        <f>IF(($D$236-5)&lt;1,"",INDEX($D$3:$AD$3,($D$236-5)))</f>
        <v>0</v>
      </c>
      <c r="CM239" s="11">
        <f>IF(($D$236-4)&lt;1,"",INDEX($D$3:$AD$3,($D$236-4)))</f>
        <v>0</v>
      </c>
      <c r="CN239" s="11">
        <f>IF(($D$236-3)&lt;1,"",INDEX($D$3:$AD$3,($D$236-3)))</f>
        <v>0</v>
      </c>
      <c r="CO239" s="11">
        <f>IF(($D$236-2)&lt;1,"",INDEX($D$3:$AD$3,($D$236-2)))</f>
        <v>0</v>
      </c>
      <c r="CP239" s="11">
        <f>IF(($D$236-1)&lt;1,"",INDEX($D$3:$AD$3,($D$236-1)))</f>
        <v>0</v>
      </c>
      <c r="CQ239" s="11">
        <f>IF(($D$236-0)&lt;1,"",INDEX($D$3:$AD$3,($D$236-0)))</f>
        <v>0</v>
      </c>
    </row>
    <row r="240" spans="1:95">
      <c r="A240" s="11" t="s">
        <v>547</v>
      </c>
      <c r="B240" s="11" t="s">
        <v>548</v>
      </c>
      <c r="C240" s="3" t="s">
        <v>398</v>
      </c>
      <c r="BR240" s="5">
        <f>IF(($D$236-25)&lt;1,NA(),INDEX($D$8:$AD$8,($D$236-25)))</f>
        <v>0</v>
      </c>
      <c r="BS240" s="5">
        <f>IF(($D$236-24)&lt;1,NA(),INDEX($D$8:$AD$8,($D$236-24)))</f>
        <v>0</v>
      </c>
      <c r="BT240" s="5">
        <f>IF(($D$236-23)&lt;1,NA(),INDEX($D$8:$AD$8,($D$236-23)))</f>
        <v>0</v>
      </c>
      <c r="BU240" s="5">
        <f>IF(($D$236-22)&lt;1,NA(),INDEX($D$8:$AD$8,($D$236-22)))</f>
        <v>0</v>
      </c>
      <c r="BV240" s="5">
        <f>IF(($D$236-21)&lt;1,NA(),INDEX($D$8:$AD$8,($D$236-21)))</f>
        <v>0</v>
      </c>
      <c r="BW240" s="5">
        <f>IF(($D$236-20)&lt;1,NA(),INDEX($D$8:$AD$8,($D$236-20)))</f>
        <v>0</v>
      </c>
      <c r="BX240" s="5">
        <f>IF(($D$236-19)&lt;1,NA(),INDEX($D$8:$AD$8,($D$236-19)))</f>
        <v>0</v>
      </c>
      <c r="BY240" s="5">
        <f>IF(($D$236-18)&lt;1,NA(),INDEX($D$8:$AD$8,($D$236-18)))</f>
        <v>0</v>
      </c>
      <c r="BZ240" s="5">
        <f>IF(($D$236-17)&lt;1,NA(),INDEX($D$8:$AD$8,($D$236-17)))</f>
        <v>0</v>
      </c>
      <c r="CA240" s="5">
        <f>IF(($D$236-16)&lt;1,NA(),INDEX($D$8:$AD$8,($D$236-16)))</f>
        <v>0</v>
      </c>
      <c r="CB240" s="5">
        <f>IF(($D$236-15)&lt;1,NA(),INDEX($D$8:$AD$8,($D$236-15)))</f>
        <v>0</v>
      </c>
      <c r="CC240" s="5">
        <f>IF(($D$236-14)&lt;1,NA(),INDEX($D$8:$AD$8,($D$236-14)))</f>
        <v>0</v>
      </c>
      <c r="CD240" s="5">
        <f>IF(($D$236-13)&lt;1,NA(),INDEX($D$8:$AD$8,($D$236-13)))</f>
        <v>0</v>
      </c>
      <c r="CE240" s="5">
        <f>IF(($D$236-12)&lt;1,NA(),INDEX($D$8:$AD$8,($D$236-12)))</f>
        <v>0</v>
      </c>
      <c r="CF240" s="5">
        <f>IF(($D$236-11)&lt;1,NA(),INDEX($D$8:$AD$8,($D$236-11)))</f>
        <v>0</v>
      </c>
      <c r="CG240" s="5">
        <f>IF(($D$236-10)&lt;1,NA(),INDEX($D$8:$AD$8,($D$236-10)))</f>
        <v>0</v>
      </c>
      <c r="CH240" s="5">
        <f>IF(($D$236-9)&lt;1,NA(),INDEX($D$8:$AD$8,($D$236-9)))</f>
        <v>0</v>
      </c>
      <c r="CI240" s="5">
        <f>IF(($D$236-8)&lt;1,NA(),INDEX($D$8:$AD$8,($D$236-8)))</f>
        <v>0</v>
      </c>
      <c r="CJ240" s="5">
        <f>IF(($D$236-7)&lt;1,NA(),INDEX($D$8:$AD$8,($D$236-7)))</f>
        <v>0</v>
      </c>
      <c r="CK240" s="5">
        <f>IF(($D$236-6)&lt;1,NA(),INDEX($D$8:$AD$8,($D$236-6)))</f>
        <v>0</v>
      </c>
      <c r="CL240" s="5">
        <f>IF(($D$236-5)&lt;1,NA(),INDEX($D$8:$AD$8,($D$236-5)))</f>
        <v>0</v>
      </c>
      <c r="CM240" s="5">
        <f>IF(($D$236-4)&lt;1,NA(),INDEX($D$8:$AD$8,($D$236-4)))</f>
        <v>0</v>
      </c>
      <c r="CN240" s="5">
        <f>IF(($D$236-3)&lt;1,NA(),INDEX($D$8:$AD$8,($D$236-3)))</f>
        <v>0</v>
      </c>
      <c r="CO240" s="5">
        <f>IF(($D$236-2)&lt;1,NA(),INDEX($D$8:$AD$8,($D$236-2)))</f>
        <v>0</v>
      </c>
      <c r="CP240" s="5">
        <f>IF(($D$236-1)&lt;1,NA(),INDEX($D$8:$AD$8,($D$236-1)))</f>
        <v>0</v>
      </c>
      <c r="CQ240" s="5">
        <f>IF(($D$236-0)&lt;1,NA(),INDEX($D$8:$AD$8,($D$236-0)))</f>
        <v>0</v>
      </c>
    </row>
    <row r="241" spans="1:95">
      <c r="A241" s="11" t="s">
        <v>549</v>
      </c>
      <c r="B241" s="11" t="s">
        <v>550</v>
      </c>
      <c r="C241" s="3" t="s">
        <v>137</v>
      </c>
      <c r="D241" s="5">
        <f>IF(MAX($D$242:$AD$242)=0,27,MAX($D$242:$AD$242))</f>
        <v>0</v>
      </c>
    </row>
    <row r="242" spans="1:95">
      <c r="A242" s="11" t="s">
        <v>551</v>
      </c>
      <c r="B242" s="11" t="s">
        <v>552</v>
      </c>
      <c r="C242" s="3" t="s">
        <v>137</v>
      </c>
      <c r="D242" s="5">
        <f>IF(OR(ISNUMBER(D23),ISNUMBER(D22),ISNUMBER(D21),ISNUMBER(D145),ISNUMBER(D24),ISNUMBER(D25)),1,0)</f>
        <v>0</v>
      </c>
      <c r="E242" s="5">
        <f>IF(OR(ISNUMBER(E23),ISNUMBER(E22),ISNUMBER(E21),ISNUMBER(E145),ISNUMBER(E24),ISNUMBER(E25)),2,0)</f>
        <v>0</v>
      </c>
      <c r="F242" s="5">
        <f>IF(OR(ISNUMBER(F23),ISNUMBER(F22),ISNUMBER(F21),ISNUMBER(F145),ISNUMBER(F24),ISNUMBER(F25)),3,0)</f>
        <v>0</v>
      </c>
      <c r="G242" s="5">
        <f>IF(OR(ISNUMBER(G23),ISNUMBER(G22),ISNUMBER(G21),ISNUMBER(G145),ISNUMBER(G24),ISNUMBER(G25)),4,0)</f>
        <v>0</v>
      </c>
      <c r="H242" s="5">
        <f>IF(OR(ISNUMBER(H23),ISNUMBER(H22),ISNUMBER(H21),ISNUMBER(H145),ISNUMBER(H24),ISNUMBER(H25)),5,0)</f>
        <v>0</v>
      </c>
      <c r="I242" s="5">
        <f>IF(OR(ISNUMBER(I23),ISNUMBER(I22),ISNUMBER(I21),ISNUMBER(I145),ISNUMBER(I24),ISNUMBER(I25)),6,0)</f>
        <v>0</v>
      </c>
      <c r="J242" s="5">
        <f>IF(OR(ISNUMBER(J23),ISNUMBER(J22),ISNUMBER(J21),ISNUMBER(J145),ISNUMBER(J24),ISNUMBER(J25)),7,0)</f>
        <v>0</v>
      </c>
      <c r="K242" s="5">
        <f>IF(OR(ISNUMBER(K23),ISNUMBER(K22),ISNUMBER(K21),ISNUMBER(K145),ISNUMBER(K24),ISNUMBER(K25)),8,0)</f>
        <v>0</v>
      </c>
      <c r="L242" s="5">
        <f>IF(OR(ISNUMBER(L23),ISNUMBER(L22),ISNUMBER(L21),ISNUMBER(L145),ISNUMBER(L24),ISNUMBER(L25)),9,0)</f>
        <v>0</v>
      </c>
      <c r="M242" s="5">
        <f>IF(OR(ISNUMBER(M23),ISNUMBER(M22),ISNUMBER(M21),ISNUMBER(M145),ISNUMBER(M24),ISNUMBER(M25)),10,0)</f>
        <v>0</v>
      </c>
      <c r="N242" s="5">
        <f>IF(OR(ISNUMBER(N23),ISNUMBER(N22),ISNUMBER(N21),ISNUMBER(N145),ISNUMBER(N24),ISNUMBER(N25)),11,0)</f>
        <v>0</v>
      </c>
      <c r="O242" s="5">
        <f>IF(OR(ISNUMBER(O23),ISNUMBER(O22),ISNUMBER(O21),ISNUMBER(O145),ISNUMBER(O24),ISNUMBER(O25)),12,0)</f>
        <v>0</v>
      </c>
      <c r="P242" s="5">
        <f>IF(OR(ISNUMBER(P23),ISNUMBER(P22),ISNUMBER(P21),ISNUMBER(P145),ISNUMBER(P24),ISNUMBER(P25)),13,0)</f>
        <v>0</v>
      </c>
      <c r="Q242" s="5">
        <f>IF(OR(ISNUMBER(Q23),ISNUMBER(Q22),ISNUMBER(Q21),ISNUMBER(Q145),ISNUMBER(Q24),ISNUMBER(Q25)),14,0)</f>
        <v>0</v>
      </c>
      <c r="R242" s="5">
        <f>IF(OR(ISNUMBER(R23),ISNUMBER(R22),ISNUMBER(R21),ISNUMBER(R145),ISNUMBER(R24),ISNUMBER(R25)),15,0)</f>
        <v>0</v>
      </c>
      <c r="S242" s="5">
        <f>IF(OR(ISNUMBER(S23),ISNUMBER(S22),ISNUMBER(S21),ISNUMBER(S145),ISNUMBER(S24),ISNUMBER(S25)),16,0)</f>
        <v>0</v>
      </c>
      <c r="T242" s="5">
        <f>IF(OR(ISNUMBER(T23),ISNUMBER(T22),ISNUMBER(T21),ISNUMBER(T145),ISNUMBER(T24),ISNUMBER(T25)),17,0)</f>
        <v>0</v>
      </c>
      <c r="U242" s="5">
        <f>IF(OR(ISNUMBER(U23),ISNUMBER(U22),ISNUMBER(U21),ISNUMBER(U145),ISNUMBER(U24),ISNUMBER(U25)),18,0)</f>
        <v>0</v>
      </c>
      <c r="V242" s="5">
        <f>IF(OR(ISNUMBER(V23),ISNUMBER(V22),ISNUMBER(V21),ISNUMBER(V145),ISNUMBER(V24),ISNUMBER(V25)),19,0)</f>
        <v>0</v>
      </c>
      <c r="W242" s="5">
        <f>IF(OR(ISNUMBER(W23),ISNUMBER(W22),ISNUMBER(W21),ISNUMBER(W145),ISNUMBER(W24),ISNUMBER(W25)),20,0)</f>
        <v>0</v>
      </c>
      <c r="X242" s="5">
        <f>IF(OR(ISNUMBER(X23),ISNUMBER(X22),ISNUMBER(X21),ISNUMBER(X145),ISNUMBER(X24),ISNUMBER(X25)),21,0)</f>
        <v>0</v>
      </c>
      <c r="Y242" s="5">
        <f>IF(OR(ISNUMBER(Y23),ISNUMBER(Y22),ISNUMBER(Y21),ISNUMBER(Y145),ISNUMBER(Y24),ISNUMBER(Y25)),22,0)</f>
        <v>0</v>
      </c>
      <c r="Z242" s="5">
        <f>IF(OR(ISNUMBER(Z23),ISNUMBER(Z22),ISNUMBER(Z21),ISNUMBER(Z145),ISNUMBER(Z24),ISNUMBER(Z25)),23,0)</f>
        <v>0</v>
      </c>
      <c r="AA242" s="5">
        <f>IF(OR(ISNUMBER(AA23),ISNUMBER(AA22),ISNUMBER(AA21),ISNUMBER(AA145),ISNUMBER(AA24),ISNUMBER(AA25)),24,0)</f>
        <v>0</v>
      </c>
      <c r="AB242" s="5">
        <f>IF(OR(ISNUMBER(AB23),ISNUMBER(AB22),ISNUMBER(AB21),ISNUMBER(AB145),ISNUMBER(AB24),ISNUMBER(AB25)),25,0)</f>
        <v>0</v>
      </c>
      <c r="AC242" s="5">
        <f>IF(OR(ISNUMBER(AC23),ISNUMBER(AC22),ISNUMBER(AC21),ISNUMBER(AC145),ISNUMBER(AC24),ISNUMBER(AC25)),26,0)</f>
        <v>0</v>
      </c>
      <c r="AD242" s="5">
        <f>IF(OR(ISNUMBER(AD23),ISNUMBER(AD22),ISNUMBER(AD21),ISNUMBER(AD145),ISNUMBER(AD24),ISNUMBER(AD25)),27,0)</f>
        <v>0</v>
      </c>
    </row>
    <row r="243" spans="1:95">
      <c r="A243" s="11" t="s">
        <v>553</v>
      </c>
      <c r="B243" s="11" t="s">
        <v>554</v>
      </c>
      <c r="C243" s="3" t="s">
        <v>387</v>
      </c>
      <c r="D243" s="80">
        <f>IF(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gt;0,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INDEX($D$4:$AD$4,$D$241))</f>
        <v>0</v>
      </c>
      <c r="E243" s="11">
        <f>"Stand: "&amp;TEXT(DAY($D$243),"00")&amp;"."&amp;TEXT(MONTH($D$243),"00")&amp;"."&amp;RIGHT(YEAR($D$243),2)</f>
        <v>0</v>
      </c>
      <c r="F243" s="11">
        <f>"Stand:"&amp;CHAR(10)&amp;TEXT(DAY($D$243),"00")&amp;"."&amp;TEXT(MONTH($D$243),"00")&amp;"."&amp;RIGHT(YEAR($D$243),2)</f>
        <v>0</v>
      </c>
    </row>
    <row r="244" spans="1:95">
      <c r="A244" s="11" t="s">
        <v>555</v>
      </c>
      <c r="B244" s="11" t="s">
        <v>556</v>
      </c>
      <c r="C244" s="3" t="s">
        <v>398</v>
      </c>
      <c r="BR244" s="11">
        <f>IF(($D$241-25)&lt;1,"",INDEX($D$3:$AD$3,($D$241-25)))</f>
        <v>0</v>
      </c>
      <c r="BS244" s="11">
        <f>IF(($D$241-24)&lt;1,"",INDEX($D$3:$AD$3,($D$241-24)))</f>
        <v>0</v>
      </c>
      <c r="BT244" s="11">
        <f>IF(($D$241-23)&lt;1,"",INDEX($D$3:$AD$3,($D$241-23)))</f>
        <v>0</v>
      </c>
      <c r="BU244" s="11">
        <f>IF(($D$241-22)&lt;1,"",INDEX($D$3:$AD$3,($D$241-22)))</f>
        <v>0</v>
      </c>
      <c r="BV244" s="11">
        <f>IF(($D$241-21)&lt;1,"",INDEX($D$3:$AD$3,($D$241-21)))</f>
        <v>0</v>
      </c>
      <c r="BW244" s="11">
        <f>IF(($D$241-20)&lt;1,"",INDEX($D$3:$AD$3,($D$241-20)))</f>
        <v>0</v>
      </c>
      <c r="BX244" s="11">
        <f>IF(($D$241-19)&lt;1,"",INDEX($D$3:$AD$3,($D$241-19)))</f>
        <v>0</v>
      </c>
      <c r="BY244" s="11">
        <f>IF(($D$241-18)&lt;1,"",INDEX($D$3:$AD$3,($D$241-18)))</f>
        <v>0</v>
      </c>
      <c r="BZ244" s="11">
        <f>IF(($D$241-17)&lt;1,"",INDEX($D$3:$AD$3,($D$241-17)))</f>
        <v>0</v>
      </c>
      <c r="CA244" s="11">
        <f>IF(($D$241-16)&lt;1,"",INDEX($D$3:$AD$3,($D$241-16)))</f>
        <v>0</v>
      </c>
      <c r="CB244" s="11">
        <f>IF(($D$241-15)&lt;1,"",INDEX($D$3:$AD$3,($D$241-15)))</f>
        <v>0</v>
      </c>
      <c r="CC244" s="11">
        <f>IF(($D$241-14)&lt;1,"",INDEX($D$3:$AD$3,($D$241-14)))</f>
        <v>0</v>
      </c>
      <c r="CD244" s="11">
        <f>IF(($D$241-13)&lt;1,"",INDEX($D$3:$AD$3,($D$241-13)))</f>
        <v>0</v>
      </c>
      <c r="CE244" s="11">
        <f>IF(($D$241-12)&lt;1,"",INDEX($D$3:$AD$3,($D$241-12)))</f>
        <v>0</v>
      </c>
      <c r="CF244" s="11">
        <f>IF(($D$241-11)&lt;1,"",INDEX($D$3:$AD$3,($D$241-11)))</f>
        <v>0</v>
      </c>
      <c r="CG244" s="11">
        <f>IF(($D$241-10)&lt;1,"",INDEX($D$3:$AD$3,($D$241-10)))</f>
        <v>0</v>
      </c>
      <c r="CH244" s="11">
        <f>IF(($D$241-9)&lt;1,"",INDEX($D$3:$AD$3,($D$241-9)))</f>
        <v>0</v>
      </c>
      <c r="CI244" s="11">
        <f>IF(($D$241-8)&lt;1,"",INDEX($D$3:$AD$3,($D$241-8)))</f>
        <v>0</v>
      </c>
      <c r="CJ244" s="11">
        <f>IF(($D$241-7)&lt;1,"",INDEX($D$3:$AD$3,($D$241-7)))</f>
        <v>0</v>
      </c>
      <c r="CK244" s="11">
        <f>IF(($D$241-6)&lt;1,"",INDEX($D$3:$AD$3,($D$241-6)))</f>
        <v>0</v>
      </c>
      <c r="CL244" s="11">
        <f>IF(($D$241-5)&lt;1,"",INDEX($D$3:$AD$3,($D$241-5)))</f>
        <v>0</v>
      </c>
      <c r="CM244" s="11">
        <f>IF(($D$241-4)&lt;1,"",INDEX($D$3:$AD$3,($D$241-4)))</f>
        <v>0</v>
      </c>
      <c r="CN244" s="11">
        <f>IF(($D$241-3)&lt;1,"",INDEX($D$3:$AD$3,($D$241-3)))</f>
        <v>0</v>
      </c>
      <c r="CO244" s="11">
        <f>IF(($D$241-2)&lt;1,"",INDEX($D$3:$AD$3,($D$241-2)))</f>
        <v>0</v>
      </c>
      <c r="CP244" s="11">
        <f>IF(($D$241-1)&lt;1,"",INDEX($D$3:$AD$3,($D$241-1)))</f>
        <v>0</v>
      </c>
      <c r="CQ244" s="11">
        <f>IF(($D$241-0)&lt;1,"",INDEX($D$3:$AD$3,($D$241-0)))</f>
        <v>0</v>
      </c>
    </row>
    <row r="245" spans="1:95">
      <c r="A245" s="11" t="s">
        <v>557</v>
      </c>
      <c r="B245" s="11" t="s">
        <v>558</v>
      </c>
      <c r="C245" s="3" t="s">
        <v>398</v>
      </c>
      <c r="BR245" s="5">
        <f>IF(($D$241-25)&lt;1,NA(),INDEX($D$23:$AD$23,($D$241-25)))</f>
        <v>0</v>
      </c>
      <c r="BS245" s="5">
        <f>IF(($D$241-24)&lt;1,NA(),INDEX($D$23:$AD$23,($D$241-24)))</f>
        <v>0</v>
      </c>
      <c r="BT245" s="5">
        <f>IF(($D$241-23)&lt;1,NA(),INDEX($D$23:$AD$23,($D$241-23)))</f>
        <v>0</v>
      </c>
      <c r="BU245" s="5">
        <f>IF(($D$241-22)&lt;1,NA(),INDEX($D$23:$AD$23,($D$241-22)))</f>
        <v>0</v>
      </c>
      <c r="BV245" s="5">
        <f>IF(($D$241-21)&lt;1,NA(),INDEX($D$23:$AD$23,($D$241-21)))</f>
        <v>0</v>
      </c>
      <c r="BW245" s="5">
        <f>IF(($D$241-20)&lt;1,NA(),INDEX($D$23:$AD$23,($D$241-20)))</f>
        <v>0</v>
      </c>
      <c r="BX245" s="5">
        <f>IF(($D$241-19)&lt;1,NA(),INDEX($D$23:$AD$23,($D$241-19)))</f>
        <v>0</v>
      </c>
      <c r="BY245" s="5">
        <f>IF(($D$241-18)&lt;1,NA(),INDEX($D$23:$AD$23,($D$241-18)))</f>
        <v>0</v>
      </c>
      <c r="BZ245" s="5">
        <f>IF(($D$241-17)&lt;1,NA(),INDEX($D$23:$AD$23,($D$241-17)))</f>
        <v>0</v>
      </c>
      <c r="CA245" s="5">
        <f>IF(($D$241-16)&lt;1,NA(),INDEX($D$23:$AD$23,($D$241-16)))</f>
        <v>0</v>
      </c>
      <c r="CB245" s="5">
        <f>IF(($D$241-15)&lt;1,NA(),INDEX($D$23:$AD$23,($D$241-15)))</f>
        <v>0</v>
      </c>
      <c r="CC245" s="5">
        <f>IF(($D$241-14)&lt;1,NA(),INDEX($D$23:$AD$23,($D$241-14)))</f>
        <v>0</v>
      </c>
      <c r="CD245" s="5">
        <f>IF(($D$241-13)&lt;1,NA(),INDEX($D$23:$AD$23,($D$241-13)))</f>
        <v>0</v>
      </c>
      <c r="CE245" s="5">
        <f>IF(($D$241-12)&lt;1,NA(),INDEX($D$23:$AD$23,($D$241-12)))</f>
        <v>0</v>
      </c>
      <c r="CF245" s="5">
        <f>IF(($D$241-11)&lt;1,NA(),INDEX($D$23:$AD$23,($D$241-11)))</f>
        <v>0</v>
      </c>
      <c r="CG245" s="5">
        <f>IF(($D$241-10)&lt;1,NA(),INDEX($D$23:$AD$23,($D$241-10)))</f>
        <v>0</v>
      </c>
      <c r="CH245" s="5">
        <f>IF(($D$241-9)&lt;1,NA(),INDEX($D$23:$AD$23,($D$241-9)))</f>
        <v>0</v>
      </c>
      <c r="CI245" s="5">
        <f>IF(($D$241-8)&lt;1,NA(),INDEX($D$23:$AD$23,($D$241-8)))</f>
        <v>0</v>
      </c>
      <c r="CJ245" s="5">
        <f>IF(($D$241-7)&lt;1,NA(),INDEX($D$23:$AD$23,($D$241-7)))</f>
        <v>0</v>
      </c>
      <c r="CK245" s="5">
        <f>IF(($D$241-6)&lt;1,NA(),INDEX($D$23:$AD$23,($D$241-6)))</f>
        <v>0</v>
      </c>
      <c r="CL245" s="5">
        <f>IF(($D$241-5)&lt;1,NA(),INDEX($D$23:$AD$23,($D$241-5)))</f>
        <v>0</v>
      </c>
      <c r="CM245" s="5">
        <f>IF(($D$241-4)&lt;1,NA(),INDEX($D$23:$AD$23,($D$241-4)))</f>
        <v>0</v>
      </c>
      <c r="CN245" s="5">
        <f>IF(($D$241-3)&lt;1,NA(),INDEX($D$23:$AD$23,($D$241-3)))</f>
        <v>0</v>
      </c>
      <c r="CO245" s="5">
        <f>IF(($D$241-2)&lt;1,NA(),INDEX($D$23:$AD$23,($D$241-2)))</f>
        <v>0</v>
      </c>
      <c r="CP245" s="5">
        <f>IF(($D$241-1)&lt;1,NA(),INDEX($D$23:$AD$23,($D$241-1)))</f>
        <v>0</v>
      </c>
      <c r="CQ245" s="5">
        <f>IF(($D$241-0)&lt;1,NA(),INDEX($D$23:$AD$23,($D$241-0)))</f>
        <v>0</v>
      </c>
    </row>
    <row r="246" spans="1:95">
      <c r="A246" s="11" t="s">
        <v>559</v>
      </c>
      <c r="B246" s="11" t="s">
        <v>560</v>
      </c>
      <c r="C246" s="3" t="s">
        <v>398</v>
      </c>
      <c r="BR246" s="5">
        <f>IF(($D$241-25)&lt;1,NA(),INDEX($D$22:$AD$22,($D$241-25)))</f>
        <v>0</v>
      </c>
      <c r="BS246" s="5">
        <f>IF(($D$241-24)&lt;1,NA(),INDEX($D$22:$AD$22,($D$241-24)))</f>
        <v>0</v>
      </c>
      <c r="BT246" s="5">
        <f>IF(($D$241-23)&lt;1,NA(),INDEX($D$22:$AD$22,($D$241-23)))</f>
        <v>0</v>
      </c>
      <c r="BU246" s="5">
        <f>IF(($D$241-22)&lt;1,NA(),INDEX($D$22:$AD$22,($D$241-22)))</f>
        <v>0</v>
      </c>
      <c r="BV246" s="5">
        <f>IF(($D$241-21)&lt;1,NA(),INDEX($D$22:$AD$22,($D$241-21)))</f>
        <v>0</v>
      </c>
      <c r="BW246" s="5">
        <f>IF(($D$241-20)&lt;1,NA(),INDEX($D$22:$AD$22,($D$241-20)))</f>
        <v>0</v>
      </c>
      <c r="BX246" s="5">
        <f>IF(($D$241-19)&lt;1,NA(),INDEX($D$22:$AD$22,($D$241-19)))</f>
        <v>0</v>
      </c>
      <c r="BY246" s="5">
        <f>IF(($D$241-18)&lt;1,NA(),INDEX($D$22:$AD$22,($D$241-18)))</f>
        <v>0</v>
      </c>
      <c r="BZ246" s="5">
        <f>IF(($D$241-17)&lt;1,NA(),INDEX($D$22:$AD$22,($D$241-17)))</f>
        <v>0</v>
      </c>
      <c r="CA246" s="5">
        <f>IF(($D$241-16)&lt;1,NA(),INDEX($D$22:$AD$22,($D$241-16)))</f>
        <v>0</v>
      </c>
      <c r="CB246" s="5">
        <f>IF(($D$241-15)&lt;1,NA(),INDEX($D$22:$AD$22,($D$241-15)))</f>
        <v>0</v>
      </c>
      <c r="CC246" s="5">
        <f>IF(($D$241-14)&lt;1,NA(),INDEX($D$22:$AD$22,($D$241-14)))</f>
        <v>0</v>
      </c>
      <c r="CD246" s="5">
        <f>IF(($D$241-13)&lt;1,NA(),INDEX($D$22:$AD$22,($D$241-13)))</f>
        <v>0</v>
      </c>
      <c r="CE246" s="5">
        <f>IF(($D$241-12)&lt;1,NA(),INDEX($D$22:$AD$22,($D$241-12)))</f>
        <v>0</v>
      </c>
      <c r="CF246" s="5">
        <f>IF(($D$241-11)&lt;1,NA(),INDEX($D$22:$AD$22,($D$241-11)))</f>
        <v>0</v>
      </c>
      <c r="CG246" s="5">
        <f>IF(($D$241-10)&lt;1,NA(),INDEX($D$22:$AD$22,($D$241-10)))</f>
        <v>0</v>
      </c>
      <c r="CH246" s="5">
        <f>IF(($D$241-9)&lt;1,NA(),INDEX($D$22:$AD$22,($D$241-9)))</f>
        <v>0</v>
      </c>
      <c r="CI246" s="5">
        <f>IF(($D$241-8)&lt;1,NA(),INDEX($D$22:$AD$22,($D$241-8)))</f>
        <v>0</v>
      </c>
      <c r="CJ246" s="5">
        <f>IF(($D$241-7)&lt;1,NA(),INDEX($D$22:$AD$22,($D$241-7)))</f>
        <v>0</v>
      </c>
      <c r="CK246" s="5">
        <f>IF(($D$241-6)&lt;1,NA(),INDEX($D$22:$AD$22,($D$241-6)))</f>
        <v>0</v>
      </c>
      <c r="CL246" s="5">
        <f>IF(($D$241-5)&lt;1,NA(),INDEX($D$22:$AD$22,($D$241-5)))</f>
        <v>0</v>
      </c>
      <c r="CM246" s="5">
        <f>IF(($D$241-4)&lt;1,NA(),INDEX($D$22:$AD$22,($D$241-4)))</f>
        <v>0</v>
      </c>
      <c r="CN246" s="5">
        <f>IF(($D$241-3)&lt;1,NA(),INDEX($D$22:$AD$22,($D$241-3)))</f>
        <v>0</v>
      </c>
      <c r="CO246" s="5">
        <f>IF(($D$241-2)&lt;1,NA(),INDEX($D$22:$AD$22,($D$241-2)))</f>
        <v>0</v>
      </c>
      <c r="CP246" s="5">
        <f>IF(($D$241-1)&lt;1,NA(),INDEX($D$22:$AD$22,($D$241-1)))</f>
        <v>0</v>
      </c>
      <c r="CQ246" s="5">
        <f>IF(($D$241-0)&lt;1,NA(),INDEX($D$22:$AD$22,($D$241-0)))</f>
        <v>0</v>
      </c>
    </row>
    <row r="247" spans="1:95">
      <c r="A247" s="11" t="s">
        <v>561</v>
      </c>
      <c r="B247" s="11" t="s">
        <v>562</v>
      </c>
      <c r="C247" s="3" t="s">
        <v>398</v>
      </c>
      <c r="BR247" s="5">
        <f>IF(($D$241-25)&lt;1,NA(),INDEX($D$21:$AD$21,($D$241-25)))</f>
        <v>0</v>
      </c>
      <c r="BS247" s="5">
        <f>IF(($D$241-24)&lt;1,NA(),INDEX($D$21:$AD$21,($D$241-24)))</f>
        <v>0</v>
      </c>
      <c r="BT247" s="5">
        <f>IF(($D$241-23)&lt;1,NA(),INDEX($D$21:$AD$21,($D$241-23)))</f>
        <v>0</v>
      </c>
      <c r="BU247" s="5">
        <f>IF(($D$241-22)&lt;1,NA(),INDEX($D$21:$AD$21,($D$241-22)))</f>
        <v>0</v>
      </c>
      <c r="BV247" s="5">
        <f>IF(($D$241-21)&lt;1,NA(),INDEX($D$21:$AD$21,($D$241-21)))</f>
        <v>0</v>
      </c>
      <c r="BW247" s="5">
        <f>IF(($D$241-20)&lt;1,NA(),INDEX($D$21:$AD$21,($D$241-20)))</f>
        <v>0</v>
      </c>
      <c r="BX247" s="5">
        <f>IF(($D$241-19)&lt;1,NA(),INDEX($D$21:$AD$21,($D$241-19)))</f>
        <v>0</v>
      </c>
      <c r="BY247" s="5">
        <f>IF(($D$241-18)&lt;1,NA(),INDEX($D$21:$AD$21,($D$241-18)))</f>
        <v>0</v>
      </c>
      <c r="BZ247" s="5">
        <f>IF(($D$241-17)&lt;1,NA(),INDEX($D$21:$AD$21,($D$241-17)))</f>
        <v>0</v>
      </c>
      <c r="CA247" s="5">
        <f>IF(($D$241-16)&lt;1,NA(),INDEX($D$21:$AD$21,($D$241-16)))</f>
        <v>0</v>
      </c>
      <c r="CB247" s="5">
        <f>IF(($D$241-15)&lt;1,NA(),INDEX($D$21:$AD$21,($D$241-15)))</f>
        <v>0</v>
      </c>
      <c r="CC247" s="5">
        <f>IF(($D$241-14)&lt;1,NA(),INDEX($D$21:$AD$21,($D$241-14)))</f>
        <v>0</v>
      </c>
      <c r="CD247" s="5">
        <f>IF(($D$241-13)&lt;1,NA(),INDEX($D$21:$AD$21,($D$241-13)))</f>
        <v>0</v>
      </c>
      <c r="CE247" s="5">
        <f>IF(($D$241-12)&lt;1,NA(),INDEX($D$21:$AD$21,($D$241-12)))</f>
        <v>0</v>
      </c>
      <c r="CF247" s="5">
        <f>IF(($D$241-11)&lt;1,NA(),INDEX($D$21:$AD$21,($D$241-11)))</f>
        <v>0</v>
      </c>
      <c r="CG247" s="5">
        <f>IF(($D$241-10)&lt;1,NA(),INDEX($D$21:$AD$21,($D$241-10)))</f>
        <v>0</v>
      </c>
      <c r="CH247" s="5">
        <f>IF(($D$241-9)&lt;1,NA(),INDEX($D$21:$AD$21,($D$241-9)))</f>
        <v>0</v>
      </c>
      <c r="CI247" s="5">
        <f>IF(($D$241-8)&lt;1,NA(),INDEX($D$21:$AD$21,($D$241-8)))</f>
        <v>0</v>
      </c>
      <c r="CJ247" s="5">
        <f>IF(($D$241-7)&lt;1,NA(),INDEX($D$21:$AD$21,($D$241-7)))</f>
        <v>0</v>
      </c>
      <c r="CK247" s="5">
        <f>IF(($D$241-6)&lt;1,NA(),INDEX($D$21:$AD$21,($D$241-6)))</f>
        <v>0</v>
      </c>
      <c r="CL247" s="5">
        <f>IF(($D$241-5)&lt;1,NA(),INDEX($D$21:$AD$21,($D$241-5)))</f>
        <v>0</v>
      </c>
      <c r="CM247" s="5">
        <f>IF(($D$241-4)&lt;1,NA(),INDEX($D$21:$AD$21,($D$241-4)))</f>
        <v>0</v>
      </c>
      <c r="CN247" s="5">
        <f>IF(($D$241-3)&lt;1,NA(),INDEX($D$21:$AD$21,($D$241-3)))</f>
        <v>0</v>
      </c>
      <c r="CO247" s="5">
        <f>IF(($D$241-2)&lt;1,NA(),INDEX($D$21:$AD$21,($D$241-2)))</f>
        <v>0</v>
      </c>
      <c r="CP247" s="5">
        <f>IF(($D$241-1)&lt;1,NA(),INDEX($D$21:$AD$21,($D$241-1)))</f>
        <v>0</v>
      </c>
      <c r="CQ247" s="5">
        <f>IF(($D$241-0)&lt;1,NA(),INDEX($D$21:$AD$21,($D$241-0)))</f>
        <v>0</v>
      </c>
    </row>
    <row r="248" spans="1:95">
      <c r="A248" s="11" t="s">
        <v>563</v>
      </c>
      <c r="B248" s="11" t="s">
        <v>564</v>
      </c>
      <c r="C248" s="3" t="s">
        <v>398</v>
      </c>
      <c r="BR248" s="5">
        <f>IF(($D$241-25)&lt;1,NA(),INDEX($D$145:$AD$145,($D$241-25)))</f>
        <v>0</v>
      </c>
      <c r="BS248" s="5">
        <f>IF(($D$241-24)&lt;1,NA(),INDEX($D$145:$AD$145,($D$241-24)))</f>
        <v>0</v>
      </c>
      <c r="BT248" s="5">
        <f>IF(($D$241-23)&lt;1,NA(),INDEX($D$145:$AD$145,($D$241-23)))</f>
        <v>0</v>
      </c>
      <c r="BU248" s="5">
        <f>IF(($D$241-22)&lt;1,NA(),INDEX($D$145:$AD$145,($D$241-22)))</f>
        <v>0</v>
      </c>
      <c r="BV248" s="5">
        <f>IF(($D$241-21)&lt;1,NA(),INDEX($D$145:$AD$145,($D$241-21)))</f>
        <v>0</v>
      </c>
      <c r="BW248" s="5">
        <f>IF(($D$241-20)&lt;1,NA(),INDEX($D$145:$AD$145,($D$241-20)))</f>
        <v>0</v>
      </c>
      <c r="BX248" s="5">
        <f>IF(($D$241-19)&lt;1,NA(),INDEX($D$145:$AD$145,($D$241-19)))</f>
        <v>0</v>
      </c>
      <c r="BY248" s="5">
        <f>IF(($D$241-18)&lt;1,NA(),INDEX($D$145:$AD$145,($D$241-18)))</f>
        <v>0</v>
      </c>
      <c r="BZ248" s="5">
        <f>IF(($D$241-17)&lt;1,NA(),INDEX($D$145:$AD$145,($D$241-17)))</f>
        <v>0</v>
      </c>
      <c r="CA248" s="5">
        <f>IF(($D$241-16)&lt;1,NA(),INDEX($D$145:$AD$145,($D$241-16)))</f>
        <v>0</v>
      </c>
      <c r="CB248" s="5">
        <f>IF(($D$241-15)&lt;1,NA(),INDEX($D$145:$AD$145,($D$241-15)))</f>
        <v>0</v>
      </c>
      <c r="CC248" s="5">
        <f>IF(($D$241-14)&lt;1,NA(),INDEX($D$145:$AD$145,($D$241-14)))</f>
        <v>0</v>
      </c>
      <c r="CD248" s="5">
        <f>IF(($D$241-13)&lt;1,NA(),INDEX($D$145:$AD$145,($D$241-13)))</f>
        <v>0</v>
      </c>
      <c r="CE248" s="5">
        <f>IF(($D$241-12)&lt;1,NA(),INDEX($D$145:$AD$145,($D$241-12)))</f>
        <v>0</v>
      </c>
      <c r="CF248" s="5">
        <f>IF(($D$241-11)&lt;1,NA(),INDEX($D$145:$AD$145,($D$241-11)))</f>
        <v>0</v>
      </c>
      <c r="CG248" s="5">
        <f>IF(($D$241-10)&lt;1,NA(),INDEX($D$145:$AD$145,($D$241-10)))</f>
        <v>0</v>
      </c>
      <c r="CH248" s="5">
        <f>IF(($D$241-9)&lt;1,NA(),INDEX($D$145:$AD$145,($D$241-9)))</f>
        <v>0</v>
      </c>
      <c r="CI248" s="5">
        <f>IF(($D$241-8)&lt;1,NA(),INDEX($D$145:$AD$145,($D$241-8)))</f>
        <v>0</v>
      </c>
      <c r="CJ248" s="5">
        <f>IF(($D$241-7)&lt;1,NA(),INDEX($D$145:$AD$145,($D$241-7)))</f>
        <v>0</v>
      </c>
      <c r="CK248" s="5">
        <f>IF(($D$241-6)&lt;1,NA(),INDEX($D$145:$AD$145,($D$241-6)))</f>
        <v>0</v>
      </c>
      <c r="CL248" s="5">
        <f>IF(($D$241-5)&lt;1,NA(),INDEX($D$145:$AD$145,($D$241-5)))</f>
        <v>0</v>
      </c>
      <c r="CM248" s="5">
        <f>IF(($D$241-4)&lt;1,NA(),INDEX($D$145:$AD$145,($D$241-4)))</f>
        <v>0</v>
      </c>
      <c r="CN248" s="5">
        <f>IF(($D$241-3)&lt;1,NA(),INDEX($D$145:$AD$145,($D$241-3)))</f>
        <v>0</v>
      </c>
      <c r="CO248" s="5">
        <f>IF(($D$241-2)&lt;1,NA(),INDEX($D$145:$AD$145,($D$241-2)))</f>
        <v>0</v>
      </c>
      <c r="CP248" s="5">
        <f>IF(($D$241-1)&lt;1,NA(),INDEX($D$145:$AD$145,($D$241-1)))</f>
        <v>0</v>
      </c>
      <c r="CQ248" s="5">
        <f>IF(($D$241-0)&lt;1,NA(),INDEX($D$145:$AD$145,($D$241-0)))</f>
        <v>0</v>
      </c>
    </row>
    <row r="249" spans="1:95">
      <c r="A249" s="11" t="s">
        <v>565</v>
      </c>
      <c r="B249" s="11" t="s">
        <v>566</v>
      </c>
      <c r="C249" s="3" t="s">
        <v>398</v>
      </c>
      <c r="BR249" s="11">
        <f>IF(($D$241-25)&lt;1,"",INDEX($D$144:$AD$144,($D$241-25)))</f>
        <v>0</v>
      </c>
      <c r="BS249" s="11">
        <f>IF(($D$241-24)&lt;1,"",INDEX($D$144:$AD$144,($D$241-24)))</f>
        <v>0</v>
      </c>
      <c r="BT249" s="11">
        <f>IF(($D$241-23)&lt;1,"",INDEX($D$144:$AD$144,($D$241-23)))</f>
        <v>0</v>
      </c>
      <c r="BU249" s="11">
        <f>IF(($D$241-22)&lt;1,"",INDEX($D$144:$AD$144,($D$241-22)))</f>
        <v>0</v>
      </c>
      <c r="BV249" s="11">
        <f>IF(($D$241-21)&lt;1,"",INDEX($D$144:$AD$144,($D$241-21)))</f>
        <v>0</v>
      </c>
      <c r="BW249" s="11">
        <f>IF(($D$241-20)&lt;1,"",INDEX($D$144:$AD$144,($D$241-20)))</f>
        <v>0</v>
      </c>
      <c r="BX249" s="11">
        <f>IF(($D$241-19)&lt;1,"",INDEX($D$144:$AD$144,($D$241-19)))</f>
        <v>0</v>
      </c>
      <c r="BY249" s="11">
        <f>IF(($D$241-18)&lt;1,"",INDEX($D$144:$AD$144,($D$241-18)))</f>
        <v>0</v>
      </c>
      <c r="BZ249" s="11">
        <f>IF(($D$241-17)&lt;1,"",INDEX($D$144:$AD$144,($D$241-17)))</f>
        <v>0</v>
      </c>
      <c r="CA249" s="11">
        <f>IF(($D$241-16)&lt;1,"",INDEX($D$144:$AD$144,($D$241-16)))</f>
        <v>0</v>
      </c>
      <c r="CB249" s="11">
        <f>IF(($D$241-15)&lt;1,"",INDEX($D$144:$AD$144,($D$241-15)))</f>
        <v>0</v>
      </c>
      <c r="CC249" s="11">
        <f>IF(($D$241-14)&lt;1,"",INDEX($D$144:$AD$144,($D$241-14)))</f>
        <v>0</v>
      </c>
      <c r="CD249" s="11">
        <f>IF(($D$241-13)&lt;1,"",INDEX($D$144:$AD$144,($D$241-13)))</f>
        <v>0</v>
      </c>
      <c r="CE249" s="11">
        <f>IF(($D$241-12)&lt;1,"",INDEX($D$144:$AD$144,($D$241-12)))</f>
        <v>0</v>
      </c>
      <c r="CF249" s="11">
        <f>IF(($D$241-11)&lt;1,"",INDEX($D$144:$AD$144,($D$241-11)))</f>
        <v>0</v>
      </c>
      <c r="CG249" s="11">
        <f>IF(($D$241-10)&lt;1,"",INDEX($D$144:$AD$144,($D$241-10)))</f>
        <v>0</v>
      </c>
      <c r="CH249" s="11">
        <f>IF(($D$241-9)&lt;1,"",INDEX($D$144:$AD$144,($D$241-9)))</f>
        <v>0</v>
      </c>
      <c r="CI249" s="11">
        <f>IF(($D$241-8)&lt;1,"",INDEX($D$144:$AD$144,($D$241-8)))</f>
        <v>0</v>
      </c>
      <c r="CJ249" s="11">
        <f>IF(($D$241-7)&lt;1,"",INDEX($D$144:$AD$144,($D$241-7)))</f>
        <v>0</v>
      </c>
      <c r="CK249" s="11">
        <f>IF(($D$241-6)&lt;1,"",INDEX($D$144:$AD$144,($D$241-6)))</f>
        <v>0</v>
      </c>
      <c r="CL249" s="11">
        <f>IF(($D$241-5)&lt;1,"",INDEX($D$144:$AD$144,($D$241-5)))</f>
        <v>0</v>
      </c>
      <c r="CM249" s="11">
        <f>IF(($D$241-4)&lt;1,"",INDEX($D$144:$AD$144,($D$241-4)))</f>
        <v>0</v>
      </c>
      <c r="CN249" s="11">
        <f>IF(($D$241-3)&lt;1,"",INDEX($D$144:$AD$144,($D$241-3)))</f>
        <v>0</v>
      </c>
      <c r="CO249" s="11">
        <f>IF(($D$241-2)&lt;1,"",INDEX($D$144:$AD$144,($D$241-2)))</f>
        <v>0</v>
      </c>
      <c r="CP249" s="11">
        <f>IF(($D$241-1)&lt;1,"",INDEX($D$144:$AD$144,($D$241-1)))</f>
        <v>0</v>
      </c>
      <c r="CQ249" s="11">
        <f>IF(($D$241-0)&lt;1,"",INDEX($D$144:$AD$144,($D$241-0)))</f>
        <v>0</v>
      </c>
    </row>
    <row r="250" spans="1:95">
      <c r="A250" s="11" t="s">
        <v>567</v>
      </c>
      <c r="B250" s="11" t="s">
        <v>568</v>
      </c>
      <c r="C250" s="3" t="s">
        <v>134</v>
      </c>
      <c r="D250" s="5">
        <v>10</v>
      </c>
    </row>
    <row r="251" spans="1:95">
      <c r="A251" s="11" t="s">
        <v>569</v>
      </c>
      <c r="B251" s="11" t="s">
        <v>570</v>
      </c>
      <c r="C251" s="3" t="s">
        <v>137</v>
      </c>
      <c r="D251" s="5">
        <f>IF(ISNUMBER(D24),D24/MAX(1,_xlfn.AGGREGATE(4,6,INDEX($D$24:$AD$24,MAX(1,$D$241+1-$D$250)):INDEX($D$24:$AD$24,$D$241)),_xlfn.AGGREGATE(4,6,INDEX($D$25:$AD$25,MAX(1,$D$241+1-$D$250)):INDEX($D$25:$AD$25,$D$241))),NA())</f>
        <v>0</v>
      </c>
      <c r="E251" s="5">
        <f>IF(ISNUMBER(E24),E24/MAX(1,_xlfn.AGGREGATE(4,6,INDEX($D$24:$AD$24,MAX(1,$D$241+1-$D$250)):INDEX($D$24:$AD$24,$D$241)),_xlfn.AGGREGATE(4,6,INDEX($D$25:$AD$25,MAX(1,$D$241+1-$D$250)):INDEX($D$25:$AD$25,$D$241))),NA())</f>
        <v>0</v>
      </c>
      <c r="F251" s="5">
        <f>IF(ISNUMBER(F24),F24/MAX(1,_xlfn.AGGREGATE(4,6,INDEX($D$24:$AD$24,MAX(1,$D$241+1-$D$250)):INDEX($D$24:$AD$24,$D$241)),_xlfn.AGGREGATE(4,6,INDEX($D$25:$AD$25,MAX(1,$D$241+1-$D$250)):INDEX($D$25:$AD$25,$D$241))),NA())</f>
        <v>0</v>
      </c>
      <c r="G251" s="5">
        <f>IF(ISNUMBER(G24),G24/MAX(1,_xlfn.AGGREGATE(4,6,INDEX($D$24:$AD$24,MAX(1,$D$241+1-$D$250)):INDEX($D$24:$AD$24,$D$241)),_xlfn.AGGREGATE(4,6,INDEX($D$25:$AD$25,MAX(1,$D$241+1-$D$250)):INDEX($D$25:$AD$25,$D$241))),NA())</f>
        <v>0</v>
      </c>
      <c r="H251" s="5">
        <f>IF(ISNUMBER(H24),H24/MAX(1,_xlfn.AGGREGATE(4,6,INDEX($D$24:$AD$24,MAX(1,$D$241+1-$D$250)):INDEX($D$24:$AD$24,$D$241)),_xlfn.AGGREGATE(4,6,INDEX($D$25:$AD$25,MAX(1,$D$241+1-$D$250)):INDEX($D$25:$AD$25,$D$241))),NA())</f>
        <v>0</v>
      </c>
      <c r="I251" s="5">
        <f>IF(ISNUMBER(I24),I24/MAX(1,_xlfn.AGGREGATE(4,6,INDEX($D$24:$AD$24,MAX(1,$D$241+1-$D$250)):INDEX($D$24:$AD$24,$D$241)),_xlfn.AGGREGATE(4,6,INDEX($D$25:$AD$25,MAX(1,$D$241+1-$D$250)):INDEX($D$25:$AD$25,$D$241))),NA())</f>
        <v>0</v>
      </c>
      <c r="J251" s="5">
        <f>IF(ISNUMBER(J24),J24/MAX(1,_xlfn.AGGREGATE(4,6,INDEX($D$24:$AD$24,MAX(1,$D$241+1-$D$250)):INDEX($D$24:$AD$24,$D$241)),_xlfn.AGGREGATE(4,6,INDEX($D$25:$AD$25,MAX(1,$D$241+1-$D$250)):INDEX($D$25:$AD$25,$D$241))),NA())</f>
        <v>0</v>
      </c>
      <c r="K251" s="5">
        <f>IF(ISNUMBER(K24),K24/MAX(1,_xlfn.AGGREGATE(4,6,INDEX($D$24:$AD$24,MAX(1,$D$241+1-$D$250)):INDEX($D$24:$AD$24,$D$241)),_xlfn.AGGREGATE(4,6,INDEX($D$25:$AD$25,MAX(1,$D$241+1-$D$250)):INDEX($D$25:$AD$25,$D$241))),NA())</f>
        <v>0</v>
      </c>
      <c r="L251" s="5">
        <f>IF(ISNUMBER(L24),L24/MAX(1,_xlfn.AGGREGATE(4,6,INDEX($D$24:$AD$24,MAX(1,$D$241+1-$D$250)):INDEX($D$24:$AD$24,$D$241)),_xlfn.AGGREGATE(4,6,INDEX($D$25:$AD$25,MAX(1,$D$241+1-$D$250)):INDEX($D$25:$AD$25,$D$241))),NA())</f>
        <v>0</v>
      </c>
      <c r="M251" s="5">
        <f>IF(ISNUMBER(M24),M24/MAX(1,_xlfn.AGGREGATE(4,6,INDEX($D$24:$AD$24,MAX(1,$D$241+1-$D$250)):INDEX($D$24:$AD$24,$D$241)),_xlfn.AGGREGATE(4,6,INDEX($D$25:$AD$25,MAX(1,$D$241+1-$D$250)):INDEX($D$25:$AD$25,$D$241))),NA())</f>
        <v>0</v>
      </c>
      <c r="N251" s="5">
        <f>IF(ISNUMBER(N24),N24/MAX(1,_xlfn.AGGREGATE(4,6,INDEX($D$24:$AD$24,MAX(1,$D$241+1-$D$250)):INDEX($D$24:$AD$24,$D$241)),_xlfn.AGGREGATE(4,6,INDEX($D$25:$AD$25,MAX(1,$D$241+1-$D$250)):INDEX($D$25:$AD$25,$D$241))),NA())</f>
        <v>0</v>
      </c>
      <c r="O251" s="5">
        <f>IF(ISNUMBER(O24),O24/MAX(1,_xlfn.AGGREGATE(4,6,INDEX($D$24:$AD$24,MAX(1,$D$241+1-$D$250)):INDEX($D$24:$AD$24,$D$241)),_xlfn.AGGREGATE(4,6,INDEX($D$25:$AD$25,MAX(1,$D$241+1-$D$250)):INDEX($D$25:$AD$25,$D$241))),NA())</f>
        <v>0</v>
      </c>
      <c r="P251" s="5">
        <f>IF(ISNUMBER(P24),P24/MAX(1,_xlfn.AGGREGATE(4,6,INDEX($D$24:$AD$24,MAX(1,$D$241+1-$D$250)):INDEX($D$24:$AD$24,$D$241)),_xlfn.AGGREGATE(4,6,INDEX($D$25:$AD$25,MAX(1,$D$241+1-$D$250)):INDEX($D$25:$AD$25,$D$241))),NA())</f>
        <v>0</v>
      </c>
      <c r="Q251" s="5">
        <f>IF(ISNUMBER(Q24),Q24/MAX(1,_xlfn.AGGREGATE(4,6,INDEX($D$24:$AD$24,MAX(1,$D$241+1-$D$250)):INDEX($D$24:$AD$24,$D$241)),_xlfn.AGGREGATE(4,6,INDEX($D$25:$AD$25,MAX(1,$D$241+1-$D$250)):INDEX($D$25:$AD$25,$D$241))),NA())</f>
        <v>0</v>
      </c>
      <c r="R251" s="5">
        <f>IF(ISNUMBER(R24),R24/MAX(1,_xlfn.AGGREGATE(4,6,INDEX($D$24:$AD$24,MAX(1,$D$241+1-$D$250)):INDEX($D$24:$AD$24,$D$241)),_xlfn.AGGREGATE(4,6,INDEX($D$25:$AD$25,MAX(1,$D$241+1-$D$250)):INDEX($D$25:$AD$25,$D$241))),NA())</f>
        <v>0</v>
      </c>
      <c r="S251" s="5">
        <f>IF(ISNUMBER(S24),S24/MAX(1,_xlfn.AGGREGATE(4,6,INDEX($D$24:$AD$24,MAX(1,$D$241+1-$D$250)):INDEX($D$24:$AD$24,$D$241)),_xlfn.AGGREGATE(4,6,INDEX($D$25:$AD$25,MAX(1,$D$241+1-$D$250)):INDEX($D$25:$AD$25,$D$241))),NA())</f>
        <v>0</v>
      </c>
      <c r="T251" s="5">
        <f>IF(ISNUMBER(T24),T24/MAX(1,_xlfn.AGGREGATE(4,6,INDEX($D$24:$AD$24,MAX(1,$D$241+1-$D$250)):INDEX($D$24:$AD$24,$D$241)),_xlfn.AGGREGATE(4,6,INDEX($D$25:$AD$25,MAX(1,$D$241+1-$D$250)):INDEX($D$25:$AD$25,$D$241))),NA())</f>
        <v>0</v>
      </c>
      <c r="U251" s="5">
        <f>IF(ISNUMBER(U24),U24/MAX(1,_xlfn.AGGREGATE(4,6,INDEX($D$24:$AD$24,MAX(1,$D$241+1-$D$250)):INDEX($D$24:$AD$24,$D$241)),_xlfn.AGGREGATE(4,6,INDEX($D$25:$AD$25,MAX(1,$D$241+1-$D$250)):INDEX($D$25:$AD$25,$D$241))),NA())</f>
        <v>0</v>
      </c>
      <c r="V251" s="5">
        <f>IF(ISNUMBER(V24),V24/MAX(1,_xlfn.AGGREGATE(4,6,INDEX($D$24:$AD$24,MAX(1,$D$241+1-$D$250)):INDEX($D$24:$AD$24,$D$241)),_xlfn.AGGREGATE(4,6,INDEX($D$25:$AD$25,MAX(1,$D$241+1-$D$250)):INDEX($D$25:$AD$25,$D$241))),NA())</f>
        <v>0</v>
      </c>
      <c r="W251" s="5">
        <f>IF(ISNUMBER(W24),W24/MAX(1,_xlfn.AGGREGATE(4,6,INDEX($D$24:$AD$24,MAX(1,$D$241+1-$D$250)):INDEX($D$24:$AD$24,$D$241)),_xlfn.AGGREGATE(4,6,INDEX($D$25:$AD$25,MAX(1,$D$241+1-$D$250)):INDEX($D$25:$AD$25,$D$241))),NA())</f>
        <v>0</v>
      </c>
      <c r="X251" s="5">
        <f>IF(ISNUMBER(X24),X24/MAX(1,_xlfn.AGGREGATE(4,6,INDEX($D$24:$AD$24,MAX(1,$D$241+1-$D$250)):INDEX($D$24:$AD$24,$D$241)),_xlfn.AGGREGATE(4,6,INDEX($D$25:$AD$25,MAX(1,$D$241+1-$D$250)):INDEX($D$25:$AD$25,$D$241))),NA())</f>
        <v>0</v>
      </c>
      <c r="Y251" s="5">
        <f>IF(ISNUMBER(Y24),Y24/MAX(1,_xlfn.AGGREGATE(4,6,INDEX($D$24:$AD$24,MAX(1,$D$241+1-$D$250)):INDEX($D$24:$AD$24,$D$241)),_xlfn.AGGREGATE(4,6,INDEX($D$25:$AD$25,MAX(1,$D$241+1-$D$250)):INDEX($D$25:$AD$25,$D$241))),NA())</f>
        <v>0</v>
      </c>
      <c r="Z251" s="5">
        <f>IF(ISNUMBER(Z24),Z24/MAX(1,_xlfn.AGGREGATE(4,6,INDEX($D$24:$AD$24,MAX(1,$D$241+1-$D$250)):INDEX($D$24:$AD$24,$D$241)),_xlfn.AGGREGATE(4,6,INDEX($D$25:$AD$25,MAX(1,$D$241+1-$D$250)):INDEX($D$25:$AD$25,$D$241))),NA())</f>
        <v>0</v>
      </c>
      <c r="AA251" s="5">
        <f>IF(ISNUMBER(AA24),AA24/MAX(1,_xlfn.AGGREGATE(4,6,INDEX($D$24:$AD$24,MAX(1,$D$241+1-$D$250)):INDEX($D$24:$AD$24,$D$241)),_xlfn.AGGREGATE(4,6,INDEX($D$25:$AD$25,MAX(1,$D$241+1-$D$250)):INDEX($D$25:$AD$25,$D$241))),NA())</f>
        <v>0</v>
      </c>
      <c r="AB251" s="5">
        <f>IF(ISNUMBER(AB24),AB24/MAX(1,_xlfn.AGGREGATE(4,6,INDEX($D$24:$AD$24,MAX(1,$D$241+1-$D$250)):INDEX($D$24:$AD$24,$D$241)),_xlfn.AGGREGATE(4,6,INDEX($D$25:$AD$25,MAX(1,$D$241+1-$D$250)):INDEX($D$25:$AD$25,$D$241))),NA())</f>
        <v>0</v>
      </c>
      <c r="AC251" s="5">
        <f>IF(ISNUMBER(AC24),AC24/MAX(1,_xlfn.AGGREGATE(4,6,INDEX($D$24:$AD$24,MAX(1,$D$241+1-$D$250)):INDEX($D$24:$AD$24,$D$241)),_xlfn.AGGREGATE(4,6,INDEX($D$25:$AD$25,MAX(1,$D$241+1-$D$250)):INDEX($D$25:$AD$25,$D$241))),NA())</f>
        <v>0</v>
      </c>
      <c r="AD251" s="5">
        <f>IF(ISNUMBER(AD24),AD24/MAX(1,_xlfn.AGGREGATE(4,6,INDEX($D$24:$AD$24,MAX(1,$D$241+1-$D$250)):INDEX($D$24:$AD$24,$D$241)),_xlfn.AGGREGATE(4,6,INDEX($D$25:$AD$25,MAX(1,$D$241+1-$D$250)):INDEX($D$25:$AD$25,$D$241))),NA())</f>
        <v>0</v>
      </c>
    </row>
    <row r="252" spans="1:95">
      <c r="A252" s="11" t="s">
        <v>571</v>
      </c>
      <c r="B252" s="11" t="s">
        <v>572</v>
      </c>
      <c r="C252" s="3" t="s">
        <v>137</v>
      </c>
      <c r="D252" s="11">
        <f>IF(ISNUMBER(D24),FIXED(D24,0)&amp;REPT(_xlfn.UNICHAR(160),3),"")</f>
        <v>0</v>
      </c>
      <c r="E252" s="11">
        <f>IF(ISNUMBER(E24),FIXED(E24,0)&amp;REPT(_xlfn.UNICHAR(160),3),"")</f>
        <v>0</v>
      </c>
      <c r="F252" s="11">
        <f>IF(ISNUMBER(F24),FIXED(F24,0)&amp;REPT(_xlfn.UNICHAR(160),3),"")</f>
        <v>0</v>
      </c>
      <c r="G252" s="11">
        <f>IF(ISNUMBER(G24),FIXED(G24,0)&amp;REPT(_xlfn.UNICHAR(160),3),"")</f>
        <v>0</v>
      </c>
      <c r="H252" s="11">
        <f>IF(ISNUMBER(H24),FIXED(H24,0)&amp;REPT(_xlfn.UNICHAR(160),3),"")</f>
        <v>0</v>
      </c>
      <c r="I252" s="11">
        <f>IF(ISNUMBER(I24),FIXED(I24,0)&amp;REPT(_xlfn.UNICHAR(160),3),"")</f>
        <v>0</v>
      </c>
      <c r="J252" s="11">
        <f>IF(ISNUMBER(J24),FIXED(J24,0)&amp;REPT(_xlfn.UNICHAR(160),3),"")</f>
        <v>0</v>
      </c>
      <c r="K252" s="11">
        <f>IF(ISNUMBER(K24),FIXED(K24,0)&amp;REPT(_xlfn.UNICHAR(160),3),"")</f>
        <v>0</v>
      </c>
      <c r="L252" s="11">
        <f>IF(ISNUMBER(L24),FIXED(L24,0)&amp;REPT(_xlfn.UNICHAR(160),3),"")</f>
        <v>0</v>
      </c>
      <c r="M252" s="11">
        <f>IF(ISNUMBER(M24),FIXED(M24,0)&amp;REPT(_xlfn.UNICHAR(160),3),"")</f>
        <v>0</v>
      </c>
      <c r="N252" s="11">
        <f>IF(ISNUMBER(N24),FIXED(N24,0)&amp;REPT(_xlfn.UNICHAR(160),3),"")</f>
        <v>0</v>
      </c>
      <c r="O252" s="11">
        <f>IF(ISNUMBER(O24),FIXED(O24,0)&amp;REPT(_xlfn.UNICHAR(160),3),"")</f>
        <v>0</v>
      </c>
      <c r="P252" s="11">
        <f>IF(ISNUMBER(P24),FIXED(P24,0)&amp;REPT(_xlfn.UNICHAR(160),3),"")</f>
        <v>0</v>
      </c>
      <c r="Q252" s="11">
        <f>IF(ISNUMBER(Q24),FIXED(Q24,0)&amp;REPT(_xlfn.UNICHAR(160),3),"")</f>
        <v>0</v>
      </c>
      <c r="R252" s="11">
        <f>IF(ISNUMBER(R24),FIXED(R24,0)&amp;REPT(_xlfn.UNICHAR(160),3),"")</f>
        <v>0</v>
      </c>
      <c r="S252" s="11">
        <f>IF(ISNUMBER(S24),FIXED(S24,0)&amp;REPT(_xlfn.UNICHAR(160),3),"")</f>
        <v>0</v>
      </c>
      <c r="T252" s="11">
        <f>IF(ISNUMBER(T24),FIXED(T24,0)&amp;REPT(_xlfn.UNICHAR(160),3),"")</f>
        <v>0</v>
      </c>
      <c r="U252" s="11">
        <f>IF(ISNUMBER(U24),FIXED(U24,0)&amp;REPT(_xlfn.UNICHAR(160),3),"")</f>
        <v>0</v>
      </c>
      <c r="V252" s="11">
        <f>IF(ISNUMBER(V24),FIXED(V24,0)&amp;REPT(_xlfn.UNICHAR(160),3),"")</f>
        <v>0</v>
      </c>
      <c r="W252" s="11">
        <f>IF(ISNUMBER(W24),FIXED(W24,0)&amp;REPT(_xlfn.UNICHAR(160),3),"")</f>
        <v>0</v>
      </c>
      <c r="X252" s="11">
        <f>IF(ISNUMBER(X24),FIXED(X24,0)&amp;REPT(_xlfn.UNICHAR(160),3),"")</f>
        <v>0</v>
      </c>
      <c r="Y252" s="11">
        <f>IF(ISNUMBER(Y24),FIXED(Y24,0)&amp;REPT(_xlfn.UNICHAR(160),3),"")</f>
        <v>0</v>
      </c>
      <c r="Z252" s="11">
        <f>IF(ISNUMBER(Z24),FIXED(Z24,0)&amp;REPT(_xlfn.UNICHAR(160),3),"")</f>
        <v>0</v>
      </c>
      <c r="AA252" s="11">
        <f>IF(ISNUMBER(AA24),FIXED(AA24,0)&amp;REPT(_xlfn.UNICHAR(160),3),"")</f>
        <v>0</v>
      </c>
      <c r="AB252" s="11">
        <f>IF(ISNUMBER(AB24),FIXED(AB24,0)&amp;REPT(_xlfn.UNICHAR(160),3),"")</f>
        <v>0</v>
      </c>
      <c r="AC252" s="11">
        <f>IF(ISNUMBER(AC24),FIXED(AC24,0)&amp;REPT(_xlfn.UNICHAR(160),3),"")</f>
        <v>0</v>
      </c>
      <c r="AD252" s="11">
        <f>IF(ISNUMBER(AD24),FIXED(AD24,0)&amp;REPT(_xlfn.UNICHAR(160),3),"")</f>
        <v>0</v>
      </c>
    </row>
    <row r="253" spans="1:95">
      <c r="A253" s="11" t="s">
        <v>573</v>
      </c>
      <c r="B253" s="11" t="s">
        <v>574</v>
      </c>
      <c r="C253" s="3" t="s">
        <v>137</v>
      </c>
      <c r="D253" s="5">
        <f>IF(ISNUMBER(D25),D25/MAX(1,_xlfn.AGGREGATE(4,6,INDEX($D$24:$AD$24,MAX(1,$D$241+1-$D$250)):INDEX($D$24:$AD$24,$D$241)),_xlfn.AGGREGATE(4,6,INDEX($D$25:$AD$25,MAX(1,$D$241+1-$D$250)):INDEX($D$25:$AD$25,$D$241))),NA())</f>
        <v>0</v>
      </c>
      <c r="E253" s="5">
        <f>IF(ISNUMBER(E25),E25/MAX(1,_xlfn.AGGREGATE(4,6,INDEX($D$24:$AD$24,MAX(1,$D$241+1-$D$250)):INDEX($D$24:$AD$24,$D$241)),_xlfn.AGGREGATE(4,6,INDEX($D$25:$AD$25,MAX(1,$D$241+1-$D$250)):INDEX($D$25:$AD$25,$D$241))),NA())</f>
        <v>0</v>
      </c>
      <c r="F253" s="5">
        <f>IF(ISNUMBER(F25),F25/MAX(1,_xlfn.AGGREGATE(4,6,INDEX($D$24:$AD$24,MAX(1,$D$241+1-$D$250)):INDEX($D$24:$AD$24,$D$241)),_xlfn.AGGREGATE(4,6,INDEX($D$25:$AD$25,MAX(1,$D$241+1-$D$250)):INDEX($D$25:$AD$25,$D$241))),NA())</f>
        <v>0</v>
      </c>
      <c r="G253" s="5">
        <f>IF(ISNUMBER(G25),G25/MAX(1,_xlfn.AGGREGATE(4,6,INDEX($D$24:$AD$24,MAX(1,$D$241+1-$D$250)):INDEX($D$24:$AD$24,$D$241)),_xlfn.AGGREGATE(4,6,INDEX($D$25:$AD$25,MAX(1,$D$241+1-$D$250)):INDEX($D$25:$AD$25,$D$241))),NA())</f>
        <v>0</v>
      </c>
      <c r="H253" s="5">
        <f>IF(ISNUMBER(H25),H25/MAX(1,_xlfn.AGGREGATE(4,6,INDEX($D$24:$AD$24,MAX(1,$D$241+1-$D$250)):INDEX($D$24:$AD$24,$D$241)),_xlfn.AGGREGATE(4,6,INDEX($D$25:$AD$25,MAX(1,$D$241+1-$D$250)):INDEX($D$25:$AD$25,$D$241))),NA())</f>
        <v>0</v>
      </c>
      <c r="I253" s="5">
        <f>IF(ISNUMBER(I25),I25/MAX(1,_xlfn.AGGREGATE(4,6,INDEX($D$24:$AD$24,MAX(1,$D$241+1-$D$250)):INDEX($D$24:$AD$24,$D$241)),_xlfn.AGGREGATE(4,6,INDEX($D$25:$AD$25,MAX(1,$D$241+1-$D$250)):INDEX($D$25:$AD$25,$D$241))),NA())</f>
        <v>0</v>
      </c>
      <c r="J253" s="5">
        <f>IF(ISNUMBER(J25),J25/MAX(1,_xlfn.AGGREGATE(4,6,INDEX($D$24:$AD$24,MAX(1,$D$241+1-$D$250)):INDEX($D$24:$AD$24,$D$241)),_xlfn.AGGREGATE(4,6,INDEX($D$25:$AD$25,MAX(1,$D$241+1-$D$250)):INDEX($D$25:$AD$25,$D$241))),NA())</f>
        <v>0</v>
      </c>
      <c r="K253" s="5">
        <f>IF(ISNUMBER(K25),K25/MAX(1,_xlfn.AGGREGATE(4,6,INDEX($D$24:$AD$24,MAX(1,$D$241+1-$D$250)):INDEX($D$24:$AD$24,$D$241)),_xlfn.AGGREGATE(4,6,INDEX($D$25:$AD$25,MAX(1,$D$241+1-$D$250)):INDEX($D$25:$AD$25,$D$241))),NA())</f>
        <v>0</v>
      </c>
      <c r="L253" s="5">
        <f>IF(ISNUMBER(L25),L25/MAX(1,_xlfn.AGGREGATE(4,6,INDEX($D$24:$AD$24,MAX(1,$D$241+1-$D$250)):INDEX($D$24:$AD$24,$D$241)),_xlfn.AGGREGATE(4,6,INDEX($D$25:$AD$25,MAX(1,$D$241+1-$D$250)):INDEX($D$25:$AD$25,$D$241))),NA())</f>
        <v>0</v>
      </c>
      <c r="M253" s="5">
        <f>IF(ISNUMBER(M25),M25/MAX(1,_xlfn.AGGREGATE(4,6,INDEX($D$24:$AD$24,MAX(1,$D$241+1-$D$250)):INDEX($D$24:$AD$24,$D$241)),_xlfn.AGGREGATE(4,6,INDEX($D$25:$AD$25,MAX(1,$D$241+1-$D$250)):INDEX($D$25:$AD$25,$D$241))),NA())</f>
        <v>0</v>
      </c>
      <c r="N253" s="5">
        <f>IF(ISNUMBER(N25),N25/MAX(1,_xlfn.AGGREGATE(4,6,INDEX($D$24:$AD$24,MAX(1,$D$241+1-$D$250)):INDEX($D$24:$AD$24,$D$241)),_xlfn.AGGREGATE(4,6,INDEX($D$25:$AD$25,MAX(1,$D$241+1-$D$250)):INDEX($D$25:$AD$25,$D$241))),NA())</f>
        <v>0</v>
      </c>
      <c r="O253" s="5">
        <f>IF(ISNUMBER(O25),O25/MAX(1,_xlfn.AGGREGATE(4,6,INDEX($D$24:$AD$24,MAX(1,$D$241+1-$D$250)):INDEX($D$24:$AD$24,$D$241)),_xlfn.AGGREGATE(4,6,INDEX($D$25:$AD$25,MAX(1,$D$241+1-$D$250)):INDEX($D$25:$AD$25,$D$241))),NA())</f>
        <v>0</v>
      </c>
      <c r="P253" s="5">
        <f>IF(ISNUMBER(P25),P25/MAX(1,_xlfn.AGGREGATE(4,6,INDEX($D$24:$AD$24,MAX(1,$D$241+1-$D$250)):INDEX($D$24:$AD$24,$D$241)),_xlfn.AGGREGATE(4,6,INDEX($D$25:$AD$25,MAX(1,$D$241+1-$D$250)):INDEX($D$25:$AD$25,$D$241))),NA())</f>
        <v>0</v>
      </c>
      <c r="Q253" s="5">
        <f>IF(ISNUMBER(Q25),Q25/MAX(1,_xlfn.AGGREGATE(4,6,INDEX($D$24:$AD$24,MAX(1,$D$241+1-$D$250)):INDEX($D$24:$AD$24,$D$241)),_xlfn.AGGREGATE(4,6,INDEX($D$25:$AD$25,MAX(1,$D$241+1-$D$250)):INDEX($D$25:$AD$25,$D$241))),NA())</f>
        <v>0</v>
      </c>
      <c r="R253" s="5">
        <f>IF(ISNUMBER(R25),R25/MAX(1,_xlfn.AGGREGATE(4,6,INDEX($D$24:$AD$24,MAX(1,$D$241+1-$D$250)):INDEX($D$24:$AD$24,$D$241)),_xlfn.AGGREGATE(4,6,INDEX($D$25:$AD$25,MAX(1,$D$241+1-$D$250)):INDEX($D$25:$AD$25,$D$241))),NA())</f>
        <v>0</v>
      </c>
      <c r="S253" s="5">
        <f>IF(ISNUMBER(S25),S25/MAX(1,_xlfn.AGGREGATE(4,6,INDEX($D$24:$AD$24,MAX(1,$D$241+1-$D$250)):INDEX($D$24:$AD$24,$D$241)),_xlfn.AGGREGATE(4,6,INDEX($D$25:$AD$25,MAX(1,$D$241+1-$D$250)):INDEX($D$25:$AD$25,$D$241))),NA())</f>
        <v>0</v>
      </c>
      <c r="T253" s="5">
        <f>IF(ISNUMBER(T25),T25/MAX(1,_xlfn.AGGREGATE(4,6,INDEX($D$24:$AD$24,MAX(1,$D$241+1-$D$250)):INDEX($D$24:$AD$24,$D$241)),_xlfn.AGGREGATE(4,6,INDEX($D$25:$AD$25,MAX(1,$D$241+1-$D$250)):INDEX($D$25:$AD$25,$D$241))),NA())</f>
        <v>0</v>
      </c>
      <c r="U253" s="5">
        <f>IF(ISNUMBER(U25),U25/MAX(1,_xlfn.AGGREGATE(4,6,INDEX($D$24:$AD$24,MAX(1,$D$241+1-$D$250)):INDEX($D$24:$AD$24,$D$241)),_xlfn.AGGREGATE(4,6,INDEX($D$25:$AD$25,MAX(1,$D$241+1-$D$250)):INDEX($D$25:$AD$25,$D$241))),NA())</f>
        <v>0</v>
      </c>
      <c r="V253" s="5">
        <f>IF(ISNUMBER(V25),V25/MAX(1,_xlfn.AGGREGATE(4,6,INDEX($D$24:$AD$24,MAX(1,$D$241+1-$D$250)):INDEX($D$24:$AD$24,$D$241)),_xlfn.AGGREGATE(4,6,INDEX($D$25:$AD$25,MAX(1,$D$241+1-$D$250)):INDEX($D$25:$AD$25,$D$241))),NA())</f>
        <v>0</v>
      </c>
      <c r="W253" s="5">
        <f>IF(ISNUMBER(W25),W25/MAX(1,_xlfn.AGGREGATE(4,6,INDEX($D$24:$AD$24,MAX(1,$D$241+1-$D$250)):INDEX($D$24:$AD$24,$D$241)),_xlfn.AGGREGATE(4,6,INDEX($D$25:$AD$25,MAX(1,$D$241+1-$D$250)):INDEX($D$25:$AD$25,$D$241))),NA())</f>
        <v>0</v>
      </c>
      <c r="X253" s="5">
        <f>IF(ISNUMBER(X25),X25/MAX(1,_xlfn.AGGREGATE(4,6,INDEX($D$24:$AD$24,MAX(1,$D$241+1-$D$250)):INDEX($D$24:$AD$24,$D$241)),_xlfn.AGGREGATE(4,6,INDEX($D$25:$AD$25,MAX(1,$D$241+1-$D$250)):INDEX($D$25:$AD$25,$D$241))),NA())</f>
        <v>0</v>
      </c>
      <c r="Y253" s="5">
        <f>IF(ISNUMBER(Y25),Y25/MAX(1,_xlfn.AGGREGATE(4,6,INDEX($D$24:$AD$24,MAX(1,$D$241+1-$D$250)):INDEX($D$24:$AD$24,$D$241)),_xlfn.AGGREGATE(4,6,INDEX($D$25:$AD$25,MAX(1,$D$241+1-$D$250)):INDEX($D$25:$AD$25,$D$241))),NA())</f>
        <v>0</v>
      </c>
      <c r="Z253" s="5">
        <f>IF(ISNUMBER(Z25),Z25/MAX(1,_xlfn.AGGREGATE(4,6,INDEX($D$24:$AD$24,MAX(1,$D$241+1-$D$250)):INDEX($D$24:$AD$24,$D$241)),_xlfn.AGGREGATE(4,6,INDEX($D$25:$AD$25,MAX(1,$D$241+1-$D$250)):INDEX($D$25:$AD$25,$D$241))),NA())</f>
        <v>0</v>
      </c>
      <c r="AA253" s="5">
        <f>IF(ISNUMBER(AA25),AA25/MAX(1,_xlfn.AGGREGATE(4,6,INDEX($D$24:$AD$24,MAX(1,$D$241+1-$D$250)):INDEX($D$24:$AD$24,$D$241)),_xlfn.AGGREGATE(4,6,INDEX($D$25:$AD$25,MAX(1,$D$241+1-$D$250)):INDEX($D$25:$AD$25,$D$241))),NA())</f>
        <v>0</v>
      </c>
      <c r="AB253" s="5">
        <f>IF(ISNUMBER(AB25),AB25/MAX(1,_xlfn.AGGREGATE(4,6,INDEX($D$24:$AD$24,MAX(1,$D$241+1-$D$250)):INDEX($D$24:$AD$24,$D$241)),_xlfn.AGGREGATE(4,6,INDEX($D$25:$AD$25,MAX(1,$D$241+1-$D$250)):INDEX($D$25:$AD$25,$D$241))),NA())</f>
        <v>0</v>
      </c>
      <c r="AC253" s="5">
        <f>IF(ISNUMBER(AC25),AC25/MAX(1,_xlfn.AGGREGATE(4,6,INDEX($D$24:$AD$24,MAX(1,$D$241+1-$D$250)):INDEX($D$24:$AD$24,$D$241)),_xlfn.AGGREGATE(4,6,INDEX($D$25:$AD$25,MAX(1,$D$241+1-$D$250)):INDEX($D$25:$AD$25,$D$241))),NA())</f>
        <v>0</v>
      </c>
      <c r="AD253" s="5">
        <f>IF(ISNUMBER(AD25),AD25/MAX(1,_xlfn.AGGREGATE(4,6,INDEX($D$24:$AD$24,MAX(1,$D$241+1-$D$250)):INDEX($D$24:$AD$24,$D$241)),_xlfn.AGGREGATE(4,6,INDEX($D$25:$AD$25,MAX(1,$D$241+1-$D$250)):INDEX($D$25:$AD$25,$D$241))),NA())</f>
        <v>0</v>
      </c>
    </row>
    <row r="254" spans="1:95">
      <c r="A254" s="11" t="s">
        <v>575</v>
      </c>
      <c r="B254" s="11" t="s">
        <v>576</v>
      </c>
      <c r="C254" s="3" t="s">
        <v>137</v>
      </c>
      <c r="D254" s="11">
        <f>IF(ISNUMBER(D25),REPT(_xlfn.UNICHAR(160),3)&amp;FIXED(D25,0),"")</f>
        <v>0</v>
      </c>
      <c r="E254" s="11">
        <f>IF(ISNUMBER(E25),REPT(_xlfn.UNICHAR(160),3)&amp;FIXED(E25,0),"")</f>
        <v>0</v>
      </c>
      <c r="F254" s="11">
        <f>IF(ISNUMBER(F25),REPT(_xlfn.UNICHAR(160),3)&amp;FIXED(F25,0),"")</f>
        <v>0</v>
      </c>
      <c r="G254" s="11">
        <f>IF(ISNUMBER(G25),REPT(_xlfn.UNICHAR(160),3)&amp;FIXED(G25,0),"")</f>
        <v>0</v>
      </c>
      <c r="H254" s="11">
        <f>IF(ISNUMBER(H25),REPT(_xlfn.UNICHAR(160),3)&amp;FIXED(H25,0),"")</f>
        <v>0</v>
      </c>
      <c r="I254" s="11">
        <f>IF(ISNUMBER(I25),REPT(_xlfn.UNICHAR(160),3)&amp;FIXED(I25,0),"")</f>
        <v>0</v>
      </c>
      <c r="J254" s="11">
        <f>IF(ISNUMBER(J25),REPT(_xlfn.UNICHAR(160),3)&amp;FIXED(J25,0),"")</f>
        <v>0</v>
      </c>
      <c r="K254" s="11">
        <f>IF(ISNUMBER(K25),REPT(_xlfn.UNICHAR(160),3)&amp;FIXED(K25,0),"")</f>
        <v>0</v>
      </c>
      <c r="L254" s="11">
        <f>IF(ISNUMBER(L25),REPT(_xlfn.UNICHAR(160),3)&amp;FIXED(L25,0),"")</f>
        <v>0</v>
      </c>
      <c r="M254" s="11">
        <f>IF(ISNUMBER(M25),REPT(_xlfn.UNICHAR(160),3)&amp;FIXED(M25,0),"")</f>
        <v>0</v>
      </c>
      <c r="N254" s="11">
        <f>IF(ISNUMBER(N25),REPT(_xlfn.UNICHAR(160),3)&amp;FIXED(N25,0),"")</f>
        <v>0</v>
      </c>
      <c r="O254" s="11">
        <f>IF(ISNUMBER(O25),REPT(_xlfn.UNICHAR(160),3)&amp;FIXED(O25,0),"")</f>
        <v>0</v>
      </c>
      <c r="P254" s="11">
        <f>IF(ISNUMBER(P25),REPT(_xlfn.UNICHAR(160),3)&amp;FIXED(P25,0),"")</f>
        <v>0</v>
      </c>
      <c r="Q254" s="11">
        <f>IF(ISNUMBER(Q25),REPT(_xlfn.UNICHAR(160),3)&amp;FIXED(Q25,0),"")</f>
        <v>0</v>
      </c>
      <c r="R254" s="11">
        <f>IF(ISNUMBER(R25),REPT(_xlfn.UNICHAR(160),3)&amp;FIXED(R25,0),"")</f>
        <v>0</v>
      </c>
      <c r="S254" s="11">
        <f>IF(ISNUMBER(S25),REPT(_xlfn.UNICHAR(160),3)&amp;FIXED(S25,0),"")</f>
        <v>0</v>
      </c>
      <c r="T254" s="11">
        <f>IF(ISNUMBER(T25),REPT(_xlfn.UNICHAR(160),3)&amp;FIXED(T25,0),"")</f>
        <v>0</v>
      </c>
      <c r="U254" s="11">
        <f>IF(ISNUMBER(U25),REPT(_xlfn.UNICHAR(160),3)&amp;FIXED(U25,0),"")</f>
        <v>0</v>
      </c>
      <c r="V254" s="11">
        <f>IF(ISNUMBER(V25),REPT(_xlfn.UNICHAR(160),3)&amp;FIXED(V25,0),"")</f>
        <v>0</v>
      </c>
      <c r="W254" s="11">
        <f>IF(ISNUMBER(W25),REPT(_xlfn.UNICHAR(160),3)&amp;FIXED(W25,0),"")</f>
        <v>0</v>
      </c>
      <c r="X254" s="11">
        <f>IF(ISNUMBER(X25),REPT(_xlfn.UNICHAR(160),3)&amp;FIXED(X25,0),"")</f>
        <v>0</v>
      </c>
      <c r="Y254" s="11">
        <f>IF(ISNUMBER(Y25),REPT(_xlfn.UNICHAR(160),3)&amp;FIXED(Y25,0),"")</f>
        <v>0</v>
      </c>
      <c r="Z254" s="11">
        <f>IF(ISNUMBER(Z25),REPT(_xlfn.UNICHAR(160),3)&amp;FIXED(Z25,0),"")</f>
        <v>0</v>
      </c>
      <c r="AA254" s="11">
        <f>IF(ISNUMBER(AA25),REPT(_xlfn.UNICHAR(160),3)&amp;FIXED(AA25,0),"")</f>
        <v>0</v>
      </c>
      <c r="AB254" s="11">
        <f>IF(ISNUMBER(AB25),REPT(_xlfn.UNICHAR(160),3)&amp;FIXED(AB25,0),"")</f>
        <v>0</v>
      </c>
      <c r="AC254" s="11">
        <f>IF(ISNUMBER(AC25),REPT(_xlfn.UNICHAR(160),3)&amp;FIXED(AC25,0),"")</f>
        <v>0</v>
      </c>
      <c r="AD254" s="11">
        <f>IF(ISNUMBER(AD25),REPT(_xlfn.UNICHAR(160),3)&amp;FIXED(AD25,0),"")</f>
        <v>0</v>
      </c>
    </row>
    <row r="255" spans="1:95">
      <c r="A255" s="11" t="s">
        <v>577</v>
      </c>
      <c r="B255" s="11" t="s">
        <v>578</v>
      </c>
      <c r="C255" s="3" t="s">
        <v>137</v>
      </c>
      <c r="D255" s="5">
        <f>IF(ISNUMBER(D24),IF(AND(D251&gt;=IFERROR(D253,-9),D251-IFERROR(D253,-9)&lt;0.28509),D253+0.28509,D251),NA())</f>
        <v>0</v>
      </c>
      <c r="E255" s="5">
        <f>IF(ISNUMBER(E24),IF(AND(E251&gt;=IFERROR(E253,-9),E251-IFERROR(E253,-9)&lt;0.28509),E253+0.28509,E251),NA())</f>
        <v>0</v>
      </c>
      <c r="F255" s="5">
        <f>IF(ISNUMBER(F24),IF(AND(F251&gt;=IFERROR(F253,-9),F251-IFERROR(F253,-9)&lt;0.28509),F253+0.28509,F251),NA())</f>
        <v>0</v>
      </c>
      <c r="G255" s="5">
        <f>IF(ISNUMBER(G24),IF(AND(G251&gt;=IFERROR(G253,-9),G251-IFERROR(G253,-9)&lt;0.28509),G253+0.28509,G251),NA())</f>
        <v>0</v>
      </c>
      <c r="H255" s="5">
        <f>IF(ISNUMBER(H24),IF(AND(H251&gt;=IFERROR(H253,-9),H251-IFERROR(H253,-9)&lt;0.28509),H253+0.28509,H251),NA())</f>
        <v>0</v>
      </c>
      <c r="I255" s="5">
        <f>IF(ISNUMBER(I24),IF(AND(I251&gt;=IFERROR(I253,-9),I251-IFERROR(I253,-9)&lt;0.28509),I253+0.28509,I251),NA())</f>
        <v>0</v>
      </c>
      <c r="J255" s="5">
        <f>IF(ISNUMBER(J24),IF(AND(J251&gt;=IFERROR(J253,-9),J251-IFERROR(J253,-9)&lt;0.28509),J253+0.28509,J251),NA())</f>
        <v>0</v>
      </c>
      <c r="K255" s="5">
        <f>IF(ISNUMBER(K24),IF(AND(K251&gt;=IFERROR(K253,-9),K251-IFERROR(K253,-9)&lt;0.28509),K253+0.28509,K251),NA())</f>
        <v>0</v>
      </c>
      <c r="L255" s="5">
        <f>IF(ISNUMBER(L24),IF(AND(L251&gt;=IFERROR(L253,-9),L251-IFERROR(L253,-9)&lt;0.28509),L253+0.28509,L251),NA())</f>
        <v>0</v>
      </c>
      <c r="M255" s="5">
        <f>IF(ISNUMBER(M24),IF(AND(M251&gt;=IFERROR(M253,-9),M251-IFERROR(M253,-9)&lt;0.28509),M253+0.28509,M251),NA())</f>
        <v>0</v>
      </c>
      <c r="N255" s="5">
        <f>IF(ISNUMBER(N24),IF(AND(N251&gt;=IFERROR(N253,-9),N251-IFERROR(N253,-9)&lt;0.28509),N253+0.28509,N251),NA())</f>
        <v>0</v>
      </c>
      <c r="O255" s="5">
        <f>IF(ISNUMBER(O24),IF(AND(O251&gt;=IFERROR(O253,-9),O251-IFERROR(O253,-9)&lt;0.28509),O253+0.28509,O251),NA())</f>
        <v>0</v>
      </c>
      <c r="P255" s="5">
        <f>IF(ISNUMBER(P24),IF(AND(P251&gt;=IFERROR(P253,-9),P251-IFERROR(P253,-9)&lt;0.28509),P253+0.28509,P251),NA())</f>
        <v>0</v>
      </c>
      <c r="Q255" s="5">
        <f>IF(ISNUMBER(Q24),IF(AND(Q251&gt;=IFERROR(Q253,-9),Q251-IFERROR(Q253,-9)&lt;0.28509),Q253+0.28509,Q251),NA())</f>
        <v>0</v>
      </c>
      <c r="R255" s="5">
        <f>IF(ISNUMBER(R24),IF(AND(R251&gt;=IFERROR(R253,-9),R251-IFERROR(R253,-9)&lt;0.28509),R253+0.28509,R251),NA())</f>
        <v>0</v>
      </c>
      <c r="S255" s="5">
        <f>IF(ISNUMBER(S24),IF(AND(S251&gt;=IFERROR(S253,-9),S251-IFERROR(S253,-9)&lt;0.28509),S253+0.28509,S251),NA())</f>
        <v>0</v>
      </c>
      <c r="T255" s="5">
        <f>IF(ISNUMBER(T24),IF(AND(T251&gt;=IFERROR(T253,-9),T251-IFERROR(T253,-9)&lt;0.28509),T253+0.28509,T251),NA())</f>
        <v>0</v>
      </c>
      <c r="U255" s="5">
        <f>IF(ISNUMBER(U24),IF(AND(U251&gt;=IFERROR(U253,-9),U251-IFERROR(U253,-9)&lt;0.28509),U253+0.28509,U251),NA())</f>
        <v>0</v>
      </c>
      <c r="V255" s="5">
        <f>IF(ISNUMBER(V24),IF(AND(V251&gt;=IFERROR(V253,-9),V251-IFERROR(V253,-9)&lt;0.28509),V253+0.28509,V251),NA())</f>
        <v>0</v>
      </c>
      <c r="W255" s="5">
        <f>IF(ISNUMBER(W24),IF(AND(W251&gt;=IFERROR(W253,-9),W251-IFERROR(W253,-9)&lt;0.28509),W253+0.28509,W251),NA())</f>
        <v>0</v>
      </c>
      <c r="X255" s="5">
        <f>IF(ISNUMBER(X24),IF(AND(X251&gt;=IFERROR(X253,-9),X251-IFERROR(X253,-9)&lt;0.28509),X253+0.28509,X251),NA())</f>
        <v>0</v>
      </c>
      <c r="Y255" s="5">
        <f>IF(ISNUMBER(Y24),IF(AND(Y251&gt;=IFERROR(Y253,-9),Y251-IFERROR(Y253,-9)&lt;0.28509),Y253+0.28509,Y251),NA())</f>
        <v>0</v>
      </c>
      <c r="Z255" s="5">
        <f>IF(ISNUMBER(Z24),IF(AND(Z251&gt;=IFERROR(Z253,-9),Z251-IFERROR(Z253,-9)&lt;0.28509),Z253+0.28509,Z251),NA())</f>
        <v>0</v>
      </c>
      <c r="AA255" s="5">
        <f>IF(ISNUMBER(AA24),IF(AND(AA251&gt;=IFERROR(AA253,-9),AA251-IFERROR(AA253,-9)&lt;0.28509),AA253+0.28509,AA251),NA())</f>
        <v>0</v>
      </c>
      <c r="AB255" s="5">
        <f>IF(ISNUMBER(AB24),IF(AND(AB251&gt;=IFERROR(AB253,-9),AB251-IFERROR(AB253,-9)&lt;0.28509),AB253+0.28509,AB251),NA())</f>
        <v>0</v>
      </c>
      <c r="AC255" s="5">
        <f>IF(ISNUMBER(AC24),IF(AND(AC251&gt;=IFERROR(AC253,-9),AC251-IFERROR(AC253,-9)&lt;0.28509),AC253+0.28509,AC251),NA())</f>
        <v>0</v>
      </c>
      <c r="AD255" s="5">
        <f>IF(ISNUMBER(AD24),IF(AND(AD251&gt;=IFERROR(AD253,-9),AD251-IFERROR(AD253,-9)&lt;0.28509),AD253+0.28509,AD251),NA())</f>
        <v>0</v>
      </c>
    </row>
    <row r="256" spans="1:95">
      <c r="A256" s="11" t="s">
        <v>579</v>
      </c>
      <c r="B256" s="11" t="s">
        <v>580</v>
      </c>
      <c r="C256" s="3" t="s">
        <v>137</v>
      </c>
      <c r="D256" s="5">
        <f>IF(ISNUMBER(D25),IF(AND(D253&gt;IFERROR(D251,-9),D253-IFERROR(D251,-9)&lt;0.28509),D251+0.28509,D253),NA())</f>
        <v>0</v>
      </c>
      <c r="E256" s="5">
        <f>IF(ISNUMBER(E25),IF(AND(E253&gt;IFERROR(E251,-9),E253-IFERROR(E251,-9)&lt;0.28509),E251+0.28509,E253),NA())</f>
        <v>0</v>
      </c>
      <c r="F256" s="5">
        <f>IF(ISNUMBER(F25),IF(AND(F253&gt;IFERROR(F251,-9),F253-IFERROR(F251,-9)&lt;0.28509),F251+0.28509,F253),NA())</f>
        <v>0</v>
      </c>
      <c r="G256" s="5">
        <f>IF(ISNUMBER(G25),IF(AND(G253&gt;IFERROR(G251,-9),G253-IFERROR(G251,-9)&lt;0.28509),G251+0.28509,G253),NA())</f>
        <v>0</v>
      </c>
      <c r="H256" s="5">
        <f>IF(ISNUMBER(H25),IF(AND(H253&gt;IFERROR(H251,-9),H253-IFERROR(H251,-9)&lt;0.28509),H251+0.28509,H253),NA())</f>
        <v>0</v>
      </c>
      <c r="I256" s="5">
        <f>IF(ISNUMBER(I25),IF(AND(I253&gt;IFERROR(I251,-9),I253-IFERROR(I251,-9)&lt;0.28509),I251+0.28509,I253),NA())</f>
        <v>0</v>
      </c>
      <c r="J256" s="5">
        <f>IF(ISNUMBER(J25),IF(AND(J253&gt;IFERROR(J251,-9),J253-IFERROR(J251,-9)&lt;0.28509),J251+0.28509,J253),NA())</f>
        <v>0</v>
      </c>
      <c r="K256" s="5">
        <f>IF(ISNUMBER(K25),IF(AND(K253&gt;IFERROR(K251,-9),K253-IFERROR(K251,-9)&lt;0.28509),K251+0.28509,K253),NA())</f>
        <v>0</v>
      </c>
      <c r="L256" s="5">
        <f>IF(ISNUMBER(L25),IF(AND(L253&gt;IFERROR(L251,-9),L253-IFERROR(L251,-9)&lt;0.28509),L251+0.28509,L253),NA())</f>
        <v>0</v>
      </c>
      <c r="M256" s="5">
        <f>IF(ISNUMBER(M25),IF(AND(M253&gt;IFERROR(M251,-9),M253-IFERROR(M251,-9)&lt;0.28509),M251+0.28509,M253),NA())</f>
        <v>0</v>
      </c>
      <c r="N256" s="5">
        <f>IF(ISNUMBER(N25),IF(AND(N253&gt;IFERROR(N251,-9),N253-IFERROR(N251,-9)&lt;0.28509),N251+0.28509,N253),NA())</f>
        <v>0</v>
      </c>
      <c r="O256" s="5">
        <f>IF(ISNUMBER(O25),IF(AND(O253&gt;IFERROR(O251,-9),O253-IFERROR(O251,-9)&lt;0.28509),O251+0.28509,O253),NA())</f>
        <v>0</v>
      </c>
      <c r="P256" s="5">
        <f>IF(ISNUMBER(P25),IF(AND(P253&gt;IFERROR(P251,-9),P253-IFERROR(P251,-9)&lt;0.28509),P251+0.28509,P253),NA())</f>
        <v>0</v>
      </c>
      <c r="Q256" s="5">
        <f>IF(ISNUMBER(Q25),IF(AND(Q253&gt;IFERROR(Q251,-9),Q253-IFERROR(Q251,-9)&lt;0.28509),Q251+0.28509,Q253),NA())</f>
        <v>0</v>
      </c>
      <c r="R256" s="5">
        <f>IF(ISNUMBER(R25),IF(AND(R253&gt;IFERROR(R251,-9),R253-IFERROR(R251,-9)&lt;0.28509),R251+0.28509,R253),NA())</f>
        <v>0</v>
      </c>
      <c r="S256" s="5">
        <f>IF(ISNUMBER(S25),IF(AND(S253&gt;IFERROR(S251,-9),S253-IFERROR(S251,-9)&lt;0.28509),S251+0.28509,S253),NA())</f>
        <v>0</v>
      </c>
      <c r="T256" s="5">
        <f>IF(ISNUMBER(T25),IF(AND(T253&gt;IFERROR(T251,-9),T253-IFERROR(T251,-9)&lt;0.28509),T251+0.28509,T253),NA())</f>
        <v>0</v>
      </c>
      <c r="U256" s="5">
        <f>IF(ISNUMBER(U25),IF(AND(U253&gt;IFERROR(U251,-9),U253-IFERROR(U251,-9)&lt;0.28509),U251+0.28509,U253),NA())</f>
        <v>0</v>
      </c>
      <c r="V256" s="5">
        <f>IF(ISNUMBER(V25),IF(AND(V253&gt;IFERROR(V251,-9),V253-IFERROR(V251,-9)&lt;0.28509),V251+0.28509,V253),NA())</f>
        <v>0</v>
      </c>
      <c r="W256" s="5">
        <f>IF(ISNUMBER(W25),IF(AND(W253&gt;IFERROR(W251,-9),W253-IFERROR(W251,-9)&lt;0.28509),W251+0.28509,W253),NA())</f>
        <v>0</v>
      </c>
      <c r="X256" s="5">
        <f>IF(ISNUMBER(X25),IF(AND(X253&gt;IFERROR(X251,-9),X253-IFERROR(X251,-9)&lt;0.28509),X251+0.28509,X253),NA())</f>
        <v>0</v>
      </c>
      <c r="Y256" s="5">
        <f>IF(ISNUMBER(Y25),IF(AND(Y253&gt;IFERROR(Y251,-9),Y253-IFERROR(Y251,-9)&lt;0.28509),Y251+0.28509,Y253),NA())</f>
        <v>0</v>
      </c>
      <c r="Z256" s="5">
        <f>IF(ISNUMBER(Z25),IF(AND(Z253&gt;IFERROR(Z251,-9),Z253-IFERROR(Z251,-9)&lt;0.28509),Z251+0.28509,Z253),NA())</f>
        <v>0</v>
      </c>
      <c r="AA256" s="5">
        <f>IF(ISNUMBER(AA25),IF(AND(AA253&gt;IFERROR(AA251,-9),AA253-IFERROR(AA251,-9)&lt;0.28509),AA251+0.28509,AA253),NA())</f>
        <v>0</v>
      </c>
      <c r="AB256" s="5">
        <f>IF(ISNUMBER(AB25),IF(AND(AB253&gt;IFERROR(AB251,-9),AB253-IFERROR(AB251,-9)&lt;0.28509),AB251+0.28509,AB253),NA())</f>
        <v>0</v>
      </c>
      <c r="AC256" s="5">
        <f>IF(ISNUMBER(AC25),IF(AND(AC253&gt;IFERROR(AC251,-9),AC253-IFERROR(AC251,-9)&lt;0.28509),AC251+0.28509,AC253),NA())</f>
        <v>0</v>
      </c>
      <c r="AD256" s="5">
        <f>IF(ISNUMBER(AD25),IF(AND(AD253&gt;IFERROR(AD251,-9),AD253-IFERROR(AD251,-9)&lt;0.28509),AD251+0.28509,AD253),NA())</f>
        <v>0</v>
      </c>
    </row>
    <row r="257" spans="1:95">
      <c r="A257" s="11" t="s">
        <v>581</v>
      </c>
      <c r="B257" s="11" t="s">
        <v>582</v>
      </c>
      <c r="C257" s="3" t="s">
        <v>134</v>
      </c>
      <c r="D257" s="5">
        <v>1</v>
      </c>
    </row>
    <row r="258" spans="1:95">
      <c r="A258" s="11" t="s">
        <v>583</v>
      </c>
      <c r="B258" s="11" t="s">
        <v>584</v>
      </c>
      <c r="C258" s="3" t="s">
        <v>137</v>
      </c>
      <c r="D258" s="5">
        <f>IF(AND($D$257=1,ISNUMBER(D24),ISNUMBER(D25)),IF((D24-D25)&gt;0,0.5,NA()),NA())</f>
        <v>0</v>
      </c>
      <c r="E258" s="5">
        <f>IF(AND($D$257=1,ISNUMBER(E24),ISNUMBER(E25)),IF((E24-E25)&gt;0,0.5,NA()),NA())</f>
        <v>0</v>
      </c>
      <c r="F258" s="5">
        <f>IF(AND($D$257=1,ISNUMBER(F24),ISNUMBER(F25)),IF((F24-F25)&gt;0,0.5,NA()),NA())</f>
        <v>0</v>
      </c>
      <c r="G258" s="5">
        <f>IF(AND($D$257=1,ISNUMBER(G24),ISNUMBER(G25)),IF((G24-G25)&gt;0,0.5,NA()),NA())</f>
        <v>0</v>
      </c>
      <c r="H258" s="5">
        <f>IF(AND($D$257=1,ISNUMBER(H24),ISNUMBER(H25)),IF((H24-H25)&gt;0,0.5,NA()),NA())</f>
        <v>0</v>
      </c>
      <c r="I258" s="5">
        <f>IF(AND($D$257=1,ISNUMBER(I24),ISNUMBER(I25)),IF((I24-I25)&gt;0,0.5,NA()),NA())</f>
        <v>0</v>
      </c>
      <c r="J258" s="5">
        <f>IF(AND($D$257=1,ISNUMBER(J24),ISNUMBER(J25)),IF((J24-J25)&gt;0,0.5,NA()),NA())</f>
        <v>0</v>
      </c>
      <c r="K258" s="5">
        <f>IF(AND($D$257=1,ISNUMBER(K24),ISNUMBER(K25)),IF((K24-K25)&gt;0,0.5,NA()),NA())</f>
        <v>0</v>
      </c>
      <c r="L258" s="5">
        <f>IF(AND($D$257=1,ISNUMBER(L24),ISNUMBER(L25)),IF((L24-L25)&gt;0,0.5,NA()),NA())</f>
        <v>0</v>
      </c>
      <c r="M258" s="5">
        <f>IF(AND($D$257=1,ISNUMBER(M24),ISNUMBER(M25)),IF((M24-M25)&gt;0,0.5,NA()),NA())</f>
        <v>0</v>
      </c>
      <c r="N258" s="5">
        <f>IF(AND($D$257=1,ISNUMBER(N24),ISNUMBER(N25)),IF((N24-N25)&gt;0,0.5,NA()),NA())</f>
        <v>0</v>
      </c>
      <c r="O258" s="5">
        <f>IF(AND($D$257=1,ISNUMBER(O24),ISNUMBER(O25)),IF((O24-O25)&gt;0,0.5,NA()),NA())</f>
        <v>0</v>
      </c>
      <c r="P258" s="5">
        <f>IF(AND($D$257=1,ISNUMBER(P24),ISNUMBER(P25)),IF((P24-P25)&gt;0,0.5,NA()),NA())</f>
        <v>0</v>
      </c>
      <c r="Q258" s="5">
        <f>IF(AND($D$257=1,ISNUMBER(Q24),ISNUMBER(Q25)),IF((Q24-Q25)&gt;0,0.5,NA()),NA())</f>
        <v>0</v>
      </c>
      <c r="R258" s="5">
        <f>IF(AND($D$257=1,ISNUMBER(R24),ISNUMBER(R25)),IF((R24-R25)&gt;0,0.5,NA()),NA())</f>
        <v>0</v>
      </c>
      <c r="S258" s="5">
        <f>IF(AND($D$257=1,ISNUMBER(S24),ISNUMBER(S25)),IF((S24-S25)&gt;0,0.5,NA()),NA())</f>
        <v>0</v>
      </c>
      <c r="T258" s="5">
        <f>IF(AND($D$257=1,ISNUMBER(T24),ISNUMBER(T25)),IF((T24-T25)&gt;0,0.5,NA()),NA())</f>
        <v>0</v>
      </c>
      <c r="U258" s="5">
        <f>IF(AND($D$257=1,ISNUMBER(U24),ISNUMBER(U25)),IF((U24-U25)&gt;0,0.5,NA()),NA())</f>
        <v>0</v>
      </c>
      <c r="V258" s="5">
        <f>IF(AND($D$257=1,ISNUMBER(V24),ISNUMBER(V25)),IF((V24-V25)&gt;0,0.5,NA()),NA())</f>
        <v>0</v>
      </c>
      <c r="W258" s="5">
        <f>IF(AND($D$257=1,ISNUMBER(W24),ISNUMBER(W25)),IF((W24-W25)&gt;0,0.5,NA()),NA())</f>
        <v>0</v>
      </c>
      <c r="X258" s="5">
        <f>IF(AND($D$257=1,ISNUMBER(X24),ISNUMBER(X25)),IF((X24-X25)&gt;0,0.5,NA()),NA())</f>
        <v>0</v>
      </c>
      <c r="Y258" s="5">
        <f>IF(AND($D$257=1,ISNUMBER(Y24),ISNUMBER(Y25)),IF((Y24-Y25)&gt;0,0.5,NA()),NA())</f>
        <v>0</v>
      </c>
      <c r="Z258" s="5">
        <f>IF(AND($D$257=1,ISNUMBER(Z24),ISNUMBER(Z25)),IF((Z24-Z25)&gt;0,0.5,NA()),NA())</f>
        <v>0</v>
      </c>
      <c r="AA258" s="5">
        <f>IF(AND($D$257=1,ISNUMBER(AA24),ISNUMBER(AA25)),IF((AA24-AA25)&gt;0,0.5,NA()),NA())</f>
        <v>0</v>
      </c>
      <c r="AB258" s="5">
        <f>IF(AND($D$257=1,ISNUMBER(AB24),ISNUMBER(AB25)),IF((AB24-AB25)&gt;0,0.5,NA()),NA())</f>
        <v>0</v>
      </c>
      <c r="AC258" s="5">
        <f>IF(AND($D$257=1,ISNUMBER(AC24),ISNUMBER(AC25)),IF((AC24-AC25)&gt;0,0.5,NA()),NA())</f>
        <v>0</v>
      </c>
      <c r="AD258" s="5">
        <f>IF(AND($D$257=1,ISNUMBER(AD24),ISNUMBER(AD25)),IF((AD24-AD25)&gt;0,0.5,NA()),NA())</f>
        <v>0</v>
      </c>
    </row>
    <row r="259" spans="1:95">
      <c r="A259" s="11" t="s">
        <v>585</v>
      </c>
      <c r="B259" s="11" t="s">
        <v>586</v>
      </c>
      <c r="C259" s="3" t="s">
        <v>137</v>
      </c>
      <c r="D259" s="5">
        <f>IF(AND($D$257=1,ISNUMBER(D24),ISNUMBER(D25)),IF((D24-D25)&lt;0,0.5,NA()),NA())</f>
        <v>0</v>
      </c>
      <c r="E259" s="5">
        <f>IF(AND($D$257=1,ISNUMBER(E24),ISNUMBER(E25)),IF((E24-E25)&lt;0,0.5,NA()),NA())</f>
        <v>0</v>
      </c>
      <c r="F259" s="5">
        <f>IF(AND($D$257=1,ISNUMBER(F24),ISNUMBER(F25)),IF((F24-F25)&lt;0,0.5,NA()),NA())</f>
        <v>0</v>
      </c>
      <c r="G259" s="5">
        <f>IF(AND($D$257=1,ISNUMBER(G24),ISNUMBER(G25)),IF((G24-G25)&lt;0,0.5,NA()),NA())</f>
        <v>0</v>
      </c>
      <c r="H259" s="5">
        <f>IF(AND($D$257=1,ISNUMBER(H24),ISNUMBER(H25)),IF((H24-H25)&lt;0,0.5,NA()),NA())</f>
        <v>0</v>
      </c>
      <c r="I259" s="5">
        <f>IF(AND($D$257=1,ISNUMBER(I24),ISNUMBER(I25)),IF((I24-I25)&lt;0,0.5,NA()),NA())</f>
        <v>0</v>
      </c>
      <c r="J259" s="5">
        <f>IF(AND($D$257=1,ISNUMBER(J24),ISNUMBER(J25)),IF((J24-J25)&lt;0,0.5,NA()),NA())</f>
        <v>0</v>
      </c>
      <c r="K259" s="5">
        <f>IF(AND($D$257=1,ISNUMBER(K24),ISNUMBER(K25)),IF((K24-K25)&lt;0,0.5,NA()),NA())</f>
        <v>0</v>
      </c>
      <c r="L259" s="5">
        <f>IF(AND($D$257=1,ISNUMBER(L24),ISNUMBER(L25)),IF((L24-L25)&lt;0,0.5,NA()),NA())</f>
        <v>0</v>
      </c>
      <c r="M259" s="5">
        <f>IF(AND($D$257=1,ISNUMBER(M24),ISNUMBER(M25)),IF((M24-M25)&lt;0,0.5,NA()),NA())</f>
        <v>0</v>
      </c>
      <c r="N259" s="5">
        <f>IF(AND($D$257=1,ISNUMBER(N24),ISNUMBER(N25)),IF((N24-N25)&lt;0,0.5,NA()),NA())</f>
        <v>0</v>
      </c>
      <c r="O259" s="5">
        <f>IF(AND($D$257=1,ISNUMBER(O24),ISNUMBER(O25)),IF((O24-O25)&lt;0,0.5,NA()),NA())</f>
        <v>0</v>
      </c>
      <c r="P259" s="5">
        <f>IF(AND($D$257=1,ISNUMBER(P24),ISNUMBER(P25)),IF((P24-P25)&lt;0,0.5,NA()),NA())</f>
        <v>0</v>
      </c>
      <c r="Q259" s="5">
        <f>IF(AND($D$257=1,ISNUMBER(Q24),ISNUMBER(Q25)),IF((Q24-Q25)&lt;0,0.5,NA()),NA())</f>
        <v>0</v>
      </c>
      <c r="R259" s="5">
        <f>IF(AND($D$257=1,ISNUMBER(R24),ISNUMBER(R25)),IF((R24-R25)&lt;0,0.5,NA()),NA())</f>
        <v>0</v>
      </c>
      <c r="S259" s="5">
        <f>IF(AND($D$257=1,ISNUMBER(S24),ISNUMBER(S25)),IF((S24-S25)&lt;0,0.5,NA()),NA())</f>
        <v>0</v>
      </c>
      <c r="T259" s="5">
        <f>IF(AND($D$257=1,ISNUMBER(T24),ISNUMBER(T25)),IF((T24-T25)&lt;0,0.5,NA()),NA())</f>
        <v>0</v>
      </c>
      <c r="U259" s="5">
        <f>IF(AND($D$257=1,ISNUMBER(U24),ISNUMBER(U25)),IF((U24-U25)&lt;0,0.5,NA()),NA())</f>
        <v>0</v>
      </c>
      <c r="V259" s="5">
        <f>IF(AND($D$257=1,ISNUMBER(V24),ISNUMBER(V25)),IF((V24-V25)&lt;0,0.5,NA()),NA())</f>
        <v>0</v>
      </c>
      <c r="W259" s="5">
        <f>IF(AND($D$257=1,ISNUMBER(W24),ISNUMBER(W25)),IF((W24-W25)&lt;0,0.5,NA()),NA())</f>
        <v>0</v>
      </c>
      <c r="X259" s="5">
        <f>IF(AND($D$257=1,ISNUMBER(X24),ISNUMBER(X25)),IF((X24-X25)&lt;0,0.5,NA()),NA())</f>
        <v>0</v>
      </c>
      <c r="Y259" s="5">
        <f>IF(AND($D$257=1,ISNUMBER(Y24),ISNUMBER(Y25)),IF((Y24-Y25)&lt;0,0.5,NA()),NA())</f>
        <v>0</v>
      </c>
      <c r="Z259" s="5">
        <f>IF(AND($D$257=1,ISNUMBER(Z24),ISNUMBER(Z25)),IF((Z24-Z25)&lt;0,0.5,NA()),NA())</f>
        <v>0</v>
      </c>
      <c r="AA259" s="5">
        <f>IF(AND($D$257=1,ISNUMBER(AA24),ISNUMBER(AA25)),IF((AA24-AA25)&lt;0,0.5,NA()),NA())</f>
        <v>0</v>
      </c>
      <c r="AB259" s="5">
        <f>IF(AND($D$257=1,ISNUMBER(AB24),ISNUMBER(AB25)),IF((AB24-AB25)&lt;0,0.5,NA()),NA())</f>
        <v>0</v>
      </c>
      <c r="AC259" s="5">
        <f>IF(AND($D$257=1,ISNUMBER(AC24),ISNUMBER(AC25)),IF((AC24-AC25)&lt;0,0.5,NA()),NA())</f>
        <v>0</v>
      </c>
      <c r="AD259" s="5">
        <f>IF(AND($D$257=1,ISNUMBER(AD24),ISNUMBER(AD25)),IF((AD24-AD25)&lt;0,0.5,NA()),NA())</f>
        <v>0</v>
      </c>
    </row>
    <row r="260" spans="1:95">
      <c r="A260" s="11" t="s">
        <v>587</v>
      </c>
      <c r="B260" s="11" t="s">
        <v>588</v>
      </c>
      <c r="C260" s="3" t="s">
        <v>137</v>
      </c>
      <c r="D260" s="5">
        <f>IF(AND($D$257=1,ISNUMBER(D24),ISNUMBER(D25)),IF((D24-D25)=0,0.5,NA()),NA())</f>
        <v>0</v>
      </c>
      <c r="E260" s="5">
        <f>IF(AND($D$257=1,ISNUMBER(E24),ISNUMBER(E25)),IF((E24-E25)=0,0.5,NA()),NA())</f>
        <v>0</v>
      </c>
      <c r="F260" s="5">
        <f>IF(AND($D$257=1,ISNUMBER(F24),ISNUMBER(F25)),IF((F24-F25)=0,0.5,NA()),NA())</f>
        <v>0</v>
      </c>
      <c r="G260" s="5">
        <f>IF(AND($D$257=1,ISNUMBER(G24),ISNUMBER(G25)),IF((G24-G25)=0,0.5,NA()),NA())</f>
        <v>0</v>
      </c>
      <c r="H260" s="5">
        <f>IF(AND($D$257=1,ISNUMBER(H24),ISNUMBER(H25)),IF((H24-H25)=0,0.5,NA()),NA())</f>
        <v>0</v>
      </c>
      <c r="I260" s="5">
        <f>IF(AND($D$257=1,ISNUMBER(I24),ISNUMBER(I25)),IF((I24-I25)=0,0.5,NA()),NA())</f>
        <v>0</v>
      </c>
      <c r="J260" s="5">
        <f>IF(AND($D$257=1,ISNUMBER(J24),ISNUMBER(J25)),IF((J24-J25)=0,0.5,NA()),NA())</f>
        <v>0</v>
      </c>
      <c r="K260" s="5">
        <f>IF(AND($D$257=1,ISNUMBER(K24),ISNUMBER(K25)),IF((K24-K25)=0,0.5,NA()),NA())</f>
        <v>0</v>
      </c>
      <c r="L260" s="5">
        <f>IF(AND($D$257=1,ISNUMBER(L24),ISNUMBER(L25)),IF((L24-L25)=0,0.5,NA()),NA())</f>
        <v>0</v>
      </c>
      <c r="M260" s="5">
        <f>IF(AND($D$257=1,ISNUMBER(M24),ISNUMBER(M25)),IF((M24-M25)=0,0.5,NA()),NA())</f>
        <v>0</v>
      </c>
      <c r="N260" s="5">
        <f>IF(AND($D$257=1,ISNUMBER(N24),ISNUMBER(N25)),IF((N24-N25)=0,0.5,NA()),NA())</f>
        <v>0</v>
      </c>
      <c r="O260" s="5">
        <f>IF(AND($D$257=1,ISNUMBER(O24),ISNUMBER(O25)),IF((O24-O25)=0,0.5,NA()),NA())</f>
        <v>0</v>
      </c>
      <c r="P260" s="5">
        <f>IF(AND($D$257=1,ISNUMBER(P24),ISNUMBER(P25)),IF((P24-P25)=0,0.5,NA()),NA())</f>
        <v>0</v>
      </c>
      <c r="Q260" s="5">
        <f>IF(AND($D$257=1,ISNUMBER(Q24),ISNUMBER(Q25)),IF((Q24-Q25)=0,0.5,NA()),NA())</f>
        <v>0</v>
      </c>
      <c r="R260" s="5">
        <f>IF(AND($D$257=1,ISNUMBER(R24),ISNUMBER(R25)),IF((R24-R25)=0,0.5,NA()),NA())</f>
        <v>0</v>
      </c>
      <c r="S260" s="5">
        <f>IF(AND($D$257=1,ISNUMBER(S24),ISNUMBER(S25)),IF((S24-S25)=0,0.5,NA()),NA())</f>
        <v>0</v>
      </c>
      <c r="T260" s="5">
        <f>IF(AND($D$257=1,ISNUMBER(T24),ISNUMBER(T25)),IF((T24-T25)=0,0.5,NA()),NA())</f>
        <v>0</v>
      </c>
      <c r="U260" s="5">
        <f>IF(AND($D$257=1,ISNUMBER(U24),ISNUMBER(U25)),IF((U24-U25)=0,0.5,NA()),NA())</f>
        <v>0</v>
      </c>
      <c r="V260" s="5">
        <f>IF(AND($D$257=1,ISNUMBER(V24),ISNUMBER(V25)),IF((V24-V25)=0,0.5,NA()),NA())</f>
        <v>0</v>
      </c>
      <c r="W260" s="5">
        <f>IF(AND($D$257=1,ISNUMBER(W24),ISNUMBER(W25)),IF((W24-W25)=0,0.5,NA()),NA())</f>
        <v>0</v>
      </c>
      <c r="X260" s="5">
        <f>IF(AND($D$257=1,ISNUMBER(X24),ISNUMBER(X25)),IF((X24-X25)=0,0.5,NA()),NA())</f>
        <v>0</v>
      </c>
      <c r="Y260" s="5">
        <f>IF(AND($D$257=1,ISNUMBER(Y24),ISNUMBER(Y25)),IF((Y24-Y25)=0,0.5,NA()),NA())</f>
        <v>0</v>
      </c>
      <c r="Z260" s="5">
        <f>IF(AND($D$257=1,ISNUMBER(Z24),ISNUMBER(Z25)),IF((Z24-Z25)=0,0.5,NA()),NA())</f>
        <v>0</v>
      </c>
      <c r="AA260" s="5">
        <f>IF(AND($D$257=1,ISNUMBER(AA24),ISNUMBER(AA25)),IF((AA24-AA25)=0,0.5,NA()),NA())</f>
        <v>0</v>
      </c>
      <c r="AB260" s="5">
        <f>IF(AND($D$257=1,ISNUMBER(AB24),ISNUMBER(AB25)),IF((AB24-AB25)=0,0.5,NA()),NA())</f>
        <v>0</v>
      </c>
      <c r="AC260" s="5">
        <f>IF(AND($D$257=1,ISNUMBER(AC24),ISNUMBER(AC25)),IF((AC24-AC25)=0,0.5,NA()),NA())</f>
        <v>0</v>
      </c>
      <c r="AD260" s="5">
        <f>IF(AND($D$257=1,ISNUMBER(AD24),ISNUMBER(AD25)),IF((AD24-AD25)=0,0.5,NA()),NA())</f>
        <v>0</v>
      </c>
    </row>
    <row r="261" spans="1:95">
      <c r="A261" s="11" t="s">
        <v>589</v>
      </c>
      <c r="B261" s="11" t="s">
        <v>590</v>
      </c>
      <c r="C261" s="3" t="s">
        <v>137</v>
      </c>
      <c r="D261" s="11">
        <f>IF(AND(ISNUMBER(D24),ISNUMBER(D25)),IF((D24-D25)&gt;0,"+"&amp;FIXED((D24-D25),0),IF((D24-D25)&lt;0,"−"&amp;FIXED(-(D24-D25),0),"±0")),"")</f>
        <v>0</v>
      </c>
      <c r="E261" s="11">
        <f>IF(AND(ISNUMBER(E24),ISNUMBER(E25)),IF((E24-E25)&gt;0,"+"&amp;FIXED((E24-E25),0),IF((E24-E25)&lt;0,"−"&amp;FIXED(-(E24-E25),0),"±0")),"")</f>
        <v>0</v>
      </c>
      <c r="F261" s="11">
        <f>IF(AND(ISNUMBER(F24),ISNUMBER(F25)),IF((F24-F25)&gt;0,"+"&amp;FIXED((F24-F25),0),IF((F24-F25)&lt;0,"−"&amp;FIXED(-(F24-F25),0),"±0")),"")</f>
        <v>0</v>
      </c>
      <c r="G261" s="11">
        <f>IF(AND(ISNUMBER(G24),ISNUMBER(G25)),IF((G24-G25)&gt;0,"+"&amp;FIXED((G24-G25),0),IF((G24-G25)&lt;0,"−"&amp;FIXED(-(G24-G25),0),"±0")),"")</f>
        <v>0</v>
      </c>
      <c r="H261" s="11">
        <f>IF(AND(ISNUMBER(H24),ISNUMBER(H25)),IF((H24-H25)&gt;0,"+"&amp;FIXED((H24-H25),0),IF((H24-H25)&lt;0,"−"&amp;FIXED(-(H24-H25),0),"±0")),"")</f>
        <v>0</v>
      </c>
      <c r="I261" s="11">
        <f>IF(AND(ISNUMBER(I24),ISNUMBER(I25)),IF((I24-I25)&gt;0,"+"&amp;FIXED((I24-I25),0),IF((I24-I25)&lt;0,"−"&amp;FIXED(-(I24-I25),0),"±0")),"")</f>
        <v>0</v>
      </c>
      <c r="J261" s="11">
        <f>IF(AND(ISNUMBER(J24),ISNUMBER(J25)),IF((J24-J25)&gt;0,"+"&amp;FIXED((J24-J25),0),IF((J24-J25)&lt;0,"−"&amp;FIXED(-(J24-J25),0),"±0")),"")</f>
        <v>0</v>
      </c>
      <c r="K261" s="11">
        <f>IF(AND(ISNUMBER(K24),ISNUMBER(K25)),IF((K24-K25)&gt;0,"+"&amp;FIXED((K24-K25),0),IF((K24-K25)&lt;0,"−"&amp;FIXED(-(K24-K25),0),"±0")),"")</f>
        <v>0</v>
      </c>
      <c r="L261" s="11">
        <f>IF(AND(ISNUMBER(L24),ISNUMBER(L25)),IF((L24-L25)&gt;0,"+"&amp;FIXED((L24-L25),0),IF((L24-L25)&lt;0,"−"&amp;FIXED(-(L24-L25),0),"±0")),"")</f>
        <v>0</v>
      </c>
      <c r="M261" s="11">
        <f>IF(AND(ISNUMBER(M24),ISNUMBER(M25)),IF((M24-M25)&gt;0,"+"&amp;FIXED((M24-M25),0),IF((M24-M25)&lt;0,"−"&amp;FIXED(-(M24-M25),0),"±0")),"")</f>
        <v>0</v>
      </c>
      <c r="N261" s="11">
        <f>IF(AND(ISNUMBER(N24),ISNUMBER(N25)),IF((N24-N25)&gt;0,"+"&amp;FIXED((N24-N25),0),IF((N24-N25)&lt;0,"−"&amp;FIXED(-(N24-N25),0),"±0")),"")</f>
        <v>0</v>
      </c>
      <c r="O261" s="11">
        <f>IF(AND(ISNUMBER(O24),ISNUMBER(O25)),IF((O24-O25)&gt;0,"+"&amp;FIXED((O24-O25),0),IF((O24-O25)&lt;0,"−"&amp;FIXED(-(O24-O25),0),"±0")),"")</f>
        <v>0</v>
      </c>
      <c r="P261" s="11">
        <f>IF(AND(ISNUMBER(P24),ISNUMBER(P25)),IF((P24-P25)&gt;0,"+"&amp;FIXED((P24-P25),0),IF((P24-P25)&lt;0,"−"&amp;FIXED(-(P24-P25),0),"±0")),"")</f>
        <v>0</v>
      </c>
      <c r="Q261" s="11">
        <f>IF(AND(ISNUMBER(Q24),ISNUMBER(Q25)),IF((Q24-Q25)&gt;0,"+"&amp;FIXED((Q24-Q25),0),IF((Q24-Q25)&lt;0,"−"&amp;FIXED(-(Q24-Q25),0),"±0")),"")</f>
        <v>0</v>
      </c>
      <c r="R261" s="11">
        <f>IF(AND(ISNUMBER(R24),ISNUMBER(R25)),IF((R24-R25)&gt;0,"+"&amp;FIXED((R24-R25),0),IF((R24-R25)&lt;0,"−"&amp;FIXED(-(R24-R25),0),"±0")),"")</f>
        <v>0</v>
      </c>
      <c r="S261" s="11">
        <f>IF(AND(ISNUMBER(S24),ISNUMBER(S25)),IF((S24-S25)&gt;0,"+"&amp;FIXED((S24-S25),0),IF((S24-S25)&lt;0,"−"&amp;FIXED(-(S24-S25),0),"±0")),"")</f>
        <v>0</v>
      </c>
      <c r="T261" s="11">
        <f>IF(AND(ISNUMBER(T24),ISNUMBER(T25)),IF((T24-T25)&gt;0,"+"&amp;FIXED((T24-T25),0),IF((T24-T25)&lt;0,"−"&amp;FIXED(-(T24-T25),0),"±0")),"")</f>
        <v>0</v>
      </c>
      <c r="U261" s="11">
        <f>IF(AND(ISNUMBER(U24),ISNUMBER(U25)),IF((U24-U25)&gt;0,"+"&amp;FIXED((U24-U25),0),IF((U24-U25)&lt;0,"−"&amp;FIXED(-(U24-U25),0),"±0")),"")</f>
        <v>0</v>
      </c>
      <c r="V261" s="11">
        <f>IF(AND(ISNUMBER(V24),ISNUMBER(V25)),IF((V24-V25)&gt;0,"+"&amp;FIXED((V24-V25),0),IF((V24-V25)&lt;0,"−"&amp;FIXED(-(V24-V25),0),"±0")),"")</f>
        <v>0</v>
      </c>
      <c r="W261" s="11">
        <f>IF(AND(ISNUMBER(W24),ISNUMBER(W25)),IF((W24-W25)&gt;0,"+"&amp;FIXED((W24-W25),0),IF((W24-W25)&lt;0,"−"&amp;FIXED(-(W24-W25),0),"±0")),"")</f>
        <v>0</v>
      </c>
      <c r="X261" s="11">
        <f>IF(AND(ISNUMBER(X24),ISNUMBER(X25)),IF((X24-X25)&gt;0,"+"&amp;FIXED((X24-X25),0),IF((X24-X25)&lt;0,"−"&amp;FIXED(-(X24-X25),0),"±0")),"")</f>
        <v>0</v>
      </c>
      <c r="Y261" s="11">
        <f>IF(AND(ISNUMBER(Y24),ISNUMBER(Y25)),IF((Y24-Y25)&gt;0,"+"&amp;FIXED((Y24-Y25),0),IF((Y24-Y25)&lt;0,"−"&amp;FIXED(-(Y24-Y25),0),"±0")),"")</f>
        <v>0</v>
      </c>
      <c r="Z261" s="11">
        <f>IF(AND(ISNUMBER(Z24),ISNUMBER(Z25)),IF((Z24-Z25)&gt;0,"+"&amp;FIXED((Z24-Z25),0),IF((Z24-Z25)&lt;0,"−"&amp;FIXED(-(Z24-Z25),0),"±0")),"")</f>
        <v>0</v>
      </c>
      <c r="AA261" s="11">
        <f>IF(AND(ISNUMBER(AA24),ISNUMBER(AA25)),IF((AA24-AA25)&gt;0,"+"&amp;FIXED((AA24-AA25),0),IF((AA24-AA25)&lt;0,"−"&amp;FIXED(-(AA24-AA25),0),"±0")),"")</f>
        <v>0</v>
      </c>
      <c r="AB261" s="11">
        <f>IF(AND(ISNUMBER(AB24),ISNUMBER(AB25)),IF((AB24-AB25)&gt;0,"+"&amp;FIXED((AB24-AB25),0),IF((AB24-AB25)&lt;0,"−"&amp;FIXED(-(AB24-AB25),0),"±0")),"")</f>
        <v>0</v>
      </c>
      <c r="AC261" s="11">
        <f>IF(AND(ISNUMBER(AC24),ISNUMBER(AC25)),IF((AC24-AC25)&gt;0,"+"&amp;FIXED((AC24-AC25),0),IF((AC24-AC25)&lt;0,"−"&amp;FIXED(-(AC24-AC25),0),"±0")),"")</f>
        <v>0</v>
      </c>
      <c r="AD261" s="11">
        <f>IF(AND(ISNUMBER(AD24),ISNUMBER(AD25)),IF((AD24-AD25)&gt;0,"+"&amp;FIXED((AD24-AD25),0),IF((AD24-AD25)&lt;0,"−"&amp;FIXED(-(AD24-AD25),0),"±0")),"")</f>
        <v>0</v>
      </c>
    </row>
    <row r="262" spans="1:95">
      <c r="A262" s="11" t="s">
        <v>591</v>
      </c>
      <c r="B262" s="11" t="s">
        <v>592</v>
      </c>
      <c r="C262" s="3" t="s">
        <v>398</v>
      </c>
      <c r="BR262" s="5">
        <f>IF(($D$241-25)&lt;1,NA(),INDEX($D$251:$AD$251,($D$241-25)))</f>
        <v>0</v>
      </c>
      <c r="BS262" s="5">
        <f>IF(($D$241-24)&lt;1,NA(),INDEX($D$251:$AD$251,($D$241-24)))</f>
        <v>0</v>
      </c>
      <c r="BT262" s="5">
        <f>IF(($D$241-23)&lt;1,NA(),INDEX($D$251:$AD$251,($D$241-23)))</f>
        <v>0</v>
      </c>
      <c r="BU262" s="5">
        <f>IF(($D$241-22)&lt;1,NA(),INDEX($D$251:$AD$251,($D$241-22)))</f>
        <v>0</v>
      </c>
      <c r="BV262" s="5">
        <f>IF(($D$241-21)&lt;1,NA(),INDEX($D$251:$AD$251,($D$241-21)))</f>
        <v>0</v>
      </c>
      <c r="BW262" s="5">
        <f>IF(($D$241-20)&lt;1,NA(),INDEX($D$251:$AD$251,($D$241-20)))</f>
        <v>0</v>
      </c>
      <c r="BX262" s="5">
        <f>IF(($D$241-19)&lt;1,NA(),INDEX($D$251:$AD$251,($D$241-19)))</f>
        <v>0</v>
      </c>
      <c r="BY262" s="5">
        <f>IF(($D$241-18)&lt;1,NA(),INDEX($D$251:$AD$251,($D$241-18)))</f>
        <v>0</v>
      </c>
      <c r="BZ262" s="5">
        <f>IF(($D$241-17)&lt;1,NA(),INDEX($D$251:$AD$251,($D$241-17)))</f>
        <v>0</v>
      </c>
      <c r="CA262" s="5">
        <f>IF(($D$241-16)&lt;1,NA(),INDEX($D$251:$AD$251,($D$241-16)))</f>
        <v>0</v>
      </c>
      <c r="CB262" s="5">
        <f>IF(($D$241-15)&lt;1,NA(),INDEX($D$251:$AD$251,($D$241-15)))</f>
        <v>0</v>
      </c>
      <c r="CC262" s="5">
        <f>IF(($D$241-14)&lt;1,NA(),INDEX($D$251:$AD$251,($D$241-14)))</f>
        <v>0</v>
      </c>
      <c r="CD262" s="5">
        <f>IF(($D$241-13)&lt;1,NA(),INDEX($D$251:$AD$251,($D$241-13)))</f>
        <v>0</v>
      </c>
      <c r="CE262" s="5">
        <f>IF(($D$241-12)&lt;1,NA(),INDEX($D$251:$AD$251,($D$241-12)))</f>
        <v>0</v>
      </c>
      <c r="CF262" s="5">
        <f>IF(($D$241-11)&lt;1,NA(),INDEX($D$251:$AD$251,($D$241-11)))</f>
        <v>0</v>
      </c>
      <c r="CG262" s="5">
        <f>IF(($D$241-10)&lt;1,NA(),INDEX($D$251:$AD$251,($D$241-10)))</f>
        <v>0</v>
      </c>
      <c r="CH262" s="5">
        <f>IF(($D$241-9)&lt;1,NA(),INDEX($D$251:$AD$251,($D$241-9)))</f>
        <v>0</v>
      </c>
      <c r="CI262" s="5">
        <f>IF(($D$241-8)&lt;1,NA(),INDEX($D$251:$AD$251,($D$241-8)))</f>
        <v>0</v>
      </c>
      <c r="CJ262" s="5">
        <f>IF(($D$241-7)&lt;1,NA(),INDEX($D$251:$AD$251,($D$241-7)))</f>
        <v>0</v>
      </c>
      <c r="CK262" s="5">
        <f>IF(($D$241-6)&lt;1,NA(),INDEX($D$251:$AD$251,($D$241-6)))</f>
        <v>0</v>
      </c>
      <c r="CL262" s="5">
        <f>IF(($D$241-5)&lt;1,NA(),INDEX($D$251:$AD$251,($D$241-5)))</f>
        <v>0</v>
      </c>
      <c r="CM262" s="5">
        <f>IF(($D$241-4)&lt;1,NA(),INDEX($D$251:$AD$251,($D$241-4)))</f>
        <v>0</v>
      </c>
      <c r="CN262" s="5">
        <f>IF(($D$241-3)&lt;1,NA(),INDEX($D$251:$AD$251,($D$241-3)))</f>
        <v>0</v>
      </c>
      <c r="CO262" s="5">
        <f>IF(($D$241-2)&lt;1,NA(),INDEX($D$251:$AD$251,($D$241-2)))</f>
        <v>0</v>
      </c>
      <c r="CP262" s="5">
        <f>IF(($D$241-1)&lt;1,NA(),INDEX($D$251:$AD$251,($D$241-1)))</f>
        <v>0</v>
      </c>
      <c r="CQ262" s="5">
        <f>IF(($D$241-0)&lt;1,NA(),INDEX($D$251:$AD$251,($D$241-0)))</f>
        <v>0</v>
      </c>
    </row>
    <row r="263" spans="1:95">
      <c r="A263" s="11" t="s">
        <v>593</v>
      </c>
      <c r="B263" s="11" t="s">
        <v>594</v>
      </c>
      <c r="C263" s="3" t="s">
        <v>398</v>
      </c>
      <c r="BR263" s="5">
        <f>IF(($D$241-25)&lt;1,NA(),INDEX($D$253:$AD$253,($D$241-25)))</f>
        <v>0</v>
      </c>
      <c r="BS263" s="5">
        <f>IF(($D$241-24)&lt;1,NA(),INDEX($D$253:$AD$253,($D$241-24)))</f>
        <v>0</v>
      </c>
      <c r="BT263" s="5">
        <f>IF(($D$241-23)&lt;1,NA(),INDEX($D$253:$AD$253,($D$241-23)))</f>
        <v>0</v>
      </c>
      <c r="BU263" s="5">
        <f>IF(($D$241-22)&lt;1,NA(),INDEX($D$253:$AD$253,($D$241-22)))</f>
        <v>0</v>
      </c>
      <c r="BV263" s="5">
        <f>IF(($D$241-21)&lt;1,NA(),INDEX($D$253:$AD$253,($D$241-21)))</f>
        <v>0</v>
      </c>
      <c r="BW263" s="5">
        <f>IF(($D$241-20)&lt;1,NA(),INDEX($D$253:$AD$253,($D$241-20)))</f>
        <v>0</v>
      </c>
      <c r="BX263" s="5">
        <f>IF(($D$241-19)&lt;1,NA(),INDEX($D$253:$AD$253,($D$241-19)))</f>
        <v>0</v>
      </c>
      <c r="BY263" s="5">
        <f>IF(($D$241-18)&lt;1,NA(),INDEX($D$253:$AD$253,($D$241-18)))</f>
        <v>0</v>
      </c>
      <c r="BZ263" s="5">
        <f>IF(($D$241-17)&lt;1,NA(),INDEX($D$253:$AD$253,($D$241-17)))</f>
        <v>0</v>
      </c>
      <c r="CA263" s="5">
        <f>IF(($D$241-16)&lt;1,NA(),INDEX($D$253:$AD$253,($D$241-16)))</f>
        <v>0</v>
      </c>
      <c r="CB263" s="5">
        <f>IF(($D$241-15)&lt;1,NA(),INDEX($D$253:$AD$253,($D$241-15)))</f>
        <v>0</v>
      </c>
      <c r="CC263" s="5">
        <f>IF(($D$241-14)&lt;1,NA(),INDEX($D$253:$AD$253,($D$241-14)))</f>
        <v>0</v>
      </c>
      <c r="CD263" s="5">
        <f>IF(($D$241-13)&lt;1,NA(),INDEX($D$253:$AD$253,($D$241-13)))</f>
        <v>0</v>
      </c>
      <c r="CE263" s="5">
        <f>IF(($D$241-12)&lt;1,NA(),INDEX($D$253:$AD$253,($D$241-12)))</f>
        <v>0</v>
      </c>
      <c r="CF263" s="5">
        <f>IF(($D$241-11)&lt;1,NA(),INDEX($D$253:$AD$253,($D$241-11)))</f>
        <v>0</v>
      </c>
      <c r="CG263" s="5">
        <f>IF(($D$241-10)&lt;1,NA(),INDEX($D$253:$AD$253,($D$241-10)))</f>
        <v>0</v>
      </c>
      <c r="CH263" s="5">
        <f>IF(($D$241-9)&lt;1,NA(),INDEX($D$253:$AD$253,($D$241-9)))</f>
        <v>0</v>
      </c>
      <c r="CI263" s="5">
        <f>IF(($D$241-8)&lt;1,NA(),INDEX($D$253:$AD$253,($D$241-8)))</f>
        <v>0</v>
      </c>
      <c r="CJ263" s="5">
        <f>IF(($D$241-7)&lt;1,NA(),INDEX($D$253:$AD$253,($D$241-7)))</f>
        <v>0</v>
      </c>
      <c r="CK263" s="5">
        <f>IF(($D$241-6)&lt;1,NA(),INDEX($D$253:$AD$253,($D$241-6)))</f>
        <v>0</v>
      </c>
      <c r="CL263" s="5">
        <f>IF(($D$241-5)&lt;1,NA(),INDEX($D$253:$AD$253,($D$241-5)))</f>
        <v>0</v>
      </c>
      <c r="CM263" s="5">
        <f>IF(($D$241-4)&lt;1,NA(),INDEX($D$253:$AD$253,($D$241-4)))</f>
        <v>0</v>
      </c>
      <c r="CN263" s="5">
        <f>IF(($D$241-3)&lt;1,NA(),INDEX($D$253:$AD$253,($D$241-3)))</f>
        <v>0</v>
      </c>
      <c r="CO263" s="5">
        <f>IF(($D$241-2)&lt;1,NA(),INDEX($D$253:$AD$253,($D$241-2)))</f>
        <v>0</v>
      </c>
      <c r="CP263" s="5">
        <f>IF(($D$241-1)&lt;1,NA(),INDEX($D$253:$AD$253,($D$241-1)))</f>
        <v>0</v>
      </c>
      <c r="CQ263" s="5">
        <f>IF(($D$241-0)&lt;1,NA(),INDEX($D$253:$AD$253,($D$241-0)))</f>
        <v>0</v>
      </c>
    </row>
    <row r="264" spans="1:95">
      <c r="A264" s="11" t="s">
        <v>595</v>
      </c>
      <c r="B264" s="11" t="s">
        <v>596</v>
      </c>
      <c r="C264" s="3" t="s">
        <v>398</v>
      </c>
      <c r="BR264" s="5">
        <f>IF(($D$241-25)&lt;1,NA(),INDEX($D$255:$AD$255,($D$241-25)))</f>
        <v>0</v>
      </c>
      <c r="BS264" s="5">
        <f>IF(($D$241-24)&lt;1,NA(),INDEX($D$255:$AD$255,($D$241-24)))</f>
        <v>0</v>
      </c>
      <c r="BT264" s="5">
        <f>IF(($D$241-23)&lt;1,NA(),INDEX($D$255:$AD$255,($D$241-23)))</f>
        <v>0</v>
      </c>
      <c r="BU264" s="5">
        <f>IF(($D$241-22)&lt;1,NA(),INDEX($D$255:$AD$255,($D$241-22)))</f>
        <v>0</v>
      </c>
      <c r="BV264" s="5">
        <f>IF(($D$241-21)&lt;1,NA(),INDEX($D$255:$AD$255,($D$241-21)))</f>
        <v>0</v>
      </c>
      <c r="BW264" s="5">
        <f>IF(($D$241-20)&lt;1,NA(),INDEX($D$255:$AD$255,($D$241-20)))</f>
        <v>0</v>
      </c>
      <c r="BX264" s="5">
        <f>IF(($D$241-19)&lt;1,NA(),INDEX($D$255:$AD$255,($D$241-19)))</f>
        <v>0</v>
      </c>
      <c r="BY264" s="5">
        <f>IF(($D$241-18)&lt;1,NA(),INDEX($D$255:$AD$255,($D$241-18)))</f>
        <v>0</v>
      </c>
      <c r="BZ264" s="5">
        <f>IF(($D$241-17)&lt;1,NA(),INDEX($D$255:$AD$255,($D$241-17)))</f>
        <v>0</v>
      </c>
      <c r="CA264" s="5">
        <f>IF(($D$241-16)&lt;1,NA(),INDEX($D$255:$AD$255,($D$241-16)))</f>
        <v>0</v>
      </c>
      <c r="CB264" s="5">
        <f>IF(($D$241-15)&lt;1,NA(),INDEX($D$255:$AD$255,($D$241-15)))</f>
        <v>0</v>
      </c>
      <c r="CC264" s="5">
        <f>IF(($D$241-14)&lt;1,NA(),INDEX($D$255:$AD$255,($D$241-14)))</f>
        <v>0</v>
      </c>
      <c r="CD264" s="5">
        <f>IF(($D$241-13)&lt;1,NA(),INDEX($D$255:$AD$255,($D$241-13)))</f>
        <v>0</v>
      </c>
      <c r="CE264" s="5">
        <f>IF(($D$241-12)&lt;1,NA(),INDEX($D$255:$AD$255,($D$241-12)))</f>
        <v>0</v>
      </c>
      <c r="CF264" s="5">
        <f>IF(($D$241-11)&lt;1,NA(),INDEX($D$255:$AD$255,($D$241-11)))</f>
        <v>0</v>
      </c>
      <c r="CG264" s="5">
        <f>IF(($D$241-10)&lt;1,NA(),INDEX($D$255:$AD$255,($D$241-10)))</f>
        <v>0</v>
      </c>
      <c r="CH264" s="5">
        <f>IF(($D$241-9)&lt;1,NA(),INDEX($D$255:$AD$255,($D$241-9)))</f>
        <v>0</v>
      </c>
      <c r="CI264" s="5">
        <f>IF(($D$241-8)&lt;1,NA(),INDEX($D$255:$AD$255,($D$241-8)))</f>
        <v>0</v>
      </c>
      <c r="CJ264" s="5">
        <f>IF(($D$241-7)&lt;1,NA(),INDEX($D$255:$AD$255,($D$241-7)))</f>
        <v>0</v>
      </c>
      <c r="CK264" s="5">
        <f>IF(($D$241-6)&lt;1,NA(),INDEX($D$255:$AD$255,($D$241-6)))</f>
        <v>0</v>
      </c>
      <c r="CL264" s="5">
        <f>IF(($D$241-5)&lt;1,NA(),INDEX($D$255:$AD$255,($D$241-5)))</f>
        <v>0</v>
      </c>
      <c r="CM264" s="5">
        <f>IF(($D$241-4)&lt;1,NA(),INDEX($D$255:$AD$255,($D$241-4)))</f>
        <v>0</v>
      </c>
      <c r="CN264" s="5">
        <f>IF(($D$241-3)&lt;1,NA(),INDEX($D$255:$AD$255,($D$241-3)))</f>
        <v>0</v>
      </c>
      <c r="CO264" s="5">
        <f>IF(($D$241-2)&lt;1,NA(),INDEX($D$255:$AD$255,($D$241-2)))</f>
        <v>0</v>
      </c>
      <c r="CP264" s="5">
        <f>IF(($D$241-1)&lt;1,NA(),INDEX($D$255:$AD$255,($D$241-1)))</f>
        <v>0</v>
      </c>
      <c r="CQ264" s="5">
        <f>IF(($D$241-0)&lt;1,NA(),INDEX($D$255:$AD$255,($D$241-0)))</f>
        <v>0</v>
      </c>
    </row>
    <row r="265" spans="1:95">
      <c r="A265" s="11" t="s">
        <v>597</v>
      </c>
      <c r="B265" s="11" t="s">
        <v>598</v>
      </c>
      <c r="C265" s="3" t="s">
        <v>398</v>
      </c>
      <c r="BR265" s="11">
        <f>IF(($D$241-25)&lt;1,"",INDEX($D$252:$AD$252,($D$241-25)))</f>
        <v>0</v>
      </c>
      <c r="BS265" s="11">
        <f>IF(($D$241-24)&lt;1,"",INDEX($D$252:$AD$252,($D$241-24)))</f>
        <v>0</v>
      </c>
      <c r="BT265" s="11">
        <f>IF(($D$241-23)&lt;1,"",INDEX($D$252:$AD$252,($D$241-23)))</f>
        <v>0</v>
      </c>
      <c r="BU265" s="11">
        <f>IF(($D$241-22)&lt;1,"",INDEX($D$252:$AD$252,($D$241-22)))</f>
        <v>0</v>
      </c>
      <c r="BV265" s="11">
        <f>IF(($D$241-21)&lt;1,"",INDEX($D$252:$AD$252,($D$241-21)))</f>
        <v>0</v>
      </c>
      <c r="BW265" s="11">
        <f>IF(($D$241-20)&lt;1,"",INDEX($D$252:$AD$252,($D$241-20)))</f>
        <v>0</v>
      </c>
      <c r="BX265" s="11">
        <f>IF(($D$241-19)&lt;1,"",INDEX($D$252:$AD$252,($D$241-19)))</f>
        <v>0</v>
      </c>
      <c r="BY265" s="11">
        <f>IF(($D$241-18)&lt;1,"",INDEX($D$252:$AD$252,($D$241-18)))</f>
        <v>0</v>
      </c>
      <c r="BZ265" s="11">
        <f>IF(($D$241-17)&lt;1,"",INDEX($D$252:$AD$252,($D$241-17)))</f>
        <v>0</v>
      </c>
      <c r="CA265" s="11">
        <f>IF(($D$241-16)&lt;1,"",INDEX($D$252:$AD$252,($D$241-16)))</f>
        <v>0</v>
      </c>
      <c r="CB265" s="11">
        <f>IF(($D$241-15)&lt;1,"",INDEX($D$252:$AD$252,($D$241-15)))</f>
        <v>0</v>
      </c>
      <c r="CC265" s="11">
        <f>IF(($D$241-14)&lt;1,"",INDEX($D$252:$AD$252,($D$241-14)))</f>
        <v>0</v>
      </c>
      <c r="CD265" s="11">
        <f>IF(($D$241-13)&lt;1,"",INDEX($D$252:$AD$252,($D$241-13)))</f>
        <v>0</v>
      </c>
      <c r="CE265" s="11">
        <f>IF(($D$241-12)&lt;1,"",INDEX($D$252:$AD$252,($D$241-12)))</f>
        <v>0</v>
      </c>
      <c r="CF265" s="11">
        <f>IF(($D$241-11)&lt;1,"",INDEX($D$252:$AD$252,($D$241-11)))</f>
        <v>0</v>
      </c>
      <c r="CG265" s="11">
        <f>IF(($D$241-10)&lt;1,"",INDEX($D$252:$AD$252,($D$241-10)))</f>
        <v>0</v>
      </c>
      <c r="CH265" s="11">
        <f>IF(($D$241-9)&lt;1,"",INDEX($D$252:$AD$252,($D$241-9)))</f>
        <v>0</v>
      </c>
      <c r="CI265" s="11">
        <f>IF(($D$241-8)&lt;1,"",INDEX($D$252:$AD$252,($D$241-8)))</f>
        <v>0</v>
      </c>
      <c r="CJ265" s="11">
        <f>IF(($D$241-7)&lt;1,"",INDEX($D$252:$AD$252,($D$241-7)))</f>
        <v>0</v>
      </c>
      <c r="CK265" s="11">
        <f>IF(($D$241-6)&lt;1,"",INDEX($D$252:$AD$252,($D$241-6)))</f>
        <v>0</v>
      </c>
      <c r="CL265" s="11">
        <f>IF(($D$241-5)&lt;1,"",INDEX($D$252:$AD$252,($D$241-5)))</f>
        <v>0</v>
      </c>
      <c r="CM265" s="11">
        <f>IF(($D$241-4)&lt;1,"",INDEX($D$252:$AD$252,($D$241-4)))</f>
        <v>0</v>
      </c>
      <c r="CN265" s="11">
        <f>IF(($D$241-3)&lt;1,"",INDEX($D$252:$AD$252,($D$241-3)))</f>
        <v>0</v>
      </c>
      <c r="CO265" s="11">
        <f>IF(($D$241-2)&lt;1,"",INDEX($D$252:$AD$252,($D$241-2)))</f>
        <v>0</v>
      </c>
      <c r="CP265" s="11">
        <f>IF(($D$241-1)&lt;1,"",INDEX($D$252:$AD$252,($D$241-1)))</f>
        <v>0</v>
      </c>
      <c r="CQ265" s="11">
        <f>IF(($D$241-0)&lt;1,"",INDEX($D$252:$AD$252,($D$241-0)))</f>
        <v>0</v>
      </c>
    </row>
    <row r="266" spans="1:95">
      <c r="A266" s="11" t="s">
        <v>599</v>
      </c>
      <c r="B266" s="11" t="s">
        <v>600</v>
      </c>
      <c r="C266" s="3" t="s">
        <v>398</v>
      </c>
      <c r="BR266" s="5">
        <f>IF(($D$241-25)&lt;1,NA(),INDEX($D$256:$AD$256,($D$241-25)))</f>
        <v>0</v>
      </c>
      <c r="BS266" s="5">
        <f>IF(($D$241-24)&lt;1,NA(),INDEX($D$256:$AD$256,($D$241-24)))</f>
        <v>0</v>
      </c>
      <c r="BT266" s="5">
        <f>IF(($D$241-23)&lt;1,NA(),INDEX($D$256:$AD$256,($D$241-23)))</f>
        <v>0</v>
      </c>
      <c r="BU266" s="5">
        <f>IF(($D$241-22)&lt;1,NA(),INDEX($D$256:$AD$256,($D$241-22)))</f>
        <v>0</v>
      </c>
      <c r="BV266" s="5">
        <f>IF(($D$241-21)&lt;1,NA(),INDEX($D$256:$AD$256,($D$241-21)))</f>
        <v>0</v>
      </c>
      <c r="BW266" s="5">
        <f>IF(($D$241-20)&lt;1,NA(),INDEX($D$256:$AD$256,($D$241-20)))</f>
        <v>0</v>
      </c>
      <c r="BX266" s="5">
        <f>IF(($D$241-19)&lt;1,NA(),INDEX($D$256:$AD$256,($D$241-19)))</f>
        <v>0</v>
      </c>
      <c r="BY266" s="5">
        <f>IF(($D$241-18)&lt;1,NA(),INDEX($D$256:$AD$256,($D$241-18)))</f>
        <v>0</v>
      </c>
      <c r="BZ266" s="5">
        <f>IF(($D$241-17)&lt;1,NA(),INDEX($D$256:$AD$256,($D$241-17)))</f>
        <v>0</v>
      </c>
      <c r="CA266" s="5">
        <f>IF(($D$241-16)&lt;1,NA(),INDEX($D$256:$AD$256,($D$241-16)))</f>
        <v>0</v>
      </c>
      <c r="CB266" s="5">
        <f>IF(($D$241-15)&lt;1,NA(),INDEX($D$256:$AD$256,($D$241-15)))</f>
        <v>0</v>
      </c>
      <c r="CC266" s="5">
        <f>IF(($D$241-14)&lt;1,NA(),INDEX($D$256:$AD$256,($D$241-14)))</f>
        <v>0</v>
      </c>
      <c r="CD266" s="5">
        <f>IF(($D$241-13)&lt;1,NA(),INDEX($D$256:$AD$256,($D$241-13)))</f>
        <v>0</v>
      </c>
      <c r="CE266" s="5">
        <f>IF(($D$241-12)&lt;1,NA(),INDEX($D$256:$AD$256,($D$241-12)))</f>
        <v>0</v>
      </c>
      <c r="CF266" s="5">
        <f>IF(($D$241-11)&lt;1,NA(),INDEX($D$256:$AD$256,($D$241-11)))</f>
        <v>0</v>
      </c>
      <c r="CG266" s="5">
        <f>IF(($D$241-10)&lt;1,NA(),INDEX($D$256:$AD$256,($D$241-10)))</f>
        <v>0</v>
      </c>
      <c r="CH266" s="5">
        <f>IF(($D$241-9)&lt;1,NA(),INDEX($D$256:$AD$256,($D$241-9)))</f>
        <v>0</v>
      </c>
      <c r="CI266" s="5">
        <f>IF(($D$241-8)&lt;1,NA(),INDEX($D$256:$AD$256,($D$241-8)))</f>
        <v>0</v>
      </c>
      <c r="CJ266" s="5">
        <f>IF(($D$241-7)&lt;1,NA(),INDEX($D$256:$AD$256,($D$241-7)))</f>
        <v>0</v>
      </c>
      <c r="CK266" s="5">
        <f>IF(($D$241-6)&lt;1,NA(),INDEX($D$256:$AD$256,($D$241-6)))</f>
        <v>0</v>
      </c>
      <c r="CL266" s="5">
        <f>IF(($D$241-5)&lt;1,NA(),INDEX($D$256:$AD$256,($D$241-5)))</f>
        <v>0</v>
      </c>
      <c r="CM266" s="5">
        <f>IF(($D$241-4)&lt;1,NA(),INDEX($D$256:$AD$256,($D$241-4)))</f>
        <v>0</v>
      </c>
      <c r="CN266" s="5">
        <f>IF(($D$241-3)&lt;1,NA(),INDEX($D$256:$AD$256,($D$241-3)))</f>
        <v>0</v>
      </c>
      <c r="CO266" s="5">
        <f>IF(($D$241-2)&lt;1,NA(),INDEX($D$256:$AD$256,($D$241-2)))</f>
        <v>0</v>
      </c>
      <c r="CP266" s="5">
        <f>IF(($D$241-1)&lt;1,NA(),INDEX($D$256:$AD$256,($D$241-1)))</f>
        <v>0</v>
      </c>
      <c r="CQ266" s="5">
        <f>IF(($D$241-0)&lt;1,NA(),INDEX($D$256:$AD$256,($D$241-0)))</f>
        <v>0</v>
      </c>
    </row>
    <row r="267" spans="1:95">
      <c r="A267" s="11" t="s">
        <v>601</v>
      </c>
      <c r="B267" s="11" t="s">
        <v>602</v>
      </c>
      <c r="C267" s="3" t="s">
        <v>398</v>
      </c>
      <c r="BR267" s="11">
        <f>IF(($D$241-25)&lt;1,"",INDEX($D$254:$AD$254,($D$241-25)))</f>
        <v>0</v>
      </c>
      <c r="BS267" s="11">
        <f>IF(($D$241-24)&lt;1,"",INDEX($D$254:$AD$254,($D$241-24)))</f>
        <v>0</v>
      </c>
      <c r="BT267" s="11">
        <f>IF(($D$241-23)&lt;1,"",INDEX($D$254:$AD$254,($D$241-23)))</f>
        <v>0</v>
      </c>
      <c r="BU267" s="11">
        <f>IF(($D$241-22)&lt;1,"",INDEX($D$254:$AD$254,($D$241-22)))</f>
        <v>0</v>
      </c>
      <c r="BV267" s="11">
        <f>IF(($D$241-21)&lt;1,"",INDEX($D$254:$AD$254,($D$241-21)))</f>
        <v>0</v>
      </c>
      <c r="BW267" s="11">
        <f>IF(($D$241-20)&lt;1,"",INDEX($D$254:$AD$254,($D$241-20)))</f>
        <v>0</v>
      </c>
      <c r="BX267" s="11">
        <f>IF(($D$241-19)&lt;1,"",INDEX($D$254:$AD$254,($D$241-19)))</f>
        <v>0</v>
      </c>
      <c r="BY267" s="11">
        <f>IF(($D$241-18)&lt;1,"",INDEX($D$254:$AD$254,($D$241-18)))</f>
        <v>0</v>
      </c>
      <c r="BZ267" s="11">
        <f>IF(($D$241-17)&lt;1,"",INDEX($D$254:$AD$254,($D$241-17)))</f>
        <v>0</v>
      </c>
      <c r="CA267" s="11">
        <f>IF(($D$241-16)&lt;1,"",INDEX($D$254:$AD$254,($D$241-16)))</f>
        <v>0</v>
      </c>
      <c r="CB267" s="11">
        <f>IF(($D$241-15)&lt;1,"",INDEX($D$254:$AD$254,($D$241-15)))</f>
        <v>0</v>
      </c>
      <c r="CC267" s="11">
        <f>IF(($D$241-14)&lt;1,"",INDEX($D$254:$AD$254,($D$241-14)))</f>
        <v>0</v>
      </c>
      <c r="CD267" s="11">
        <f>IF(($D$241-13)&lt;1,"",INDEX($D$254:$AD$254,($D$241-13)))</f>
        <v>0</v>
      </c>
      <c r="CE267" s="11">
        <f>IF(($D$241-12)&lt;1,"",INDEX($D$254:$AD$254,($D$241-12)))</f>
        <v>0</v>
      </c>
      <c r="CF267" s="11">
        <f>IF(($D$241-11)&lt;1,"",INDEX($D$254:$AD$254,($D$241-11)))</f>
        <v>0</v>
      </c>
      <c r="CG267" s="11">
        <f>IF(($D$241-10)&lt;1,"",INDEX($D$254:$AD$254,($D$241-10)))</f>
        <v>0</v>
      </c>
      <c r="CH267" s="11">
        <f>IF(($D$241-9)&lt;1,"",INDEX($D$254:$AD$254,($D$241-9)))</f>
        <v>0</v>
      </c>
      <c r="CI267" s="11">
        <f>IF(($D$241-8)&lt;1,"",INDEX($D$254:$AD$254,($D$241-8)))</f>
        <v>0</v>
      </c>
      <c r="CJ267" s="11">
        <f>IF(($D$241-7)&lt;1,"",INDEX($D$254:$AD$254,($D$241-7)))</f>
        <v>0</v>
      </c>
      <c r="CK267" s="11">
        <f>IF(($D$241-6)&lt;1,"",INDEX($D$254:$AD$254,($D$241-6)))</f>
        <v>0</v>
      </c>
      <c r="CL267" s="11">
        <f>IF(($D$241-5)&lt;1,"",INDEX($D$254:$AD$254,($D$241-5)))</f>
        <v>0</v>
      </c>
      <c r="CM267" s="11">
        <f>IF(($D$241-4)&lt;1,"",INDEX($D$254:$AD$254,($D$241-4)))</f>
        <v>0</v>
      </c>
      <c r="CN267" s="11">
        <f>IF(($D$241-3)&lt;1,"",INDEX($D$254:$AD$254,($D$241-3)))</f>
        <v>0</v>
      </c>
      <c r="CO267" s="11">
        <f>IF(($D$241-2)&lt;1,"",INDEX($D$254:$AD$254,($D$241-2)))</f>
        <v>0</v>
      </c>
      <c r="CP267" s="11">
        <f>IF(($D$241-1)&lt;1,"",INDEX($D$254:$AD$254,($D$241-1)))</f>
        <v>0</v>
      </c>
      <c r="CQ267" s="11">
        <f>IF(($D$241-0)&lt;1,"",INDEX($D$254:$AD$254,($D$241-0)))</f>
        <v>0</v>
      </c>
    </row>
    <row r="268" spans="1:95">
      <c r="A268" s="11" t="s">
        <v>603</v>
      </c>
      <c r="B268" s="11" t="s">
        <v>604</v>
      </c>
      <c r="C268" s="3" t="s">
        <v>398</v>
      </c>
      <c r="BR268" s="5">
        <f>IF(($D$241-25)&lt;1,NA(),INDEX($D$258:$AD$258,($D$241-25)))</f>
        <v>0</v>
      </c>
      <c r="BS268" s="5">
        <f>IF(($D$241-24)&lt;1,NA(),INDEX($D$258:$AD$258,($D$241-24)))</f>
        <v>0</v>
      </c>
      <c r="BT268" s="5">
        <f>IF(($D$241-23)&lt;1,NA(),INDEX($D$258:$AD$258,($D$241-23)))</f>
        <v>0</v>
      </c>
      <c r="BU268" s="5">
        <f>IF(($D$241-22)&lt;1,NA(),INDEX($D$258:$AD$258,($D$241-22)))</f>
        <v>0</v>
      </c>
      <c r="BV268" s="5">
        <f>IF(($D$241-21)&lt;1,NA(),INDEX($D$258:$AD$258,($D$241-21)))</f>
        <v>0</v>
      </c>
      <c r="BW268" s="5">
        <f>IF(($D$241-20)&lt;1,NA(),INDEX($D$258:$AD$258,($D$241-20)))</f>
        <v>0</v>
      </c>
      <c r="BX268" s="5">
        <f>IF(($D$241-19)&lt;1,NA(),INDEX($D$258:$AD$258,($D$241-19)))</f>
        <v>0</v>
      </c>
      <c r="BY268" s="5">
        <f>IF(($D$241-18)&lt;1,NA(),INDEX($D$258:$AD$258,($D$241-18)))</f>
        <v>0</v>
      </c>
      <c r="BZ268" s="5">
        <f>IF(($D$241-17)&lt;1,NA(),INDEX($D$258:$AD$258,($D$241-17)))</f>
        <v>0</v>
      </c>
      <c r="CA268" s="5">
        <f>IF(($D$241-16)&lt;1,NA(),INDEX($D$258:$AD$258,($D$241-16)))</f>
        <v>0</v>
      </c>
      <c r="CB268" s="5">
        <f>IF(($D$241-15)&lt;1,NA(),INDEX($D$258:$AD$258,($D$241-15)))</f>
        <v>0</v>
      </c>
      <c r="CC268" s="5">
        <f>IF(($D$241-14)&lt;1,NA(),INDEX($D$258:$AD$258,($D$241-14)))</f>
        <v>0</v>
      </c>
      <c r="CD268" s="5">
        <f>IF(($D$241-13)&lt;1,NA(),INDEX($D$258:$AD$258,($D$241-13)))</f>
        <v>0</v>
      </c>
      <c r="CE268" s="5">
        <f>IF(($D$241-12)&lt;1,NA(),INDEX($D$258:$AD$258,($D$241-12)))</f>
        <v>0</v>
      </c>
      <c r="CF268" s="5">
        <f>IF(($D$241-11)&lt;1,NA(),INDEX($D$258:$AD$258,($D$241-11)))</f>
        <v>0</v>
      </c>
      <c r="CG268" s="5">
        <f>IF(($D$241-10)&lt;1,NA(),INDEX($D$258:$AD$258,($D$241-10)))</f>
        <v>0</v>
      </c>
      <c r="CH268" s="5">
        <f>IF(($D$241-9)&lt;1,NA(),INDEX($D$258:$AD$258,($D$241-9)))</f>
        <v>0</v>
      </c>
      <c r="CI268" s="5">
        <f>IF(($D$241-8)&lt;1,NA(),INDEX($D$258:$AD$258,($D$241-8)))</f>
        <v>0</v>
      </c>
      <c r="CJ268" s="5">
        <f>IF(($D$241-7)&lt;1,NA(),INDEX($D$258:$AD$258,($D$241-7)))</f>
        <v>0</v>
      </c>
      <c r="CK268" s="5">
        <f>IF(($D$241-6)&lt;1,NA(),INDEX($D$258:$AD$258,($D$241-6)))</f>
        <v>0</v>
      </c>
      <c r="CL268" s="5">
        <f>IF(($D$241-5)&lt;1,NA(),INDEX($D$258:$AD$258,($D$241-5)))</f>
        <v>0</v>
      </c>
      <c r="CM268" s="5">
        <f>IF(($D$241-4)&lt;1,NA(),INDEX($D$258:$AD$258,($D$241-4)))</f>
        <v>0</v>
      </c>
      <c r="CN268" s="5">
        <f>IF(($D$241-3)&lt;1,NA(),INDEX($D$258:$AD$258,($D$241-3)))</f>
        <v>0</v>
      </c>
      <c r="CO268" s="5">
        <f>IF(($D$241-2)&lt;1,NA(),INDEX($D$258:$AD$258,($D$241-2)))</f>
        <v>0</v>
      </c>
      <c r="CP268" s="5">
        <f>IF(($D$241-1)&lt;1,NA(),INDEX($D$258:$AD$258,($D$241-1)))</f>
        <v>0</v>
      </c>
      <c r="CQ268" s="5">
        <f>IF(($D$241-0)&lt;1,NA(),INDEX($D$258:$AD$258,($D$241-0)))</f>
        <v>0</v>
      </c>
    </row>
    <row r="269" spans="1:95">
      <c r="A269" s="11" t="s">
        <v>605</v>
      </c>
      <c r="B269" s="11" t="s">
        <v>606</v>
      </c>
      <c r="C269" s="3" t="s">
        <v>398</v>
      </c>
      <c r="BR269" s="5">
        <f>IF(($D$241-25)&lt;1,NA(),INDEX($D$259:$AD$259,($D$241-25)))</f>
        <v>0</v>
      </c>
      <c r="BS269" s="5">
        <f>IF(($D$241-24)&lt;1,NA(),INDEX($D$259:$AD$259,($D$241-24)))</f>
        <v>0</v>
      </c>
      <c r="BT269" s="5">
        <f>IF(($D$241-23)&lt;1,NA(),INDEX($D$259:$AD$259,($D$241-23)))</f>
        <v>0</v>
      </c>
      <c r="BU269" s="5">
        <f>IF(($D$241-22)&lt;1,NA(),INDEX($D$259:$AD$259,($D$241-22)))</f>
        <v>0</v>
      </c>
      <c r="BV269" s="5">
        <f>IF(($D$241-21)&lt;1,NA(),INDEX($D$259:$AD$259,($D$241-21)))</f>
        <v>0</v>
      </c>
      <c r="BW269" s="5">
        <f>IF(($D$241-20)&lt;1,NA(),INDEX($D$259:$AD$259,($D$241-20)))</f>
        <v>0</v>
      </c>
      <c r="BX269" s="5">
        <f>IF(($D$241-19)&lt;1,NA(),INDEX($D$259:$AD$259,($D$241-19)))</f>
        <v>0</v>
      </c>
      <c r="BY269" s="5">
        <f>IF(($D$241-18)&lt;1,NA(),INDEX($D$259:$AD$259,($D$241-18)))</f>
        <v>0</v>
      </c>
      <c r="BZ269" s="5">
        <f>IF(($D$241-17)&lt;1,NA(),INDEX($D$259:$AD$259,($D$241-17)))</f>
        <v>0</v>
      </c>
      <c r="CA269" s="5">
        <f>IF(($D$241-16)&lt;1,NA(),INDEX($D$259:$AD$259,($D$241-16)))</f>
        <v>0</v>
      </c>
      <c r="CB269" s="5">
        <f>IF(($D$241-15)&lt;1,NA(),INDEX($D$259:$AD$259,($D$241-15)))</f>
        <v>0</v>
      </c>
      <c r="CC269" s="5">
        <f>IF(($D$241-14)&lt;1,NA(),INDEX($D$259:$AD$259,($D$241-14)))</f>
        <v>0</v>
      </c>
      <c r="CD269" s="5">
        <f>IF(($D$241-13)&lt;1,NA(),INDEX($D$259:$AD$259,($D$241-13)))</f>
        <v>0</v>
      </c>
      <c r="CE269" s="5">
        <f>IF(($D$241-12)&lt;1,NA(),INDEX($D$259:$AD$259,($D$241-12)))</f>
        <v>0</v>
      </c>
      <c r="CF269" s="5">
        <f>IF(($D$241-11)&lt;1,NA(),INDEX($D$259:$AD$259,($D$241-11)))</f>
        <v>0</v>
      </c>
      <c r="CG269" s="5">
        <f>IF(($D$241-10)&lt;1,NA(),INDEX($D$259:$AD$259,($D$241-10)))</f>
        <v>0</v>
      </c>
      <c r="CH269" s="5">
        <f>IF(($D$241-9)&lt;1,NA(),INDEX($D$259:$AD$259,($D$241-9)))</f>
        <v>0</v>
      </c>
      <c r="CI269" s="5">
        <f>IF(($D$241-8)&lt;1,NA(),INDEX($D$259:$AD$259,($D$241-8)))</f>
        <v>0</v>
      </c>
      <c r="CJ269" s="5">
        <f>IF(($D$241-7)&lt;1,NA(),INDEX($D$259:$AD$259,($D$241-7)))</f>
        <v>0</v>
      </c>
      <c r="CK269" s="5">
        <f>IF(($D$241-6)&lt;1,NA(),INDEX($D$259:$AD$259,($D$241-6)))</f>
        <v>0</v>
      </c>
      <c r="CL269" s="5">
        <f>IF(($D$241-5)&lt;1,NA(),INDEX($D$259:$AD$259,($D$241-5)))</f>
        <v>0</v>
      </c>
      <c r="CM269" s="5">
        <f>IF(($D$241-4)&lt;1,NA(),INDEX($D$259:$AD$259,($D$241-4)))</f>
        <v>0</v>
      </c>
      <c r="CN269" s="5">
        <f>IF(($D$241-3)&lt;1,NA(),INDEX($D$259:$AD$259,($D$241-3)))</f>
        <v>0</v>
      </c>
      <c r="CO269" s="5">
        <f>IF(($D$241-2)&lt;1,NA(),INDEX($D$259:$AD$259,($D$241-2)))</f>
        <v>0</v>
      </c>
      <c r="CP269" s="5">
        <f>IF(($D$241-1)&lt;1,NA(),INDEX($D$259:$AD$259,($D$241-1)))</f>
        <v>0</v>
      </c>
      <c r="CQ269" s="5">
        <f>IF(($D$241-0)&lt;1,NA(),INDEX($D$259:$AD$259,($D$241-0)))</f>
        <v>0</v>
      </c>
    </row>
    <row r="270" spans="1:95">
      <c r="A270" s="11" t="s">
        <v>607</v>
      </c>
      <c r="B270" s="11" t="s">
        <v>608</v>
      </c>
      <c r="C270" s="3" t="s">
        <v>398</v>
      </c>
      <c r="BR270" s="5">
        <f>IF(($D$241-25)&lt;1,NA(),INDEX($D$260:$AD$260,($D$241-25)))</f>
        <v>0</v>
      </c>
      <c r="BS270" s="5">
        <f>IF(($D$241-24)&lt;1,NA(),INDEX($D$260:$AD$260,($D$241-24)))</f>
        <v>0</v>
      </c>
      <c r="BT270" s="5">
        <f>IF(($D$241-23)&lt;1,NA(),INDEX($D$260:$AD$260,($D$241-23)))</f>
        <v>0</v>
      </c>
      <c r="BU270" s="5">
        <f>IF(($D$241-22)&lt;1,NA(),INDEX($D$260:$AD$260,($D$241-22)))</f>
        <v>0</v>
      </c>
      <c r="BV270" s="5">
        <f>IF(($D$241-21)&lt;1,NA(),INDEX($D$260:$AD$260,($D$241-21)))</f>
        <v>0</v>
      </c>
      <c r="BW270" s="5">
        <f>IF(($D$241-20)&lt;1,NA(),INDEX($D$260:$AD$260,($D$241-20)))</f>
        <v>0</v>
      </c>
      <c r="BX270" s="5">
        <f>IF(($D$241-19)&lt;1,NA(),INDEX($D$260:$AD$260,($D$241-19)))</f>
        <v>0</v>
      </c>
      <c r="BY270" s="5">
        <f>IF(($D$241-18)&lt;1,NA(),INDEX($D$260:$AD$260,($D$241-18)))</f>
        <v>0</v>
      </c>
      <c r="BZ270" s="5">
        <f>IF(($D$241-17)&lt;1,NA(),INDEX($D$260:$AD$260,($D$241-17)))</f>
        <v>0</v>
      </c>
      <c r="CA270" s="5">
        <f>IF(($D$241-16)&lt;1,NA(),INDEX($D$260:$AD$260,($D$241-16)))</f>
        <v>0</v>
      </c>
      <c r="CB270" s="5">
        <f>IF(($D$241-15)&lt;1,NA(),INDEX($D$260:$AD$260,($D$241-15)))</f>
        <v>0</v>
      </c>
      <c r="CC270" s="5">
        <f>IF(($D$241-14)&lt;1,NA(),INDEX($D$260:$AD$260,($D$241-14)))</f>
        <v>0</v>
      </c>
      <c r="CD270" s="5">
        <f>IF(($D$241-13)&lt;1,NA(),INDEX($D$260:$AD$260,($D$241-13)))</f>
        <v>0</v>
      </c>
      <c r="CE270" s="5">
        <f>IF(($D$241-12)&lt;1,NA(),INDEX($D$260:$AD$260,($D$241-12)))</f>
        <v>0</v>
      </c>
      <c r="CF270" s="5">
        <f>IF(($D$241-11)&lt;1,NA(),INDEX($D$260:$AD$260,($D$241-11)))</f>
        <v>0</v>
      </c>
      <c r="CG270" s="5">
        <f>IF(($D$241-10)&lt;1,NA(),INDEX($D$260:$AD$260,($D$241-10)))</f>
        <v>0</v>
      </c>
      <c r="CH270" s="5">
        <f>IF(($D$241-9)&lt;1,NA(),INDEX($D$260:$AD$260,($D$241-9)))</f>
        <v>0</v>
      </c>
      <c r="CI270" s="5">
        <f>IF(($D$241-8)&lt;1,NA(),INDEX($D$260:$AD$260,($D$241-8)))</f>
        <v>0</v>
      </c>
      <c r="CJ270" s="5">
        <f>IF(($D$241-7)&lt;1,NA(),INDEX($D$260:$AD$260,($D$241-7)))</f>
        <v>0</v>
      </c>
      <c r="CK270" s="5">
        <f>IF(($D$241-6)&lt;1,NA(),INDEX($D$260:$AD$260,($D$241-6)))</f>
        <v>0</v>
      </c>
      <c r="CL270" s="5">
        <f>IF(($D$241-5)&lt;1,NA(),INDEX($D$260:$AD$260,($D$241-5)))</f>
        <v>0</v>
      </c>
      <c r="CM270" s="5">
        <f>IF(($D$241-4)&lt;1,NA(),INDEX($D$260:$AD$260,($D$241-4)))</f>
        <v>0</v>
      </c>
      <c r="CN270" s="5">
        <f>IF(($D$241-3)&lt;1,NA(),INDEX($D$260:$AD$260,($D$241-3)))</f>
        <v>0</v>
      </c>
      <c r="CO270" s="5">
        <f>IF(($D$241-2)&lt;1,NA(),INDEX($D$260:$AD$260,($D$241-2)))</f>
        <v>0</v>
      </c>
      <c r="CP270" s="5">
        <f>IF(($D$241-1)&lt;1,NA(),INDEX($D$260:$AD$260,($D$241-1)))</f>
        <v>0</v>
      </c>
      <c r="CQ270" s="5">
        <f>IF(($D$241-0)&lt;1,NA(),INDEX($D$260:$AD$260,($D$241-0)))</f>
        <v>0</v>
      </c>
    </row>
    <row r="271" spans="1:95">
      <c r="A271" s="11" t="s">
        <v>609</v>
      </c>
      <c r="B271" s="11" t="s">
        <v>610</v>
      </c>
      <c r="C271" s="3" t="s">
        <v>398</v>
      </c>
      <c r="BR271" s="11">
        <f>IF(($D$241-25)&lt;1,"",INDEX($D$261:$AD$261,($D$241-25)))</f>
        <v>0</v>
      </c>
      <c r="BS271" s="11">
        <f>IF(($D$241-24)&lt;1,"",INDEX($D$261:$AD$261,($D$241-24)))</f>
        <v>0</v>
      </c>
      <c r="BT271" s="11">
        <f>IF(($D$241-23)&lt;1,"",INDEX($D$261:$AD$261,($D$241-23)))</f>
        <v>0</v>
      </c>
      <c r="BU271" s="11">
        <f>IF(($D$241-22)&lt;1,"",INDEX($D$261:$AD$261,($D$241-22)))</f>
        <v>0</v>
      </c>
      <c r="BV271" s="11">
        <f>IF(($D$241-21)&lt;1,"",INDEX($D$261:$AD$261,($D$241-21)))</f>
        <v>0</v>
      </c>
      <c r="BW271" s="11">
        <f>IF(($D$241-20)&lt;1,"",INDEX($D$261:$AD$261,($D$241-20)))</f>
        <v>0</v>
      </c>
      <c r="BX271" s="11">
        <f>IF(($D$241-19)&lt;1,"",INDEX($D$261:$AD$261,($D$241-19)))</f>
        <v>0</v>
      </c>
      <c r="BY271" s="11">
        <f>IF(($D$241-18)&lt;1,"",INDEX($D$261:$AD$261,($D$241-18)))</f>
        <v>0</v>
      </c>
      <c r="BZ271" s="11">
        <f>IF(($D$241-17)&lt;1,"",INDEX($D$261:$AD$261,($D$241-17)))</f>
        <v>0</v>
      </c>
      <c r="CA271" s="11">
        <f>IF(($D$241-16)&lt;1,"",INDEX($D$261:$AD$261,($D$241-16)))</f>
        <v>0</v>
      </c>
      <c r="CB271" s="11">
        <f>IF(($D$241-15)&lt;1,"",INDEX($D$261:$AD$261,($D$241-15)))</f>
        <v>0</v>
      </c>
      <c r="CC271" s="11">
        <f>IF(($D$241-14)&lt;1,"",INDEX($D$261:$AD$261,($D$241-14)))</f>
        <v>0</v>
      </c>
      <c r="CD271" s="11">
        <f>IF(($D$241-13)&lt;1,"",INDEX($D$261:$AD$261,($D$241-13)))</f>
        <v>0</v>
      </c>
      <c r="CE271" s="11">
        <f>IF(($D$241-12)&lt;1,"",INDEX($D$261:$AD$261,($D$241-12)))</f>
        <v>0</v>
      </c>
      <c r="CF271" s="11">
        <f>IF(($D$241-11)&lt;1,"",INDEX($D$261:$AD$261,($D$241-11)))</f>
        <v>0</v>
      </c>
      <c r="CG271" s="11">
        <f>IF(($D$241-10)&lt;1,"",INDEX($D$261:$AD$261,($D$241-10)))</f>
        <v>0</v>
      </c>
      <c r="CH271" s="11">
        <f>IF(($D$241-9)&lt;1,"",INDEX($D$261:$AD$261,($D$241-9)))</f>
        <v>0</v>
      </c>
      <c r="CI271" s="11">
        <f>IF(($D$241-8)&lt;1,"",INDEX($D$261:$AD$261,($D$241-8)))</f>
        <v>0</v>
      </c>
      <c r="CJ271" s="11">
        <f>IF(($D$241-7)&lt;1,"",INDEX($D$261:$AD$261,($D$241-7)))</f>
        <v>0</v>
      </c>
      <c r="CK271" s="11">
        <f>IF(($D$241-6)&lt;1,"",INDEX($D$261:$AD$261,($D$241-6)))</f>
        <v>0</v>
      </c>
      <c r="CL271" s="11">
        <f>IF(($D$241-5)&lt;1,"",INDEX($D$261:$AD$261,($D$241-5)))</f>
        <v>0</v>
      </c>
      <c r="CM271" s="11">
        <f>IF(($D$241-4)&lt;1,"",INDEX($D$261:$AD$261,($D$241-4)))</f>
        <v>0</v>
      </c>
      <c r="CN271" s="11">
        <f>IF(($D$241-3)&lt;1,"",INDEX($D$261:$AD$261,($D$241-3)))</f>
        <v>0</v>
      </c>
      <c r="CO271" s="11">
        <f>IF(($D$241-2)&lt;1,"",INDEX($D$261:$AD$261,($D$241-2)))</f>
        <v>0</v>
      </c>
      <c r="CP271" s="11">
        <f>IF(($D$241-1)&lt;1,"",INDEX($D$261:$AD$261,($D$241-1)))</f>
        <v>0</v>
      </c>
      <c r="CQ271" s="11">
        <f>IF(($D$241-0)&lt;1,"",INDEX($D$261:$AD$261,($D$241-0)))</f>
        <v>0</v>
      </c>
    </row>
    <row r="272" spans="1:95">
      <c r="A272" s="11" t="s">
        <v>611</v>
      </c>
      <c r="B272" s="11" t="s">
        <v>612</v>
      </c>
      <c r="C272" s="3" t="s">
        <v>137</v>
      </c>
      <c r="D272" s="5">
        <f>IF(MAX($D$273:$AD$273)=0,27,MAX($D$273:$AD$273))</f>
        <v>0</v>
      </c>
    </row>
    <row r="273" spans="1:95">
      <c r="A273" s="11" t="s">
        <v>613</v>
      </c>
      <c r="B273" s="11" t="s">
        <v>614</v>
      </c>
      <c r="C273" s="3" t="s">
        <v>137</v>
      </c>
      <c r="D273" s="5">
        <f>IF(OR(ISNUMBER(D29),ISNUMBER(D28),ISNUMBER(D27),ISNUMBER(D148),ISNUMBER(D30),ISNUMBER(D31)),1,0)</f>
        <v>0</v>
      </c>
      <c r="E273" s="5">
        <f>IF(OR(ISNUMBER(E29),ISNUMBER(E28),ISNUMBER(E27),ISNUMBER(E148),ISNUMBER(E30),ISNUMBER(E31)),2,0)</f>
        <v>0</v>
      </c>
      <c r="F273" s="5">
        <f>IF(OR(ISNUMBER(F29),ISNUMBER(F28),ISNUMBER(F27),ISNUMBER(F148),ISNUMBER(F30),ISNUMBER(F31)),3,0)</f>
        <v>0</v>
      </c>
      <c r="G273" s="5">
        <f>IF(OR(ISNUMBER(G29),ISNUMBER(G28),ISNUMBER(G27),ISNUMBER(G148),ISNUMBER(G30),ISNUMBER(G31)),4,0)</f>
        <v>0</v>
      </c>
      <c r="H273" s="5">
        <f>IF(OR(ISNUMBER(H29),ISNUMBER(H28),ISNUMBER(H27),ISNUMBER(H148),ISNUMBER(H30),ISNUMBER(H31)),5,0)</f>
        <v>0</v>
      </c>
      <c r="I273" s="5">
        <f>IF(OR(ISNUMBER(I29),ISNUMBER(I28),ISNUMBER(I27),ISNUMBER(I148),ISNUMBER(I30),ISNUMBER(I31)),6,0)</f>
        <v>0</v>
      </c>
      <c r="J273" s="5">
        <f>IF(OR(ISNUMBER(J29),ISNUMBER(J28),ISNUMBER(J27),ISNUMBER(J148),ISNUMBER(J30),ISNUMBER(J31)),7,0)</f>
        <v>0</v>
      </c>
      <c r="K273" s="5">
        <f>IF(OR(ISNUMBER(K29),ISNUMBER(K28),ISNUMBER(K27),ISNUMBER(K148),ISNUMBER(K30),ISNUMBER(K31)),8,0)</f>
        <v>0</v>
      </c>
      <c r="L273" s="5">
        <f>IF(OR(ISNUMBER(L29),ISNUMBER(L28),ISNUMBER(L27),ISNUMBER(L148),ISNUMBER(L30),ISNUMBER(L31)),9,0)</f>
        <v>0</v>
      </c>
      <c r="M273" s="5">
        <f>IF(OR(ISNUMBER(M29),ISNUMBER(M28),ISNUMBER(M27),ISNUMBER(M148),ISNUMBER(M30),ISNUMBER(M31)),10,0)</f>
        <v>0</v>
      </c>
      <c r="N273" s="5">
        <f>IF(OR(ISNUMBER(N29),ISNUMBER(N28),ISNUMBER(N27),ISNUMBER(N148),ISNUMBER(N30),ISNUMBER(N31)),11,0)</f>
        <v>0</v>
      </c>
      <c r="O273" s="5">
        <f>IF(OR(ISNUMBER(O29),ISNUMBER(O28),ISNUMBER(O27),ISNUMBER(O148),ISNUMBER(O30),ISNUMBER(O31)),12,0)</f>
        <v>0</v>
      </c>
      <c r="P273" s="5">
        <f>IF(OR(ISNUMBER(P29),ISNUMBER(P28),ISNUMBER(P27),ISNUMBER(P148),ISNUMBER(P30),ISNUMBER(P31)),13,0)</f>
        <v>0</v>
      </c>
      <c r="Q273" s="5">
        <f>IF(OR(ISNUMBER(Q29),ISNUMBER(Q28),ISNUMBER(Q27),ISNUMBER(Q148),ISNUMBER(Q30),ISNUMBER(Q31)),14,0)</f>
        <v>0</v>
      </c>
      <c r="R273" s="5">
        <f>IF(OR(ISNUMBER(R29),ISNUMBER(R28),ISNUMBER(R27),ISNUMBER(R148),ISNUMBER(R30),ISNUMBER(R31)),15,0)</f>
        <v>0</v>
      </c>
      <c r="S273" s="5">
        <f>IF(OR(ISNUMBER(S29),ISNUMBER(S28),ISNUMBER(S27),ISNUMBER(S148),ISNUMBER(S30),ISNUMBER(S31)),16,0)</f>
        <v>0</v>
      </c>
      <c r="T273" s="5">
        <f>IF(OR(ISNUMBER(T29),ISNUMBER(T28),ISNUMBER(T27),ISNUMBER(T148),ISNUMBER(T30),ISNUMBER(T31)),17,0)</f>
        <v>0</v>
      </c>
      <c r="U273" s="5">
        <f>IF(OR(ISNUMBER(U29),ISNUMBER(U28),ISNUMBER(U27),ISNUMBER(U148),ISNUMBER(U30),ISNUMBER(U31)),18,0)</f>
        <v>0</v>
      </c>
      <c r="V273" s="5">
        <f>IF(OR(ISNUMBER(V29),ISNUMBER(V28),ISNUMBER(V27),ISNUMBER(V148),ISNUMBER(V30),ISNUMBER(V31)),19,0)</f>
        <v>0</v>
      </c>
      <c r="W273" s="5">
        <f>IF(OR(ISNUMBER(W29),ISNUMBER(W28),ISNUMBER(W27),ISNUMBER(W148),ISNUMBER(W30),ISNUMBER(W31)),20,0)</f>
        <v>0</v>
      </c>
      <c r="X273" s="5">
        <f>IF(OR(ISNUMBER(X29),ISNUMBER(X28),ISNUMBER(X27),ISNUMBER(X148),ISNUMBER(X30),ISNUMBER(X31)),21,0)</f>
        <v>0</v>
      </c>
      <c r="Y273" s="5">
        <f>IF(OR(ISNUMBER(Y29),ISNUMBER(Y28),ISNUMBER(Y27),ISNUMBER(Y148),ISNUMBER(Y30),ISNUMBER(Y31)),22,0)</f>
        <v>0</v>
      </c>
      <c r="Z273" s="5">
        <f>IF(OR(ISNUMBER(Z29),ISNUMBER(Z28),ISNUMBER(Z27),ISNUMBER(Z148),ISNUMBER(Z30),ISNUMBER(Z31)),23,0)</f>
        <v>0</v>
      </c>
      <c r="AA273" s="5">
        <f>IF(OR(ISNUMBER(AA29),ISNUMBER(AA28),ISNUMBER(AA27),ISNUMBER(AA148),ISNUMBER(AA30),ISNUMBER(AA31)),24,0)</f>
        <v>0</v>
      </c>
      <c r="AB273" s="5">
        <f>IF(OR(ISNUMBER(AB29),ISNUMBER(AB28),ISNUMBER(AB27),ISNUMBER(AB148),ISNUMBER(AB30),ISNUMBER(AB31)),25,0)</f>
        <v>0</v>
      </c>
      <c r="AC273" s="5">
        <f>IF(OR(ISNUMBER(AC29),ISNUMBER(AC28),ISNUMBER(AC27),ISNUMBER(AC148),ISNUMBER(AC30),ISNUMBER(AC31)),26,0)</f>
        <v>0</v>
      </c>
      <c r="AD273" s="5">
        <f>IF(OR(ISNUMBER(AD29),ISNUMBER(AD28),ISNUMBER(AD27),ISNUMBER(AD148),ISNUMBER(AD30),ISNUMBER(AD31)),27,0)</f>
        <v>0</v>
      </c>
    </row>
    <row r="274" spans="1:95">
      <c r="A274" s="11" t="s">
        <v>615</v>
      </c>
      <c r="B274" s="11" t="s">
        <v>616</v>
      </c>
      <c r="C274" s="3" t="s">
        <v>387</v>
      </c>
      <c r="D274" s="80">
        <f>IF(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gt;0,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INDEX($D$4:$AD$4,$D$272))</f>
        <v>0</v>
      </c>
      <c r="E274" s="11">
        <f>"Stand: "&amp;TEXT(DAY($D$274),"00")&amp;"."&amp;TEXT(MONTH($D$274),"00")&amp;"."&amp;RIGHT(YEAR($D$274),2)</f>
        <v>0</v>
      </c>
      <c r="F274" s="11">
        <f>"Stand:"&amp;CHAR(10)&amp;TEXT(DAY($D$274),"00")&amp;"."&amp;TEXT(MONTH($D$274),"00")&amp;"."&amp;RIGHT(YEAR($D$274),2)</f>
        <v>0</v>
      </c>
    </row>
    <row r="275" spans="1:95">
      <c r="A275" s="11" t="s">
        <v>617</v>
      </c>
      <c r="B275" s="11" t="s">
        <v>618</v>
      </c>
      <c r="C275" s="3" t="s">
        <v>398</v>
      </c>
      <c r="BR275" s="11">
        <f>IF(($D$272-25)&lt;1,"",INDEX($D$3:$AD$3,($D$272-25)))</f>
        <v>0</v>
      </c>
      <c r="BS275" s="11">
        <f>IF(($D$272-24)&lt;1,"",INDEX($D$3:$AD$3,($D$272-24)))</f>
        <v>0</v>
      </c>
      <c r="BT275" s="11">
        <f>IF(($D$272-23)&lt;1,"",INDEX($D$3:$AD$3,($D$272-23)))</f>
        <v>0</v>
      </c>
      <c r="BU275" s="11">
        <f>IF(($D$272-22)&lt;1,"",INDEX($D$3:$AD$3,($D$272-22)))</f>
        <v>0</v>
      </c>
      <c r="BV275" s="11">
        <f>IF(($D$272-21)&lt;1,"",INDEX($D$3:$AD$3,($D$272-21)))</f>
        <v>0</v>
      </c>
      <c r="BW275" s="11">
        <f>IF(($D$272-20)&lt;1,"",INDEX($D$3:$AD$3,($D$272-20)))</f>
        <v>0</v>
      </c>
      <c r="BX275" s="11">
        <f>IF(($D$272-19)&lt;1,"",INDEX($D$3:$AD$3,($D$272-19)))</f>
        <v>0</v>
      </c>
      <c r="BY275" s="11">
        <f>IF(($D$272-18)&lt;1,"",INDEX($D$3:$AD$3,($D$272-18)))</f>
        <v>0</v>
      </c>
      <c r="BZ275" s="11">
        <f>IF(($D$272-17)&lt;1,"",INDEX($D$3:$AD$3,($D$272-17)))</f>
        <v>0</v>
      </c>
      <c r="CA275" s="11">
        <f>IF(($D$272-16)&lt;1,"",INDEX($D$3:$AD$3,($D$272-16)))</f>
        <v>0</v>
      </c>
      <c r="CB275" s="11">
        <f>IF(($D$272-15)&lt;1,"",INDEX($D$3:$AD$3,($D$272-15)))</f>
        <v>0</v>
      </c>
      <c r="CC275" s="11">
        <f>IF(($D$272-14)&lt;1,"",INDEX($D$3:$AD$3,($D$272-14)))</f>
        <v>0</v>
      </c>
      <c r="CD275" s="11">
        <f>IF(($D$272-13)&lt;1,"",INDEX($D$3:$AD$3,($D$272-13)))</f>
        <v>0</v>
      </c>
      <c r="CE275" s="11">
        <f>IF(($D$272-12)&lt;1,"",INDEX($D$3:$AD$3,($D$272-12)))</f>
        <v>0</v>
      </c>
      <c r="CF275" s="11">
        <f>IF(($D$272-11)&lt;1,"",INDEX($D$3:$AD$3,($D$272-11)))</f>
        <v>0</v>
      </c>
      <c r="CG275" s="11">
        <f>IF(($D$272-10)&lt;1,"",INDEX($D$3:$AD$3,($D$272-10)))</f>
        <v>0</v>
      </c>
      <c r="CH275" s="11">
        <f>IF(($D$272-9)&lt;1,"",INDEX($D$3:$AD$3,($D$272-9)))</f>
        <v>0</v>
      </c>
      <c r="CI275" s="11">
        <f>IF(($D$272-8)&lt;1,"",INDEX($D$3:$AD$3,($D$272-8)))</f>
        <v>0</v>
      </c>
      <c r="CJ275" s="11">
        <f>IF(($D$272-7)&lt;1,"",INDEX($D$3:$AD$3,($D$272-7)))</f>
        <v>0</v>
      </c>
      <c r="CK275" s="11">
        <f>IF(($D$272-6)&lt;1,"",INDEX($D$3:$AD$3,($D$272-6)))</f>
        <v>0</v>
      </c>
      <c r="CL275" s="11">
        <f>IF(($D$272-5)&lt;1,"",INDEX($D$3:$AD$3,($D$272-5)))</f>
        <v>0</v>
      </c>
      <c r="CM275" s="11">
        <f>IF(($D$272-4)&lt;1,"",INDEX($D$3:$AD$3,($D$272-4)))</f>
        <v>0</v>
      </c>
      <c r="CN275" s="11">
        <f>IF(($D$272-3)&lt;1,"",INDEX($D$3:$AD$3,($D$272-3)))</f>
        <v>0</v>
      </c>
      <c r="CO275" s="11">
        <f>IF(($D$272-2)&lt;1,"",INDEX($D$3:$AD$3,($D$272-2)))</f>
        <v>0</v>
      </c>
      <c r="CP275" s="11">
        <f>IF(($D$272-1)&lt;1,"",INDEX($D$3:$AD$3,($D$272-1)))</f>
        <v>0</v>
      </c>
      <c r="CQ275" s="11">
        <f>IF(($D$272-0)&lt;1,"",INDEX($D$3:$AD$3,($D$272-0)))</f>
        <v>0</v>
      </c>
    </row>
    <row r="276" spans="1:95">
      <c r="A276" s="11" t="s">
        <v>619</v>
      </c>
      <c r="B276" s="11" t="s">
        <v>620</v>
      </c>
      <c r="C276" s="3" t="s">
        <v>398</v>
      </c>
      <c r="BR276" s="5">
        <f>IF(($D$272-25)&lt;1,NA(),INDEX($D$29:$AD$29,($D$272-25)))</f>
        <v>0</v>
      </c>
      <c r="BS276" s="5">
        <f>IF(($D$272-24)&lt;1,NA(),INDEX($D$29:$AD$29,($D$272-24)))</f>
        <v>0</v>
      </c>
      <c r="BT276" s="5">
        <f>IF(($D$272-23)&lt;1,NA(),INDEX($D$29:$AD$29,($D$272-23)))</f>
        <v>0</v>
      </c>
      <c r="BU276" s="5">
        <f>IF(($D$272-22)&lt;1,NA(),INDEX($D$29:$AD$29,($D$272-22)))</f>
        <v>0</v>
      </c>
      <c r="BV276" s="5">
        <f>IF(($D$272-21)&lt;1,NA(),INDEX($D$29:$AD$29,($D$272-21)))</f>
        <v>0</v>
      </c>
      <c r="BW276" s="5">
        <f>IF(($D$272-20)&lt;1,NA(),INDEX($D$29:$AD$29,($D$272-20)))</f>
        <v>0</v>
      </c>
      <c r="BX276" s="5">
        <f>IF(($D$272-19)&lt;1,NA(),INDEX($D$29:$AD$29,($D$272-19)))</f>
        <v>0</v>
      </c>
      <c r="BY276" s="5">
        <f>IF(($D$272-18)&lt;1,NA(),INDEX($D$29:$AD$29,($D$272-18)))</f>
        <v>0</v>
      </c>
      <c r="BZ276" s="5">
        <f>IF(($D$272-17)&lt;1,NA(),INDEX($D$29:$AD$29,($D$272-17)))</f>
        <v>0</v>
      </c>
      <c r="CA276" s="5">
        <f>IF(($D$272-16)&lt;1,NA(),INDEX($D$29:$AD$29,($D$272-16)))</f>
        <v>0</v>
      </c>
      <c r="CB276" s="5">
        <f>IF(($D$272-15)&lt;1,NA(),INDEX($D$29:$AD$29,($D$272-15)))</f>
        <v>0</v>
      </c>
      <c r="CC276" s="5">
        <f>IF(($D$272-14)&lt;1,NA(),INDEX($D$29:$AD$29,($D$272-14)))</f>
        <v>0</v>
      </c>
      <c r="CD276" s="5">
        <f>IF(($D$272-13)&lt;1,NA(),INDEX($D$29:$AD$29,($D$272-13)))</f>
        <v>0</v>
      </c>
      <c r="CE276" s="5">
        <f>IF(($D$272-12)&lt;1,NA(),INDEX($D$29:$AD$29,($D$272-12)))</f>
        <v>0</v>
      </c>
      <c r="CF276" s="5">
        <f>IF(($D$272-11)&lt;1,NA(),INDEX($D$29:$AD$29,($D$272-11)))</f>
        <v>0</v>
      </c>
      <c r="CG276" s="5">
        <f>IF(($D$272-10)&lt;1,NA(),INDEX($D$29:$AD$29,($D$272-10)))</f>
        <v>0</v>
      </c>
      <c r="CH276" s="5">
        <f>IF(($D$272-9)&lt;1,NA(),INDEX($D$29:$AD$29,($D$272-9)))</f>
        <v>0</v>
      </c>
      <c r="CI276" s="5">
        <f>IF(($D$272-8)&lt;1,NA(),INDEX($D$29:$AD$29,($D$272-8)))</f>
        <v>0</v>
      </c>
      <c r="CJ276" s="5">
        <f>IF(($D$272-7)&lt;1,NA(),INDEX($D$29:$AD$29,($D$272-7)))</f>
        <v>0</v>
      </c>
      <c r="CK276" s="5">
        <f>IF(($D$272-6)&lt;1,NA(),INDEX($D$29:$AD$29,($D$272-6)))</f>
        <v>0</v>
      </c>
      <c r="CL276" s="5">
        <f>IF(($D$272-5)&lt;1,NA(),INDEX($D$29:$AD$29,($D$272-5)))</f>
        <v>0</v>
      </c>
      <c r="CM276" s="5">
        <f>IF(($D$272-4)&lt;1,NA(),INDEX($D$29:$AD$29,($D$272-4)))</f>
        <v>0</v>
      </c>
      <c r="CN276" s="5">
        <f>IF(($D$272-3)&lt;1,NA(),INDEX($D$29:$AD$29,($D$272-3)))</f>
        <v>0</v>
      </c>
      <c r="CO276" s="5">
        <f>IF(($D$272-2)&lt;1,NA(),INDEX($D$29:$AD$29,($D$272-2)))</f>
        <v>0</v>
      </c>
      <c r="CP276" s="5">
        <f>IF(($D$272-1)&lt;1,NA(),INDEX($D$29:$AD$29,($D$272-1)))</f>
        <v>0</v>
      </c>
      <c r="CQ276" s="5">
        <f>IF(($D$272-0)&lt;1,NA(),INDEX($D$29:$AD$29,($D$272-0)))</f>
        <v>0</v>
      </c>
    </row>
    <row r="277" spans="1:95">
      <c r="A277" s="11" t="s">
        <v>621</v>
      </c>
      <c r="B277" s="11" t="s">
        <v>622</v>
      </c>
      <c r="C277" s="3" t="s">
        <v>398</v>
      </c>
      <c r="BR277" s="5">
        <f>IF(($D$272-25)&lt;1,NA(),INDEX($D$28:$AD$28,($D$272-25)))</f>
        <v>0</v>
      </c>
      <c r="BS277" s="5">
        <f>IF(($D$272-24)&lt;1,NA(),INDEX($D$28:$AD$28,($D$272-24)))</f>
        <v>0</v>
      </c>
      <c r="BT277" s="5">
        <f>IF(($D$272-23)&lt;1,NA(),INDEX($D$28:$AD$28,($D$272-23)))</f>
        <v>0</v>
      </c>
      <c r="BU277" s="5">
        <f>IF(($D$272-22)&lt;1,NA(),INDEX($D$28:$AD$28,($D$272-22)))</f>
        <v>0</v>
      </c>
      <c r="BV277" s="5">
        <f>IF(($D$272-21)&lt;1,NA(),INDEX($D$28:$AD$28,($D$272-21)))</f>
        <v>0</v>
      </c>
      <c r="BW277" s="5">
        <f>IF(($D$272-20)&lt;1,NA(),INDEX($D$28:$AD$28,($D$272-20)))</f>
        <v>0</v>
      </c>
      <c r="BX277" s="5">
        <f>IF(($D$272-19)&lt;1,NA(),INDEX($D$28:$AD$28,($D$272-19)))</f>
        <v>0</v>
      </c>
      <c r="BY277" s="5">
        <f>IF(($D$272-18)&lt;1,NA(),INDEX($D$28:$AD$28,($D$272-18)))</f>
        <v>0</v>
      </c>
      <c r="BZ277" s="5">
        <f>IF(($D$272-17)&lt;1,NA(),INDEX($D$28:$AD$28,($D$272-17)))</f>
        <v>0</v>
      </c>
      <c r="CA277" s="5">
        <f>IF(($D$272-16)&lt;1,NA(),INDEX($D$28:$AD$28,($D$272-16)))</f>
        <v>0</v>
      </c>
      <c r="CB277" s="5">
        <f>IF(($D$272-15)&lt;1,NA(),INDEX($D$28:$AD$28,($D$272-15)))</f>
        <v>0</v>
      </c>
      <c r="CC277" s="5">
        <f>IF(($D$272-14)&lt;1,NA(),INDEX($D$28:$AD$28,($D$272-14)))</f>
        <v>0</v>
      </c>
      <c r="CD277" s="5">
        <f>IF(($D$272-13)&lt;1,NA(),INDEX($D$28:$AD$28,($D$272-13)))</f>
        <v>0</v>
      </c>
      <c r="CE277" s="5">
        <f>IF(($D$272-12)&lt;1,NA(),INDEX($D$28:$AD$28,($D$272-12)))</f>
        <v>0</v>
      </c>
      <c r="CF277" s="5">
        <f>IF(($D$272-11)&lt;1,NA(),INDEX($D$28:$AD$28,($D$272-11)))</f>
        <v>0</v>
      </c>
      <c r="CG277" s="5">
        <f>IF(($D$272-10)&lt;1,NA(),INDEX($D$28:$AD$28,($D$272-10)))</f>
        <v>0</v>
      </c>
      <c r="CH277" s="5">
        <f>IF(($D$272-9)&lt;1,NA(),INDEX($D$28:$AD$28,($D$272-9)))</f>
        <v>0</v>
      </c>
      <c r="CI277" s="5">
        <f>IF(($D$272-8)&lt;1,NA(),INDEX($D$28:$AD$28,($D$272-8)))</f>
        <v>0</v>
      </c>
      <c r="CJ277" s="5">
        <f>IF(($D$272-7)&lt;1,NA(),INDEX($D$28:$AD$28,($D$272-7)))</f>
        <v>0</v>
      </c>
      <c r="CK277" s="5">
        <f>IF(($D$272-6)&lt;1,NA(),INDEX($D$28:$AD$28,($D$272-6)))</f>
        <v>0</v>
      </c>
      <c r="CL277" s="5">
        <f>IF(($D$272-5)&lt;1,NA(),INDEX($D$28:$AD$28,($D$272-5)))</f>
        <v>0</v>
      </c>
      <c r="CM277" s="5">
        <f>IF(($D$272-4)&lt;1,NA(),INDEX($D$28:$AD$28,($D$272-4)))</f>
        <v>0</v>
      </c>
      <c r="CN277" s="5">
        <f>IF(($D$272-3)&lt;1,NA(),INDEX($D$28:$AD$28,($D$272-3)))</f>
        <v>0</v>
      </c>
      <c r="CO277" s="5">
        <f>IF(($D$272-2)&lt;1,NA(),INDEX($D$28:$AD$28,($D$272-2)))</f>
        <v>0</v>
      </c>
      <c r="CP277" s="5">
        <f>IF(($D$272-1)&lt;1,NA(),INDEX($D$28:$AD$28,($D$272-1)))</f>
        <v>0</v>
      </c>
      <c r="CQ277" s="5">
        <f>IF(($D$272-0)&lt;1,NA(),INDEX($D$28:$AD$28,($D$272-0)))</f>
        <v>0</v>
      </c>
    </row>
    <row r="278" spans="1:95">
      <c r="A278" s="11" t="s">
        <v>623</v>
      </c>
      <c r="B278" s="11" t="s">
        <v>624</v>
      </c>
      <c r="C278" s="3" t="s">
        <v>398</v>
      </c>
      <c r="BR278" s="5">
        <f>IF(($D$272-25)&lt;1,NA(),INDEX($D$27:$AD$27,($D$272-25)))</f>
        <v>0</v>
      </c>
      <c r="BS278" s="5">
        <f>IF(($D$272-24)&lt;1,NA(),INDEX($D$27:$AD$27,($D$272-24)))</f>
        <v>0</v>
      </c>
      <c r="BT278" s="5">
        <f>IF(($D$272-23)&lt;1,NA(),INDEX($D$27:$AD$27,($D$272-23)))</f>
        <v>0</v>
      </c>
      <c r="BU278" s="5">
        <f>IF(($D$272-22)&lt;1,NA(),INDEX($D$27:$AD$27,($D$272-22)))</f>
        <v>0</v>
      </c>
      <c r="BV278" s="5">
        <f>IF(($D$272-21)&lt;1,NA(),INDEX($D$27:$AD$27,($D$272-21)))</f>
        <v>0</v>
      </c>
      <c r="BW278" s="5">
        <f>IF(($D$272-20)&lt;1,NA(),INDEX($D$27:$AD$27,($D$272-20)))</f>
        <v>0</v>
      </c>
      <c r="BX278" s="5">
        <f>IF(($D$272-19)&lt;1,NA(),INDEX($D$27:$AD$27,($D$272-19)))</f>
        <v>0</v>
      </c>
      <c r="BY278" s="5">
        <f>IF(($D$272-18)&lt;1,NA(),INDEX($D$27:$AD$27,($D$272-18)))</f>
        <v>0</v>
      </c>
      <c r="BZ278" s="5">
        <f>IF(($D$272-17)&lt;1,NA(),INDEX($D$27:$AD$27,($D$272-17)))</f>
        <v>0</v>
      </c>
      <c r="CA278" s="5">
        <f>IF(($D$272-16)&lt;1,NA(),INDEX($D$27:$AD$27,($D$272-16)))</f>
        <v>0</v>
      </c>
      <c r="CB278" s="5">
        <f>IF(($D$272-15)&lt;1,NA(),INDEX($D$27:$AD$27,($D$272-15)))</f>
        <v>0</v>
      </c>
      <c r="CC278" s="5">
        <f>IF(($D$272-14)&lt;1,NA(),INDEX($D$27:$AD$27,($D$272-14)))</f>
        <v>0</v>
      </c>
      <c r="CD278" s="5">
        <f>IF(($D$272-13)&lt;1,NA(),INDEX($D$27:$AD$27,($D$272-13)))</f>
        <v>0</v>
      </c>
      <c r="CE278" s="5">
        <f>IF(($D$272-12)&lt;1,NA(),INDEX($D$27:$AD$27,($D$272-12)))</f>
        <v>0</v>
      </c>
      <c r="CF278" s="5">
        <f>IF(($D$272-11)&lt;1,NA(),INDEX($D$27:$AD$27,($D$272-11)))</f>
        <v>0</v>
      </c>
      <c r="CG278" s="5">
        <f>IF(($D$272-10)&lt;1,NA(),INDEX($D$27:$AD$27,($D$272-10)))</f>
        <v>0</v>
      </c>
      <c r="CH278" s="5">
        <f>IF(($D$272-9)&lt;1,NA(),INDEX($D$27:$AD$27,($D$272-9)))</f>
        <v>0</v>
      </c>
      <c r="CI278" s="5">
        <f>IF(($D$272-8)&lt;1,NA(),INDEX($D$27:$AD$27,($D$272-8)))</f>
        <v>0</v>
      </c>
      <c r="CJ278" s="5">
        <f>IF(($D$272-7)&lt;1,NA(),INDEX($D$27:$AD$27,($D$272-7)))</f>
        <v>0</v>
      </c>
      <c r="CK278" s="5">
        <f>IF(($D$272-6)&lt;1,NA(),INDEX($D$27:$AD$27,($D$272-6)))</f>
        <v>0</v>
      </c>
      <c r="CL278" s="5">
        <f>IF(($D$272-5)&lt;1,NA(),INDEX($D$27:$AD$27,($D$272-5)))</f>
        <v>0</v>
      </c>
      <c r="CM278" s="5">
        <f>IF(($D$272-4)&lt;1,NA(),INDEX($D$27:$AD$27,($D$272-4)))</f>
        <v>0</v>
      </c>
      <c r="CN278" s="5">
        <f>IF(($D$272-3)&lt;1,NA(),INDEX($D$27:$AD$27,($D$272-3)))</f>
        <v>0</v>
      </c>
      <c r="CO278" s="5">
        <f>IF(($D$272-2)&lt;1,NA(),INDEX($D$27:$AD$27,($D$272-2)))</f>
        <v>0</v>
      </c>
      <c r="CP278" s="5">
        <f>IF(($D$272-1)&lt;1,NA(),INDEX($D$27:$AD$27,($D$272-1)))</f>
        <v>0</v>
      </c>
      <c r="CQ278" s="5">
        <f>IF(($D$272-0)&lt;1,NA(),INDEX($D$27:$AD$27,($D$272-0)))</f>
        <v>0</v>
      </c>
    </row>
    <row r="279" spans="1:95">
      <c r="A279" s="11" t="s">
        <v>625</v>
      </c>
      <c r="B279" s="11" t="s">
        <v>626</v>
      </c>
      <c r="C279" s="3" t="s">
        <v>398</v>
      </c>
      <c r="BR279" s="5">
        <f>IF(($D$272-25)&lt;1,NA(),INDEX($D$148:$AD$148,($D$272-25)))</f>
        <v>0</v>
      </c>
      <c r="BS279" s="5">
        <f>IF(($D$272-24)&lt;1,NA(),INDEX($D$148:$AD$148,($D$272-24)))</f>
        <v>0</v>
      </c>
      <c r="BT279" s="5">
        <f>IF(($D$272-23)&lt;1,NA(),INDEX($D$148:$AD$148,($D$272-23)))</f>
        <v>0</v>
      </c>
      <c r="BU279" s="5">
        <f>IF(($D$272-22)&lt;1,NA(),INDEX($D$148:$AD$148,($D$272-22)))</f>
        <v>0</v>
      </c>
      <c r="BV279" s="5">
        <f>IF(($D$272-21)&lt;1,NA(),INDEX($D$148:$AD$148,($D$272-21)))</f>
        <v>0</v>
      </c>
      <c r="BW279" s="5">
        <f>IF(($D$272-20)&lt;1,NA(),INDEX($D$148:$AD$148,($D$272-20)))</f>
        <v>0</v>
      </c>
      <c r="BX279" s="5">
        <f>IF(($D$272-19)&lt;1,NA(),INDEX($D$148:$AD$148,($D$272-19)))</f>
        <v>0</v>
      </c>
      <c r="BY279" s="5">
        <f>IF(($D$272-18)&lt;1,NA(),INDEX($D$148:$AD$148,($D$272-18)))</f>
        <v>0</v>
      </c>
      <c r="BZ279" s="5">
        <f>IF(($D$272-17)&lt;1,NA(),INDEX($D$148:$AD$148,($D$272-17)))</f>
        <v>0</v>
      </c>
      <c r="CA279" s="5">
        <f>IF(($D$272-16)&lt;1,NA(),INDEX($D$148:$AD$148,($D$272-16)))</f>
        <v>0</v>
      </c>
      <c r="CB279" s="5">
        <f>IF(($D$272-15)&lt;1,NA(),INDEX($D$148:$AD$148,($D$272-15)))</f>
        <v>0</v>
      </c>
      <c r="CC279" s="5">
        <f>IF(($D$272-14)&lt;1,NA(),INDEX($D$148:$AD$148,($D$272-14)))</f>
        <v>0</v>
      </c>
      <c r="CD279" s="5">
        <f>IF(($D$272-13)&lt;1,NA(),INDEX($D$148:$AD$148,($D$272-13)))</f>
        <v>0</v>
      </c>
      <c r="CE279" s="5">
        <f>IF(($D$272-12)&lt;1,NA(),INDEX($D$148:$AD$148,($D$272-12)))</f>
        <v>0</v>
      </c>
      <c r="CF279" s="5">
        <f>IF(($D$272-11)&lt;1,NA(),INDEX($D$148:$AD$148,($D$272-11)))</f>
        <v>0</v>
      </c>
      <c r="CG279" s="5">
        <f>IF(($D$272-10)&lt;1,NA(),INDEX($D$148:$AD$148,($D$272-10)))</f>
        <v>0</v>
      </c>
      <c r="CH279" s="5">
        <f>IF(($D$272-9)&lt;1,NA(),INDEX($D$148:$AD$148,($D$272-9)))</f>
        <v>0</v>
      </c>
      <c r="CI279" s="5">
        <f>IF(($D$272-8)&lt;1,NA(),INDEX($D$148:$AD$148,($D$272-8)))</f>
        <v>0</v>
      </c>
      <c r="CJ279" s="5">
        <f>IF(($D$272-7)&lt;1,NA(),INDEX($D$148:$AD$148,($D$272-7)))</f>
        <v>0</v>
      </c>
      <c r="CK279" s="5">
        <f>IF(($D$272-6)&lt;1,NA(),INDEX($D$148:$AD$148,($D$272-6)))</f>
        <v>0</v>
      </c>
      <c r="CL279" s="5">
        <f>IF(($D$272-5)&lt;1,NA(),INDEX($D$148:$AD$148,($D$272-5)))</f>
        <v>0</v>
      </c>
      <c r="CM279" s="5">
        <f>IF(($D$272-4)&lt;1,NA(),INDEX($D$148:$AD$148,($D$272-4)))</f>
        <v>0</v>
      </c>
      <c r="CN279" s="5">
        <f>IF(($D$272-3)&lt;1,NA(),INDEX($D$148:$AD$148,($D$272-3)))</f>
        <v>0</v>
      </c>
      <c r="CO279" s="5">
        <f>IF(($D$272-2)&lt;1,NA(),INDEX($D$148:$AD$148,($D$272-2)))</f>
        <v>0</v>
      </c>
      <c r="CP279" s="5">
        <f>IF(($D$272-1)&lt;1,NA(),INDEX($D$148:$AD$148,($D$272-1)))</f>
        <v>0</v>
      </c>
      <c r="CQ279" s="5">
        <f>IF(($D$272-0)&lt;1,NA(),INDEX($D$148:$AD$148,($D$272-0)))</f>
        <v>0</v>
      </c>
    </row>
    <row r="280" spans="1:95">
      <c r="A280" s="11" t="s">
        <v>627</v>
      </c>
      <c r="B280" s="11" t="s">
        <v>628</v>
      </c>
      <c r="C280" s="3" t="s">
        <v>398</v>
      </c>
      <c r="BR280" s="11">
        <f>IF(($D$272-25)&lt;1,"",INDEX($D$147:$AD$147,($D$272-25)))</f>
        <v>0</v>
      </c>
      <c r="BS280" s="11">
        <f>IF(($D$272-24)&lt;1,"",INDEX($D$147:$AD$147,($D$272-24)))</f>
        <v>0</v>
      </c>
      <c r="BT280" s="11">
        <f>IF(($D$272-23)&lt;1,"",INDEX($D$147:$AD$147,($D$272-23)))</f>
        <v>0</v>
      </c>
      <c r="BU280" s="11">
        <f>IF(($D$272-22)&lt;1,"",INDEX($D$147:$AD$147,($D$272-22)))</f>
        <v>0</v>
      </c>
      <c r="BV280" s="11">
        <f>IF(($D$272-21)&lt;1,"",INDEX($D$147:$AD$147,($D$272-21)))</f>
        <v>0</v>
      </c>
      <c r="BW280" s="11">
        <f>IF(($D$272-20)&lt;1,"",INDEX($D$147:$AD$147,($D$272-20)))</f>
        <v>0</v>
      </c>
      <c r="BX280" s="11">
        <f>IF(($D$272-19)&lt;1,"",INDEX($D$147:$AD$147,($D$272-19)))</f>
        <v>0</v>
      </c>
      <c r="BY280" s="11">
        <f>IF(($D$272-18)&lt;1,"",INDEX($D$147:$AD$147,($D$272-18)))</f>
        <v>0</v>
      </c>
      <c r="BZ280" s="11">
        <f>IF(($D$272-17)&lt;1,"",INDEX($D$147:$AD$147,($D$272-17)))</f>
        <v>0</v>
      </c>
      <c r="CA280" s="11">
        <f>IF(($D$272-16)&lt;1,"",INDEX($D$147:$AD$147,($D$272-16)))</f>
        <v>0</v>
      </c>
      <c r="CB280" s="11">
        <f>IF(($D$272-15)&lt;1,"",INDEX($D$147:$AD$147,($D$272-15)))</f>
        <v>0</v>
      </c>
      <c r="CC280" s="11">
        <f>IF(($D$272-14)&lt;1,"",INDEX($D$147:$AD$147,($D$272-14)))</f>
        <v>0</v>
      </c>
      <c r="CD280" s="11">
        <f>IF(($D$272-13)&lt;1,"",INDEX($D$147:$AD$147,($D$272-13)))</f>
        <v>0</v>
      </c>
      <c r="CE280" s="11">
        <f>IF(($D$272-12)&lt;1,"",INDEX($D$147:$AD$147,($D$272-12)))</f>
        <v>0</v>
      </c>
      <c r="CF280" s="11">
        <f>IF(($D$272-11)&lt;1,"",INDEX($D$147:$AD$147,($D$272-11)))</f>
        <v>0</v>
      </c>
      <c r="CG280" s="11">
        <f>IF(($D$272-10)&lt;1,"",INDEX($D$147:$AD$147,($D$272-10)))</f>
        <v>0</v>
      </c>
      <c r="CH280" s="11">
        <f>IF(($D$272-9)&lt;1,"",INDEX($D$147:$AD$147,($D$272-9)))</f>
        <v>0</v>
      </c>
      <c r="CI280" s="11">
        <f>IF(($D$272-8)&lt;1,"",INDEX($D$147:$AD$147,($D$272-8)))</f>
        <v>0</v>
      </c>
      <c r="CJ280" s="11">
        <f>IF(($D$272-7)&lt;1,"",INDEX($D$147:$AD$147,($D$272-7)))</f>
        <v>0</v>
      </c>
      <c r="CK280" s="11">
        <f>IF(($D$272-6)&lt;1,"",INDEX($D$147:$AD$147,($D$272-6)))</f>
        <v>0</v>
      </c>
      <c r="CL280" s="11">
        <f>IF(($D$272-5)&lt;1,"",INDEX($D$147:$AD$147,($D$272-5)))</f>
        <v>0</v>
      </c>
      <c r="CM280" s="11">
        <f>IF(($D$272-4)&lt;1,"",INDEX($D$147:$AD$147,($D$272-4)))</f>
        <v>0</v>
      </c>
      <c r="CN280" s="11">
        <f>IF(($D$272-3)&lt;1,"",INDEX($D$147:$AD$147,($D$272-3)))</f>
        <v>0</v>
      </c>
      <c r="CO280" s="11">
        <f>IF(($D$272-2)&lt;1,"",INDEX($D$147:$AD$147,($D$272-2)))</f>
        <v>0</v>
      </c>
      <c r="CP280" s="11">
        <f>IF(($D$272-1)&lt;1,"",INDEX($D$147:$AD$147,($D$272-1)))</f>
        <v>0</v>
      </c>
      <c r="CQ280" s="11">
        <f>IF(($D$272-0)&lt;1,"",INDEX($D$147:$AD$147,($D$272-0)))</f>
        <v>0</v>
      </c>
    </row>
    <row r="281" spans="1:95">
      <c r="A281" s="11" t="s">
        <v>629</v>
      </c>
      <c r="B281" s="11" t="s">
        <v>630</v>
      </c>
      <c r="C281" s="3" t="s">
        <v>134</v>
      </c>
      <c r="D281" s="5">
        <v>10</v>
      </c>
    </row>
    <row r="282" spans="1:95">
      <c r="A282" s="11" t="s">
        <v>631</v>
      </c>
      <c r="B282" s="11" t="s">
        <v>632</v>
      </c>
      <c r="C282" s="3" t="s">
        <v>137</v>
      </c>
      <c r="D282" s="5">
        <f>IF(ISNUMBER(D30),D30/MAX(1,_xlfn.AGGREGATE(4,6,INDEX($D$30:$AD$30,MAX(1,$D$272+1-$D$281)):INDEX($D$30:$AD$30,$D$272)),_xlfn.AGGREGATE(4,6,INDEX($D$31:$AD$31,MAX(1,$D$272+1-$D$281)):INDEX($D$31:$AD$31,$D$272))),NA())</f>
        <v>0</v>
      </c>
      <c r="E282" s="5">
        <f>IF(ISNUMBER(E30),E30/MAX(1,_xlfn.AGGREGATE(4,6,INDEX($D$30:$AD$30,MAX(1,$D$272+1-$D$281)):INDEX($D$30:$AD$30,$D$272)),_xlfn.AGGREGATE(4,6,INDEX($D$31:$AD$31,MAX(1,$D$272+1-$D$281)):INDEX($D$31:$AD$31,$D$272))),NA())</f>
        <v>0</v>
      </c>
      <c r="F282" s="5">
        <f>IF(ISNUMBER(F30),F30/MAX(1,_xlfn.AGGREGATE(4,6,INDEX($D$30:$AD$30,MAX(1,$D$272+1-$D$281)):INDEX($D$30:$AD$30,$D$272)),_xlfn.AGGREGATE(4,6,INDEX($D$31:$AD$31,MAX(1,$D$272+1-$D$281)):INDEX($D$31:$AD$31,$D$272))),NA())</f>
        <v>0</v>
      </c>
      <c r="G282" s="5">
        <f>IF(ISNUMBER(G30),G30/MAX(1,_xlfn.AGGREGATE(4,6,INDEX($D$30:$AD$30,MAX(1,$D$272+1-$D$281)):INDEX($D$30:$AD$30,$D$272)),_xlfn.AGGREGATE(4,6,INDEX($D$31:$AD$31,MAX(1,$D$272+1-$D$281)):INDEX($D$31:$AD$31,$D$272))),NA())</f>
        <v>0</v>
      </c>
      <c r="H282" s="5">
        <f>IF(ISNUMBER(H30),H30/MAX(1,_xlfn.AGGREGATE(4,6,INDEX($D$30:$AD$30,MAX(1,$D$272+1-$D$281)):INDEX($D$30:$AD$30,$D$272)),_xlfn.AGGREGATE(4,6,INDEX($D$31:$AD$31,MAX(1,$D$272+1-$D$281)):INDEX($D$31:$AD$31,$D$272))),NA())</f>
        <v>0</v>
      </c>
      <c r="I282" s="5">
        <f>IF(ISNUMBER(I30),I30/MAX(1,_xlfn.AGGREGATE(4,6,INDEX($D$30:$AD$30,MAX(1,$D$272+1-$D$281)):INDEX($D$30:$AD$30,$D$272)),_xlfn.AGGREGATE(4,6,INDEX($D$31:$AD$31,MAX(1,$D$272+1-$D$281)):INDEX($D$31:$AD$31,$D$272))),NA())</f>
        <v>0</v>
      </c>
      <c r="J282" s="5">
        <f>IF(ISNUMBER(J30),J30/MAX(1,_xlfn.AGGREGATE(4,6,INDEX($D$30:$AD$30,MAX(1,$D$272+1-$D$281)):INDEX($D$30:$AD$30,$D$272)),_xlfn.AGGREGATE(4,6,INDEX($D$31:$AD$31,MAX(1,$D$272+1-$D$281)):INDEX($D$31:$AD$31,$D$272))),NA())</f>
        <v>0</v>
      </c>
      <c r="K282" s="5">
        <f>IF(ISNUMBER(K30),K30/MAX(1,_xlfn.AGGREGATE(4,6,INDEX($D$30:$AD$30,MAX(1,$D$272+1-$D$281)):INDEX($D$30:$AD$30,$D$272)),_xlfn.AGGREGATE(4,6,INDEX($D$31:$AD$31,MAX(1,$D$272+1-$D$281)):INDEX($D$31:$AD$31,$D$272))),NA())</f>
        <v>0</v>
      </c>
      <c r="L282" s="5">
        <f>IF(ISNUMBER(L30),L30/MAX(1,_xlfn.AGGREGATE(4,6,INDEX($D$30:$AD$30,MAX(1,$D$272+1-$D$281)):INDEX($D$30:$AD$30,$D$272)),_xlfn.AGGREGATE(4,6,INDEX($D$31:$AD$31,MAX(1,$D$272+1-$D$281)):INDEX($D$31:$AD$31,$D$272))),NA())</f>
        <v>0</v>
      </c>
      <c r="M282" s="5">
        <f>IF(ISNUMBER(M30),M30/MAX(1,_xlfn.AGGREGATE(4,6,INDEX($D$30:$AD$30,MAX(1,$D$272+1-$D$281)):INDEX($D$30:$AD$30,$D$272)),_xlfn.AGGREGATE(4,6,INDEX($D$31:$AD$31,MAX(1,$D$272+1-$D$281)):INDEX($D$31:$AD$31,$D$272))),NA())</f>
        <v>0</v>
      </c>
      <c r="N282" s="5">
        <f>IF(ISNUMBER(N30),N30/MAX(1,_xlfn.AGGREGATE(4,6,INDEX($D$30:$AD$30,MAX(1,$D$272+1-$D$281)):INDEX($D$30:$AD$30,$D$272)),_xlfn.AGGREGATE(4,6,INDEX($D$31:$AD$31,MAX(1,$D$272+1-$D$281)):INDEX($D$31:$AD$31,$D$272))),NA())</f>
        <v>0</v>
      </c>
      <c r="O282" s="5">
        <f>IF(ISNUMBER(O30),O30/MAX(1,_xlfn.AGGREGATE(4,6,INDEX($D$30:$AD$30,MAX(1,$D$272+1-$D$281)):INDEX($D$30:$AD$30,$D$272)),_xlfn.AGGREGATE(4,6,INDEX($D$31:$AD$31,MAX(1,$D$272+1-$D$281)):INDEX($D$31:$AD$31,$D$272))),NA())</f>
        <v>0</v>
      </c>
      <c r="P282" s="5">
        <f>IF(ISNUMBER(P30),P30/MAX(1,_xlfn.AGGREGATE(4,6,INDEX($D$30:$AD$30,MAX(1,$D$272+1-$D$281)):INDEX($D$30:$AD$30,$D$272)),_xlfn.AGGREGATE(4,6,INDEX($D$31:$AD$31,MAX(1,$D$272+1-$D$281)):INDEX($D$31:$AD$31,$D$272))),NA())</f>
        <v>0</v>
      </c>
      <c r="Q282" s="5">
        <f>IF(ISNUMBER(Q30),Q30/MAX(1,_xlfn.AGGREGATE(4,6,INDEX($D$30:$AD$30,MAX(1,$D$272+1-$D$281)):INDEX($D$30:$AD$30,$D$272)),_xlfn.AGGREGATE(4,6,INDEX($D$31:$AD$31,MAX(1,$D$272+1-$D$281)):INDEX($D$31:$AD$31,$D$272))),NA())</f>
        <v>0</v>
      </c>
      <c r="R282" s="5">
        <f>IF(ISNUMBER(R30),R30/MAX(1,_xlfn.AGGREGATE(4,6,INDEX($D$30:$AD$30,MAX(1,$D$272+1-$D$281)):INDEX($D$30:$AD$30,$D$272)),_xlfn.AGGREGATE(4,6,INDEX($D$31:$AD$31,MAX(1,$D$272+1-$D$281)):INDEX($D$31:$AD$31,$D$272))),NA())</f>
        <v>0</v>
      </c>
      <c r="S282" s="5">
        <f>IF(ISNUMBER(S30),S30/MAX(1,_xlfn.AGGREGATE(4,6,INDEX($D$30:$AD$30,MAX(1,$D$272+1-$D$281)):INDEX($D$30:$AD$30,$D$272)),_xlfn.AGGREGATE(4,6,INDEX($D$31:$AD$31,MAX(1,$D$272+1-$D$281)):INDEX($D$31:$AD$31,$D$272))),NA())</f>
        <v>0</v>
      </c>
      <c r="T282" s="5">
        <f>IF(ISNUMBER(T30),T30/MAX(1,_xlfn.AGGREGATE(4,6,INDEX($D$30:$AD$30,MAX(1,$D$272+1-$D$281)):INDEX($D$30:$AD$30,$D$272)),_xlfn.AGGREGATE(4,6,INDEX($D$31:$AD$31,MAX(1,$D$272+1-$D$281)):INDEX($D$31:$AD$31,$D$272))),NA())</f>
        <v>0</v>
      </c>
      <c r="U282" s="5">
        <f>IF(ISNUMBER(U30),U30/MAX(1,_xlfn.AGGREGATE(4,6,INDEX($D$30:$AD$30,MAX(1,$D$272+1-$D$281)):INDEX($D$30:$AD$30,$D$272)),_xlfn.AGGREGATE(4,6,INDEX($D$31:$AD$31,MAX(1,$D$272+1-$D$281)):INDEX($D$31:$AD$31,$D$272))),NA())</f>
        <v>0</v>
      </c>
      <c r="V282" s="5">
        <f>IF(ISNUMBER(V30),V30/MAX(1,_xlfn.AGGREGATE(4,6,INDEX($D$30:$AD$30,MAX(1,$D$272+1-$D$281)):INDEX($D$30:$AD$30,$D$272)),_xlfn.AGGREGATE(4,6,INDEX($D$31:$AD$31,MAX(1,$D$272+1-$D$281)):INDEX($D$31:$AD$31,$D$272))),NA())</f>
        <v>0</v>
      </c>
      <c r="W282" s="5">
        <f>IF(ISNUMBER(W30),W30/MAX(1,_xlfn.AGGREGATE(4,6,INDEX($D$30:$AD$30,MAX(1,$D$272+1-$D$281)):INDEX($D$30:$AD$30,$D$272)),_xlfn.AGGREGATE(4,6,INDEX($D$31:$AD$31,MAX(1,$D$272+1-$D$281)):INDEX($D$31:$AD$31,$D$272))),NA())</f>
        <v>0</v>
      </c>
      <c r="X282" s="5">
        <f>IF(ISNUMBER(X30),X30/MAX(1,_xlfn.AGGREGATE(4,6,INDEX($D$30:$AD$30,MAX(1,$D$272+1-$D$281)):INDEX($D$30:$AD$30,$D$272)),_xlfn.AGGREGATE(4,6,INDEX($D$31:$AD$31,MAX(1,$D$272+1-$D$281)):INDEX($D$31:$AD$31,$D$272))),NA())</f>
        <v>0</v>
      </c>
      <c r="Y282" s="5">
        <f>IF(ISNUMBER(Y30),Y30/MAX(1,_xlfn.AGGREGATE(4,6,INDEX($D$30:$AD$30,MAX(1,$D$272+1-$D$281)):INDEX($D$30:$AD$30,$D$272)),_xlfn.AGGREGATE(4,6,INDEX($D$31:$AD$31,MAX(1,$D$272+1-$D$281)):INDEX($D$31:$AD$31,$D$272))),NA())</f>
        <v>0</v>
      </c>
      <c r="Z282" s="5">
        <f>IF(ISNUMBER(Z30),Z30/MAX(1,_xlfn.AGGREGATE(4,6,INDEX($D$30:$AD$30,MAX(1,$D$272+1-$D$281)):INDEX($D$30:$AD$30,$D$272)),_xlfn.AGGREGATE(4,6,INDEX($D$31:$AD$31,MAX(1,$D$272+1-$D$281)):INDEX($D$31:$AD$31,$D$272))),NA())</f>
        <v>0</v>
      </c>
      <c r="AA282" s="5">
        <f>IF(ISNUMBER(AA30),AA30/MAX(1,_xlfn.AGGREGATE(4,6,INDEX($D$30:$AD$30,MAX(1,$D$272+1-$D$281)):INDEX($D$30:$AD$30,$D$272)),_xlfn.AGGREGATE(4,6,INDEX($D$31:$AD$31,MAX(1,$D$272+1-$D$281)):INDEX($D$31:$AD$31,$D$272))),NA())</f>
        <v>0</v>
      </c>
      <c r="AB282" s="5">
        <f>IF(ISNUMBER(AB30),AB30/MAX(1,_xlfn.AGGREGATE(4,6,INDEX($D$30:$AD$30,MAX(1,$D$272+1-$D$281)):INDEX($D$30:$AD$30,$D$272)),_xlfn.AGGREGATE(4,6,INDEX($D$31:$AD$31,MAX(1,$D$272+1-$D$281)):INDEX($D$31:$AD$31,$D$272))),NA())</f>
        <v>0</v>
      </c>
      <c r="AC282" s="5">
        <f>IF(ISNUMBER(AC30),AC30/MAX(1,_xlfn.AGGREGATE(4,6,INDEX($D$30:$AD$30,MAX(1,$D$272+1-$D$281)):INDEX($D$30:$AD$30,$D$272)),_xlfn.AGGREGATE(4,6,INDEX($D$31:$AD$31,MAX(1,$D$272+1-$D$281)):INDEX($D$31:$AD$31,$D$272))),NA())</f>
        <v>0</v>
      </c>
      <c r="AD282" s="5">
        <f>IF(ISNUMBER(AD30),AD30/MAX(1,_xlfn.AGGREGATE(4,6,INDEX($D$30:$AD$30,MAX(1,$D$272+1-$D$281)):INDEX($D$30:$AD$30,$D$272)),_xlfn.AGGREGATE(4,6,INDEX($D$31:$AD$31,MAX(1,$D$272+1-$D$281)):INDEX($D$31:$AD$31,$D$272))),NA())</f>
        <v>0</v>
      </c>
    </row>
    <row r="283" spans="1:95">
      <c r="A283" s="11" t="s">
        <v>633</v>
      </c>
      <c r="B283" s="11" t="s">
        <v>634</v>
      </c>
      <c r="C283" s="3" t="s">
        <v>137</v>
      </c>
      <c r="D283" s="11">
        <f>IF(ISNUMBER(D30),FIXED(D30,0)&amp;REPT(_xlfn.UNICHAR(160),3),"")</f>
        <v>0</v>
      </c>
      <c r="E283" s="11">
        <f>IF(ISNUMBER(E30),FIXED(E30,0)&amp;REPT(_xlfn.UNICHAR(160),3),"")</f>
        <v>0</v>
      </c>
      <c r="F283" s="11">
        <f>IF(ISNUMBER(F30),FIXED(F30,0)&amp;REPT(_xlfn.UNICHAR(160),3),"")</f>
        <v>0</v>
      </c>
      <c r="G283" s="11">
        <f>IF(ISNUMBER(G30),FIXED(G30,0)&amp;REPT(_xlfn.UNICHAR(160),3),"")</f>
        <v>0</v>
      </c>
      <c r="H283" s="11">
        <f>IF(ISNUMBER(H30),FIXED(H30,0)&amp;REPT(_xlfn.UNICHAR(160),3),"")</f>
        <v>0</v>
      </c>
      <c r="I283" s="11">
        <f>IF(ISNUMBER(I30),FIXED(I30,0)&amp;REPT(_xlfn.UNICHAR(160),3),"")</f>
        <v>0</v>
      </c>
      <c r="J283" s="11">
        <f>IF(ISNUMBER(J30),FIXED(J30,0)&amp;REPT(_xlfn.UNICHAR(160),3),"")</f>
        <v>0</v>
      </c>
      <c r="K283" s="11">
        <f>IF(ISNUMBER(K30),FIXED(K30,0)&amp;REPT(_xlfn.UNICHAR(160),3),"")</f>
        <v>0</v>
      </c>
      <c r="L283" s="11">
        <f>IF(ISNUMBER(L30),FIXED(L30,0)&amp;REPT(_xlfn.UNICHAR(160),3),"")</f>
        <v>0</v>
      </c>
      <c r="M283" s="11">
        <f>IF(ISNUMBER(M30),FIXED(M30,0)&amp;REPT(_xlfn.UNICHAR(160),3),"")</f>
        <v>0</v>
      </c>
      <c r="N283" s="11">
        <f>IF(ISNUMBER(N30),FIXED(N30,0)&amp;REPT(_xlfn.UNICHAR(160),3),"")</f>
        <v>0</v>
      </c>
      <c r="O283" s="11">
        <f>IF(ISNUMBER(O30),FIXED(O30,0)&amp;REPT(_xlfn.UNICHAR(160),3),"")</f>
        <v>0</v>
      </c>
      <c r="P283" s="11">
        <f>IF(ISNUMBER(P30),FIXED(P30,0)&amp;REPT(_xlfn.UNICHAR(160),3),"")</f>
        <v>0</v>
      </c>
      <c r="Q283" s="11">
        <f>IF(ISNUMBER(Q30),FIXED(Q30,0)&amp;REPT(_xlfn.UNICHAR(160),3),"")</f>
        <v>0</v>
      </c>
      <c r="R283" s="11">
        <f>IF(ISNUMBER(R30),FIXED(R30,0)&amp;REPT(_xlfn.UNICHAR(160),3),"")</f>
        <v>0</v>
      </c>
      <c r="S283" s="11">
        <f>IF(ISNUMBER(S30),FIXED(S30,0)&amp;REPT(_xlfn.UNICHAR(160),3),"")</f>
        <v>0</v>
      </c>
      <c r="T283" s="11">
        <f>IF(ISNUMBER(T30),FIXED(T30,0)&amp;REPT(_xlfn.UNICHAR(160),3),"")</f>
        <v>0</v>
      </c>
      <c r="U283" s="11">
        <f>IF(ISNUMBER(U30),FIXED(U30,0)&amp;REPT(_xlfn.UNICHAR(160),3),"")</f>
        <v>0</v>
      </c>
      <c r="V283" s="11">
        <f>IF(ISNUMBER(V30),FIXED(V30,0)&amp;REPT(_xlfn.UNICHAR(160),3),"")</f>
        <v>0</v>
      </c>
      <c r="W283" s="11">
        <f>IF(ISNUMBER(W30),FIXED(W30,0)&amp;REPT(_xlfn.UNICHAR(160),3),"")</f>
        <v>0</v>
      </c>
      <c r="X283" s="11">
        <f>IF(ISNUMBER(X30),FIXED(X30,0)&amp;REPT(_xlfn.UNICHAR(160),3),"")</f>
        <v>0</v>
      </c>
      <c r="Y283" s="11">
        <f>IF(ISNUMBER(Y30),FIXED(Y30,0)&amp;REPT(_xlfn.UNICHAR(160),3),"")</f>
        <v>0</v>
      </c>
      <c r="Z283" s="11">
        <f>IF(ISNUMBER(Z30),FIXED(Z30,0)&amp;REPT(_xlfn.UNICHAR(160),3),"")</f>
        <v>0</v>
      </c>
      <c r="AA283" s="11">
        <f>IF(ISNUMBER(AA30),FIXED(AA30,0)&amp;REPT(_xlfn.UNICHAR(160),3),"")</f>
        <v>0</v>
      </c>
      <c r="AB283" s="11">
        <f>IF(ISNUMBER(AB30),FIXED(AB30,0)&amp;REPT(_xlfn.UNICHAR(160),3),"")</f>
        <v>0</v>
      </c>
      <c r="AC283" s="11">
        <f>IF(ISNUMBER(AC30),FIXED(AC30,0)&amp;REPT(_xlfn.UNICHAR(160),3),"")</f>
        <v>0</v>
      </c>
      <c r="AD283" s="11">
        <f>IF(ISNUMBER(AD30),FIXED(AD30,0)&amp;REPT(_xlfn.UNICHAR(160),3),"")</f>
        <v>0</v>
      </c>
    </row>
    <row r="284" spans="1:95">
      <c r="A284" s="11" t="s">
        <v>635</v>
      </c>
      <c r="B284" s="11" t="s">
        <v>636</v>
      </c>
      <c r="C284" s="3" t="s">
        <v>137</v>
      </c>
      <c r="D284" s="5">
        <f>IF(ISNUMBER(D31),D31/MAX(1,_xlfn.AGGREGATE(4,6,INDEX($D$30:$AD$30,MAX(1,$D$272+1-$D$281)):INDEX($D$30:$AD$30,$D$272)),_xlfn.AGGREGATE(4,6,INDEX($D$31:$AD$31,MAX(1,$D$272+1-$D$281)):INDEX($D$31:$AD$31,$D$272))),NA())</f>
        <v>0</v>
      </c>
      <c r="E284" s="5">
        <f>IF(ISNUMBER(E31),E31/MAX(1,_xlfn.AGGREGATE(4,6,INDEX($D$30:$AD$30,MAX(1,$D$272+1-$D$281)):INDEX($D$30:$AD$30,$D$272)),_xlfn.AGGREGATE(4,6,INDEX($D$31:$AD$31,MAX(1,$D$272+1-$D$281)):INDEX($D$31:$AD$31,$D$272))),NA())</f>
        <v>0</v>
      </c>
      <c r="F284" s="5">
        <f>IF(ISNUMBER(F31),F31/MAX(1,_xlfn.AGGREGATE(4,6,INDEX($D$30:$AD$30,MAX(1,$D$272+1-$D$281)):INDEX($D$30:$AD$30,$D$272)),_xlfn.AGGREGATE(4,6,INDEX($D$31:$AD$31,MAX(1,$D$272+1-$D$281)):INDEX($D$31:$AD$31,$D$272))),NA())</f>
        <v>0</v>
      </c>
      <c r="G284" s="5">
        <f>IF(ISNUMBER(G31),G31/MAX(1,_xlfn.AGGREGATE(4,6,INDEX($D$30:$AD$30,MAX(1,$D$272+1-$D$281)):INDEX($D$30:$AD$30,$D$272)),_xlfn.AGGREGATE(4,6,INDEX($D$31:$AD$31,MAX(1,$D$272+1-$D$281)):INDEX($D$31:$AD$31,$D$272))),NA())</f>
        <v>0</v>
      </c>
      <c r="H284" s="5">
        <f>IF(ISNUMBER(H31),H31/MAX(1,_xlfn.AGGREGATE(4,6,INDEX($D$30:$AD$30,MAX(1,$D$272+1-$D$281)):INDEX($D$30:$AD$30,$D$272)),_xlfn.AGGREGATE(4,6,INDEX($D$31:$AD$31,MAX(1,$D$272+1-$D$281)):INDEX($D$31:$AD$31,$D$272))),NA())</f>
        <v>0</v>
      </c>
      <c r="I284" s="5">
        <f>IF(ISNUMBER(I31),I31/MAX(1,_xlfn.AGGREGATE(4,6,INDEX($D$30:$AD$30,MAX(1,$D$272+1-$D$281)):INDEX($D$30:$AD$30,$D$272)),_xlfn.AGGREGATE(4,6,INDEX($D$31:$AD$31,MAX(1,$D$272+1-$D$281)):INDEX($D$31:$AD$31,$D$272))),NA())</f>
        <v>0</v>
      </c>
      <c r="J284" s="5">
        <f>IF(ISNUMBER(J31),J31/MAX(1,_xlfn.AGGREGATE(4,6,INDEX($D$30:$AD$30,MAX(1,$D$272+1-$D$281)):INDEX($D$30:$AD$30,$D$272)),_xlfn.AGGREGATE(4,6,INDEX($D$31:$AD$31,MAX(1,$D$272+1-$D$281)):INDEX($D$31:$AD$31,$D$272))),NA())</f>
        <v>0</v>
      </c>
      <c r="K284" s="5">
        <f>IF(ISNUMBER(K31),K31/MAX(1,_xlfn.AGGREGATE(4,6,INDEX($D$30:$AD$30,MAX(1,$D$272+1-$D$281)):INDEX($D$30:$AD$30,$D$272)),_xlfn.AGGREGATE(4,6,INDEX($D$31:$AD$31,MAX(1,$D$272+1-$D$281)):INDEX($D$31:$AD$31,$D$272))),NA())</f>
        <v>0</v>
      </c>
      <c r="L284" s="5">
        <f>IF(ISNUMBER(L31),L31/MAX(1,_xlfn.AGGREGATE(4,6,INDEX($D$30:$AD$30,MAX(1,$D$272+1-$D$281)):INDEX($D$30:$AD$30,$D$272)),_xlfn.AGGREGATE(4,6,INDEX($D$31:$AD$31,MAX(1,$D$272+1-$D$281)):INDEX($D$31:$AD$31,$D$272))),NA())</f>
        <v>0</v>
      </c>
      <c r="M284" s="5">
        <f>IF(ISNUMBER(M31),M31/MAX(1,_xlfn.AGGREGATE(4,6,INDEX($D$30:$AD$30,MAX(1,$D$272+1-$D$281)):INDEX($D$30:$AD$30,$D$272)),_xlfn.AGGREGATE(4,6,INDEX($D$31:$AD$31,MAX(1,$D$272+1-$D$281)):INDEX($D$31:$AD$31,$D$272))),NA())</f>
        <v>0</v>
      </c>
      <c r="N284" s="5">
        <f>IF(ISNUMBER(N31),N31/MAX(1,_xlfn.AGGREGATE(4,6,INDEX($D$30:$AD$30,MAX(1,$D$272+1-$D$281)):INDEX($D$30:$AD$30,$D$272)),_xlfn.AGGREGATE(4,6,INDEX($D$31:$AD$31,MAX(1,$D$272+1-$D$281)):INDEX($D$31:$AD$31,$D$272))),NA())</f>
        <v>0</v>
      </c>
      <c r="O284" s="5">
        <f>IF(ISNUMBER(O31),O31/MAX(1,_xlfn.AGGREGATE(4,6,INDEX($D$30:$AD$30,MAX(1,$D$272+1-$D$281)):INDEX($D$30:$AD$30,$D$272)),_xlfn.AGGREGATE(4,6,INDEX($D$31:$AD$31,MAX(1,$D$272+1-$D$281)):INDEX($D$31:$AD$31,$D$272))),NA())</f>
        <v>0</v>
      </c>
      <c r="P284" s="5">
        <f>IF(ISNUMBER(P31),P31/MAX(1,_xlfn.AGGREGATE(4,6,INDEX($D$30:$AD$30,MAX(1,$D$272+1-$D$281)):INDEX($D$30:$AD$30,$D$272)),_xlfn.AGGREGATE(4,6,INDEX($D$31:$AD$31,MAX(1,$D$272+1-$D$281)):INDEX($D$31:$AD$31,$D$272))),NA())</f>
        <v>0</v>
      </c>
      <c r="Q284" s="5">
        <f>IF(ISNUMBER(Q31),Q31/MAX(1,_xlfn.AGGREGATE(4,6,INDEX($D$30:$AD$30,MAX(1,$D$272+1-$D$281)):INDEX($D$30:$AD$30,$D$272)),_xlfn.AGGREGATE(4,6,INDEX($D$31:$AD$31,MAX(1,$D$272+1-$D$281)):INDEX($D$31:$AD$31,$D$272))),NA())</f>
        <v>0</v>
      </c>
      <c r="R284" s="5">
        <f>IF(ISNUMBER(R31),R31/MAX(1,_xlfn.AGGREGATE(4,6,INDEX($D$30:$AD$30,MAX(1,$D$272+1-$D$281)):INDEX($D$30:$AD$30,$D$272)),_xlfn.AGGREGATE(4,6,INDEX($D$31:$AD$31,MAX(1,$D$272+1-$D$281)):INDEX($D$31:$AD$31,$D$272))),NA())</f>
        <v>0</v>
      </c>
      <c r="S284" s="5">
        <f>IF(ISNUMBER(S31),S31/MAX(1,_xlfn.AGGREGATE(4,6,INDEX($D$30:$AD$30,MAX(1,$D$272+1-$D$281)):INDEX($D$30:$AD$30,$D$272)),_xlfn.AGGREGATE(4,6,INDEX($D$31:$AD$31,MAX(1,$D$272+1-$D$281)):INDEX($D$31:$AD$31,$D$272))),NA())</f>
        <v>0</v>
      </c>
      <c r="T284" s="5">
        <f>IF(ISNUMBER(T31),T31/MAX(1,_xlfn.AGGREGATE(4,6,INDEX($D$30:$AD$30,MAX(1,$D$272+1-$D$281)):INDEX($D$30:$AD$30,$D$272)),_xlfn.AGGREGATE(4,6,INDEX($D$31:$AD$31,MAX(1,$D$272+1-$D$281)):INDEX($D$31:$AD$31,$D$272))),NA())</f>
        <v>0</v>
      </c>
      <c r="U284" s="5">
        <f>IF(ISNUMBER(U31),U31/MAX(1,_xlfn.AGGREGATE(4,6,INDEX($D$30:$AD$30,MAX(1,$D$272+1-$D$281)):INDEX($D$30:$AD$30,$D$272)),_xlfn.AGGREGATE(4,6,INDEX($D$31:$AD$31,MAX(1,$D$272+1-$D$281)):INDEX($D$31:$AD$31,$D$272))),NA())</f>
        <v>0</v>
      </c>
      <c r="V284" s="5">
        <f>IF(ISNUMBER(V31),V31/MAX(1,_xlfn.AGGREGATE(4,6,INDEX($D$30:$AD$30,MAX(1,$D$272+1-$D$281)):INDEX($D$30:$AD$30,$D$272)),_xlfn.AGGREGATE(4,6,INDEX($D$31:$AD$31,MAX(1,$D$272+1-$D$281)):INDEX($D$31:$AD$31,$D$272))),NA())</f>
        <v>0</v>
      </c>
      <c r="W284" s="5">
        <f>IF(ISNUMBER(W31),W31/MAX(1,_xlfn.AGGREGATE(4,6,INDEX($D$30:$AD$30,MAX(1,$D$272+1-$D$281)):INDEX($D$30:$AD$30,$D$272)),_xlfn.AGGREGATE(4,6,INDEX($D$31:$AD$31,MAX(1,$D$272+1-$D$281)):INDEX($D$31:$AD$31,$D$272))),NA())</f>
        <v>0</v>
      </c>
      <c r="X284" s="5">
        <f>IF(ISNUMBER(X31),X31/MAX(1,_xlfn.AGGREGATE(4,6,INDEX($D$30:$AD$30,MAX(1,$D$272+1-$D$281)):INDEX($D$30:$AD$30,$D$272)),_xlfn.AGGREGATE(4,6,INDEX($D$31:$AD$31,MAX(1,$D$272+1-$D$281)):INDEX($D$31:$AD$31,$D$272))),NA())</f>
        <v>0</v>
      </c>
      <c r="Y284" s="5">
        <f>IF(ISNUMBER(Y31),Y31/MAX(1,_xlfn.AGGREGATE(4,6,INDEX($D$30:$AD$30,MAX(1,$D$272+1-$D$281)):INDEX($D$30:$AD$30,$D$272)),_xlfn.AGGREGATE(4,6,INDEX($D$31:$AD$31,MAX(1,$D$272+1-$D$281)):INDEX($D$31:$AD$31,$D$272))),NA())</f>
        <v>0</v>
      </c>
      <c r="Z284" s="5">
        <f>IF(ISNUMBER(Z31),Z31/MAX(1,_xlfn.AGGREGATE(4,6,INDEX($D$30:$AD$30,MAX(1,$D$272+1-$D$281)):INDEX($D$30:$AD$30,$D$272)),_xlfn.AGGREGATE(4,6,INDEX($D$31:$AD$31,MAX(1,$D$272+1-$D$281)):INDEX($D$31:$AD$31,$D$272))),NA())</f>
        <v>0</v>
      </c>
      <c r="AA284" s="5">
        <f>IF(ISNUMBER(AA31),AA31/MAX(1,_xlfn.AGGREGATE(4,6,INDEX($D$30:$AD$30,MAX(1,$D$272+1-$D$281)):INDEX($D$30:$AD$30,$D$272)),_xlfn.AGGREGATE(4,6,INDEX($D$31:$AD$31,MAX(1,$D$272+1-$D$281)):INDEX($D$31:$AD$31,$D$272))),NA())</f>
        <v>0</v>
      </c>
      <c r="AB284" s="5">
        <f>IF(ISNUMBER(AB31),AB31/MAX(1,_xlfn.AGGREGATE(4,6,INDEX($D$30:$AD$30,MAX(1,$D$272+1-$D$281)):INDEX($D$30:$AD$30,$D$272)),_xlfn.AGGREGATE(4,6,INDEX($D$31:$AD$31,MAX(1,$D$272+1-$D$281)):INDEX($D$31:$AD$31,$D$272))),NA())</f>
        <v>0</v>
      </c>
      <c r="AC284" s="5">
        <f>IF(ISNUMBER(AC31),AC31/MAX(1,_xlfn.AGGREGATE(4,6,INDEX($D$30:$AD$30,MAX(1,$D$272+1-$D$281)):INDEX($D$30:$AD$30,$D$272)),_xlfn.AGGREGATE(4,6,INDEX($D$31:$AD$31,MAX(1,$D$272+1-$D$281)):INDEX($D$31:$AD$31,$D$272))),NA())</f>
        <v>0</v>
      </c>
      <c r="AD284" s="5">
        <f>IF(ISNUMBER(AD31),AD31/MAX(1,_xlfn.AGGREGATE(4,6,INDEX($D$30:$AD$30,MAX(1,$D$272+1-$D$281)):INDEX($D$30:$AD$30,$D$272)),_xlfn.AGGREGATE(4,6,INDEX($D$31:$AD$31,MAX(1,$D$272+1-$D$281)):INDEX($D$31:$AD$31,$D$272))),NA())</f>
        <v>0</v>
      </c>
    </row>
    <row r="285" spans="1:95">
      <c r="A285" s="11" t="s">
        <v>637</v>
      </c>
      <c r="B285" s="11" t="s">
        <v>638</v>
      </c>
      <c r="C285" s="3" t="s">
        <v>137</v>
      </c>
      <c r="D285" s="11">
        <f>IF(ISNUMBER(D31),REPT(_xlfn.UNICHAR(160),3)&amp;FIXED(D31,0),"")</f>
        <v>0</v>
      </c>
      <c r="E285" s="11">
        <f>IF(ISNUMBER(E31),REPT(_xlfn.UNICHAR(160),3)&amp;FIXED(E31,0),"")</f>
        <v>0</v>
      </c>
      <c r="F285" s="11">
        <f>IF(ISNUMBER(F31),REPT(_xlfn.UNICHAR(160),3)&amp;FIXED(F31,0),"")</f>
        <v>0</v>
      </c>
      <c r="G285" s="11">
        <f>IF(ISNUMBER(G31),REPT(_xlfn.UNICHAR(160),3)&amp;FIXED(G31,0),"")</f>
        <v>0</v>
      </c>
      <c r="H285" s="11">
        <f>IF(ISNUMBER(H31),REPT(_xlfn.UNICHAR(160),3)&amp;FIXED(H31,0),"")</f>
        <v>0</v>
      </c>
      <c r="I285" s="11">
        <f>IF(ISNUMBER(I31),REPT(_xlfn.UNICHAR(160),3)&amp;FIXED(I31,0),"")</f>
        <v>0</v>
      </c>
      <c r="J285" s="11">
        <f>IF(ISNUMBER(J31),REPT(_xlfn.UNICHAR(160),3)&amp;FIXED(J31,0),"")</f>
        <v>0</v>
      </c>
      <c r="K285" s="11">
        <f>IF(ISNUMBER(K31),REPT(_xlfn.UNICHAR(160),3)&amp;FIXED(K31,0),"")</f>
        <v>0</v>
      </c>
      <c r="L285" s="11">
        <f>IF(ISNUMBER(L31),REPT(_xlfn.UNICHAR(160),3)&amp;FIXED(L31,0),"")</f>
        <v>0</v>
      </c>
      <c r="M285" s="11">
        <f>IF(ISNUMBER(M31),REPT(_xlfn.UNICHAR(160),3)&amp;FIXED(M31,0),"")</f>
        <v>0</v>
      </c>
      <c r="N285" s="11">
        <f>IF(ISNUMBER(N31),REPT(_xlfn.UNICHAR(160),3)&amp;FIXED(N31,0),"")</f>
        <v>0</v>
      </c>
      <c r="O285" s="11">
        <f>IF(ISNUMBER(O31),REPT(_xlfn.UNICHAR(160),3)&amp;FIXED(O31,0),"")</f>
        <v>0</v>
      </c>
      <c r="P285" s="11">
        <f>IF(ISNUMBER(P31),REPT(_xlfn.UNICHAR(160),3)&amp;FIXED(P31,0),"")</f>
        <v>0</v>
      </c>
      <c r="Q285" s="11">
        <f>IF(ISNUMBER(Q31),REPT(_xlfn.UNICHAR(160),3)&amp;FIXED(Q31,0),"")</f>
        <v>0</v>
      </c>
      <c r="R285" s="11">
        <f>IF(ISNUMBER(R31),REPT(_xlfn.UNICHAR(160),3)&amp;FIXED(R31,0),"")</f>
        <v>0</v>
      </c>
      <c r="S285" s="11">
        <f>IF(ISNUMBER(S31),REPT(_xlfn.UNICHAR(160),3)&amp;FIXED(S31,0),"")</f>
        <v>0</v>
      </c>
      <c r="T285" s="11">
        <f>IF(ISNUMBER(T31),REPT(_xlfn.UNICHAR(160),3)&amp;FIXED(T31,0),"")</f>
        <v>0</v>
      </c>
      <c r="U285" s="11">
        <f>IF(ISNUMBER(U31),REPT(_xlfn.UNICHAR(160),3)&amp;FIXED(U31,0),"")</f>
        <v>0</v>
      </c>
      <c r="V285" s="11">
        <f>IF(ISNUMBER(V31),REPT(_xlfn.UNICHAR(160),3)&amp;FIXED(V31,0),"")</f>
        <v>0</v>
      </c>
      <c r="W285" s="11">
        <f>IF(ISNUMBER(W31),REPT(_xlfn.UNICHAR(160),3)&amp;FIXED(W31,0),"")</f>
        <v>0</v>
      </c>
      <c r="X285" s="11">
        <f>IF(ISNUMBER(X31),REPT(_xlfn.UNICHAR(160),3)&amp;FIXED(X31,0),"")</f>
        <v>0</v>
      </c>
      <c r="Y285" s="11">
        <f>IF(ISNUMBER(Y31),REPT(_xlfn.UNICHAR(160),3)&amp;FIXED(Y31,0),"")</f>
        <v>0</v>
      </c>
      <c r="Z285" s="11">
        <f>IF(ISNUMBER(Z31),REPT(_xlfn.UNICHAR(160),3)&amp;FIXED(Z31,0),"")</f>
        <v>0</v>
      </c>
      <c r="AA285" s="11">
        <f>IF(ISNUMBER(AA31),REPT(_xlfn.UNICHAR(160),3)&amp;FIXED(AA31,0),"")</f>
        <v>0</v>
      </c>
      <c r="AB285" s="11">
        <f>IF(ISNUMBER(AB31),REPT(_xlfn.UNICHAR(160),3)&amp;FIXED(AB31,0),"")</f>
        <v>0</v>
      </c>
      <c r="AC285" s="11">
        <f>IF(ISNUMBER(AC31),REPT(_xlfn.UNICHAR(160),3)&amp;FIXED(AC31,0),"")</f>
        <v>0</v>
      </c>
      <c r="AD285" s="11">
        <f>IF(ISNUMBER(AD31),REPT(_xlfn.UNICHAR(160),3)&amp;FIXED(AD31,0),"")</f>
        <v>0</v>
      </c>
    </row>
    <row r="286" spans="1:95">
      <c r="A286" s="11" t="s">
        <v>639</v>
      </c>
      <c r="B286" s="11" t="s">
        <v>640</v>
      </c>
      <c r="C286" s="3" t="s">
        <v>137</v>
      </c>
      <c r="D286" s="5">
        <f>IF(ISNUMBER(D30),IF(AND(D282&gt;=IFERROR(D284,-9),D282-IFERROR(D284,-9)&lt;0.28509),D284+0.28509,D282),NA())</f>
        <v>0</v>
      </c>
      <c r="E286" s="5">
        <f>IF(ISNUMBER(E30),IF(AND(E282&gt;=IFERROR(E284,-9),E282-IFERROR(E284,-9)&lt;0.28509),E284+0.28509,E282),NA())</f>
        <v>0</v>
      </c>
      <c r="F286" s="5">
        <f>IF(ISNUMBER(F30),IF(AND(F282&gt;=IFERROR(F284,-9),F282-IFERROR(F284,-9)&lt;0.28509),F284+0.28509,F282),NA())</f>
        <v>0</v>
      </c>
      <c r="G286" s="5">
        <f>IF(ISNUMBER(G30),IF(AND(G282&gt;=IFERROR(G284,-9),G282-IFERROR(G284,-9)&lt;0.28509),G284+0.28509,G282),NA())</f>
        <v>0</v>
      </c>
      <c r="H286" s="5">
        <f>IF(ISNUMBER(H30),IF(AND(H282&gt;=IFERROR(H284,-9),H282-IFERROR(H284,-9)&lt;0.28509),H284+0.28509,H282),NA())</f>
        <v>0</v>
      </c>
      <c r="I286" s="5">
        <f>IF(ISNUMBER(I30),IF(AND(I282&gt;=IFERROR(I284,-9),I282-IFERROR(I284,-9)&lt;0.28509),I284+0.28509,I282),NA())</f>
        <v>0</v>
      </c>
      <c r="J286" s="5">
        <f>IF(ISNUMBER(J30),IF(AND(J282&gt;=IFERROR(J284,-9),J282-IFERROR(J284,-9)&lt;0.28509),J284+0.28509,J282),NA())</f>
        <v>0</v>
      </c>
      <c r="K286" s="5">
        <f>IF(ISNUMBER(K30),IF(AND(K282&gt;=IFERROR(K284,-9),K282-IFERROR(K284,-9)&lt;0.28509),K284+0.28509,K282),NA())</f>
        <v>0</v>
      </c>
      <c r="L286" s="5">
        <f>IF(ISNUMBER(L30),IF(AND(L282&gt;=IFERROR(L284,-9),L282-IFERROR(L284,-9)&lt;0.28509),L284+0.28509,L282),NA())</f>
        <v>0</v>
      </c>
      <c r="M286" s="5">
        <f>IF(ISNUMBER(M30),IF(AND(M282&gt;=IFERROR(M284,-9),M282-IFERROR(M284,-9)&lt;0.28509),M284+0.28509,M282),NA())</f>
        <v>0</v>
      </c>
      <c r="N286" s="5">
        <f>IF(ISNUMBER(N30),IF(AND(N282&gt;=IFERROR(N284,-9),N282-IFERROR(N284,-9)&lt;0.28509),N284+0.28509,N282),NA())</f>
        <v>0</v>
      </c>
      <c r="O286" s="5">
        <f>IF(ISNUMBER(O30),IF(AND(O282&gt;=IFERROR(O284,-9),O282-IFERROR(O284,-9)&lt;0.28509),O284+0.28509,O282),NA())</f>
        <v>0</v>
      </c>
      <c r="P286" s="5">
        <f>IF(ISNUMBER(P30),IF(AND(P282&gt;=IFERROR(P284,-9),P282-IFERROR(P284,-9)&lt;0.28509),P284+0.28509,P282),NA())</f>
        <v>0</v>
      </c>
      <c r="Q286" s="5">
        <f>IF(ISNUMBER(Q30),IF(AND(Q282&gt;=IFERROR(Q284,-9),Q282-IFERROR(Q284,-9)&lt;0.28509),Q284+0.28509,Q282),NA())</f>
        <v>0</v>
      </c>
      <c r="R286" s="5">
        <f>IF(ISNUMBER(R30),IF(AND(R282&gt;=IFERROR(R284,-9),R282-IFERROR(R284,-9)&lt;0.28509),R284+0.28509,R282),NA())</f>
        <v>0</v>
      </c>
      <c r="S286" s="5">
        <f>IF(ISNUMBER(S30),IF(AND(S282&gt;=IFERROR(S284,-9),S282-IFERROR(S284,-9)&lt;0.28509),S284+0.28509,S282),NA())</f>
        <v>0</v>
      </c>
      <c r="T286" s="5">
        <f>IF(ISNUMBER(T30),IF(AND(T282&gt;=IFERROR(T284,-9),T282-IFERROR(T284,-9)&lt;0.28509),T284+0.28509,T282),NA())</f>
        <v>0</v>
      </c>
      <c r="U286" s="5">
        <f>IF(ISNUMBER(U30),IF(AND(U282&gt;=IFERROR(U284,-9),U282-IFERROR(U284,-9)&lt;0.28509),U284+0.28509,U282),NA())</f>
        <v>0</v>
      </c>
      <c r="V286" s="5">
        <f>IF(ISNUMBER(V30),IF(AND(V282&gt;=IFERROR(V284,-9),V282-IFERROR(V284,-9)&lt;0.28509),V284+0.28509,V282),NA())</f>
        <v>0</v>
      </c>
      <c r="W286" s="5">
        <f>IF(ISNUMBER(W30),IF(AND(W282&gt;=IFERROR(W284,-9),W282-IFERROR(W284,-9)&lt;0.28509),W284+0.28509,W282),NA())</f>
        <v>0</v>
      </c>
      <c r="X286" s="5">
        <f>IF(ISNUMBER(X30),IF(AND(X282&gt;=IFERROR(X284,-9),X282-IFERROR(X284,-9)&lt;0.28509),X284+0.28509,X282),NA())</f>
        <v>0</v>
      </c>
      <c r="Y286" s="5">
        <f>IF(ISNUMBER(Y30),IF(AND(Y282&gt;=IFERROR(Y284,-9),Y282-IFERROR(Y284,-9)&lt;0.28509),Y284+0.28509,Y282),NA())</f>
        <v>0</v>
      </c>
      <c r="Z286" s="5">
        <f>IF(ISNUMBER(Z30),IF(AND(Z282&gt;=IFERROR(Z284,-9),Z282-IFERROR(Z284,-9)&lt;0.28509),Z284+0.28509,Z282),NA())</f>
        <v>0</v>
      </c>
      <c r="AA286" s="5">
        <f>IF(ISNUMBER(AA30),IF(AND(AA282&gt;=IFERROR(AA284,-9),AA282-IFERROR(AA284,-9)&lt;0.28509),AA284+0.28509,AA282),NA())</f>
        <v>0</v>
      </c>
      <c r="AB286" s="5">
        <f>IF(ISNUMBER(AB30),IF(AND(AB282&gt;=IFERROR(AB284,-9),AB282-IFERROR(AB284,-9)&lt;0.28509),AB284+0.28509,AB282),NA())</f>
        <v>0</v>
      </c>
      <c r="AC286" s="5">
        <f>IF(ISNUMBER(AC30),IF(AND(AC282&gt;=IFERROR(AC284,-9),AC282-IFERROR(AC284,-9)&lt;0.28509),AC284+0.28509,AC282),NA())</f>
        <v>0</v>
      </c>
      <c r="AD286" s="5">
        <f>IF(ISNUMBER(AD30),IF(AND(AD282&gt;=IFERROR(AD284,-9),AD282-IFERROR(AD284,-9)&lt;0.28509),AD284+0.28509,AD282),NA())</f>
        <v>0</v>
      </c>
    </row>
    <row r="287" spans="1:95">
      <c r="A287" s="11" t="s">
        <v>641</v>
      </c>
      <c r="B287" s="11" t="s">
        <v>642</v>
      </c>
      <c r="C287" s="3" t="s">
        <v>137</v>
      </c>
      <c r="D287" s="5">
        <f>IF(ISNUMBER(D31),IF(AND(D284&gt;IFERROR(D282,-9),D284-IFERROR(D282,-9)&lt;0.28509),D282+0.28509,D284),NA())</f>
        <v>0</v>
      </c>
      <c r="E287" s="5">
        <f>IF(ISNUMBER(E31),IF(AND(E284&gt;IFERROR(E282,-9),E284-IFERROR(E282,-9)&lt;0.28509),E282+0.28509,E284),NA())</f>
        <v>0</v>
      </c>
      <c r="F287" s="5">
        <f>IF(ISNUMBER(F31),IF(AND(F284&gt;IFERROR(F282,-9),F284-IFERROR(F282,-9)&lt;0.28509),F282+0.28509,F284),NA())</f>
        <v>0</v>
      </c>
      <c r="G287" s="5">
        <f>IF(ISNUMBER(G31),IF(AND(G284&gt;IFERROR(G282,-9),G284-IFERROR(G282,-9)&lt;0.28509),G282+0.28509,G284),NA())</f>
        <v>0</v>
      </c>
      <c r="H287" s="5">
        <f>IF(ISNUMBER(H31),IF(AND(H284&gt;IFERROR(H282,-9),H284-IFERROR(H282,-9)&lt;0.28509),H282+0.28509,H284),NA())</f>
        <v>0</v>
      </c>
      <c r="I287" s="5">
        <f>IF(ISNUMBER(I31),IF(AND(I284&gt;IFERROR(I282,-9),I284-IFERROR(I282,-9)&lt;0.28509),I282+0.28509,I284),NA())</f>
        <v>0</v>
      </c>
      <c r="J287" s="5">
        <f>IF(ISNUMBER(J31),IF(AND(J284&gt;IFERROR(J282,-9),J284-IFERROR(J282,-9)&lt;0.28509),J282+0.28509,J284),NA())</f>
        <v>0</v>
      </c>
      <c r="K287" s="5">
        <f>IF(ISNUMBER(K31),IF(AND(K284&gt;IFERROR(K282,-9),K284-IFERROR(K282,-9)&lt;0.28509),K282+0.28509,K284),NA())</f>
        <v>0</v>
      </c>
      <c r="L287" s="5">
        <f>IF(ISNUMBER(L31),IF(AND(L284&gt;IFERROR(L282,-9),L284-IFERROR(L282,-9)&lt;0.28509),L282+0.28509,L284),NA())</f>
        <v>0</v>
      </c>
      <c r="M287" s="5">
        <f>IF(ISNUMBER(M31),IF(AND(M284&gt;IFERROR(M282,-9),M284-IFERROR(M282,-9)&lt;0.28509),M282+0.28509,M284),NA())</f>
        <v>0</v>
      </c>
      <c r="N287" s="5">
        <f>IF(ISNUMBER(N31),IF(AND(N284&gt;IFERROR(N282,-9),N284-IFERROR(N282,-9)&lt;0.28509),N282+0.28509,N284),NA())</f>
        <v>0</v>
      </c>
      <c r="O287" s="5">
        <f>IF(ISNUMBER(O31),IF(AND(O284&gt;IFERROR(O282,-9),O284-IFERROR(O282,-9)&lt;0.28509),O282+0.28509,O284),NA())</f>
        <v>0</v>
      </c>
      <c r="P287" s="5">
        <f>IF(ISNUMBER(P31),IF(AND(P284&gt;IFERROR(P282,-9),P284-IFERROR(P282,-9)&lt;0.28509),P282+0.28509,P284),NA())</f>
        <v>0</v>
      </c>
      <c r="Q287" s="5">
        <f>IF(ISNUMBER(Q31),IF(AND(Q284&gt;IFERROR(Q282,-9),Q284-IFERROR(Q282,-9)&lt;0.28509),Q282+0.28509,Q284),NA())</f>
        <v>0</v>
      </c>
      <c r="R287" s="5">
        <f>IF(ISNUMBER(R31),IF(AND(R284&gt;IFERROR(R282,-9),R284-IFERROR(R282,-9)&lt;0.28509),R282+0.28509,R284),NA())</f>
        <v>0</v>
      </c>
      <c r="S287" s="5">
        <f>IF(ISNUMBER(S31),IF(AND(S284&gt;IFERROR(S282,-9),S284-IFERROR(S282,-9)&lt;0.28509),S282+0.28509,S284),NA())</f>
        <v>0</v>
      </c>
      <c r="T287" s="5">
        <f>IF(ISNUMBER(T31),IF(AND(T284&gt;IFERROR(T282,-9),T284-IFERROR(T282,-9)&lt;0.28509),T282+0.28509,T284),NA())</f>
        <v>0</v>
      </c>
      <c r="U287" s="5">
        <f>IF(ISNUMBER(U31),IF(AND(U284&gt;IFERROR(U282,-9),U284-IFERROR(U282,-9)&lt;0.28509),U282+0.28509,U284),NA())</f>
        <v>0</v>
      </c>
      <c r="V287" s="5">
        <f>IF(ISNUMBER(V31),IF(AND(V284&gt;IFERROR(V282,-9),V284-IFERROR(V282,-9)&lt;0.28509),V282+0.28509,V284),NA())</f>
        <v>0</v>
      </c>
      <c r="W287" s="5">
        <f>IF(ISNUMBER(W31),IF(AND(W284&gt;IFERROR(W282,-9),W284-IFERROR(W282,-9)&lt;0.28509),W282+0.28509,W284),NA())</f>
        <v>0</v>
      </c>
      <c r="X287" s="5">
        <f>IF(ISNUMBER(X31),IF(AND(X284&gt;IFERROR(X282,-9),X284-IFERROR(X282,-9)&lt;0.28509),X282+0.28509,X284),NA())</f>
        <v>0</v>
      </c>
      <c r="Y287" s="5">
        <f>IF(ISNUMBER(Y31),IF(AND(Y284&gt;IFERROR(Y282,-9),Y284-IFERROR(Y282,-9)&lt;0.28509),Y282+0.28509,Y284),NA())</f>
        <v>0</v>
      </c>
      <c r="Z287" s="5">
        <f>IF(ISNUMBER(Z31),IF(AND(Z284&gt;IFERROR(Z282,-9),Z284-IFERROR(Z282,-9)&lt;0.28509),Z282+0.28509,Z284),NA())</f>
        <v>0</v>
      </c>
      <c r="AA287" s="5">
        <f>IF(ISNUMBER(AA31),IF(AND(AA284&gt;IFERROR(AA282,-9),AA284-IFERROR(AA282,-9)&lt;0.28509),AA282+0.28509,AA284),NA())</f>
        <v>0</v>
      </c>
      <c r="AB287" s="5">
        <f>IF(ISNUMBER(AB31),IF(AND(AB284&gt;IFERROR(AB282,-9),AB284-IFERROR(AB282,-9)&lt;0.28509),AB282+0.28509,AB284),NA())</f>
        <v>0</v>
      </c>
      <c r="AC287" s="5">
        <f>IF(ISNUMBER(AC31),IF(AND(AC284&gt;IFERROR(AC282,-9),AC284-IFERROR(AC282,-9)&lt;0.28509),AC282+0.28509,AC284),NA())</f>
        <v>0</v>
      </c>
      <c r="AD287" s="5">
        <f>IF(ISNUMBER(AD31),IF(AND(AD284&gt;IFERROR(AD282,-9),AD284-IFERROR(AD282,-9)&lt;0.28509),AD282+0.28509,AD284),NA())</f>
        <v>0</v>
      </c>
    </row>
    <row r="288" spans="1:95">
      <c r="A288" s="11" t="s">
        <v>643</v>
      </c>
      <c r="B288" s="11" t="s">
        <v>644</v>
      </c>
      <c r="C288" s="3" t="s">
        <v>134</v>
      </c>
      <c r="D288" s="5">
        <v>1</v>
      </c>
    </row>
    <row r="289" spans="1:95">
      <c r="A289" s="11" t="s">
        <v>645</v>
      </c>
      <c r="B289" s="11" t="s">
        <v>646</v>
      </c>
      <c r="C289" s="3" t="s">
        <v>137</v>
      </c>
      <c r="D289" s="5">
        <f>IF(AND($D$288=1,ISNUMBER(D30),ISNUMBER(D31)),IF((D30-D31)&gt;0,0.5,NA()),NA())</f>
        <v>0</v>
      </c>
      <c r="E289" s="5">
        <f>IF(AND($D$288=1,ISNUMBER(E30),ISNUMBER(E31)),IF((E30-E31)&gt;0,0.5,NA()),NA())</f>
        <v>0</v>
      </c>
      <c r="F289" s="5">
        <f>IF(AND($D$288=1,ISNUMBER(F30),ISNUMBER(F31)),IF((F30-F31)&gt;0,0.5,NA()),NA())</f>
        <v>0</v>
      </c>
      <c r="G289" s="5">
        <f>IF(AND($D$288=1,ISNUMBER(G30),ISNUMBER(G31)),IF((G30-G31)&gt;0,0.5,NA()),NA())</f>
        <v>0</v>
      </c>
      <c r="H289" s="5">
        <f>IF(AND($D$288=1,ISNUMBER(H30),ISNUMBER(H31)),IF((H30-H31)&gt;0,0.5,NA()),NA())</f>
        <v>0</v>
      </c>
      <c r="I289" s="5">
        <f>IF(AND($D$288=1,ISNUMBER(I30),ISNUMBER(I31)),IF((I30-I31)&gt;0,0.5,NA()),NA())</f>
        <v>0</v>
      </c>
      <c r="J289" s="5">
        <f>IF(AND($D$288=1,ISNUMBER(J30),ISNUMBER(J31)),IF((J30-J31)&gt;0,0.5,NA()),NA())</f>
        <v>0</v>
      </c>
      <c r="K289" s="5">
        <f>IF(AND($D$288=1,ISNUMBER(K30),ISNUMBER(K31)),IF((K30-K31)&gt;0,0.5,NA()),NA())</f>
        <v>0</v>
      </c>
      <c r="L289" s="5">
        <f>IF(AND($D$288=1,ISNUMBER(L30),ISNUMBER(L31)),IF((L30-L31)&gt;0,0.5,NA()),NA())</f>
        <v>0</v>
      </c>
      <c r="M289" s="5">
        <f>IF(AND($D$288=1,ISNUMBER(M30),ISNUMBER(M31)),IF((M30-M31)&gt;0,0.5,NA()),NA())</f>
        <v>0</v>
      </c>
      <c r="N289" s="5">
        <f>IF(AND($D$288=1,ISNUMBER(N30),ISNUMBER(N31)),IF((N30-N31)&gt;0,0.5,NA()),NA())</f>
        <v>0</v>
      </c>
      <c r="O289" s="5">
        <f>IF(AND($D$288=1,ISNUMBER(O30),ISNUMBER(O31)),IF((O30-O31)&gt;0,0.5,NA()),NA())</f>
        <v>0</v>
      </c>
      <c r="P289" s="5">
        <f>IF(AND($D$288=1,ISNUMBER(P30),ISNUMBER(P31)),IF((P30-P31)&gt;0,0.5,NA()),NA())</f>
        <v>0</v>
      </c>
      <c r="Q289" s="5">
        <f>IF(AND($D$288=1,ISNUMBER(Q30),ISNUMBER(Q31)),IF((Q30-Q31)&gt;0,0.5,NA()),NA())</f>
        <v>0</v>
      </c>
      <c r="R289" s="5">
        <f>IF(AND($D$288=1,ISNUMBER(R30),ISNUMBER(R31)),IF((R30-R31)&gt;0,0.5,NA()),NA())</f>
        <v>0</v>
      </c>
      <c r="S289" s="5">
        <f>IF(AND($D$288=1,ISNUMBER(S30),ISNUMBER(S31)),IF((S30-S31)&gt;0,0.5,NA()),NA())</f>
        <v>0</v>
      </c>
      <c r="T289" s="5">
        <f>IF(AND($D$288=1,ISNUMBER(T30),ISNUMBER(T31)),IF((T30-T31)&gt;0,0.5,NA()),NA())</f>
        <v>0</v>
      </c>
      <c r="U289" s="5">
        <f>IF(AND($D$288=1,ISNUMBER(U30),ISNUMBER(U31)),IF((U30-U31)&gt;0,0.5,NA()),NA())</f>
        <v>0</v>
      </c>
      <c r="V289" s="5">
        <f>IF(AND($D$288=1,ISNUMBER(V30),ISNUMBER(V31)),IF((V30-V31)&gt;0,0.5,NA()),NA())</f>
        <v>0</v>
      </c>
      <c r="W289" s="5">
        <f>IF(AND($D$288=1,ISNUMBER(W30),ISNUMBER(W31)),IF((W30-W31)&gt;0,0.5,NA()),NA())</f>
        <v>0</v>
      </c>
      <c r="X289" s="5">
        <f>IF(AND($D$288=1,ISNUMBER(X30),ISNUMBER(X31)),IF((X30-X31)&gt;0,0.5,NA()),NA())</f>
        <v>0</v>
      </c>
      <c r="Y289" s="5">
        <f>IF(AND($D$288=1,ISNUMBER(Y30),ISNUMBER(Y31)),IF((Y30-Y31)&gt;0,0.5,NA()),NA())</f>
        <v>0</v>
      </c>
      <c r="Z289" s="5">
        <f>IF(AND($D$288=1,ISNUMBER(Z30),ISNUMBER(Z31)),IF((Z30-Z31)&gt;0,0.5,NA()),NA())</f>
        <v>0</v>
      </c>
      <c r="AA289" s="5">
        <f>IF(AND($D$288=1,ISNUMBER(AA30),ISNUMBER(AA31)),IF((AA30-AA31)&gt;0,0.5,NA()),NA())</f>
        <v>0</v>
      </c>
      <c r="AB289" s="5">
        <f>IF(AND($D$288=1,ISNUMBER(AB30),ISNUMBER(AB31)),IF((AB30-AB31)&gt;0,0.5,NA()),NA())</f>
        <v>0</v>
      </c>
      <c r="AC289" s="5">
        <f>IF(AND($D$288=1,ISNUMBER(AC30),ISNUMBER(AC31)),IF((AC30-AC31)&gt;0,0.5,NA()),NA())</f>
        <v>0</v>
      </c>
      <c r="AD289" s="5">
        <f>IF(AND($D$288=1,ISNUMBER(AD30),ISNUMBER(AD31)),IF((AD30-AD31)&gt;0,0.5,NA()),NA())</f>
        <v>0</v>
      </c>
    </row>
    <row r="290" spans="1:95">
      <c r="A290" s="11" t="s">
        <v>647</v>
      </c>
      <c r="B290" s="11" t="s">
        <v>648</v>
      </c>
      <c r="C290" s="3" t="s">
        <v>137</v>
      </c>
      <c r="D290" s="5">
        <f>IF(AND($D$288=1,ISNUMBER(D30),ISNUMBER(D31)),IF((D30-D31)&lt;0,0.5,NA()),NA())</f>
        <v>0</v>
      </c>
      <c r="E290" s="5">
        <f>IF(AND($D$288=1,ISNUMBER(E30),ISNUMBER(E31)),IF((E30-E31)&lt;0,0.5,NA()),NA())</f>
        <v>0</v>
      </c>
      <c r="F290" s="5">
        <f>IF(AND($D$288=1,ISNUMBER(F30),ISNUMBER(F31)),IF((F30-F31)&lt;0,0.5,NA()),NA())</f>
        <v>0</v>
      </c>
      <c r="G290" s="5">
        <f>IF(AND($D$288=1,ISNUMBER(G30),ISNUMBER(G31)),IF((G30-G31)&lt;0,0.5,NA()),NA())</f>
        <v>0</v>
      </c>
      <c r="H290" s="5">
        <f>IF(AND($D$288=1,ISNUMBER(H30),ISNUMBER(H31)),IF((H30-H31)&lt;0,0.5,NA()),NA())</f>
        <v>0</v>
      </c>
      <c r="I290" s="5">
        <f>IF(AND($D$288=1,ISNUMBER(I30),ISNUMBER(I31)),IF((I30-I31)&lt;0,0.5,NA()),NA())</f>
        <v>0</v>
      </c>
      <c r="J290" s="5">
        <f>IF(AND($D$288=1,ISNUMBER(J30),ISNUMBER(J31)),IF((J30-J31)&lt;0,0.5,NA()),NA())</f>
        <v>0</v>
      </c>
      <c r="K290" s="5">
        <f>IF(AND($D$288=1,ISNUMBER(K30),ISNUMBER(K31)),IF((K30-K31)&lt;0,0.5,NA()),NA())</f>
        <v>0</v>
      </c>
      <c r="L290" s="5">
        <f>IF(AND($D$288=1,ISNUMBER(L30),ISNUMBER(L31)),IF((L30-L31)&lt;0,0.5,NA()),NA())</f>
        <v>0</v>
      </c>
      <c r="M290" s="5">
        <f>IF(AND($D$288=1,ISNUMBER(M30),ISNUMBER(M31)),IF((M30-M31)&lt;0,0.5,NA()),NA())</f>
        <v>0</v>
      </c>
      <c r="N290" s="5">
        <f>IF(AND($D$288=1,ISNUMBER(N30),ISNUMBER(N31)),IF((N30-N31)&lt;0,0.5,NA()),NA())</f>
        <v>0</v>
      </c>
      <c r="O290" s="5">
        <f>IF(AND($D$288=1,ISNUMBER(O30),ISNUMBER(O31)),IF((O30-O31)&lt;0,0.5,NA()),NA())</f>
        <v>0</v>
      </c>
      <c r="P290" s="5">
        <f>IF(AND($D$288=1,ISNUMBER(P30),ISNUMBER(P31)),IF((P30-P31)&lt;0,0.5,NA()),NA())</f>
        <v>0</v>
      </c>
      <c r="Q290" s="5">
        <f>IF(AND($D$288=1,ISNUMBER(Q30),ISNUMBER(Q31)),IF((Q30-Q31)&lt;0,0.5,NA()),NA())</f>
        <v>0</v>
      </c>
      <c r="R290" s="5">
        <f>IF(AND($D$288=1,ISNUMBER(R30),ISNUMBER(R31)),IF((R30-R31)&lt;0,0.5,NA()),NA())</f>
        <v>0</v>
      </c>
      <c r="S290" s="5">
        <f>IF(AND($D$288=1,ISNUMBER(S30),ISNUMBER(S31)),IF((S30-S31)&lt;0,0.5,NA()),NA())</f>
        <v>0</v>
      </c>
      <c r="T290" s="5">
        <f>IF(AND($D$288=1,ISNUMBER(T30),ISNUMBER(T31)),IF((T30-T31)&lt;0,0.5,NA()),NA())</f>
        <v>0</v>
      </c>
      <c r="U290" s="5">
        <f>IF(AND($D$288=1,ISNUMBER(U30),ISNUMBER(U31)),IF((U30-U31)&lt;0,0.5,NA()),NA())</f>
        <v>0</v>
      </c>
      <c r="V290" s="5">
        <f>IF(AND($D$288=1,ISNUMBER(V30),ISNUMBER(V31)),IF((V30-V31)&lt;0,0.5,NA()),NA())</f>
        <v>0</v>
      </c>
      <c r="W290" s="5">
        <f>IF(AND($D$288=1,ISNUMBER(W30),ISNUMBER(W31)),IF((W30-W31)&lt;0,0.5,NA()),NA())</f>
        <v>0</v>
      </c>
      <c r="X290" s="5">
        <f>IF(AND($D$288=1,ISNUMBER(X30),ISNUMBER(X31)),IF((X30-X31)&lt;0,0.5,NA()),NA())</f>
        <v>0</v>
      </c>
      <c r="Y290" s="5">
        <f>IF(AND($D$288=1,ISNUMBER(Y30),ISNUMBER(Y31)),IF((Y30-Y31)&lt;0,0.5,NA()),NA())</f>
        <v>0</v>
      </c>
      <c r="Z290" s="5">
        <f>IF(AND($D$288=1,ISNUMBER(Z30),ISNUMBER(Z31)),IF((Z30-Z31)&lt;0,0.5,NA()),NA())</f>
        <v>0</v>
      </c>
      <c r="AA290" s="5">
        <f>IF(AND($D$288=1,ISNUMBER(AA30),ISNUMBER(AA31)),IF((AA30-AA31)&lt;0,0.5,NA()),NA())</f>
        <v>0</v>
      </c>
      <c r="AB290" s="5">
        <f>IF(AND($D$288=1,ISNUMBER(AB30),ISNUMBER(AB31)),IF((AB30-AB31)&lt;0,0.5,NA()),NA())</f>
        <v>0</v>
      </c>
      <c r="AC290" s="5">
        <f>IF(AND($D$288=1,ISNUMBER(AC30),ISNUMBER(AC31)),IF((AC30-AC31)&lt;0,0.5,NA()),NA())</f>
        <v>0</v>
      </c>
      <c r="AD290" s="5">
        <f>IF(AND($D$288=1,ISNUMBER(AD30),ISNUMBER(AD31)),IF((AD30-AD31)&lt;0,0.5,NA()),NA())</f>
        <v>0</v>
      </c>
    </row>
    <row r="291" spans="1:95">
      <c r="A291" s="11" t="s">
        <v>649</v>
      </c>
      <c r="B291" s="11" t="s">
        <v>650</v>
      </c>
      <c r="C291" s="3" t="s">
        <v>137</v>
      </c>
      <c r="D291" s="5">
        <f>IF(AND($D$288=1,ISNUMBER(D30),ISNUMBER(D31)),IF((D30-D31)=0,0.5,NA()),NA())</f>
        <v>0</v>
      </c>
      <c r="E291" s="5">
        <f>IF(AND($D$288=1,ISNUMBER(E30),ISNUMBER(E31)),IF((E30-E31)=0,0.5,NA()),NA())</f>
        <v>0</v>
      </c>
      <c r="F291" s="5">
        <f>IF(AND($D$288=1,ISNUMBER(F30),ISNUMBER(F31)),IF((F30-F31)=0,0.5,NA()),NA())</f>
        <v>0</v>
      </c>
      <c r="G291" s="5">
        <f>IF(AND($D$288=1,ISNUMBER(G30),ISNUMBER(G31)),IF((G30-G31)=0,0.5,NA()),NA())</f>
        <v>0</v>
      </c>
      <c r="H291" s="5">
        <f>IF(AND($D$288=1,ISNUMBER(H30),ISNUMBER(H31)),IF((H30-H31)=0,0.5,NA()),NA())</f>
        <v>0</v>
      </c>
      <c r="I291" s="5">
        <f>IF(AND($D$288=1,ISNUMBER(I30),ISNUMBER(I31)),IF((I30-I31)=0,0.5,NA()),NA())</f>
        <v>0</v>
      </c>
      <c r="J291" s="5">
        <f>IF(AND($D$288=1,ISNUMBER(J30),ISNUMBER(J31)),IF((J30-J31)=0,0.5,NA()),NA())</f>
        <v>0</v>
      </c>
      <c r="K291" s="5">
        <f>IF(AND($D$288=1,ISNUMBER(K30),ISNUMBER(K31)),IF((K30-K31)=0,0.5,NA()),NA())</f>
        <v>0</v>
      </c>
      <c r="L291" s="5">
        <f>IF(AND($D$288=1,ISNUMBER(L30),ISNUMBER(L31)),IF((L30-L31)=0,0.5,NA()),NA())</f>
        <v>0</v>
      </c>
      <c r="M291" s="5">
        <f>IF(AND($D$288=1,ISNUMBER(M30),ISNUMBER(M31)),IF((M30-M31)=0,0.5,NA()),NA())</f>
        <v>0</v>
      </c>
      <c r="N291" s="5">
        <f>IF(AND($D$288=1,ISNUMBER(N30),ISNUMBER(N31)),IF((N30-N31)=0,0.5,NA()),NA())</f>
        <v>0</v>
      </c>
      <c r="O291" s="5">
        <f>IF(AND($D$288=1,ISNUMBER(O30),ISNUMBER(O31)),IF((O30-O31)=0,0.5,NA()),NA())</f>
        <v>0</v>
      </c>
      <c r="P291" s="5">
        <f>IF(AND($D$288=1,ISNUMBER(P30),ISNUMBER(P31)),IF((P30-P31)=0,0.5,NA()),NA())</f>
        <v>0</v>
      </c>
      <c r="Q291" s="5">
        <f>IF(AND($D$288=1,ISNUMBER(Q30),ISNUMBER(Q31)),IF((Q30-Q31)=0,0.5,NA()),NA())</f>
        <v>0</v>
      </c>
      <c r="R291" s="5">
        <f>IF(AND($D$288=1,ISNUMBER(R30),ISNUMBER(R31)),IF((R30-R31)=0,0.5,NA()),NA())</f>
        <v>0</v>
      </c>
      <c r="S291" s="5">
        <f>IF(AND($D$288=1,ISNUMBER(S30),ISNUMBER(S31)),IF((S30-S31)=0,0.5,NA()),NA())</f>
        <v>0</v>
      </c>
      <c r="T291" s="5">
        <f>IF(AND($D$288=1,ISNUMBER(T30),ISNUMBER(T31)),IF((T30-T31)=0,0.5,NA()),NA())</f>
        <v>0</v>
      </c>
      <c r="U291" s="5">
        <f>IF(AND($D$288=1,ISNUMBER(U30),ISNUMBER(U31)),IF((U30-U31)=0,0.5,NA()),NA())</f>
        <v>0</v>
      </c>
      <c r="V291" s="5">
        <f>IF(AND($D$288=1,ISNUMBER(V30),ISNUMBER(V31)),IF((V30-V31)=0,0.5,NA()),NA())</f>
        <v>0</v>
      </c>
      <c r="W291" s="5">
        <f>IF(AND($D$288=1,ISNUMBER(W30),ISNUMBER(W31)),IF((W30-W31)=0,0.5,NA()),NA())</f>
        <v>0</v>
      </c>
      <c r="X291" s="5">
        <f>IF(AND($D$288=1,ISNUMBER(X30),ISNUMBER(X31)),IF((X30-X31)=0,0.5,NA()),NA())</f>
        <v>0</v>
      </c>
      <c r="Y291" s="5">
        <f>IF(AND($D$288=1,ISNUMBER(Y30),ISNUMBER(Y31)),IF((Y30-Y31)=0,0.5,NA()),NA())</f>
        <v>0</v>
      </c>
      <c r="Z291" s="5">
        <f>IF(AND($D$288=1,ISNUMBER(Z30),ISNUMBER(Z31)),IF((Z30-Z31)=0,0.5,NA()),NA())</f>
        <v>0</v>
      </c>
      <c r="AA291" s="5">
        <f>IF(AND($D$288=1,ISNUMBER(AA30),ISNUMBER(AA31)),IF((AA30-AA31)=0,0.5,NA()),NA())</f>
        <v>0</v>
      </c>
      <c r="AB291" s="5">
        <f>IF(AND($D$288=1,ISNUMBER(AB30),ISNUMBER(AB31)),IF((AB30-AB31)=0,0.5,NA()),NA())</f>
        <v>0</v>
      </c>
      <c r="AC291" s="5">
        <f>IF(AND($D$288=1,ISNUMBER(AC30),ISNUMBER(AC31)),IF((AC30-AC31)=0,0.5,NA()),NA())</f>
        <v>0</v>
      </c>
      <c r="AD291" s="5">
        <f>IF(AND($D$288=1,ISNUMBER(AD30),ISNUMBER(AD31)),IF((AD30-AD31)=0,0.5,NA()),NA())</f>
        <v>0</v>
      </c>
    </row>
    <row r="292" spans="1:95">
      <c r="A292" s="11" t="s">
        <v>651</v>
      </c>
      <c r="B292" s="11" t="s">
        <v>652</v>
      </c>
      <c r="C292" s="3" t="s">
        <v>137</v>
      </c>
      <c r="D292" s="11">
        <f>IF(AND(ISNUMBER(D30),ISNUMBER(D31)),IF((D30-D31)&gt;0,"+"&amp;FIXED((D30-D31),0),IF((D30-D31)&lt;0,"−"&amp;FIXED(-(D30-D31),0),"±0")),"")</f>
        <v>0</v>
      </c>
      <c r="E292" s="11">
        <f>IF(AND(ISNUMBER(E30),ISNUMBER(E31)),IF((E30-E31)&gt;0,"+"&amp;FIXED((E30-E31),0),IF((E30-E31)&lt;0,"−"&amp;FIXED(-(E30-E31),0),"±0")),"")</f>
        <v>0</v>
      </c>
      <c r="F292" s="11">
        <f>IF(AND(ISNUMBER(F30),ISNUMBER(F31)),IF((F30-F31)&gt;0,"+"&amp;FIXED((F30-F31),0),IF((F30-F31)&lt;0,"−"&amp;FIXED(-(F30-F31),0),"±0")),"")</f>
        <v>0</v>
      </c>
      <c r="G292" s="11">
        <f>IF(AND(ISNUMBER(G30),ISNUMBER(G31)),IF((G30-G31)&gt;0,"+"&amp;FIXED((G30-G31),0),IF((G30-G31)&lt;0,"−"&amp;FIXED(-(G30-G31),0),"±0")),"")</f>
        <v>0</v>
      </c>
      <c r="H292" s="11">
        <f>IF(AND(ISNUMBER(H30),ISNUMBER(H31)),IF((H30-H31)&gt;0,"+"&amp;FIXED((H30-H31),0),IF((H30-H31)&lt;0,"−"&amp;FIXED(-(H30-H31),0),"±0")),"")</f>
        <v>0</v>
      </c>
      <c r="I292" s="11">
        <f>IF(AND(ISNUMBER(I30),ISNUMBER(I31)),IF((I30-I31)&gt;0,"+"&amp;FIXED((I30-I31),0),IF((I30-I31)&lt;0,"−"&amp;FIXED(-(I30-I31),0),"±0")),"")</f>
        <v>0</v>
      </c>
      <c r="J292" s="11">
        <f>IF(AND(ISNUMBER(J30),ISNUMBER(J31)),IF((J30-J31)&gt;0,"+"&amp;FIXED((J30-J31),0),IF((J30-J31)&lt;0,"−"&amp;FIXED(-(J30-J31),0),"±0")),"")</f>
        <v>0</v>
      </c>
      <c r="K292" s="11">
        <f>IF(AND(ISNUMBER(K30),ISNUMBER(K31)),IF((K30-K31)&gt;0,"+"&amp;FIXED((K30-K31),0),IF((K30-K31)&lt;0,"−"&amp;FIXED(-(K30-K31),0),"±0")),"")</f>
        <v>0</v>
      </c>
      <c r="L292" s="11">
        <f>IF(AND(ISNUMBER(L30),ISNUMBER(L31)),IF((L30-L31)&gt;0,"+"&amp;FIXED((L30-L31),0),IF((L30-L31)&lt;0,"−"&amp;FIXED(-(L30-L31),0),"±0")),"")</f>
        <v>0</v>
      </c>
      <c r="M292" s="11">
        <f>IF(AND(ISNUMBER(M30),ISNUMBER(M31)),IF((M30-M31)&gt;0,"+"&amp;FIXED((M30-M31),0),IF((M30-M31)&lt;0,"−"&amp;FIXED(-(M30-M31),0),"±0")),"")</f>
        <v>0</v>
      </c>
      <c r="N292" s="11">
        <f>IF(AND(ISNUMBER(N30),ISNUMBER(N31)),IF((N30-N31)&gt;0,"+"&amp;FIXED((N30-N31),0),IF((N30-N31)&lt;0,"−"&amp;FIXED(-(N30-N31),0),"±0")),"")</f>
        <v>0</v>
      </c>
      <c r="O292" s="11">
        <f>IF(AND(ISNUMBER(O30),ISNUMBER(O31)),IF((O30-O31)&gt;0,"+"&amp;FIXED((O30-O31),0),IF((O30-O31)&lt;0,"−"&amp;FIXED(-(O30-O31),0),"±0")),"")</f>
        <v>0</v>
      </c>
      <c r="P292" s="11">
        <f>IF(AND(ISNUMBER(P30),ISNUMBER(P31)),IF((P30-P31)&gt;0,"+"&amp;FIXED((P30-P31),0),IF((P30-P31)&lt;0,"−"&amp;FIXED(-(P30-P31),0),"±0")),"")</f>
        <v>0</v>
      </c>
      <c r="Q292" s="11">
        <f>IF(AND(ISNUMBER(Q30),ISNUMBER(Q31)),IF((Q30-Q31)&gt;0,"+"&amp;FIXED((Q30-Q31),0),IF((Q30-Q31)&lt;0,"−"&amp;FIXED(-(Q30-Q31),0),"±0")),"")</f>
        <v>0</v>
      </c>
      <c r="R292" s="11">
        <f>IF(AND(ISNUMBER(R30),ISNUMBER(R31)),IF((R30-R31)&gt;0,"+"&amp;FIXED((R30-R31),0),IF((R30-R31)&lt;0,"−"&amp;FIXED(-(R30-R31),0),"±0")),"")</f>
        <v>0</v>
      </c>
      <c r="S292" s="11">
        <f>IF(AND(ISNUMBER(S30),ISNUMBER(S31)),IF((S30-S31)&gt;0,"+"&amp;FIXED((S30-S31),0),IF((S30-S31)&lt;0,"−"&amp;FIXED(-(S30-S31),0),"±0")),"")</f>
        <v>0</v>
      </c>
      <c r="T292" s="11">
        <f>IF(AND(ISNUMBER(T30),ISNUMBER(T31)),IF((T30-T31)&gt;0,"+"&amp;FIXED((T30-T31),0),IF((T30-T31)&lt;0,"−"&amp;FIXED(-(T30-T31),0),"±0")),"")</f>
        <v>0</v>
      </c>
      <c r="U292" s="11">
        <f>IF(AND(ISNUMBER(U30),ISNUMBER(U31)),IF((U30-U31)&gt;0,"+"&amp;FIXED((U30-U31),0),IF((U30-U31)&lt;0,"−"&amp;FIXED(-(U30-U31),0),"±0")),"")</f>
        <v>0</v>
      </c>
      <c r="V292" s="11">
        <f>IF(AND(ISNUMBER(V30),ISNUMBER(V31)),IF((V30-V31)&gt;0,"+"&amp;FIXED((V30-V31),0),IF((V30-V31)&lt;0,"−"&amp;FIXED(-(V30-V31),0),"±0")),"")</f>
        <v>0</v>
      </c>
      <c r="W292" s="11">
        <f>IF(AND(ISNUMBER(W30),ISNUMBER(W31)),IF((W30-W31)&gt;0,"+"&amp;FIXED((W30-W31),0),IF((W30-W31)&lt;0,"−"&amp;FIXED(-(W30-W31),0),"±0")),"")</f>
        <v>0</v>
      </c>
      <c r="X292" s="11">
        <f>IF(AND(ISNUMBER(X30),ISNUMBER(X31)),IF((X30-X31)&gt;0,"+"&amp;FIXED((X30-X31),0),IF((X30-X31)&lt;0,"−"&amp;FIXED(-(X30-X31),0),"±0")),"")</f>
        <v>0</v>
      </c>
      <c r="Y292" s="11">
        <f>IF(AND(ISNUMBER(Y30),ISNUMBER(Y31)),IF((Y30-Y31)&gt;0,"+"&amp;FIXED((Y30-Y31),0),IF((Y30-Y31)&lt;0,"−"&amp;FIXED(-(Y30-Y31),0),"±0")),"")</f>
        <v>0</v>
      </c>
      <c r="Z292" s="11">
        <f>IF(AND(ISNUMBER(Z30),ISNUMBER(Z31)),IF((Z30-Z31)&gt;0,"+"&amp;FIXED((Z30-Z31),0),IF((Z30-Z31)&lt;0,"−"&amp;FIXED(-(Z30-Z31),0),"±0")),"")</f>
        <v>0</v>
      </c>
      <c r="AA292" s="11">
        <f>IF(AND(ISNUMBER(AA30),ISNUMBER(AA31)),IF((AA30-AA31)&gt;0,"+"&amp;FIXED((AA30-AA31),0),IF((AA30-AA31)&lt;0,"−"&amp;FIXED(-(AA30-AA31),0),"±0")),"")</f>
        <v>0</v>
      </c>
      <c r="AB292" s="11">
        <f>IF(AND(ISNUMBER(AB30),ISNUMBER(AB31)),IF((AB30-AB31)&gt;0,"+"&amp;FIXED((AB30-AB31),0),IF((AB30-AB31)&lt;0,"−"&amp;FIXED(-(AB30-AB31),0),"±0")),"")</f>
        <v>0</v>
      </c>
      <c r="AC292" s="11">
        <f>IF(AND(ISNUMBER(AC30),ISNUMBER(AC31)),IF((AC30-AC31)&gt;0,"+"&amp;FIXED((AC30-AC31),0),IF((AC30-AC31)&lt;0,"−"&amp;FIXED(-(AC30-AC31),0),"±0")),"")</f>
        <v>0</v>
      </c>
      <c r="AD292" s="11">
        <f>IF(AND(ISNUMBER(AD30),ISNUMBER(AD31)),IF((AD30-AD31)&gt;0,"+"&amp;FIXED((AD30-AD31),0),IF((AD30-AD31)&lt;0,"−"&amp;FIXED(-(AD30-AD31),0),"±0")),"")</f>
        <v>0</v>
      </c>
    </row>
    <row r="293" spans="1:95">
      <c r="A293" s="11" t="s">
        <v>653</v>
      </c>
      <c r="B293" s="11" t="s">
        <v>654</v>
      </c>
      <c r="C293" s="3" t="s">
        <v>398</v>
      </c>
      <c r="BR293" s="5">
        <f>IF(($D$272-25)&lt;1,NA(),INDEX($D$282:$AD$282,($D$272-25)))</f>
        <v>0</v>
      </c>
      <c r="BS293" s="5">
        <f>IF(($D$272-24)&lt;1,NA(),INDEX($D$282:$AD$282,($D$272-24)))</f>
        <v>0</v>
      </c>
      <c r="BT293" s="5">
        <f>IF(($D$272-23)&lt;1,NA(),INDEX($D$282:$AD$282,($D$272-23)))</f>
        <v>0</v>
      </c>
      <c r="BU293" s="5">
        <f>IF(($D$272-22)&lt;1,NA(),INDEX($D$282:$AD$282,($D$272-22)))</f>
        <v>0</v>
      </c>
      <c r="BV293" s="5">
        <f>IF(($D$272-21)&lt;1,NA(),INDEX($D$282:$AD$282,($D$272-21)))</f>
        <v>0</v>
      </c>
      <c r="BW293" s="5">
        <f>IF(($D$272-20)&lt;1,NA(),INDEX($D$282:$AD$282,($D$272-20)))</f>
        <v>0</v>
      </c>
      <c r="BX293" s="5">
        <f>IF(($D$272-19)&lt;1,NA(),INDEX($D$282:$AD$282,($D$272-19)))</f>
        <v>0</v>
      </c>
      <c r="BY293" s="5">
        <f>IF(($D$272-18)&lt;1,NA(),INDEX($D$282:$AD$282,($D$272-18)))</f>
        <v>0</v>
      </c>
      <c r="BZ293" s="5">
        <f>IF(($D$272-17)&lt;1,NA(),INDEX($D$282:$AD$282,($D$272-17)))</f>
        <v>0</v>
      </c>
      <c r="CA293" s="5">
        <f>IF(($D$272-16)&lt;1,NA(),INDEX($D$282:$AD$282,($D$272-16)))</f>
        <v>0</v>
      </c>
      <c r="CB293" s="5">
        <f>IF(($D$272-15)&lt;1,NA(),INDEX($D$282:$AD$282,($D$272-15)))</f>
        <v>0</v>
      </c>
      <c r="CC293" s="5">
        <f>IF(($D$272-14)&lt;1,NA(),INDEX($D$282:$AD$282,($D$272-14)))</f>
        <v>0</v>
      </c>
      <c r="CD293" s="5">
        <f>IF(($D$272-13)&lt;1,NA(),INDEX($D$282:$AD$282,($D$272-13)))</f>
        <v>0</v>
      </c>
      <c r="CE293" s="5">
        <f>IF(($D$272-12)&lt;1,NA(),INDEX($D$282:$AD$282,($D$272-12)))</f>
        <v>0</v>
      </c>
      <c r="CF293" s="5">
        <f>IF(($D$272-11)&lt;1,NA(),INDEX($D$282:$AD$282,($D$272-11)))</f>
        <v>0</v>
      </c>
      <c r="CG293" s="5">
        <f>IF(($D$272-10)&lt;1,NA(),INDEX($D$282:$AD$282,($D$272-10)))</f>
        <v>0</v>
      </c>
      <c r="CH293" s="5">
        <f>IF(($D$272-9)&lt;1,NA(),INDEX($D$282:$AD$282,($D$272-9)))</f>
        <v>0</v>
      </c>
      <c r="CI293" s="5">
        <f>IF(($D$272-8)&lt;1,NA(),INDEX($D$282:$AD$282,($D$272-8)))</f>
        <v>0</v>
      </c>
      <c r="CJ293" s="5">
        <f>IF(($D$272-7)&lt;1,NA(),INDEX($D$282:$AD$282,($D$272-7)))</f>
        <v>0</v>
      </c>
      <c r="CK293" s="5">
        <f>IF(($D$272-6)&lt;1,NA(),INDEX($D$282:$AD$282,($D$272-6)))</f>
        <v>0</v>
      </c>
      <c r="CL293" s="5">
        <f>IF(($D$272-5)&lt;1,NA(),INDEX($D$282:$AD$282,($D$272-5)))</f>
        <v>0</v>
      </c>
      <c r="CM293" s="5">
        <f>IF(($D$272-4)&lt;1,NA(),INDEX($D$282:$AD$282,($D$272-4)))</f>
        <v>0</v>
      </c>
      <c r="CN293" s="5">
        <f>IF(($D$272-3)&lt;1,NA(),INDEX($D$282:$AD$282,($D$272-3)))</f>
        <v>0</v>
      </c>
      <c r="CO293" s="5">
        <f>IF(($D$272-2)&lt;1,NA(),INDEX($D$282:$AD$282,($D$272-2)))</f>
        <v>0</v>
      </c>
      <c r="CP293" s="5">
        <f>IF(($D$272-1)&lt;1,NA(),INDEX($D$282:$AD$282,($D$272-1)))</f>
        <v>0</v>
      </c>
      <c r="CQ293" s="5">
        <f>IF(($D$272-0)&lt;1,NA(),INDEX($D$282:$AD$282,($D$272-0)))</f>
        <v>0</v>
      </c>
    </row>
    <row r="294" spans="1:95">
      <c r="A294" s="11" t="s">
        <v>655</v>
      </c>
      <c r="B294" s="11" t="s">
        <v>656</v>
      </c>
      <c r="C294" s="3" t="s">
        <v>398</v>
      </c>
      <c r="BR294" s="5">
        <f>IF(($D$272-25)&lt;1,NA(),INDEX($D$284:$AD$284,($D$272-25)))</f>
        <v>0</v>
      </c>
      <c r="BS294" s="5">
        <f>IF(($D$272-24)&lt;1,NA(),INDEX($D$284:$AD$284,($D$272-24)))</f>
        <v>0</v>
      </c>
      <c r="BT294" s="5">
        <f>IF(($D$272-23)&lt;1,NA(),INDEX($D$284:$AD$284,($D$272-23)))</f>
        <v>0</v>
      </c>
      <c r="BU294" s="5">
        <f>IF(($D$272-22)&lt;1,NA(),INDEX($D$284:$AD$284,($D$272-22)))</f>
        <v>0</v>
      </c>
      <c r="BV294" s="5">
        <f>IF(($D$272-21)&lt;1,NA(),INDEX($D$284:$AD$284,($D$272-21)))</f>
        <v>0</v>
      </c>
      <c r="BW294" s="5">
        <f>IF(($D$272-20)&lt;1,NA(),INDEX($D$284:$AD$284,($D$272-20)))</f>
        <v>0</v>
      </c>
      <c r="BX294" s="5">
        <f>IF(($D$272-19)&lt;1,NA(),INDEX($D$284:$AD$284,($D$272-19)))</f>
        <v>0</v>
      </c>
      <c r="BY294" s="5">
        <f>IF(($D$272-18)&lt;1,NA(),INDEX($D$284:$AD$284,($D$272-18)))</f>
        <v>0</v>
      </c>
      <c r="BZ294" s="5">
        <f>IF(($D$272-17)&lt;1,NA(),INDEX($D$284:$AD$284,($D$272-17)))</f>
        <v>0</v>
      </c>
      <c r="CA294" s="5">
        <f>IF(($D$272-16)&lt;1,NA(),INDEX($D$284:$AD$284,($D$272-16)))</f>
        <v>0</v>
      </c>
      <c r="CB294" s="5">
        <f>IF(($D$272-15)&lt;1,NA(),INDEX($D$284:$AD$284,($D$272-15)))</f>
        <v>0</v>
      </c>
      <c r="CC294" s="5">
        <f>IF(($D$272-14)&lt;1,NA(),INDEX($D$284:$AD$284,($D$272-14)))</f>
        <v>0</v>
      </c>
      <c r="CD294" s="5">
        <f>IF(($D$272-13)&lt;1,NA(),INDEX($D$284:$AD$284,($D$272-13)))</f>
        <v>0</v>
      </c>
      <c r="CE294" s="5">
        <f>IF(($D$272-12)&lt;1,NA(),INDEX($D$284:$AD$284,($D$272-12)))</f>
        <v>0</v>
      </c>
      <c r="CF294" s="5">
        <f>IF(($D$272-11)&lt;1,NA(),INDEX($D$284:$AD$284,($D$272-11)))</f>
        <v>0</v>
      </c>
      <c r="CG294" s="5">
        <f>IF(($D$272-10)&lt;1,NA(),INDEX($D$284:$AD$284,($D$272-10)))</f>
        <v>0</v>
      </c>
      <c r="CH294" s="5">
        <f>IF(($D$272-9)&lt;1,NA(),INDEX($D$284:$AD$284,($D$272-9)))</f>
        <v>0</v>
      </c>
      <c r="CI294" s="5">
        <f>IF(($D$272-8)&lt;1,NA(),INDEX($D$284:$AD$284,($D$272-8)))</f>
        <v>0</v>
      </c>
      <c r="CJ294" s="5">
        <f>IF(($D$272-7)&lt;1,NA(),INDEX($D$284:$AD$284,($D$272-7)))</f>
        <v>0</v>
      </c>
      <c r="CK294" s="5">
        <f>IF(($D$272-6)&lt;1,NA(),INDEX($D$284:$AD$284,($D$272-6)))</f>
        <v>0</v>
      </c>
      <c r="CL294" s="5">
        <f>IF(($D$272-5)&lt;1,NA(),INDEX($D$284:$AD$284,($D$272-5)))</f>
        <v>0</v>
      </c>
      <c r="CM294" s="5">
        <f>IF(($D$272-4)&lt;1,NA(),INDEX($D$284:$AD$284,($D$272-4)))</f>
        <v>0</v>
      </c>
      <c r="CN294" s="5">
        <f>IF(($D$272-3)&lt;1,NA(),INDEX($D$284:$AD$284,($D$272-3)))</f>
        <v>0</v>
      </c>
      <c r="CO294" s="5">
        <f>IF(($D$272-2)&lt;1,NA(),INDEX($D$284:$AD$284,($D$272-2)))</f>
        <v>0</v>
      </c>
      <c r="CP294" s="5">
        <f>IF(($D$272-1)&lt;1,NA(),INDEX($D$284:$AD$284,($D$272-1)))</f>
        <v>0</v>
      </c>
      <c r="CQ294" s="5">
        <f>IF(($D$272-0)&lt;1,NA(),INDEX($D$284:$AD$284,($D$272-0)))</f>
        <v>0</v>
      </c>
    </row>
    <row r="295" spans="1:95">
      <c r="A295" s="11" t="s">
        <v>657</v>
      </c>
      <c r="B295" s="11" t="s">
        <v>658</v>
      </c>
      <c r="C295" s="3" t="s">
        <v>398</v>
      </c>
      <c r="BR295" s="5">
        <f>IF(($D$272-25)&lt;1,NA(),INDEX($D$286:$AD$286,($D$272-25)))</f>
        <v>0</v>
      </c>
      <c r="BS295" s="5">
        <f>IF(($D$272-24)&lt;1,NA(),INDEX($D$286:$AD$286,($D$272-24)))</f>
        <v>0</v>
      </c>
      <c r="BT295" s="5">
        <f>IF(($D$272-23)&lt;1,NA(),INDEX($D$286:$AD$286,($D$272-23)))</f>
        <v>0</v>
      </c>
      <c r="BU295" s="5">
        <f>IF(($D$272-22)&lt;1,NA(),INDEX($D$286:$AD$286,($D$272-22)))</f>
        <v>0</v>
      </c>
      <c r="BV295" s="5">
        <f>IF(($D$272-21)&lt;1,NA(),INDEX($D$286:$AD$286,($D$272-21)))</f>
        <v>0</v>
      </c>
      <c r="BW295" s="5">
        <f>IF(($D$272-20)&lt;1,NA(),INDEX($D$286:$AD$286,($D$272-20)))</f>
        <v>0</v>
      </c>
      <c r="BX295" s="5">
        <f>IF(($D$272-19)&lt;1,NA(),INDEX($D$286:$AD$286,($D$272-19)))</f>
        <v>0</v>
      </c>
      <c r="BY295" s="5">
        <f>IF(($D$272-18)&lt;1,NA(),INDEX($D$286:$AD$286,($D$272-18)))</f>
        <v>0</v>
      </c>
      <c r="BZ295" s="5">
        <f>IF(($D$272-17)&lt;1,NA(),INDEX($D$286:$AD$286,($D$272-17)))</f>
        <v>0</v>
      </c>
      <c r="CA295" s="5">
        <f>IF(($D$272-16)&lt;1,NA(),INDEX($D$286:$AD$286,($D$272-16)))</f>
        <v>0</v>
      </c>
      <c r="CB295" s="5">
        <f>IF(($D$272-15)&lt;1,NA(),INDEX($D$286:$AD$286,($D$272-15)))</f>
        <v>0</v>
      </c>
      <c r="CC295" s="5">
        <f>IF(($D$272-14)&lt;1,NA(),INDEX($D$286:$AD$286,($D$272-14)))</f>
        <v>0</v>
      </c>
      <c r="CD295" s="5">
        <f>IF(($D$272-13)&lt;1,NA(),INDEX($D$286:$AD$286,($D$272-13)))</f>
        <v>0</v>
      </c>
      <c r="CE295" s="5">
        <f>IF(($D$272-12)&lt;1,NA(),INDEX($D$286:$AD$286,($D$272-12)))</f>
        <v>0</v>
      </c>
      <c r="CF295" s="5">
        <f>IF(($D$272-11)&lt;1,NA(),INDEX($D$286:$AD$286,($D$272-11)))</f>
        <v>0</v>
      </c>
      <c r="CG295" s="5">
        <f>IF(($D$272-10)&lt;1,NA(),INDEX($D$286:$AD$286,($D$272-10)))</f>
        <v>0</v>
      </c>
      <c r="CH295" s="5">
        <f>IF(($D$272-9)&lt;1,NA(),INDEX($D$286:$AD$286,($D$272-9)))</f>
        <v>0</v>
      </c>
      <c r="CI295" s="5">
        <f>IF(($D$272-8)&lt;1,NA(),INDEX($D$286:$AD$286,($D$272-8)))</f>
        <v>0</v>
      </c>
      <c r="CJ295" s="5">
        <f>IF(($D$272-7)&lt;1,NA(),INDEX($D$286:$AD$286,($D$272-7)))</f>
        <v>0</v>
      </c>
      <c r="CK295" s="5">
        <f>IF(($D$272-6)&lt;1,NA(),INDEX($D$286:$AD$286,($D$272-6)))</f>
        <v>0</v>
      </c>
      <c r="CL295" s="5">
        <f>IF(($D$272-5)&lt;1,NA(),INDEX($D$286:$AD$286,($D$272-5)))</f>
        <v>0</v>
      </c>
      <c r="CM295" s="5">
        <f>IF(($D$272-4)&lt;1,NA(),INDEX($D$286:$AD$286,($D$272-4)))</f>
        <v>0</v>
      </c>
      <c r="CN295" s="5">
        <f>IF(($D$272-3)&lt;1,NA(),INDEX($D$286:$AD$286,($D$272-3)))</f>
        <v>0</v>
      </c>
      <c r="CO295" s="5">
        <f>IF(($D$272-2)&lt;1,NA(),INDEX($D$286:$AD$286,($D$272-2)))</f>
        <v>0</v>
      </c>
      <c r="CP295" s="5">
        <f>IF(($D$272-1)&lt;1,NA(),INDEX($D$286:$AD$286,($D$272-1)))</f>
        <v>0</v>
      </c>
      <c r="CQ295" s="5">
        <f>IF(($D$272-0)&lt;1,NA(),INDEX($D$286:$AD$286,($D$272-0)))</f>
        <v>0</v>
      </c>
    </row>
    <row r="296" spans="1:95">
      <c r="A296" s="11" t="s">
        <v>659</v>
      </c>
      <c r="B296" s="11" t="s">
        <v>660</v>
      </c>
      <c r="C296" s="3" t="s">
        <v>398</v>
      </c>
      <c r="BR296" s="11">
        <f>IF(($D$272-25)&lt;1,"",INDEX($D$283:$AD$283,($D$272-25)))</f>
        <v>0</v>
      </c>
      <c r="BS296" s="11">
        <f>IF(($D$272-24)&lt;1,"",INDEX($D$283:$AD$283,($D$272-24)))</f>
        <v>0</v>
      </c>
      <c r="BT296" s="11">
        <f>IF(($D$272-23)&lt;1,"",INDEX($D$283:$AD$283,($D$272-23)))</f>
        <v>0</v>
      </c>
      <c r="BU296" s="11">
        <f>IF(($D$272-22)&lt;1,"",INDEX($D$283:$AD$283,($D$272-22)))</f>
        <v>0</v>
      </c>
      <c r="BV296" s="11">
        <f>IF(($D$272-21)&lt;1,"",INDEX($D$283:$AD$283,($D$272-21)))</f>
        <v>0</v>
      </c>
      <c r="BW296" s="11">
        <f>IF(($D$272-20)&lt;1,"",INDEX($D$283:$AD$283,($D$272-20)))</f>
        <v>0</v>
      </c>
      <c r="BX296" s="11">
        <f>IF(($D$272-19)&lt;1,"",INDEX($D$283:$AD$283,($D$272-19)))</f>
        <v>0</v>
      </c>
      <c r="BY296" s="11">
        <f>IF(($D$272-18)&lt;1,"",INDEX($D$283:$AD$283,($D$272-18)))</f>
        <v>0</v>
      </c>
      <c r="BZ296" s="11">
        <f>IF(($D$272-17)&lt;1,"",INDEX($D$283:$AD$283,($D$272-17)))</f>
        <v>0</v>
      </c>
      <c r="CA296" s="11">
        <f>IF(($D$272-16)&lt;1,"",INDEX($D$283:$AD$283,($D$272-16)))</f>
        <v>0</v>
      </c>
      <c r="CB296" s="11">
        <f>IF(($D$272-15)&lt;1,"",INDEX($D$283:$AD$283,($D$272-15)))</f>
        <v>0</v>
      </c>
      <c r="CC296" s="11">
        <f>IF(($D$272-14)&lt;1,"",INDEX($D$283:$AD$283,($D$272-14)))</f>
        <v>0</v>
      </c>
      <c r="CD296" s="11">
        <f>IF(($D$272-13)&lt;1,"",INDEX($D$283:$AD$283,($D$272-13)))</f>
        <v>0</v>
      </c>
      <c r="CE296" s="11">
        <f>IF(($D$272-12)&lt;1,"",INDEX($D$283:$AD$283,($D$272-12)))</f>
        <v>0</v>
      </c>
      <c r="CF296" s="11">
        <f>IF(($D$272-11)&lt;1,"",INDEX($D$283:$AD$283,($D$272-11)))</f>
        <v>0</v>
      </c>
      <c r="CG296" s="11">
        <f>IF(($D$272-10)&lt;1,"",INDEX($D$283:$AD$283,($D$272-10)))</f>
        <v>0</v>
      </c>
      <c r="CH296" s="11">
        <f>IF(($D$272-9)&lt;1,"",INDEX($D$283:$AD$283,($D$272-9)))</f>
        <v>0</v>
      </c>
      <c r="CI296" s="11">
        <f>IF(($D$272-8)&lt;1,"",INDEX($D$283:$AD$283,($D$272-8)))</f>
        <v>0</v>
      </c>
      <c r="CJ296" s="11">
        <f>IF(($D$272-7)&lt;1,"",INDEX($D$283:$AD$283,($D$272-7)))</f>
        <v>0</v>
      </c>
      <c r="CK296" s="11">
        <f>IF(($D$272-6)&lt;1,"",INDEX($D$283:$AD$283,($D$272-6)))</f>
        <v>0</v>
      </c>
      <c r="CL296" s="11">
        <f>IF(($D$272-5)&lt;1,"",INDEX($D$283:$AD$283,($D$272-5)))</f>
        <v>0</v>
      </c>
      <c r="CM296" s="11">
        <f>IF(($D$272-4)&lt;1,"",INDEX($D$283:$AD$283,($D$272-4)))</f>
        <v>0</v>
      </c>
      <c r="CN296" s="11">
        <f>IF(($D$272-3)&lt;1,"",INDEX($D$283:$AD$283,($D$272-3)))</f>
        <v>0</v>
      </c>
      <c r="CO296" s="11">
        <f>IF(($D$272-2)&lt;1,"",INDEX($D$283:$AD$283,($D$272-2)))</f>
        <v>0</v>
      </c>
      <c r="CP296" s="11">
        <f>IF(($D$272-1)&lt;1,"",INDEX($D$283:$AD$283,($D$272-1)))</f>
        <v>0</v>
      </c>
      <c r="CQ296" s="11">
        <f>IF(($D$272-0)&lt;1,"",INDEX($D$283:$AD$283,($D$272-0)))</f>
        <v>0</v>
      </c>
    </row>
    <row r="297" spans="1:95">
      <c r="A297" s="11" t="s">
        <v>661</v>
      </c>
      <c r="B297" s="11" t="s">
        <v>662</v>
      </c>
      <c r="C297" s="3" t="s">
        <v>398</v>
      </c>
      <c r="BR297" s="5">
        <f>IF(($D$272-25)&lt;1,NA(),INDEX($D$287:$AD$287,($D$272-25)))</f>
        <v>0</v>
      </c>
      <c r="BS297" s="5">
        <f>IF(($D$272-24)&lt;1,NA(),INDEX($D$287:$AD$287,($D$272-24)))</f>
        <v>0</v>
      </c>
      <c r="BT297" s="5">
        <f>IF(($D$272-23)&lt;1,NA(),INDEX($D$287:$AD$287,($D$272-23)))</f>
        <v>0</v>
      </c>
      <c r="BU297" s="5">
        <f>IF(($D$272-22)&lt;1,NA(),INDEX($D$287:$AD$287,($D$272-22)))</f>
        <v>0</v>
      </c>
      <c r="BV297" s="5">
        <f>IF(($D$272-21)&lt;1,NA(),INDEX($D$287:$AD$287,($D$272-21)))</f>
        <v>0</v>
      </c>
      <c r="BW297" s="5">
        <f>IF(($D$272-20)&lt;1,NA(),INDEX($D$287:$AD$287,($D$272-20)))</f>
        <v>0</v>
      </c>
      <c r="BX297" s="5">
        <f>IF(($D$272-19)&lt;1,NA(),INDEX($D$287:$AD$287,($D$272-19)))</f>
        <v>0</v>
      </c>
      <c r="BY297" s="5">
        <f>IF(($D$272-18)&lt;1,NA(),INDEX($D$287:$AD$287,($D$272-18)))</f>
        <v>0</v>
      </c>
      <c r="BZ297" s="5">
        <f>IF(($D$272-17)&lt;1,NA(),INDEX($D$287:$AD$287,($D$272-17)))</f>
        <v>0</v>
      </c>
      <c r="CA297" s="5">
        <f>IF(($D$272-16)&lt;1,NA(),INDEX($D$287:$AD$287,($D$272-16)))</f>
        <v>0</v>
      </c>
      <c r="CB297" s="5">
        <f>IF(($D$272-15)&lt;1,NA(),INDEX($D$287:$AD$287,($D$272-15)))</f>
        <v>0</v>
      </c>
      <c r="CC297" s="5">
        <f>IF(($D$272-14)&lt;1,NA(),INDEX($D$287:$AD$287,($D$272-14)))</f>
        <v>0</v>
      </c>
      <c r="CD297" s="5">
        <f>IF(($D$272-13)&lt;1,NA(),INDEX($D$287:$AD$287,($D$272-13)))</f>
        <v>0</v>
      </c>
      <c r="CE297" s="5">
        <f>IF(($D$272-12)&lt;1,NA(),INDEX($D$287:$AD$287,($D$272-12)))</f>
        <v>0</v>
      </c>
      <c r="CF297" s="5">
        <f>IF(($D$272-11)&lt;1,NA(),INDEX($D$287:$AD$287,($D$272-11)))</f>
        <v>0</v>
      </c>
      <c r="CG297" s="5">
        <f>IF(($D$272-10)&lt;1,NA(),INDEX($D$287:$AD$287,($D$272-10)))</f>
        <v>0</v>
      </c>
      <c r="CH297" s="5">
        <f>IF(($D$272-9)&lt;1,NA(),INDEX($D$287:$AD$287,($D$272-9)))</f>
        <v>0</v>
      </c>
      <c r="CI297" s="5">
        <f>IF(($D$272-8)&lt;1,NA(),INDEX($D$287:$AD$287,($D$272-8)))</f>
        <v>0</v>
      </c>
      <c r="CJ297" s="5">
        <f>IF(($D$272-7)&lt;1,NA(),INDEX($D$287:$AD$287,($D$272-7)))</f>
        <v>0</v>
      </c>
      <c r="CK297" s="5">
        <f>IF(($D$272-6)&lt;1,NA(),INDEX($D$287:$AD$287,($D$272-6)))</f>
        <v>0</v>
      </c>
      <c r="CL297" s="5">
        <f>IF(($D$272-5)&lt;1,NA(),INDEX($D$287:$AD$287,($D$272-5)))</f>
        <v>0</v>
      </c>
      <c r="CM297" s="5">
        <f>IF(($D$272-4)&lt;1,NA(),INDEX($D$287:$AD$287,($D$272-4)))</f>
        <v>0</v>
      </c>
      <c r="CN297" s="5">
        <f>IF(($D$272-3)&lt;1,NA(),INDEX($D$287:$AD$287,($D$272-3)))</f>
        <v>0</v>
      </c>
      <c r="CO297" s="5">
        <f>IF(($D$272-2)&lt;1,NA(),INDEX($D$287:$AD$287,($D$272-2)))</f>
        <v>0</v>
      </c>
      <c r="CP297" s="5">
        <f>IF(($D$272-1)&lt;1,NA(),INDEX($D$287:$AD$287,($D$272-1)))</f>
        <v>0</v>
      </c>
      <c r="CQ297" s="5">
        <f>IF(($D$272-0)&lt;1,NA(),INDEX($D$287:$AD$287,($D$272-0)))</f>
        <v>0</v>
      </c>
    </row>
    <row r="298" spans="1:95">
      <c r="A298" s="11" t="s">
        <v>663</v>
      </c>
      <c r="B298" s="11" t="s">
        <v>664</v>
      </c>
      <c r="C298" s="3" t="s">
        <v>398</v>
      </c>
      <c r="BR298" s="11">
        <f>IF(($D$272-25)&lt;1,"",INDEX($D$285:$AD$285,($D$272-25)))</f>
        <v>0</v>
      </c>
      <c r="BS298" s="11">
        <f>IF(($D$272-24)&lt;1,"",INDEX($D$285:$AD$285,($D$272-24)))</f>
        <v>0</v>
      </c>
      <c r="BT298" s="11">
        <f>IF(($D$272-23)&lt;1,"",INDEX($D$285:$AD$285,($D$272-23)))</f>
        <v>0</v>
      </c>
      <c r="BU298" s="11">
        <f>IF(($D$272-22)&lt;1,"",INDEX($D$285:$AD$285,($D$272-22)))</f>
        <v>0</v>
      </c>
      <c r="BV298" s="11">
        <f>IF(($D$272-21)&lt;1,"",INDEX($D$285:$AD$285,($D$272-21)))</f>
        <v>0</v>
      </c>
      <c r="BW298" s="11">
        <f>IF(($D$272-20)&lt;1,"",INDEX($D$285:$AD$285,($D$272-20)))</f>
        <v>0</v>
      </c>
      <c r="BX298" s="11">
        <f>IF(($D$272-19)&lt;1,"",INDEX($D$285:$AD$285,($D$272-19)))</f>
        <v>0</v>
      </c>
      <c r="BY298" s="11">
        <f>IF(($D$272-18)&lt;1,"",INDEX($D$285:$AD$285,($D$272-18)))</f>
        <v>0</v>
      </c>
      <c r="BZ298" s="11">
        <f>IF(($D$272-17)&lt;1,"",INDEX($D$285:$AD$285,($D$272-17)))</f>
        <v>0</v>
      </c>
      <c r="CA298" s="11">
        <f>IF(($D$272-16)&lt;1,"",INDEX($D$285:$AD$285,($D$272-16)))</f>
        <v>0</v>
      </c>
      <c r="CB298" s="11">
        <f>IF(($D$272-15)&lt;1,"",INDEX($D$285:$AD$285,($D$272-15)))</f>
        <v>0</v>
      </c>
      <c r="CC298" s="11">
        <f>IF(($D$272-14)&lt;1,"",INDEX($D$285:$AD$285,($D$272-14)))</f>
        <v>0</v>
      </c>
      <c r="CD298" s="11">
        <f>IF(($D$272-13)&lt;1,"",INDEX($D$285:$AD$285,($D$272-13)))</f>
        <v>0</v>
      </c>
      <c r="CE298" s="11">
        <f>IF(($D$272-12)&lt;1,"",INDEX($D$285:$AD$285,($D$272-12)))</f>
        <v>0</v>
      </c>
      <c r="CF298" s="11">
        <f>IF(($D$272-11)&lt;1,"",INDEX($D$285:$AD$285,($D$272-11)))</f>
        <v>0</v>
      </c>
      <c r="CG298" s="11">
        <f>IF(($D$272-10)&lt;1,"",INDEX($D$285:$AD$285,($D$272-10)))</f>
        <v>0</v>
      </c>
      <c r="CH298" s="11">
        <f>IF(($D$272-9)&lt;1,"",INDEX($D$285:$AD$285,($D$272-9)))</f>
        <v>0</v>
      </c>
      <c r="CI298" s="11">
        <f>IF(($D$272-8)&lt;1,"",INDEX($D$285:$AD$285,($D$272-8)))</f>
        <v>0</v>
      </c>
      <c r="CJ298" s="11">
        <f>IF(($D$272-7)&lt;1,"",INDEX($D$285:$AD$285,($D$272-7)))</f>
        <v>0</v>
      </c>
      <c r="CK298" s="11">
        <f>IF(($D$272-6)&lt;1,"",INDEX($D$285:$AD$285,($D$272-6)))</f>
        <v>0</v>
      </c>
      <c r="CL298" s="11">
        <f>IF(($D$272-5)&lt;1,"",INDEX($D$285:$AD$285,($D$272-5)))</f>
        <v>0</v>
      </c>
      <c r="CM298" s="11">
        <f>IF(($D$272-4)&lt;1,"",INDEX($D$285:$AD$285,($D$272-4)))</f>
        <v>0</v>
      </c>
      <c r="CN298" s="11">
        <f>IF(($D$272-3)&lt;1,"",INDEX($D$285:$AD$285,($D$272-3)))</f>
        <v>0</v>
      </c>
      <c r="CO298" s="11">
        <f>IF(($D$272-2)&lt;1,"",INDEX($D$285:$AD$285,($D$272-2)))</f>
        <v>0</v>
      </c>
      <c r="CP298" s="11">
        <f>IF(($D$272-1)&lt;1,"",INDEX($D$285:$AD$285,($D$272-1)))</f>
        <v>0</v>
      </c>
      <c r="CQ298" s="11">
        <f>IF(($D$272-0)&lt;1,"",INDEX($D$285:$AD$285,($D$272-0)))</f>
        <v>0</v>
      </c>
    </row>
    <row r="299" spans="1:95">
      <c r="A299" s="11" t="s">
        <v>665</v>
      </c>
      <c r="B299" s="11" t="s">
        <v>666</v>
      </c>
      <c r="C299" s="3" t="s">
        <v>398</v>
      </c>
      <c r="BR299" s="5">
        <f>IF(($D$272-25)&lt;1,NA(),INDEX($D$289:$AD$289,($D$272-25)))</f>
        <v>0</v>
      </c>
      <c r="BS299" s="5">
        <f>IF(($D$272-24)&lt;1,NA(),INDEX($D$289:$AD$289,($D$272-24)))</f>
        <v>0</v>
      </c>
      <c r="BT299" s="5">
        <f>IF(($D$272-23)&lt;1,NA(),INDEX($D$289:$AD$289,($D$272-23)))</f>
        <v>0</v>
      </c>
      <c r="BU299" s="5">
        <f>IF(($D$272-22)&lt;1,NA(),INDEX($D$289:$AD$289,($D$272-22)))</f>
        <v>0</v>
      </c>
      <c r="BV299" s="5">
        <f>IF(($D$272-21)&lt;1,NA(),INDEX($D$289:$AD$289,($D$272-21)))</f>
        <v>0</v>
      </c>
      <c r="BW299" s="5">
        <f>IF(($D$272-20)&lt;1,NA(),INDEX($D$289:$AD$289,($D$272-20)))</f>
        <v>0</v>
      </c>
      <c r="BX299" s="5">
        <f>IF(($D$272-19)&lt;1,NA(),INDEX($D$289:$AD$289,($D$272-19)))</f>
        <v>0</v>
      </c>
      <c r="BY299" s="5">
        <f>IF(($D$272-18)&lt;1,NA(),INDEX($D$289:$AD$289,($D$272-18)))</f>
        <v>0</v>
      </c>
      <c r="BZ299" s="5">
        <f>IF(($D$272-17)&lt;1,NA(),INDEX($D$289:$AD$289,($D$272-17)))</f>
        <v>0</v>
      </c>
      <c r="CA299" s="5">
        <f>IF(($D$272-16)&lt;1,NA(),INDEX($D$289:$AD$289,($D$272-16)))</f>
        <v>0</v>
      </c>
      <c r="CB299" s="5">
        <f>IF(($D$272-15)&lt;1,NA(),INDEX($D$289:$AD$289,($D$272-15)))</f>
        <v>0</v>
      </c>
      <c r="CC299" s="5">
        <f>IF(($D$272-14)&lt;1,NA(),INDEX($D$289:$AD$289,($D$272-14)))</f>
        <v>0</v>
      </c>
      <c r="CD299" s="5">
        <f>IF(($D$272-13)&lt;1,NA(),INDEX($D$289:$AD$289,($D$272-13)))</f>
        <v>0</v>
      </c>
      <c r="CE299" s="5">
        <f>IF(($D$272-12)&lt;1,NA(),INDEX($D$289:$AD$289,($D$272-12)))</f>
        <v>0</v>
      </c>
      <c r="CF299" s="5">
        <f>IF(($D$272-11)&lt;1,NA(),INDEX($D$289:$AD$289,($D$272-11)))</f>
        <v>0</v>
      </c>
      <c r="CG299" s="5">
        <f>IF(($D$272-10)&lt;1,NA(),INDEX($D$289:$AD$289,($D$272-10)))</f>
        <v>0</v>
      </c>
      <c r="CH299" s="5">
        <f>IF(($D$272-9)&lt;1,NA(),INDEX($D$289:$AD$289,($D$272-9)))</f>
        <v>0</v>
      </c>
      <c r="CI299" s="5">
        <f>IF(($D$272-8)&lt;1,NA(),INDEX($D$289:$AD$289,($D$272-8)))</f>
        <v>0</v>
      </c>
      <c r="CJ299" s="5">
        <f>IF(($D$272-7)&lt;1,NA(),INDEX($D$289:$AD$289,($D$272-7)))</f>
        <v>0</v>
      </c>
      <c r="CK299" s="5">
        <f>IF(($D$272-6)&lt;1,NA(),INDEX($D$289:$AD$289,($D$272-6)))</f>
        <v>0</v>
      </c>
      <c r="CL299" s="5">
        <f>IF(($D$272-5)&lt;1,NA(),INDEX($D$289:$AD$289,($D$272-5)))</f>
        <v>0</v>
      </c>
      <c r="CM299" s="5">
        <f>IF(($D$272-4)&lt;1,NA(),INDEX($D$289:$AD$289,($D$272-4)))</f>
        <v>0</v>
      </c>
      <c r="CN299" s="5">
        <f>IF(($D$272-3)&lt;1,NA(),INDEX($D$289:$AD$289,($D$272-3)))</f>
        <v>0</v>
      </c>
      <c r="CO299" s="5">
        <f>IF(($D$272-2)&lt;1,NA(),INDEX($D$289:$AD$289,($D$272-2)))</f>
        <v>0</v>
      </c>
      <c r="CP299" s="5">
        <f>IF(($D$272-1)&lt;1,NA(),INDEX($D$289:$AD$289,($D$272-1)))</f>
        <v>0</v>
      </c>
      <c r="CQ299" s="5">
        <f>IF(($D$272-0)&lt;1,NA(),INDEX($D$289:$AD$289,($D$272-0)))</f>
        <v>0</v>
      </c>
    </row>
    <row r="300" spans="1:95">
      <c r="A300" s="11" t="s">
        <v>667</v>
      </c>
      <c r="B300" s="11" t="s">
        <v>668</v>
      </c>
      <c r="C300" s="3" t="s">
        <v>398</v>
      </c>
      <c r="BR300" s="5">
        <f>IF(($D$272-25)&lt;1,NA(),INDEX($D$290:$AD$290,($D$272-25)))</f>
        <v>0</v>
      </c>
      <c r="BS300" s="5">
        <f>IF(($D$272-24)&lt;1,NA(),INDEX($D$290:$AD$290,($D$272-24)))</f>
        <v>0</v>
      </c>
      <c r="BT300" s="5">
        <f>IF(($D$272-23)&lt;1,NA(),INDEX($D$290:$AD$290,($D$272-23)))</f>
        <v>0</v>
      </c>
      <c r="BU300" s="5">
        <f>IF(($D$272-22)&lt;1,NA(),INDEX($D$290:$AD$290,($D$272-22)))</f>
        <v>0</v>
      </c>
      <c r="BV300" s="5">
        <f>IF(($D$272-21)&lt;1,NA(),INDEX($D$290:$AD$290,($D$272-21)))</f>
        <v>0</v>
      </c>
      <c r="BW300" s="5">
        <f>IF(($D$272-20)&lt;1,NA(),INDEX($D$290:$AD$290,($D$272-20)))</f>
        <v>0</v>
      </c>
      <c r="BX300" s="5">
        <f>IF(($D$272-19)&lt;1,NA(),INDEX($D$290:$AD$290,($D$272-19)))</f>
        <v>0</v>
      </c>
      <c r="BY300" s="5">
        <f>IF(($D$272-18)&lt;1,NA(),INDEX($D$290:$AD$290,($D$272-18)))</f>
        <v>0</v>
      </c>
      <c r="BZ300" s="5">
        <f>IF(($D$272-17)&lt;1,NA(),INDEX($D$290:$AD$290,($D$272-17)))</f>
        <v>0</v>
      </c>
      <c r="CA300" s="5">
        <f>IF(($D$272-16)&lt;1,NA(),INDEX($D$290:$AD$290,($D$272-16)))</f>
        <v>0</v>
      </c>
      <c r="CB300" s="5">
        <f>IF(($D$272-15)&lt;1,NA(),INDEX($D$290:$AD$290,($D$272-15)))</f>
        <v>0</v>
      </c>
      <c r="CC300" s="5">
        <f>IF(($D$272-14)&lt;1,NA(),INDEX($D$290:$AD$290,($D$272-14)))</f>
        <v>0</v>
      </c>
      <c r="CD300" s="5">
        <f>IF(($D$272-13)&lt;1,NA(),INDEX($D$290:$AD$290,($D$272-13)))</f>
        <v>0</v>
      </c>
      <c r="CE300" s="5">
        <f>IF(($D$272-12)&lt;1,NA(),INDEX($D$290:$AD$290,($D$272-12)))</f>
        <v>0</v>
      </c>
      <c r="CF300" s="5">
        <f>IF(($D$272-11)&lt;1,NA(),INDEX($D$290:$AD$290,($D$272-11)))</f>
        <v>0</v>
      </c>
      <c r="CG300" s="5">
        <f>IF(($D$272-10)&lt;1,NA(),INDEX($D$290:$AD$290,($D$272-10)))</f>
        <v>0</v>
      </c>
      <c r="CH300" s="5">
        <f>IF(($D$272-9)&lt;1,NA(),INDEX($D$290:$AD$290,($D$272-9)))</f>
        <v>0</v>
      </c>
      <c r="CI300" s="5">
        <f>IF(($D$272-8)&lt;1,NA(),INDEX($D$290:$AD$290,($D$272-8)))</f>
        <v>0</v>
      </c>
      <c r="CJ300" s="5">
        <f>IF(($D$272-7)&lt;1,NA(),INDEX($D$290:$AD$290,($D$272-7)))</f>
        <v>0</v>
      </c>
      <c r="CK300" s="5">
        <f>IF(($D$272-6)&lt;1,NA(),INDEX($D$290:$AD$290,($D$272-6)))</f>
        <v>0</v>
      </c>
      <c r="CL300" s="5">
        <f>IF(($D$272-5)&lt;1,NA(),INDEX($D$290:$AD$290,($D$272-5)))</f>
        <v>0</v>
      </c>
      <c r="CM300" s="5">
        <f>IF(($D$272-4)&lt;1,NA(),INDEX($D$290:$AD$290,($D$272-4)))</f>
        <v>0</v>
      </c>
      <c r="CN300" s="5">
        <f>IF(($D$272-3)&lt;1,NA(),INDEX($D$290:$AD$290,($D$272-3)))</f>
        <v>0</v>
      </c>
      <c r="CO300" s="5">
        <f>IF(($D$272-2)&lt;1,NA(),INDEX($D$290:$AD$290,($D$272-2)))</f>
        <v>0</v>
      </c>
      <c r="CP300" s="5">
        <f>IF(($D$272-1)&lt;1,NA(),INDEX($D$290:$AD$290,($D$272-1)))</f>
        <v>0</v>
      </c>
      <c r="CQ300" s="5">
        <f>IF(($D$272-0)&lt;1,NA(),INDEX($D$290:$AD$290,($D$272-0)))</f>
        <v>0</v>
      </c>
    </row>
    <row r="301" spans="1:95">
      <c r="A301" s="11" t="s">
        <v>669</v>
      </c>
      <c r="B301" s="11" t="s">
        <v>670</v>
      </c>
      <c r="C301" s="3" t="s">
        <v>398</v>
      </c>
      <c r="BR301" s="5">
        <f>IF(($D$272-25)&lt;1,NA(),INDEX($D$291:$AD$291,($D$272-25)))</f>
        <v>0</v>
      </c>
      <c r="BS301" s="5">
        <f>IF(($D$272-24)&lt;1,NA(),INDEX($D$291:$AD$291,($D$272-24)))</f>
        <v>0</v>
      </c>
      <c r="BT301" s="5">
        <f>IF(($D$272-23)&lt;1,NA(),INDEX($D$291:$AD$291,($D$272-23)))</f>
        <v>0</v>
      </c>
      <c r="BU301" s="5">
        <f>IF(($D$272-22)&lt;1,NA(),INDEX($D$291:$AD$291,($D$272-22)))</f>
        <v>0</v>
      </c>
      <c r="BV301" s="5">
        <f>IF(($D$272-21)&lt;1,NA(),INDEX($D$291:$AD$291,($D$272-21)))</f>
        <v>0</v>
      </c>
      <c r="BW301" s="5">
        <f>IF(($D$272-20)&lt;1,NA(),INDEX($D$291:$AD$291,($D$272-20)))</f>
        <v>0</v>
      </c>
      <c r="BX301" s="5">
        <f>IF(($D$272-19)&lt;1,NA(),INDEX($D$291:$AD$291,($D$272-19)))</f>
        <v>0</v>
      </c>
      <c r="BY301" s="5">
        <f>IF(($D$272-18)&lt;1,NA(),INDEX($D$291:$AD$291,($D$272-18)))</f>
        <v>0</v>
      </c>
      <c r="BZ301" s="5">
        <f>IF(($D$272-17)&lt;1,NA(),INDEX($D$291:$AD$291,($D$272-17)))</f>
        <v>0</v>
      </c>
      <c r="CA301" s="5">
        <f>IF(($D$272-16)&lt;1,NA(),INDEX($D$291:$AD$291,($D$272-16)))</f>
        <v>0</v>
      </c>
      <c r="CB301" s="5">
        <f>IF(($D$272-15)&lt;1,NA(),INDEX($D$291:$AD$291,($D$272-15)))</f>
        <v>0</v>
      </c>
      <c r="CC301" s="5">
        <f>IF(($D$272-14)&lt;1,NA(),INDEX($D$291:$AD$291,($D$272-14)))</f>
        <v>0</v>
      </c>
      <c r="CD301" s="5">
        <f>IF(($D$272-13)&lt;1,NA(),INDEX($D$291:$AD$291,($D$272-13)))</f>
        <v>0</v>
      </c>
      <c r="CE301" s="5">
        <f>IF(($D$272-12)&lt;1,NA(),INDEX($D$291:$AD$291,($D$272-12)))</f>
        <v>0</v>
      </c>
      <c r="CF301" s="5">
        <f>IF(($D$272-11)&lt;1,NA(),INDEX($D$291:$AD$291,($D$272-11)))</f>
        <v>0</v>
      </c>
      <c r="CG301" s="5">
        <f>IF(($D$272-10)&lt;1,NA(),INDEX($D$291:$AD$291,($D$272-10)))</f>
        <v>0</v>
      </c>
      <c r="CH301" s="5">
        <f>IF(($D$272-9)&lt;1,NA(),INDEX($D$291:$AD$291,($D$272-9)))</f>
        <v>0</v>
      </c>
      <c r="CI301" s="5">
        <f>IF(($D$272-8)&lt;1,NA(),INDEX($D$291:$AD$291,($D$272-8)))</f>
        <v>0</v>
      </c>
      <c r="CJ301" s="5">
        <f>IF(($D$272-7)&lt;1,NA(),INDEX($D$291:$AD$291,($D$272-7)))</f>
        <v>0</v>
      </c>
      <c r="CK301" s="5">
        <f>IF(($D$272-6)&lt;1,NA(),INDEX($D$291:$AD$291,($D$272-6)))</f>
        <v>0</v>
      </c>
      <c r="CL301" s="5">
        <f>IF(($D$272-5)&lt;1,NA(),INDEX($D$291:$AD$291,($D$272-5)))</f>
        <v>0</v>
      </c>
      <c r="CM301" s="5">
        <f>IF(($D$272-4)&lt;1,NA(),INDEX($D$291:$AD$291,($D$272-4)))</f>
        <v>0</v>
      </c>
      <c r="CN301" s="5">
        <f>IF(($D$272-3)&lt;1,NA(),INDEX($D$291:$AD$291,($D$272-3)))</f>
        <v>0</v>
      </c>
      <c r="CO301" s="5">
        <f>IF(($D$272-2)&lt;1,NA(),INDEX($D$291:$AD$291,($D$272-2)))</f>
        <v>0</v>
      </c>
      <c r="CP301" s="5">
        <f>IF(($D$272-1)&lt;1,NA(),INDEX($D$291:$AD$291,($D$272-1)))</f>
        <v>0</v>
      </c>
      <c r="CQ301" s="5">
        <f>IF(($D$272-0)&lt;1,NA(),INDEX($D$291:$AD$291,($D$272-0)))</f>
        <v>0</v>
      </c>
    </row>
    <row r="302" spans="1:95">
      <c r="A302" s="11" t="s">
        <v>671</v>
      </c>
      <c r="B302" s="11" t="s">
        <v>672</v>
      </c>
      <c r="C302" s="3" t="s">
        <v>398</v>
      </c>
      <c r="BR302" s="11">
        <f>IF(($D$272-25)&lt;1,"",INDEX($D$292:$AD$292,($D$272-25)))</f>
        <v>0</v>
      </c>
      <c r="BS302" s="11">
        <f>IF(($D$272-24)&lt;1,"",INDEX($D$292:$AD$292,($D$272-24)))</f>
        <v>0</v>
      </c>
      <c r="BT302" s="11">
        <f>IF(($D$272-23)&lt;1,"",INDEX($D$292:$AD$292,($D$272-23)))</f>
        <v>0</v>
      </c>
      <c r="BU302" s="11">
        <f>IF(($D$272-22)&lt;1,"",INDEX($D$292:$AD$292,($D$272-22)))</f>
        <v>0</v>
      </c>
      <c r="BV302" s="11">
        <f>IF(($D$272-21)&lt;1,"",INDEX($D$292:$AD$292,($D$272-21)))</f>
        <v>0</v>
      </c>
      <c r="BW302" s="11">
        <f>IF(($D$272-20)&lt;1,"",INDEX($D$292:$AD$292,($D$272-20)))</f>
        <v>0</v>
      </c>
      <c r="BX302" s="11">
        <f>IF(($D$272-19)&lt;1,"",INDEX($D$292:$AD$292,($D$272-19)))</f>
        <v>0</v>
      </c>
      <c r="BY302" s="11">
        <f>IF(($D$272-18)&lt;1,"",INDEX($D$292:$AD$292,($D$272-18)))</f>
        <v>0</v>
      </c>
      <c r="BZ302" s="11">
        <f>IF(($D$272-17)&lt;1,"",INDEX($D$292:$AD$292,($D$272-17)))</f>
        <v>0</v>
      </c>
      <c r="CA302" s="11">
        <f>IF(($D$272-16)&lt;1,"",INDEX($D$292:$AD$292,($D$272-16)))</f>
        <v>0</v>
      </c>
      <c r="CB302" s="11">
        <f>IF(($D$272-15)&lt;1,"",INDEX($D$292:$AD$292,($D$272-15)))</f>
        <v>0</v>
      </c>
      <c r="CC302" s="11">
        <f>IF(($D$272-14)&lt;1,"",INDEX($D$292:$AD$292,($D$272-14)))</f>
        <v>0</v>
      </c>
      <c r="CD302" s="11">
        <f>IF(($D$272-13)&lt;1,"",INDEX($D$292:$AD$292,($D$272-13)))</f>
        <v>0</v>
      </c>
      <c r="CE302" s="11">
        <f>IF(($D$272-12)&lt;1,"",INDEX($D$292:$AD$292,($D$272-12)))</f>
        <v>0</v>
      </c>
      <c r="CF302" s="11">
        <f>IF(($D$272-11)&lt;1,"",INDEX($D$292:$AD$292,($D$272-11)))</f>
        <v>0</v>
      </c>
      <c r="CG302" s="11">
        <f>IF(($D$272-10)&lt;1,"",INDEX($D$292:$AD$292,($D$272-10)))</f>
        <v>0</v>
      </c>
      <c r="CH302" s="11">
        <f>IF(($D$272-9)&lt;1,"",INDEX($D$292:$AD$292,($D$272-9)))</f>
        <v>0</v>
      </c>
      <c r="CI302" s="11">
        <f>IF(($D$272-8)&lt;1,"",INDEX($D$292:$AD$292,($D$272-8)))</f>
        <v>0</v>
      </c>
      <c r="CJ302" s="11">
        <f>IF(($D$272-7)&lt;1,"",INDEX($D$292:$AD$292,($D$272-7)))</f>
        <v>0</v>
      </c>
      <c r="CK302" s="11">
        <f>IF(($D$272-6)&lt;1,"",INDEX($D$292:$AD$292,($D$272-6)))</f>
        <v>0</v>
      </c>
      <c r="CL302" s="11">
        <f>IF(($D$272-5)&lt;1,"",INDEX($D$292:$AD$292,($D$272-5)))</f>
        <v>0</v>
      </c>
      <c r="CM302" s="11">
        <f>IF(($D$272-4)&lt;1,"",INDEX($D$292:$AD$292,($D$272-4)))</f>
        <v>0</v>
      </c>
      <c r="CN302" s="11">
        <f>IF(($D$272-3)&lt;1,"",INDEX($D$292:$AD$292,($D$272-3)))</f>
        <v>0</v>
      </c>
      <c r="CO302" s="11">
        <f>IF(($D$272-2)&lt;1,"",INDEX($D$292:$AD$292,($D$272-2)))</f>
        <v>0</v>
      </c>
      <c r="CP302" s="11">
        <f>IF(($D$272-1)&lt;1,"",INDEX($D$292:$AD$292,($D$272-1)))</f>
        <v>0</v>
      </c>
      <c r="CQ302" s="11">
        <f>IF(($D$272-0)&lt;1,"",INDEX($D$292:$AD$292,($D$272-0)))</f>
        <v>0</v>
      </c>
    </row>
    <row r="303" spans="1:95">
      <c r="A303" s="11" t="s">
        <v>673</v>
      </c>
      <c r="B303" s="11" t="s">
        <v>674</v>
      </c>
      <c r="C303" s="3" t="s">
        <v>137</v>
      </c>
      <c r="D303" s="5">
        <f>IF(MAX($D$304:$AD$304)=0,27,MAX($D$304:$AD$304))</f>
        <v>0</v>
      </c>
    </row>
    <row r="304" spans="1:95">
      <c r="A304" s="11" t="s">
        <v>675</v>
      </c>
      <c r="B304" s="11" t="s">
        <v>676</v>
      </c>
      <c r="C304" s="3" t="s">
        <v>137</v>
      </c>
      <c r="D304" s="5">
        <f>0</f>
        <v>0</v>
      </c>
      <c r="E304" s="5">
        <f>0</f>
        <v>0</v>
      </c>
      <c r="F304" s="5">
        <f>0</f>
        <v>0</v>
      </c>
      <c r="G304" s="5">
        <f>0</f>
        <v>0</v>
      </c>
      <c r="H304" s="5">
        <f>0</f>
        <v>0</v>
      </c>
      <c r="I304" s="5">
        <f>0</f>
        <v>0</v>
      </c>
      <c r="J304" s="5">
        <f>0</f>
        <v>0</v>
      </c>
      <c r="K304" s="5">
        <f>0</f>
        <v>0</v>
      </c>
      <c r="L304" s="5">
        <f>0</f>
        <v>0</v>
      </c>
      <c r="M304" s="5">
        <f>0</f>
        <v>0</v>
      </c>
      <c r="N304" s="5">
        <f>0</f>
        <v>0</v>
      </c>
      <c r="O304" s="5">
        <f>0</f>
        <v>0</v>
      </c>
      <c r="P304" s="5">
        <f>0</f>
        <v>0</v>
      </c>
      <c r="Q304" s="5">
        <f>0</f>
        <v>0</v>
      </c>
      <c r="R304" s="5">
        <f>0</f>
        <v>0</v>
      </c>
      <c r="S304" s="5">
        <f>0</f>
        <v>0</v>
      </c>
      <c r="T304" s="5">
        <f>0</f>
        <v>0</v>
      </c>
      <c r="U304" s="5">
        <f>0</f>
        <v>0</v>
      </c>
      <c r="V304" s="5">
        <f>0</f>
        <v>0</v>
      </c>
      <c r="W304" s="5">
        <f>0</f>
        <v>0</v>
      </c>
      <c r="X304" s="5">
        <f>0</f>
        <v>0</v>
      </c>
      <c r="Y304" s="5">
        <f>0</f>
        <v>0</v>
      </c>
      <c r="Z304" s="5">
        <f>0</f>
        <v>0</v>
      </c>
      <c r="AA304" s="5">
        <f>0</f>
        <v>0</v>
      </c>
      <c r="AB304" s="5">
        <f>0</f>
        <v>0</v>
      </c>
      <c r="AC304" s="5">
        <f>0</f>
        <v>0</v>
      </c>
      <c r="AD304" s="5">
        <f>0</f>
        <v>0</v>
      </c>
    </row>
    <row r="305" spans="1:5">
      <c r="A305" s="11" t="s">
        <v>1326</v>
      </c>
      <c r="B305" s="11" t="s">
        <v>1327</v>
      </c>
      <c r="C305" s="3" t="s">
        <v>1328</v>
      </c>
      <c r="D305" s="5">
        <f>IF(N(INDEX($D$38:$AD$38,27))&gt;0,1,0)</f>
        <v>0</v>
      </c>
      <c r="E305" s="11">
        <f>IF(MAX($D$38:$AD$38)=0,"noch keine Werte – „BÜ-Datei verknüpfen“",IF($D$305=1,"da · KW "&amp;_xlfn.ISOWEEKNUM(INDEX($D$4:$AD$4,$D$37))&amp;" · "&amp;$E$160,"fehlt für KW "&amp;_xlfn.ISOWEEKNUM(Stichtag)&amp;" · zuletzt KW "&amp;_xlfn.ISOWEEKNUM(INDEX($D$4:$AD$4,$D$37))&amp;" · "&amp;$E$160))</f>
        <v>0</v>
      </c>
    </row>
    <row r="306" spans="1:5">
      <c r="A306" s="11" t="s">
        <v>1329</v>
      </c>
      <c r="B306" s="11" t="s">
        <v>1330</v>
      </c>
      <c r="C306" s="3" t="s">
        <v>1328</v>
      </c>
      <c r="D306" s="5">
        <f>IF(N(INDEX($D$87:$AD$87,27))&gt;0,1,0)</f>
        <v>0</v>
      </c>
      <c r="E306" s="11">
        <f>IF(MAX($D$87:$AD$87)=0,"noch keine Werte – „BÜ-Datei verknüpfen“",IF($D$306=1,"da · KW "&amp;_xlfn.ISOWEEKNUM(INDEX($D$4:$AD$4,$D$86))&amp;" · "&amp;$E$161,"fehlt für KW "&amp;_xlfn.ISOWEEKNUM(Stichtag)&amp;" · zuletzt KW "&amp;_xlfn.ISOWEEKNUM(INDEX($D$4:$AD$4,$D$86))&amp;" · "&amp;$E$161))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iertage">
    <tabColor rgb="FF9AA3AD"/>
  </sheetPr>
  <dimension ref="A1:T56"/>
  <sheetViews>
    <sheetView workbookViewId="0"/>
  </sheetViews>
  <sheetFormatPr defaultRowHeight="15"/>
  <cols>
    <col min="1" max="1" width="28.7109375" customWidth="1"/>
    <col min="2" max="19" width="11.7109375" customWidth="1"/>
    <col min="20" max="20" width="16.7109375" customWidth="1"/>
    <col min="21" max="21" width="11.7109375" customWidth="1"/>
  </cols>
  <sheetData>
    <row r="1" spans="1:20">
      <c r="A1" s="11">
        <v>2026</v>
      </c>
      <c r="E1" s="9" t="s">
        <v>1238</v>
      </c>
      <c r="J1" s="9"/>
      <c r="L1" s="11">
        <v>2027</v>
      </c>
      <c r="M1" s="9" t="s">
        <v>1238</v>
      </c>
    </row>
    <row r="2" spans="1:20">
      <c r="A2" s="9" t="s">
        <v>1239</v>
      </c>
      <c r="B2" s="9" t="s">
        <v>1240</v>
      </c>
      <c r="C2" s="9" t="s">
        <v>1241</v>
      </c>
      <c r="D2" s="9" t="s">
        <v>1242</v>
      </c>
      <c r="E2" s="9" t="s">
        <v>692</v>
      </c>
      <c r="F2" s="9" t="s">
        <v>985</v>
      </c>
      <c r="G2" s="9" t="s">
        <v>1243</v>
      </c>
      <c r="H2" s="9" t="s">
        <v>1244</v>
      </c>
      <c r="I2" s="9" t="s">
        <v>1245</v>
      </c>
      <c r="J2" s="9" t="s">
        <v>1246</v>
      </c>
      <c r="L2" s="9" t="s">
        <v>1242</v>
      </c>
      <c r="M2" s="9" t="s">
        <v>692</v>
      </c>
      <c r="N2" s="9" t="s">
        <v>985</v>
      </c>
      <c r="O2" s="9" t="s">
        <v>1243</v>
      </c>
      <c r="P2" s="9" t="s">
        <v>1244</v>
      </c>
      <c r="Q2" s="9" t="s">
        <v>1245</v>
      </c>
      <c r="R2" s="9" t="s">
        <v>1246</v>
      </c>
      <c r="T2" s="9" t="s">
        <v>1310</v>
      </c>
    </row>
    <row r="3" spans="1:20">
      <c r="A3" s="11" t="s">
        <v>1247</v>
      </c>
      <c r="B3" s="11" t="s">
        <v>1248</v>
      </c>
      <c r="C3" s="11" t="s">
        <v>1249</v>
      </c>
      <c r="D3" s="80">
        <v>46023</v>
      </c>
      <c r="E3" s="80">
        <v>46023</v>
      </c>
      <c r="F3" s="80">
        <v>46023</v>
      </c>
      <c r="G3" s="80">
        <v>46023</v>
      </c>
      <c r="H3" s="80">
        <v>46023</v>
      </c>
      <c r="I3" s="80">
        <v>46023</v>
      </c>
      <c r="J3" s="80">
        <v>46023</v>
      </c>
      <c r="L3" s="80">
        <v>46388</v>
      </c>
      <c r="M3" s="80">
        <v>46388</v>
      </c>
      <c r="N3" s="80">
        <v>46388</v>
      </c>
      <c r="O3" s="80">
        <v>46388</v>
      </c>
      <c r="P3" s="80">
        <v>46388</v>
      </c>
      <c r="Q3" s="80">
        <v>46388</v>
      </c>
      <c r="R3" s="80">
        <v>46388</v>
      </c>
      <c r="T3" s="80">
        <f>IFERROR(IF(LEN(INDEX($E3:$J3,MATCH(Konfiguration!$F$5,$E$2:$J$2,0)))&gt;0,$D3*1,0),0)</f>
        <v>0</v>
      </c>
    </row>
    <row r="4" spans="1:20">
      <c r="A4" s="11" t="s">
        <v>1250</v>
      </c>
      <c r="B4" s="11" t="s">
        <v>1251</v>
      </c>
      <c r="C4" s="11" t="s">
        <v>1249</v>
      </c>
      <c r="D4" s="80">
        <v>46028</v>
      </c>
      <c r="G4" s="80">
        <v>46028</v>
      </c>
      <c r="J4" s="80">
        <v>46028</v>
      </c>
      <c r="L4" s="80">
        <v>46393</v>
      </c>
      <c r="O4" s="80">
        <v>46393</v>
      </c>
      <c r="R4" s="80">
        <v>46393</v>
      </c>
      <c r="T4" s="80">
        <f>IFERROR(IF(LEN(INDEX($E4:$J4,MATCH(Konfiguration!$F$5,$E$2:$J$2,0)))&gt;0,$D4*1,0),0)</f>
        <v>0</v>
      </c>
    </row>
    <row r="5" spans="1:20">
      <c r="A5" s="11" t="s">
        <v>1252</v>
      </c>
      <c r="B5" s="11" t="s">
        <v>1253</v>
      </c>
      <c r="C5" s="11" t="s">
        <v>1249</v>
      </c>
      <c r="D5" s="80">
        <v>46089</v>
      </c>
      <c r="I5" s="80">
        <v>46089</v>
      </c>
      <c r="L5" s="80">
        <v>46454</v>
      </c>
      <c r="Q5" s="80">
        <v>46454</v>
      </c>
      <c r="T5" s="80">
        <f>IFERROR(IF(LEN(INDEX($E5:$J5,MATCH(Konfiguration!$F$5,$E$2:$J$2,0)))&gt;0,$D5*1,0),0)</f>
        <v>0</v>
      </c>
    </row>
    <row r="6" spans="1:20">
      <c r="A6" s="11" t="s">
        <v>1254</v>
      </c>
      <c r="B6" s="11" t="s">
        <v>1255</v>
      </c>
      <c r="C6" s="11" t="s">
        <v>1249</v>
      </c>
      <c r="D6" s="80">
        <v>46143</v>
      </c>
      <c r="E6" s="80">
        <v>46143</v>
      </c>
      <c r="F6" s="80">
        <v>46143</v>
      </c>
      <c r="G6" s="80">
        <v>46143</v>
      </c>
      <c r="H6" s="80">
        <v>46143</v>
      </c>
      <c r="I6" s="80">
        <v>46143</v>
      </c>
      <c r="J6" s="80">
        <v>46143</v>
      </c>
      <c r="L6" s="80">
        <v>46508</v>
      </c>
      <c r="M6" s="80">
        <v>46508</v>
      </c>
      <c r="N6" s="80">
        <v>46508</v>
      </c>
      <c r="O6" s="80">
        <v>46508</v>
      </c>
      <c r="P6" s="80">
        <v>46508</v>
      </c>
      <c r="Q6" s="80">
        <v>46508</v>
      </c>
      <c r="R6" s="80">
        <v>46508</v>
      </c>
      <c r="T6" s="80">
        <f>IFERROR(IF(LEN(INDEX($E6:$J6,MATCH(Konfiguration!$F$5,$E$2:$J$2,0)))&gt;0,$D6*1,0),0)</f>
        <v>0</v>
      </c>
    </row>
    <row r="7" spans="1:20">
      <c r="A7" s="11" t="s">
        <v>1256</v>
      </c>
      <c r="B7" s="11" t="s">
        <v>1257</v>
      </c>
      <c r="C7" s="11" t="s">
        <v>1249</v>
      </c>
      <c r="D7" s="80">
        <v>46242</v>
      </c>
      <c r="L7" s="80">
        <v>46607</v>
      </c>
      <c r="T7" s="80">
        <f>IFERROR(IF(LEN(INDEX($E7:$J7,MATCH(Konfiguration!$F$5,$E$2:$J$2,0)))&gt;0,$D7*1,0),0)</f>
        <v>0</v>
      </c>
    </row>
    <row r="8" spans="1:20">
      <c r="A8" s="11" t="s">
        <v>1258</v>
      </c>
      <c r="B8" s="11" t="s">
        <v>1259</v>
      </c>
      <c r="C8" s="11" t="s">
        <v>1249</v>
      </c>
      <c r="D8" s="80">
        <v>46249</v>
      </c>
      <c r="G8" s="80">
        <v>46249</v>
      </c>
      <c r="L8" s="80">
        <v>46614</v>
      </c>
      <c r="O8" s="80">
        <v>46614</v>
      </c>
      <c r="T8" s="80">
        <f>IFERROR(IF(LEN(INDEX($E8:$J8,MATCH(Konfiguration!$F$5,$E$2:$J$2,0)))&gt;0,$D8*1,0),0)</f>
        <v>0</v>
      </c>
    </row>
    <row r="9" spans="1:20">
      <c r="A9" s="11" t="s">
        <v>1260</v>
      </c>
      <c r="B9" s="11" t="s">
        <v>1261</v>
      </c>
      <c r="C9" s="11" t="s">
        <v>1249</v>
      </c>
      <c r="D9" s="80">
        <v>46285</v>
      </c>
      <c r="L9" s="80">
        <v>46650</v>
      </c>
      <c r="T9" s="80">
        <f>IFERROR(IF(LEN(INDEX($E9:$J9,MATCH(Konfiguration!$F$5,$E$2:$J$2,0)))&gt;0,$D9*1,0),0)</f>
        <v>0</v>
      </c>
    </row>
    <row r="10" spans="1:20">
      <c r="A10" s="11" t="s">
        <v>1262</v>
      </c>
      <c r="B10" s="11" t="s">
        <v>1263</v>
      </c>
      <c r="C10" s="11" t="s">
        <v>1249</v>
      </c>
      <c r="D10" s="80">
        <v>46298</v>
      </c>
      <c r="E10" s="80">
        <v>46298</v>
      </c>
      <c r="F10" s="80">
        <v>46298</v>
      </c>
      <c r="G10" s="80">
        <v>46298</v>
      </c>
      <c r="H10" s="80">
        <v>46298</v>
      </c>
      <c r="I10" s="80">
        <v>46298</v>
      </c>
      <c r="J10" s="80">
        <v>46298</v>
      </c>
      <c r="L10" s="80">
        <v>46663</v>
      </c>
      <c r="M10" s="80">
        <v>46663</v>
      </c>
      <c r="N10" s="80">
        <v>46663</v>
      </c>
      <c r="O10" s="80">
        <v>46663</v>
      </c>
      <c r="P10" s="80">
        <v>46663</v>
      </c>
      <c r="Q10" s="80">
        <v>46663</v>
      </c>
      <c r="R10" s="80">
        <v>46663</v>
      </c>
      <c r="T10" s="80">
        <f>IFERROR(IF(LEN(INDEX($E10:$J10,MATCH(Konfiguration!$F$5,$E$2:$J$2,0)))&gt;0,$D10*1,0),0)</f>
        <v>0</v>
      </c>
    </row>
    <row r="11" spans="1:20">
      <c r="A11" s="11" t="s">
        <v>1264</v>
      </c>
      <c r="B11" s="11" t="s">
        <v>1265</v>
      </c>
      <c r="C11" s="11" t="s">
        <v>1249</v>
      </c>
      <c r="D11" s="80">
        <v>46326</v>
      </c>
      <c r="H11" s="80">
        <v>46326</v>
      </c>
      <c r="L11" s="80">
        <v>46691</v>
      </c>
      <c r="P11" s="80">
        <v>46691</v>
      </c>
      <c r="T11" s="80">
        <f>IFERROR(IF(LEN(INDEX($E11:$J11,MATCH(Konfiguration!$F$5,$E$2:$J$2,0)))&gt;0,$D11*1,0),0)</f>
        <v>0</v>
      </c>
    </row>
    <row r="12" spans="1:20">
      <c r="A12" s="11" t="s">
        <v>1266</v>
      </c>
      <c r="B12" s="11" t="s">
        <v>1267</v>
      </c>
      <c r="C12" s="11" t="s">
        <v>1249</v>
      </c>
      <c r="D12" s="80">
        <v>46327</v>
      </c>
      <c r="E12" s="80">
        <v>46327</v>
      </c>
      <c r="F12" s="80">
        <v>46327</v>
      </c>
      <c r="G12" s="80">
        <v>46327</v>
      </c>
      <c r="J12" s="80">
        <v>46327</v>
      </c>
      <c r="L12" s="80">
        <v>46692</v>
      </c>
      <c r="M12" s="80">
        <v>46692</v>
      </c>
      <c r="N12" s="80">
        <v>46692</v>
      </c>
      <c r="O12" s="80">
        <v>46692</v>
      </c>
      <c r="R12" s="80">
        <v>46692</v>
      </c>
      <c r="T12" s="80">
        <f>IFERROR(IF(LEN(INDEX($E12:$J12,MATCH(Konfiguration!$F$5,$E$2:$J$2,0)))&gt;0,$D12*1,0),0)</f>
        <v>0</v>
      </c>
    </row>
    <row r="13" spans="1:20">
      <c r="A13" s="11" t="s">
        <v>1268</v>
      </c>
      <c r="B13" s="11" t="s">
        <v>1269</v>
      </c>
      <c r="C13" s="11" t="s">
        <v>1249</v>
      </c>
      <c r="D13" s="80">
        <v>46380</v>
      </c>
      <c r="E13" s="80">
        <v>46380</v>
      </c>
      <c r="F13" s="80">
        <v>46380</v>
      </c>
      <c r="G13" s="80">
        <v>46380</v>
      </c>
      <c r="H13" s="80">
        <v>46380</v>
      </c>
      <c r="I13" s="80">
        <v>46380</v>
      </c>
      <c r="J13" s="80">
        <v>46380</v>
      </c>
      <c r="L13" s="80">
        <v>46745</v>
      </c>
      <c r="M13" s="80">
        <v>46745</v>
      </c>
      <c r="N13" s="80">
        <v>46745</v>
      </c>
      <c r="O13" s="80">
        <v>46745</v>
      </c>
      <c r="P13" s="80">
        <v>46745</v>
      </c>
      <c r="Q13" s="80">
        <v>46745</v>
      </c>
      <c r="R13" s="80">
        <v>46745</v>
      </c>
      <c r="T13" s="80">
        <f>IFERROR(IF(LEN(INDEX($E13:$J13,MATCH(Konfiguration!$F$5,$E$2:$J$2,0)))&gt;0,$D13*1,0),0)</f>
        <v>0</v>
      </c>
    </row>
    <row r="14" spans="1:20">
      <c r="A14" s="11" t="s">
        <v>1270</v>
      </c>
      <c r="B14" s="11" t="s">
        <v>1271</v>
      </c>
      <c r="C14" s="11" t="s">
        <v>1249</v>
      </c>
      <c r="D14" s="80">
        <v>46381</v>
      </c>
      <c r="E14" s="80">
        <v>46381</v>
      </c>
      <c r="F14" s="80">
        <v>46381</v>
      </c>
      <c r="G14" s="80">
        <v>46381</v>
      </c>
      <c r="H14" s="80">
        <v>46381</v>
      </c>
      <c r="I14" s="80">
        <v>46381</v>
      </c>
      <c r="J14" s="80">
        <v>46381</v>
      </c>
      <c r="L14" s="80">
        <v>46746</v>
      </c>
      <c r="M14" s="80">
        <v>46746</v>
      </c>
      <c r="N14" s="80">
        <v>46746</v>
      </c>
      <c r="O14" s="80">
        <v>46746</v>
      </c>
      <c r="P14" s="80">
        <v>46746</v>
      </c>
      <c r="Q14" s="80">
        <v>46746</v>
      </c>
      <c r="R14" s="80">
        <v>46746</v>
      </c>
      <c r="T14" s="80">
        <f>IFERROR(IF(LEN(INDEX($E14:$J14,MATCH(Konfiguration!$F$5,$E$2:$J$2,0)))&gt;0,$D14*1,0),0)</f>
        <v>0</v>
      </c>
    </row>
    <row r="15" spans="1:20">
      <c r="A15" s="11" t="s">
        <v>1272</v>
      </c>
      <c r="B15" s="11" t="s">
        <v>1273</v>
      </c>
      <c r="C15" s="11" t="s">
        <v>1249</v>
      </c>
      <c r="D15" s="80">
        <v>46382</v>
      </c>
      <c r="E15" s="80">
        <v>46382</v>
      </c>
      <c r="F15" s="80">
        <v>46382</v>
      </c>
      <c r="G15" s="80">
        <v>46382</v>
      </c>
      <c r="H15" s="80">
        <v>46382</v>
      </c>
      <c r="I15" s="80">
        <v>46382</v>
      </c>
      <c r="J15" s="80">
        <v>46382</v>
      </c>
      <c r="L15" s="80">
        <v>46747</v>
      </c>
      <c r="M15" s="80">
        <v>46747</v>
      </c>
      <c r="N15" s="80">
        <v>46747</v>
      </c>
      <c r="O15" s="80">
        <v>46747</v>
      </c>
      <c r="P15" s="80">
        <v>46747</v>
      </c>
      <c r="Q15" s="80">
        <v>46747</v>
      </c>
      <c r="R15" s="80">
        <v>46747</v>
      </c>
      <c r="T15" s="80">
        <f>IFERROR(IF(LEN(INDEX($E15:$J15,MATCH(Konfiguration!$F$5,$E$2:$J$2,0)))&gt;0,$D15*1,0),0)</f>
        <v>0</v>
      </c>
    </row>
    <row r="16" spans="1:20">
      <c r="A16" s="11" t="s">
        <v>1274</v>
      </c>
      <c r="B16" s="11" t="s">
        <v>1275</v>
      </c>
      <c r="C16" s="11" t="s">
        <v>1249</v>
      </c>
      <c r="D16" s="80">
        <v>46387</v>
      </c>
      <c r="E16" s="80">
        <v>46387</v>
      </c>
      <c r="F16" s="80">
        <v>46387</v>
      </c>
      <c r="G16" s="80">
        <v>46387</v>
      </c>
      <c r="H16" s="80">
        <v>46387</v>
      </c>
      <c r="I16" s="80">
        <v>46387</v>
      </c>
      <c r="J16" s="80">
        <v>46387</v>
      </c>
      <c r="L16" s="80">
        <v>46752</v>
      </c>
      <c r="M16" s="80">
        <v>46752</v>
      </c>
      <c r="N16" s="80">
        <v>46752</v>
      </c>
      <c r="O16" s="80">
        <v>46752</v>
      </c>
      <c r="P16" s="80">
        <v>46752</v>
      </c>
      <c r="Q16" s="80">
        <v>46752</v>
      </c>
      <c r="R16" s="80">
        <v>46752</v>
      </c>
      <c r="T16" s="80">
        <f>IFERROR(IF(LEN(INDEX($E16:$J16,MATCH(Konfiguration!$F$5,$E$2:$J$2,0)))&gt;0,$D16*1,0),0)</f>
        <v>0</v>
      </c>
    </row>
    <row r="17" spans="1:20">
      <c r="A17" s="11" t="s">
        <v>1276</v>
      </c>
      <c r="B17" s="11" t="s">
        <v>1277</v>
      </c>
      <c r="C17" s="11" t="s">
        <v>1278</v>
      </c>
      <c r="D17" s="80">
        <v>46344</v>
      </c>
      <c r="L17" s="80">
        <v>46708</v>
      </c>
      <c r="T17" s="80">
        <f>IFERROR(IF(LEN(INDEX($E17:$J17,MATCH(Konfiguration!$F$5,$E$2:$J$2,0)))&gt;0,$D17*1,0),0)</f>
        <v>0</v>
      </c>
    </row>
    <row r="18" spans="1:20">
      <c r="A18" s="11" t="s">
        <v>1279</v>
      </c>
      <c r="B18" s="11" t="s">
        <v>1280</v>
      </c>
      <c r="C18" s="11" t="s">
        <v>1281</v>
      </c>
      <c r="D18" s="80">
        <v>46117</v>
      </c>
      <c r="E18" s="80">
        <v>46117</v>
      </c>
      <c r="F18" s="80">
        <v>46117</v>
      </c>
      <c r="G18" s="80">
        <v>46117</v>
      </c>
      <c r="H18" s="80">
        <v>46117</v>
      </c>
      <c r="I18" s="80">
        <v>46117</v>
      </c>
      <c r="J18" s="80">
        <v>46117</v>
      </c>
      <c r="L18" s="80">
        <v>46474</v>
      </c>
      <c r="M18" s="80">
        <v>46481</v>
      </c>
      <c r="N18" s="80">
        <v>46481</v>
      </c>
      <c r="O18" s="80">
        <v>46481</v>
      </c>
      <c r="P18" s="80">
        <v>46481</v>
      </c>
      <c r="Q18" s="80">
        <v>46481</v>
      </c>
      <c r="R18" s="80">
        <v>46481</v>
      </c>
      <c r="T18" s="80">
        <f>IFERROR(IF(LEN(INDEX($E18:$J18,MATCH(Konfiguration!$F$5,$E$2:$J$2,0)))&gt;0,$D18*1,0),0)</f>
        <v>0</v>
      </c>
    </row>
    <row r="19" spans="1:20">
      <c r="A19" s="11" t="s">
        <v>1282</v>
      </c>
      <c r="B19" s="11" t="s">
        <v>1283</v>
      </c>
      <c r="C19" s="11" t="s">
        <v>1284</v>
      </c>
      <c r="D19" s="80">
        <v>46115</v>
      </c>
      <c r="E19" s="80">
        <v>46115</v>
      </c>
      <c r="F19" s="80">
        <v>46115</v>
      </c>
      <c r="G19" s="80">
        <v>46115</v>
      </c>
      <c r="H19" s="80">
        <v>46115</v>
      </c>
      <c r="I19" s="80">
        <v>46115</v>
      </c>
      <c r="J19" s="80">
        <v>46115</v>
      </c>
      <c r="L19" s="80">
        <v>46472</v>
      </c>
      <c r="M19" s="80">
        <v>46479</v>
      </c>
      <c r="N19" s="80">
        <v>46479</v>
      </c>
      <c r="O19" s="80">
        <v>46479</v>
      </c>
      <c r="P19" s="80">
        <v>46479</v>
      </c>
      <c r="Q19" s="80">
        <v>46479</v>
      </c>
      <c r="R19" s="80">
        <v>46479</v>
      </c>
      <c r="T19" s="80">
        <f>IFERROR(IF(LEN(INDEX($E19:$J19,MATCH(Konfiguration!$F$5,$E$2:$J$2,0)))&gt;0,$D19*1,0),0)</f>
        <v>0</v>
      </c>
    </row>
    <row r="20" spans="1:20">
      <c r="A20" s="11" t="s">
        <v>1285</v>
      </c>
      <c r="B20" s="11" t="s">
        <v>1286</v>
      </c>
      <c r="C20" s="11" t="s">
        <v>1287</v>
      </c>
      <c r="D20" s="80">
        <v>46118</v>
      </c>
      <c r="E20" s="80">
        <v>46118</v>
      </c>
      <c r="F20" s="80">
        <v>46118</v>
      </c>
      <c r="G20" s="80">
        <v>46118</v>
      </c>
      <c r="H20" s="80">
        <v>46118</v>
      </c>
      <c r="I20" s="80">
        <v>46118</v>
      </c>
      <c r="J20" s="80">
        <v>46118</v>
      </c>
      <c r="L20" s="80">
        <v>46475</v>
      </c>
      <c r="M20" s="80">
        <v>46482</v>
      </c>
      <c r="N20" s="80">
        <v>46482</v>
      </c>
      <c r="O20" s="80">
        <v>46482</v>
      </c>
      <c r="P20" s="80">
        <v>46482</v>
      </c>
      <c r="Q20" s="80">
        <v>46482</v>
      </c>
      <c r="R20" s="80">
        <v>46482</v>
      </c>
      <c r="T20" s="80">
        <f>IFERROR(IF(LEN(INDEX($E20:$J20,MATCH(Konfiguration!$F$5,$E$2:$J$2,0)))&gt;0,$D20*1,0),0)</f>
        <v>0</v>
      </c>
    </row>
    <row r="21" spans="1:20">
      <c r="A21" s="11" t="s">
        <v>1288</v>
      </c>
      <c r="B21" s="11" t="s">
        <v>1289</v>
      </c>
      <c r="C21" s="11" t="s">
        <v>1290</v>
      </c>
      <c r="D21" s="80">
        <v>46156</v>
      </c>
      <c r="E21" s="80">
        <v>46156</v>
      </c>
      <c r="F21" s="80">
        <v>46156</v>
      </c>
      <c r="G21" s="80">
        <v>46156</v>
      </c>
      <c r="H21" s="80">
        <v>46156</v>
      </c>
      <c r="I21" s="80">
        <v>46156</v>
      </c>
      <c r="J21" s="80">
        <v>46156</v>
      </c>
      <c r="L21" s="80">
        <v>46513</v>
      </c>
      <c r="M21" s="80">
        <v>46520</v>
      </c>
      <c r="N21" s="80">
        <v>46520</v>
      </c>
      <c r="O21" s="80">
        <v>46520</v>
      </c>
      <c r="P21" s="80">
        <v>46520</v>
      </c>
      <c r="Q21" s="80">
        <v>46520</v>
      </c>
      <c r="R21" s="80">
        <v>46520</v>
      </c>
      <c r="T21" s="80">
        <f>IFERROR(IF(LEN(INDEX($E21:$J21,MATCH(Konfiguration!$F$5,$E$2:$J$2,0)))&gt;0,$D21*1,0),0)</f>
        <v>0</v>
      </c>
    </row>
    <row r="22" spans="1:20">
      <c r="A22" s="11" t="s">
        <v>1291</v>
      </c>
      <c r="B22" s="11" t="s">
        <v>1292</v>
      </c>
      <c r="C22" s="11" t="s">
        <v>1293</v>
      </c>
      <c r="D22" s="80">
        <v>46166</v>
      </c>
      <c r="E22" s="80">
        <v>46166</v>
      </c>
      <c r="F22" s="80">
        <v>46166</v>
      </c>
      <c r="G22" s="80">
        <v>46166</v>
      </c>
      <c r="H22" s="80">
        <v>46166</v>
      </c>
      <c r="I22" s="80">
        <v>46166</v>
      </c>
      <c r="J22" s="80">
        <v>46166</v>
      </c>
      <c r="L22" s="80">
        <v>46523</v>
      </c>
      <c r="M22" s="80">
        <v>46530</v>
      </c>
      <c r="N22" s="80">
        <v>46530</v>
      </c>
      <c r="O22" s="80">
        <v>46530</v>
      </c>
      <c r="P22" s="80">
        <v>46530</v>
      </c>
      <c r="Q22" s="80">
        <v>46530</v>
      </c>
      <c r="R22" s="80">
        <v>46166</v>
      </c>
      <c r="T22" s="80">
        <f>IFERROR(IF(LEN(INDEX($E22:$J22,MATCH(Konfiguration!$F$5,$E$2:$J$2,0)))&gt;0,$D22*1,0),0)</f>
        <v>0</v>
      </c>
    </row>
    <row r="23" spans="1:20">
      <c r="A23" s="11" t="s">
        <v>1294</v>
      </c>
      <c r="B23" s="11" t="s">
        <v>1295</v>
      </c>
      <c r="C23" s="11" t="s">
        <v>1296</v>
      </c>
      <c r="D23" s="80">
        <v>46167</v>
      </c>
      <c r="E23" s="80">
        <v>46167</v>
      </c>
      <c r="F23" s="80">
        <v>46167</v>
      </c>
      <c r="G23" s="80">
        <v>46167</v>
      </c>
      <c r="H23" s="80">
        <v>46167</v>
      </c>
      <c r="I23" s="80">
        <v>46167</v>
      </c>
      <c r="J23" s="80">
        <v>46167</v>
      </c>
      <c r="L23" s="80">
        <v>46524</v>
      </c>
      <c r="M23" s="80">
        <v>46531</v>
      </c>
      <c r="N23" s="80">
        <v>46531</v>
      </c>
      <c r="O23" s="80">
        <v>46531</v>
      </c>
      <c r="P23" s="80">
        <v>46531</v>
      </c>
      <c r="Q23" s="80">
        <v>46531</v>
      </c>
      <c r="R23" s="80">
        <v>46531</v>
      </c>
      <c r="T23" s="80">
        <f>IFERROR(IF(LEN(INDEX($E23:$J23,MATCH(Konfiguration!$F$5,$E$2:$J$2,0)))&gt;0,$D23*1,0),0)</f>
        <v>0</v>
      </c>
    </row>
    <row r="24" spans="1:20">
      <c r="A24" s="11" t="s">
        <v>1297</v>
      </c>
      <c r="B24" s="11" t="s">
        <v>1298</v>
      </c>
      <c r="C24" s="11" t="s">
        <v>1299</v>
      </c>
      <c r="D24" s="80">
        <v>46177</v>
      </c>
      <c r="E24" s="80">
        <v>46177</v>
      </c>
      <c r="F24" s="80">
        <v>46177</v>
      </c>
      <c r="G24" s="80">
        <v>46177</v>
      </c>
      <c r="J24" s="80">
        <v>46177</v>
      </c>
      <c r="L24" s="80">
        <v>46534</v>
      </c>
      <c r="M24" s="80">
        <v>46541</v>
      </c>
      <c r="N24" s="80">
        <v>46541</v>
      </c>
      <c r="O24" s="80">
        <v>46541</v>
      </c>
      <c r="R24" s="80">
        <v>46541</v>
      </c>
      <c r="T24" s="80">
        <f>IFERROR(IF(LEN(INDEX($E24:$J24,MATCH(Konfiguration!$F$5,$E$2:$J$2,0)))&gt;0,$D24*1,0),0)</f>
        <v>0</v>
      </c>
    </row>
    <row r="25" spans="1:20">
      <c r="A25" s="11" t="s">
        <v>1300</v>
      </c>
      <c r="B25" s="11" t="s">
        <v>1301</v>
      </c>
      <c r="C25" s="11" t="s">
        <v>1302</v>
      </c>
      <c r="D25" s="80">
        <v>46069</v>
      </c>
      <c r="E25" s="80">
        <v>46069</v>
      </c>
      <c r="F25" s="80">
        <v>46069</v>
      </c>
      <c r="L25" s="80">
        <v>46426</v>
      </c>
      <c r="M25" s="80">
        <v>46433</v>
      </c>
      <c r="N25" s="80">
        <v>46433</v>
      </c>
      <c r="T25" s="80">
        <f>IFERROR(IF(LEN(INDEX($E25:$J25,MATCH(Konfiguration!$F$5,$E$2:$J$2,0)))&gt;0,$D25*1,0),0)</f>
        <v>0</v>
      </c>
    </row>
    <row r="26" spans="1:20">
      <c r="A26" s="11" t="s">
        <v>1303</v>
      </c>
      <c r="B26" s="11" t="s">
        <v>1304</v>
      </c>
      <c r="C26" s="11" t="s">
        <v>1305</v>
      </c>
      <c r="D26" s="80">
        <v>46070</v>
      </c>
      <c r="G26" s="80">
        <v>46070</v>
      </c>
      <c r="L26" s="80">
        <v>46427</v>
      </c>
      <c r="O26" s="80">
        <v>46427</v>
      </c>
      <c r="T26" s="80">
        <f>IFERROR(IF(LEN(INDEX($E26:$J26,MATCH(Konfiguration!$F$5,$E$2:$J$2,0)))&gt;0,$D26*1,0),0)</f>
        <v>0</v>
      </c>
    </row>
    <row r="27" spans="1:20">
      <c r="A27" s="11" t="s">
        <v>1306</v>
      </c>
      <c r="B27" s="11"/>
      <c r="C27" s="11" t="s">
        <v>1307</v>
      </c>
      <c r="D27" s="80">
        <v>45785</v>
      </c>
      <c r="T27" s="80">
        <f>IFERROR(IF(LEN(INDEX($E27:$J27,MATCH(Konfiguration!$F$5,$E$2:$J$2,0)))&gt;0,$D27*1,0),0)</f>
        <v>0</v>
      </c>
    </row>
    <row r="28" spans="1:20">
      <c r="A28" s="11" t="s">
        <v>1247</v>
      </c>
      <c r="B28" s="11" t="s">
        <v>1308</v>
      </c>
      <c r="C28" s="11" t="s">
        <v>1249</v>
      </c>
      <c r="D28" s="80">
        <v>46388</v>
      </c>
      <c r="E28" s="80">
        <v>46388</v>
      </c>
      <c r="F28" s="80">
        <v>46388</v>
      </c>
      <c r="G28" s="80">
        <v>46388</v>
      </c>
      <c r="H28" s="80">
        <v>46388</v>
      </c>
      <c r="I28" s="80">
        <v>46388</v>
      </c>
      <c r="J28" s="80">
        <v>46388</v>
      </c>
      <c r="L28" s="80">
        <v>46753</v>
      </c>
      <c r="M28" s="80">
        <v>46753</v>
      </c>
      <c r="N28" s="80">
        <v>46753</v>
      </c>
      <c r="O28" s="80">
        <v>46753</v>
      </c>
      <c r="P28" s="80">
        <v>46753</v>
      </c>
      <c r="Q28" s="80">
        <v>46753</v>
      </c>
      <c r="R28" s="80">
        <v>46753</v>
      </c>
      <c r="T28" s="80">
        <f>IFERROR(IF(LEN(INDEX($E28:$J28,MATCH(Konfiguration!$F$5,$E$2:$J$2,0)))&gt;0,$D28*1,0),0)</f>
        <v>0</v>
      </c>
    </row>
    <row r="29" spans="1:20">
      <c r="A29" s="11" t="s">
        <v>1250</v>
      </c>
      <c r="B29" s="11" t="s">
        <v>1309</v>
      </c>
      <c r="C29" s="11" t="s">
        <v>1249</v>
      </c>
      <c r="D29" s="80">
        <v>46393</v>
      </c>
      <c r="G29" s="80">
        <v>46393</v>
      </c>
      <c r="J29" s="80">
        <v>46393</v>
      </c>
      <c r="L29" s="80">
        <v>46758</v>
      </c>
      <c r="O29" s="80">
        <v>46758</v>
      </c>
      <c r="R29" s="80">
        <v>46758</v>
      </c>
      <c r="T29" s="80">
        <f>IFERROR(IF(LEN(INDEX($E29:$J29,MATCH(Konfiguration!$F$5,$E$2:$J$2,0)))&gt;0,$D29*1,0),0)</f>
        <v>0</v>
      </c>
    </row>
    <row r="30" spans="1:20">
      <c r="T30" s="80">
        <f>IFERROR(IF(LEN(INDEX($M3:$R3,MATCH(Konfiguration!$F$5,$M$2:$R$2,0)))&gt;0,$L3*1,0),0)</f>
        <v>0</v>
      </c>
    </row>
    <row r="31" spans="1:20">
      <c r="T31" s="80">
        <f>IFERROR(IF(LEN(INDEX($M4:$R4,MATCH(Konfiguration!$F$5,$M$2:$R$2,0)))&gt;0,$L4*1,0),0)</f>
        <v>0</v>
      </c>
    </row>
    <row r="32" spans="1:20">
      <c r="T32" s="80">
        <f>IFERROR(IF(LEN(INDEX($M5:$R5,MATCH(Konfiguration!$F$5,$M$2:$R$2,0)))&gt;0,$L5*1,0),0)</f>
        <v>0</v>
      </c>
    </row>
    <row r="33" spans="20:20">
      <c r="T33" s="80">
        <f>IFERROR(IF(LEN(INDEX($M6:$R6,MATCH(Konfiguration!$F$5,$M$2:$R$2,0)))&gt;0,$L6*1,0),0)</f>
        <v>0</v>
      </c>
    </row>
    <row r="34" spans="20:20">
      <c r="T34" s="80">
        <f>IFERROR(IF(LEN(INDEX($M7:$R7,MATCH(Konfiguration!$F$5,$M$2:$R$2,0)))&gt;0,$L7*1,0),0)</f>
        <v>0</v>
      </c>
    </row>
    <row r="35" spans="20:20">
      <c r="T35" s="80">
        <f>IFERROR(IF(LEN(INDEX($M8:$R8,MATCH(Konfiguration!$F$5,$M$2:$R$2,0)))&gt;0,$L8*1,0),0)</f>
        <v>0</v>
      </c>
    </row>
    <row r="36" spans="20:20">
      <c r="T36" s="80">
        <f>IFERROR(IF(LEN(INDEX($M9:$R9,MATCH(Konfiguration!$F$5,$M$2:$R$2,0)))&gt;0,$L9*1,0),0)</f>
        <v>0</v>
      </c>
    </row>
    <row r="37" spans="20:20">
      <c r="T37" s="80">
        <f>IFERROR(IF(LEN(INDEX($M10:$R10,MATCH(Konfiguration!$F$5,$M$2:$R$2,0)))&gt;0,$L10*1,0),0)</f>
        <v>0</v>
      </c>
    </row>
    <row r="38" spans="20:20">
      <c r="T38" s="80">
        <f>IFERROR(IF(LEN(INDEX($M11:$R11,MATCH(Konfiguration!$F$5,$M$2:$R$2,0)))&gt;0,$L11*1,0),0)</f>
        <v>0</v>
      </c>
    </row>
    <row r="39" spans="20:20">
      <c r="T39" s="80">
        <f>IFERROR(IF(LEN(INDEX($M12:$R12,MATCH(Konfiguration!$F$5,$M$2:$R$2,0)))&gt;0,$L12*1,0),0)</f>
        <v>0</v>
      </c>
    </row>
    <row r="40" spans="20:20">
      <c r="T40" s="80">
        <f>IFERROR(IF(LEN(INDEX($M13:$R13,MATCH(Konfiguration!$F$5,$M$2:$R$2,0)))&gt;0,$L13*1,0),0)</f>
        <v>0</v>
      </c>
    </row>
    <row r="41" spans="20:20">
      <c r="T41" s="80">
        <f>IFERROR(IF(LEN(INDEX($M14:$R14,MATCH(Konfiguration!$F$5,$M$2:$R$2,0)))&gt;0,$L14*1,0),0)</f>
        <v>0</v>
      </c>
    </row>
    <row r="42" spans="20:20">
      <c r="T42" s="80">
        <f>IFERROR(IF(LEN(INDEX($M15:$R15,MATCH(Konfiguration!$F$5,$M$2:$R$2,0)))&gt;0,$L15*1,0),0)</f>
        <v>0</v>
      </c>
    </row>
    <row r="43" spans="20:20">
      <c r="T43" s="80">
        <f>IFERROR(IF(LEN(INDEX($M16:$R16,MATCH(Konfiguration!$F$5,$M$2:$R$2,0)))&gt;0,$L16*1,0),0)</f>
        <v>0</v>
      </c>
    </row>
    <row r="44" spans="20:20">
      <c r="T44" s="80">
        <f>IFERROR(IF(LEN(INDEX($M17:$R17,MATCH(Konfiguration!$F$5,$M$2:$R$2,0)))&gt;0,$L17*1,0),0)</f>
        <v>0</v>
      </c>
    </row>
    <row r="45" spans="20:20">
      <c r="T45" s="80">
        <f>IFERROR(IF(LEN(INDEX($M18:$R18,MATCH(Konfiguration!$F$5,$M$2:$R$2,0)))&gt;0,$L18*1,0),0)</f>
        <v>0</v>
      </c>
    </row>
    <row r="46" spans="20:20">
      <c r="T46" s="80">
        <f>IFERROR(IF(LEN(INDEX($M19:$R19,MATCH(Konfiguration!$F$5,$M$2:$R$2,0)))&gt;0,$L19*1,0),0)</f>
        <v>0</v>
      </c>
    </row>
    <row r="47" spans="20:20">
      <c r="T47" s="80">
        <f>IFERROR(IF(LEN(INDEX($M20:$R20,MATCH(Konfiguration!$F$5,$M$2:$R$2,0)))&gt;0,$L20*1,0),0)</f>
        <v>0</v>
      </c>
    </row>
    <row r="48" spans="20:20">
      <c r="T48" s="80">
        <f>IFERROR(IF(LEN(INDEX($M21:$R21,MATCH(Konfiguration!$F$5,$M$2:$R$2,0)))&gt;0,$L21*1,0),0)</f>
        <v>0</v>
      </c>
    </row>
    <row r="49" spans="20:20">
      <c r="T49" s="80">
        <f>IFERROR(IF(LEN(INDEX($M22:$R22,MATCH(Konfiguration!$F$5,$M$2:$R$2,0)))&gt;0,$L22*1,0),0)</f>
        <v>0</v>
      </c>
    </row>
    <row r="50" spans="20:20">
      <c r="T50" s="80">
        <f>IFERROR(IF(LEN(INDEX($M23:$R23,MATCH(Konfiguration!$F$5,$M$2:$R$2,0)))&gt;0,$L23*1,0),0)</f>
        <v>0</v>
      </c>
    </row>
    <row r="51" spans="20:20">
      <c r="T51" s="80">
        <f>IFERROR(IF(LEN(INDEX($M24:$R24,MATCH(Konfiguration!$F$5,$M$2:$R$2,0)))&gt;0,$L24*1,0),0)</f>
        <v>0</v>
      </c>
    </row>
    <row r="52" spans="20:20">
      <c r="T52" s="80">
        <f>IFERROR(IF(LEN(INDEX($M25:$R25,MATCH(Konfiguration!$F$5,$M$2:$R$2,0)))&gt;0,$L25*1,0),0)</f>
        <v>0</v>
      </c>
    </row>
    <row r="53" spans="20:20">
      <c r="T53" s="80">
        <f>IFERROR(IF(LEN(INDEX($M26:$R26,MATCH(Konfiguration!$F$5,$M$2:$R$2,0)))&gt;0,$L26*1,0),0)</f>
        <v>0</v>
      </c>
    </row>
    <row r="54" spans="20:20">
      <c r="T54" s="80">
        <f>IFERROR(IF(LEN(INDEX($M27:$R27,MATCH(Konfiguration!$F$5,$M$2:$R$2,0)))&gt;0,$L27*1,0),0)</f>
        <v>0</v>
      </c>
    </row>
    <row r="55" spans="20:20">
      <c r="T55" s="80">
        <f>IFERROR(IF(LEN(INDEX($M28:$R28,MATCH(Konfiguration!$F$5,$M$2:$R$2,0)))&gt;0,$L28*1,0),0)</f>
        <v>0</v>
      </c>
    </row>
    <row r="56" spans="20:20">
      <c r="T56" s="80">
        <f>IFERROR(IF(LEN(INDEX($M29:$R29,MATCH(Konfiguration!$F$5,$M$2:$R$2,0)))&gt;0,$L29*1,0),0)</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1055</v>
      </c>
      <c r="B1" s="9" t="s">
        <v>1162</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vt:lpstr>
      <vt:lpstr>Übersicht</vt:lpstr>
      <vt:lpstr>Deckblatt</vt:lpstr>
      <vt:lpstr>PPT_2</vt:lpstr>
      <vt:lpstr>PPT_3</vt:lpstr>
      <vt:lpstr>Rohdaten</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FeiertageBT</vt:lpstr>
      <vt:lpstr>Personen</vt:lpstr>
      <vt:lpstr>RD_Kopf</vt:lpstr>
      <vt:lpstr>RD_Monate</vt:lpstr>
      <vt:lpstr>SLA_PV</vt:lpstr>
      <vt:lpstr>Stichtag</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2026-10-09T11:34:04Z</dcterms:created>
  <dcterms:modified xsi:type="dcterms:W3CDTF">2026-10-09T11:34:04Z</dcterms:modified>
</cp:coreProperties>
</file>