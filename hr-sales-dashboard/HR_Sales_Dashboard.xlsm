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Deckblatt" sheetId="3" r:id="rId3"/>
    <sheet name="PPT_2" sheetId="4" r:id="rId4"/>
    <sheet name="PPT_3" sheetId="5" r:id="rId5"/>
    <sheet name="Rohdaten" sheetId="6" r:id="rId6"/>
    <sheet name="Kommentare" sheetId="7" r:id="rId7"/>
    <sheet name="Zuständigkeiten" sheetId="8" r:id="rId8"/>
    <sheet name="Konfiguration" sheetId="9" r:id="rId9"/>
    <sheet name="BUE_Serviceparameter" sheetId="10" r:id="rId10"/>
    <sheet name="Dashboard_Daten" sheetId="11" r:id="rId11"/>
    <sheet name="Feiertage" sheetId="12" r:id="rId12"/>
    <sheet name="Wertstand" sheetId="13" state="hidden" r:id="rId13"/>
  </sheets>
  <externalReferences>
    <externalReference r:id="rIdExt1"/>
  </externalReferences>
  <definedNames>
    <definedName name="Berichtstag">Konfiguration!$C$6</definedName>
    <definedName name="BUE_O_OK">Dashboard_Daten!$D$313</definedName>
    <definedName name="BUE_O_TEXT">Dashboard_Daten!$E$313</definedName>
    <definedName name="BUE_V_OK">Dashboard_Daten!$D$312</definedName>
    <definedName name="BUE_V_TEXT">Dashboard_Daten!$E$312</definedName>
    <definedName name="FeiertageBT">Feiertage!$T$3:$T$58</definedName>
    <definedName name="Personen">Konfiguration!$B$28:$B$57</definedName>
    <definedName name="RD_Kopf">Rohdaten!$A$1:$LJ$1</definedName>
    <definedName name="RD_Monate">Rohdaten!$A$159:$LJ$159</definedName>
    <definedName name="SLA_PV">Konfiguration!$C$9</definedName>
    <definedName name="Stichtag">IF(N(Konfiguration!$C$5)&gt;0,Konfiguration!$H$7,Konfiguration!$H$6)</definedName>
    <definedName name="ZuordnungOffen">Konfiguration!$C$59</definedName>
  </definedNames>
  <calcPr calcId="124519" fullCalcOnLoad="1"/>
</workbook>
</file>

<file path=xl/sharedStrings.xml><?xml version="1.0" encoding="utf-8"?>
<sst xmlns="http://schemas.openxmlformats.org/spreadsheetml/2006/main" count="4150" uniqueCount="1423">
  <si>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</si>
  <si>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</si>
  <si>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</si>
  <si>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</si>
  <si>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</si>
  <si>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</si>
  <si>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</si>
  <si>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</si>
  <si>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</si>
  <si>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</si>
  <si>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</si>
  <si>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</si>
  <si>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</si>
  <si>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</si>
  <si>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</si>
  <si>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</si>
  <si>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</si>
  <si>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</si>
  <si>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</si>
  <si>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</si>
  <si>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</si>
  <si>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</si>
  <si>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</si>
  <si>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</si>
  <si>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</si>
  <si>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</si>
  <si>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</si>
  <si>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</si>
  <si>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</si>
  <si>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</si>
  <si>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</si>
  <si>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</si>
  <si>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</si>
  <si>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</si>
  <si>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</si>
  <si>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</si>
  <si>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</si>
  <si>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</si>
  <si>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</si>
  <si>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</si>
  <si>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</si>
  <si>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</si>
  <si>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</si>
  <si>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</si>
  <si>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</si>
  <si>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</si>
  <si>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</si>
  <si>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</si>
  <si>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</si>
  <si>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</si>
  <si>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</si>
  <si>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</si>
  <si>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</si>
  <si>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</si>
  <si>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</si>
  <si>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</si>
  <si>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</si>
  <si>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</si>
  <si>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</si>
  <si>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</si>
  <si>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</si>
  <si>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</si>
  <si>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</si>
  <si>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</si>
  <si>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</si>
  <si>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</si>
  <si>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</si>
  <si>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</si>
  <si>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</si>
  <si>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</si>
  <si>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</si>
  <si>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</si>
  <si>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</si>
  <si>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</si>
  <si>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</si>
  <si>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</si>
  <si>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</si>
  <si>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</si>
  <si>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</si>
  <si>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</si>
  <si>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</si>
  <si>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</si>
  <si>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</si>
  <si>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</si>
  <si>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</si>
  <si>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</si>
  <si>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</si>
  <si>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</si>
  <si>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</si>
  <si>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</si>
  <si>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</si>
  <si>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</si>
  <si>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</si>
  <si>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</si>
  <si>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</si>
  <si>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</si>
  <si>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</si>
  <si>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</si>
  <si>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</si>
  <si>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</si>
  <si>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</si>
  <si>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</si>
  <si>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</si>
  <si>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</si>
  <si>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</si>
  <si>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</si>
  <si>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</si>
  <si>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</si>
  <si>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</si>
  <si>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</si>
  <si>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</si>
  <si>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</si>
  <si>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</si>
  <si>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</si>
  <si>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</si>
  <si>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</si>
  <si>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</si>
  <si>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</si>
  <si>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</si>
  <si>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</si>
  <si>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</si>
  <si>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</si>
  <si>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</si>
  <si>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</si>
  <si>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</si>
  <si>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</si>
  <si>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</si>
  <si>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</si>
  <si>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</si>
  <si>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</si>
  <si>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</si>
  <si>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</si>
  <si>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</si>
  <si>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</si>
  <si>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</si>
  <si>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</si>
  <si>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</si>
  <si>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</si>
  <si>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</si>
  <si>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</si>
  <si>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</si>
  <si>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</si>
  <si>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</si>
  <si>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</si>
  <si>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</si>
  <si>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</si>
  <si>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</si>
  <si>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</si>
  <si>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</si>
  <si>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</si>
  <si>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</si>
  <si>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</si>
  <si>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</si>
  <si>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</si>
  <si>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</si>
  <si>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</si>
  <si>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</si>
  <si>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</si>
  <si>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</si>
  <si>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</si>
  <si>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</si>
  <si>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</si>
  <si>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</si>
  <si>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</si>
  <si>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</si>
  <si>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alt7a</t>
  </si>
  <si>
    <t>BÜ Verbund bisheriges Reporting 7a</t>
  </si>
  <si>
    <t>alt7e</t>
  </si>
  <si>
    <t>BÜ Verbund bisheriges Reporting 7e</t>
  </si>
  <si>
    <t>alt7f</t>
  </si>
  <si>
    <t>BÜ Verbund bisheriges Reporting 7f</t>
  </si>
  <si>
    <t>7V_ein</t>
  </si>
  <si>
    <t>BÜ Verbund Eingänge Summe (ohne Split: bisheriges Reporting)</t>
  </si>
  <si>
    <t>7V_ab</t>
  </si>
  <si>
    <t>BÜ Verbund Abgänge Summe (ohne Split: bisheriges Reporting)</t>
  </si>
  <si>
    <t>7V_rs</t>
  </si>
  <si>
    <t>BÜ Verbund Rückstand Summe Sparten (ohne Split: bisheriges Reporting)</t>
  </si>
  <si>
    <t>7V_og</t>
  </si>
  <si>
    <t>BÜ Verbund Gesamt ohne Spartensplit (bisheriges Reporting)</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</si>
  <si>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</si>
  <si>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</si>
  <si>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</si>
  <si>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</si>
  <si>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</si>
  <si>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</si>
  <si>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</si>
  <si>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</si>
  <si>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</si>
  <si>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</si>
  <si>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7V_sO</t>
  </si>
  <si>
    <t>BÜ Verbund Gesamt ohne Spartensplit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</si>
  <si>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</si>
  <si>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</si>
  <si>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</si>
  <si>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</si>
  <si>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</si>
  <si>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</si>
  <si>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</si>
  <si>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</si>
  <si>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</si>
  <si>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</si>
  <si>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</si>
  <si>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</si>
  <si>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</si>
  <si>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</si>
  <si>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</si>
  <si>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</si>
  <si>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</si>
  <si>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</si>
  <si>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</si>
  <si>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</si>
  <si>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</si>
  <si>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</si>
  <si>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</si>
  <si>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</si>
  <si>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</si>
  <si>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</si>
  <si>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</si>
  <si>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</si>
  <si>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</si>
  <si>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</si>
  <si>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</si>
  <si>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</si>
  <si>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</si>
  <si>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</si>
  <si>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</si>
  <si>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</si>
  <si>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</si>
  <si>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</si>
  <si>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</si>
  <si>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</si>
  <si>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</si>
  <si>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</si>
  <si>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</si>
  <si>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</si>
  <si>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</si>
  <si>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</si>
  <si>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</si>
  <si>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</si>
  <si>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</si>
  <si>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</si>
  <si>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</si>
  <si>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</si>
  <si>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</si>
  <si>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</si>
  <si>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</si>
  <si>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</si>
  <si>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</si>
  <si>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</si>
  <si>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</si>
  <si>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</si>
  <si>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</si>
  <si>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</si>
  <si>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</si>
  <si>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</si>
  <si>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</si>
  <si>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</si>
  <si>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</si>
  <si>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</si>
  <si>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</si>
  <si>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</si>
  <si>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</si>
  <si>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</si>
  <si>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</si>
  <si>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</si>
  <si>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</si>
  <si>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</si>
  <si>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</si>
  <si>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</si>
  <si>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</si>
  <si>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</si>
  <si>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</si>
  <si>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</si>
  <si>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</si>
  <si>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</si>
  <si>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</si>
  <si>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</si>
  <si>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</si>
  <si>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</si>
  <si>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</si>
  <si>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</si>
  <si>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</si>
  <si>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</si>
  <si>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</si>
  <si>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</si>
  <si>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</si>
  <si>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</si>
  <si>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</si>
  <si>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</si>
  <si>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</si>
  <si>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</si>
  <si>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</si>
  <si>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</si>
  <si>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</si>
  <si>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</si>
  <si>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</si>
  <si>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</si>
  <si>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</si>
  <si>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</si>
  <si>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</si>
  <si>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</si>
  <si>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</si>
  <si>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</si>
  <si>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</si>
  <si>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</si>
  <si>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</si>
  <si>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</si>
  <si>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</si>
  <si>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</si>
  <si>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</si>
  <si>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</si>
  <si>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</si>
  <si>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</si>
  <si>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</si>
  <si>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</si>
  <si>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</si>
  <si>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</si>
  <si>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</si>
  <si>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</si>
  <si>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</si>
  <si>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</si>
  <si>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</si>
  <si>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</si>
  <si>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</si>
  <si>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</si>
  <si>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</si>
  <si>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</si>
  <si>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</si>
  <si>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</si>
  <si>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</si>
  <si>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</si>
  <si>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</si>
  <si>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</si>
  <si>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</si>
  <si>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</si>
  <si>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</si>
  <si>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</si>
  <si>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</si>
  <si>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</si>
  <si>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</si>
  <si>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</si>
  <si>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</si>
  <si>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</si>
  <si>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</si>
  <si>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</si>
  <si>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</si>
  <si>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</si>
  <si>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</si>
  <si>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</si>
  <si>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</si>
  <si>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</si>
  <si>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</si>
  <si>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</si>
  <si>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</si>
  <si>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</si>
  <si>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</si>
  <si>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</si>
  <si>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</si>
  <si>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</si>
  <si>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</si>
  <si>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</si>
  <si>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</si>
  <si>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</si>
  <si>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</si>
  <si>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</si>
  <si>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</si>
  <si>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</si>
  <si>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</si>
  <si>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</si>
  <si>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</si>
  <si>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</si>
  <si>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</si>
  <si>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</si>
  <si>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</si>
  <si>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</si>
  <si>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18D_f</t>
  </si>
  <si>
    <t>Neuverpflichtungen fristgerecht erledigt</t>
  </si>
  <si>
    <t>18E_w</t>
  </si>
  <si>
    <t>Erledigungsquote (Zellinhalt)</t>
  </si>
  <si>
    <t>18E_z</t>
  </si>
  <si>
    <t>Erledigungsquote als Zahl</t>
  </si>
  <si>
    <t>18E</t>
  </si>
  <si>
    <t>Erledigungsquote</t>
  </si>
  <si>
    <t>18E_t</t>
  </si>
  <si>
    <t>Erledigungsquote Beschriftung</t>
  </si>
  <si>
    <t>21b</t>
  </si>
  <si>
    <t>MAK Soll</t>
  </si>
  <si>
    <t>21c</t>
  </si>
  <si>
    <t>MAK (V)Ist</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</si>
  <si>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</si>
  <si>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</si>
  <si>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</si>
  <si>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</si>
  <si>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</si>
  <si>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</si>
  <si>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</si>
  <si>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</si>
  <si>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</si>
  <si>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</si>
  <si>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</si>
  <si>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</si>
  <si>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</si>
  <si>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</si>
  <si>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</si>
  <si>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</si>
  <si>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</si>
  <si>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</si>
  <si>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</si>
  <si>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</si>
  <si>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</si>
  <si>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</si>
  <si>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</si>
  <si>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</si>
  <si>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</si>
  <si>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</si>
  <si>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</si>
  <si>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</si>
  <si>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</si>
  <si>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</si>
  <si>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</si>
  <si>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</si>
  <si>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</si>
  <si>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</si>
  <si>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</si>
  <si>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</si>
  <si>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</si>
  <si>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</si>
  <si>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</si>
  <si>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</si>
  <si>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</si>
  <si>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</si>
  <si>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</si>
  <si>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</si>
  <si>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</si>
  <si>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</si>
  <si>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</si>
  <si>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</si>
  <si>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</si>
  <si>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</si>
  <si>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</si>
  <si>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</si>
  <si>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</si>
  <si>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</si>
  <si>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</si>
  <si>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</si>
  <si>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</si>
  <si>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</si>
  <si>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</si>
  <si>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</si>
  <si>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</si>
  <si>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</si>
  <si>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</si>
  <si>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</si>
  <si>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</si>
  <si>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</si>
  <si>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</si>
  <si>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</si>
  <si>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</si>
  <si>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</si>
  <si>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</si>
  <si>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</si>
  <si>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</si>
  <si>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</si>
  <si>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</si>
  <si>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</si>
  <si>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</si>
  <si>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</si>
  <si>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</si>
  <si>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</si>
  <si>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</si>
  <si>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</si>
  <si>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</si>
  <si>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</si>
  <si>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</si>
  <si>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</si>
  <si>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</si>
  <si>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</si>
  <si>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</si>
  <si>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</si>
  <si>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</si>
  <si>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</si>
  <si>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</si>
  <si>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</si>
  <si>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PV_F_5</t>
  </si>
  <si>
    <t>Provisionsreklamation Makler: Faktor je Vorgang (SLA auf Höhe der AO-SLA, Grundlinie unten)</t>
  </si>
  <si>
    <t>8e_pv</t>
  </si>
  <si>
    <t>Provisionsreklamation Makler: Offene Vorgänge (Linie, Faktor PV_F)</t>
  </si>
  <si>
    <t>SLA_pv_5</t>
  </si>
  <si>
    <t>Provisionsreklamation Makler: SLA (Linie, Faktor PV_F)</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</si>
  <si>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</si>
  <si>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</si>
  <si>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</si>
  <si>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</si>
  <si>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</si>
  <si>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</si>
  <si>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</si>
  <si>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</si>
  <si>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</si>
  <si>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</si>
  <si>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F_PPT_2_5|SLA_pv_5</t>
  </si>
  <si>
    <t>PPT_2 5 Provisionsreklamation Makler: SLA_pv_5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</si>
  <si>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</si>
  <si>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</si>
  <si>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</si>
  <si>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</si>
  <si>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</si>
  <si>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</si>
  <si>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</si>
  <si>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</si>
  <si>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</si>
  <si>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</si>
  <si>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</si>
  <si>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</si>
  <si>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</si>
  <si>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</si>
  <si>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</si>
  <si>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</si>
  <si>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</si>
  <si>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</si>
  <si>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</si>
  <si>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</si>
  <si>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</si>
  <si>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</si>
  <si>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</si>
  <si>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</si>
  <si>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</si>
  <si>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</si>
  <si>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</si>
  <si>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</si>
  <si>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</si>
  <si>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</si>
  <si>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</si>
  <si>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</si>
  <si>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</si>
  <si>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</si>
  <si>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</si>
  <si>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</si>
  <si>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</si>
  <si>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</si>
  <si>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</si>
  <si>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</si>
  <si>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</si>
  <si>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</si>
  <si>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</si>
  <si>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</si>
  <si>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</si>
  <si>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</si>
  <si>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</si>
  <si>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</si>
  <si>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</si>
  <si>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</si>
  <si>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</si>
  <si>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</si>
  <si>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</si>
  <si>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</si>
  <si>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</si>
  <si>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</si>
  <si>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</si>
  <si>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</si>
  <si>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</si>
  <si>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</si>
  <si>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</si>
  <si>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</si>
  <si>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</si>
  <si>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</si>
  <si>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</si>
  <si>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</si>
  <si>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</si>
  <si>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</si>
  <si>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</si>
  <si>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</si>
  <si>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</si>
  <si>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</si>
  <si>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</si>
  <si>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</si>
  <si>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</si>
  <si>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</si>
  <si>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</si>
  <si>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</si>
  <si>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</si>
  <si>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</si>
  <si>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</si>
  <si>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</si>
  <si>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</si>
  <si>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</si>
  <si>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</si>
  <si>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</si>
  <si>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</si>
  <si>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</si>
  <si>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</si>
  <si>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</si>
  <si>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</si>
  <si>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</si>
  <si>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</si>
  <si>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</si>
  <si>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</si>
  <si>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</si>
  <si>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</si>
  <si>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</si>
  <si>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</si>
  <si>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</si>
  <si>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</si>
  <si>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</si>
  <si>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</si>
  <si>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</si>
  <si>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</si>
  <si>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</si>
  <si>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</si>
  <si>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</si>
  <si>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</si>
  <si>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</si>
  <si>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</si>
  <si>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</si>
  <si>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</si>
  <si>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</si>
  <si>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</si>
  <si>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</si>
  <si>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</si>
  <si>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</si>
  <si>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</si>
  <si>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</si>
  <si>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</si>
  <si>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</si>
  <si>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</si>
  <si>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</si>
  <si>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</si>
  <si>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</si>
  <si>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</si>
  <si>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</si>
  <si>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</si>
  <si>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</si>
  <si>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</si>
  <si>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</si>
  <si>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</si>
  <si>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</si>
  <si>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</si>
  <si>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</si>
  <si>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</si>
  <si>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</si>
  <si>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</si>
  <si>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</si>
  <si>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</si>
  <si>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</si>
  <si>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</si>
  <si>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</si>
  <si>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</si>
  <si>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</si>
  <si>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</si>
  <si>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</si>
  <si>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</si>
  <si>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</si>
  <si>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</si>
  <si>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</si>
  <si>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</si>
  <si>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</si>
  <si>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</si>
  <si>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</si>
  <si>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</si>
  <si>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</si>
  <si>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</si>
  <si>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</si>
  <si>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</si>
  <si>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</si>
  <si>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</si>
  <si>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</si>
  <si>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</si>
  <si>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</si>
  <si>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</si>
  <si>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</si>
  <si>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</si>
  <si>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</si>
  <si>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</si>
  <si>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</si>
  <si>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</si>
  <si>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</si>
  <si>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</si>
  <si>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</si>
  <si>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</si>
  <si>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</si>
  <si>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</si>
  <si>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</si>
  <si>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</si>
  <si>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</si>
  <si>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</si>
  <si>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</si>
  <si>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</si>
  <si>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</si>
  <si>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</si>
  <si>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</si>
  <si>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</si>
  <si>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</si>
  <si>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Zuständigkeiten · wer liefert welchen Wert?</t>
  </si>
  <si>
    <t>Pflicht = auf PPT_2 oder PPT_3 berichtet; BÜ und MAK automatisch. Zyklus bestimmt, wann ein Wert offen ist: wöchentlich = Spalte des Berichtstags, monatlich = Vormonat (Monatswerte) bzw. ein Wert im laufenden Monat, quartalsweise = Vorquartal. Nicht berichtete Werte zeigen grau „nicht berichtet“, Themen ohne Pflichtwert sind eingeklappt (+).</t>
  </si>
  <si>
    <t>Zeile</t>
  </si>
  <si>
    <t>Code</t>
  </si>
  <si>
    <t>Kennzahl</t>
  </si>
  <si>
    <t>Laut Rohdaten (Spalte E)</t>
  </si>
  <si>
    <t>Personen (aus den Punkten)</t>
  </si>
  <si>
    <t>Pflicht</t>
  </si>
  <si>
    <t>Zyklus</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</si>
  <si>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</si>
  <si>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</si>
  <si>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</si>
  <si>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</si>
  <si>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</si>
  <si>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</si>
  <si>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</si>
  <si>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</si>
  <si>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</si>
  <si>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</si>
  <si>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</si>
  <si>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</si>
  <si>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wöchentlich</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</si>
  <si>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</si>
  <si>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</si>
  <si>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</si>
  <si>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</si>
  <si>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</si>
  <si>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</si>
  <si>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</si>
  <si>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</si>
  <si>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</si>
  <si>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</si>
  <si>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</si>
  <si>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</si>
  <si>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</si>
  <si>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</si>
  <si>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</si>
  <si>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</si>
  <si>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</si>
  <si>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</si>
  <si>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</si>
  <si>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</si>
  <si>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</si>
  <si>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</si>
  <si>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</si>
  <si>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</si>
  <si>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</si>
  <si>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</si>
  <si>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</si>
  <si>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</si>
  <si>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</si>
  <si>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</si>
  <si>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</si>
  <si>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</si>
  <si>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</si>
  <si>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</si>
  <si>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</si>
  <si>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</si>
  <si>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</si>
  <si>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</si>
  <si>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</si>
  <si>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</si>
  <si>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</si>
  <si>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</si>
  <si>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</si>
  <si>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</si>
  <si>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</si>
  <si>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</si>
  <si>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</si>
  <si>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</si>
  <si>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</si>
  <si>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</si>
  <si>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</si>
  <si>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</si>
  <si>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</si>
  <si>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</si>
  <si>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</si>
  <si>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</si>
  <si>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</si>
  <si>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</si>
  <si>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</si>
  <si>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</si>
  <si>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</si>
  <si>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</si>
  <si>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</si>
  <si>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</si>
  <si>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</si>
  <si>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</si>
  <si>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</si>
  <si>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</si>
  <si>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</si>
  <si>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</si>
  <si>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</si>
  <si>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</si>
  <si>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</si>
  <si>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</si>
  <si>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</si>
  <si>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</si>
  <si>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</si>
  <si>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</si>
  <si>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</si>
  <si>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</si>
  <si>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</si>
  <si>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</si>
  <si>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</si>
  <si>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</si>
  <si>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</si>
  <si>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</si>
  <si>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</si>
  <si>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</si>
  <si>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</si>
  <si>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</si>
  <si>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</si>
  <si>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</si>
  <si>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</si>
  <si>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</si>
  <si>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</si>
  <si>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</si>
  <si>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</si>
  <si>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</si>
  <si>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</si>
  <si>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</si>
  <si>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</si>
  <si>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</si>
  <si>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</si>
  <si>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</si>
  <si>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</si>
  <si>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</si>
  <si>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</si>
  <si>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</si>
  <si>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</si>
  <si>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</si>
  <si>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</si>
  <si>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</si>
  <si>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</si>
  <si>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</si>
  <si>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</si>
  <si>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</si>
  <si>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</si>
  <si>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</si>
  <si>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</si>
  <si>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</si>
  <si>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</si>
  <si>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</si>
  <si>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</si>
  <si>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</si>
  <si>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</si>
  <si>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</si>
  <si>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</si>
  <si>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</si>
  <si>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</si>
  <si>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</si>
  <si>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</si>
  <si>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</si>
  <si>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</si>
  <si>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</si>
  <si>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</si>
  <si>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</si>
  <si>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</si>
  <si>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</si>
  <si>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</si>
  <si>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</si>
  <si>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</si>
  <si>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</si>
  <si>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</si>
  <si>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</si>
  <si>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</si>
  <si>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</si>
  <si>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</si>
  <si>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</si>
  <si>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</si>
  <si>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</si>
  <si>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</si>
  <si>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</si>
  <si>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</si>
  <si>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</si>
  <si>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</si>
  <si>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</si>
  <si>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</si>
  <si>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</si>
  <si>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</si>
  <si>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</si>
  <si>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</si>
  <si>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</si>
  <si>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</si>
  <si>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</si>
  <si>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</si>
  <si>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</si>
  <si>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</si>
  <si>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</si>
  <si>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</si>
  <si>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</si>
  <si>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</si>
  <si>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</si>
  <si>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</si>
  <si>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</si>
  <si>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</si>
  <si>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</si>
  <si>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</si>
  <si>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</si>
  <si>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</si>
  <si>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</si>
  <si>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</si>
  <si>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</si>
  <si>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</si>
  <si>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</si>
  <si>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</si>
  <si>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</si>
  <si>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</si>
  <si>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</si>
  <si>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</si>
  <si>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</si>
  <si>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</si>
  <si>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</si>
  <si>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</si>
  <si>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</si>
  <si>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</si>
  <si>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</si>
  <si>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</si>
  <si>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</si>
  <si>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</si>
  <si>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</si>
  <si>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</si>
  <si>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</si>
  <si>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</si>
  <si>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</si>
  <si>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</si>
  <si>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</si>
  <si>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</si>
  <si>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</si>
  <si>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</si>
  <si>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</si>
  <si>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</si>
  <si>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</si>
  <si>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</si>
  <si>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</si>
  <si>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</si>
  <si>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</si>
  <si>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</si>
  <si>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</si>
  <si>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</si>
  <si>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</si>
  <si>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</si>
  <si>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</si>
  <si>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</si>
  <si>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</si>
  <si>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</si>
  <si>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</si>
  <si>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</si>
  <si>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</si>
  <si>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</si>
  <si>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</si>
  <si>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</si>
  <si>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</si>
  <si>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</si>
  <si>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</si>
  <si>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</si>
  <si>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</si>
  <si>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</si>
  <si>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</si>
  <si>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</si>
  <si>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</si>
  <si>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</si>
  <si>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</si>
  <si>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</si>
  <si>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</si>
  <si>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</si>
  <si>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</si>
  <si>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</si>
  <si>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</si>
  <si>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</si>
  <si>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</si>
  <si>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</si>
  <si>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</si>
  <si>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</si>
  <si>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</si>
  <si>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</si>
  <si>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</si>
  <si>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</si>
  <si>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</si>
  <si>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21   MAK</t>
  </si>
  <si>
    <t>Ist · HSA1D</t>
  </si>
  <si>
    <t>monatlich</t>
  </si>
  <si>
    <t>MAK · Ist · HSA1D</t>
  </si>
  <si>
    <t>21a</t>
  </si>
  <si>
    <t>Soll · HSA1D</t>
  </si>
  <si>
    <t>MAK · Soll · HSA1D</t>
  </si>
  <si>
    <t>Vist · HSA1D</t>
  </si>
  <si>
    <t>MAK · Vist · HSA1D</t>
  </si>
  <si>
    <t>18   Neuverpflichtung</t>
  </si>
  <si>
    <t>Gesamt (Stück) · HSA1</t>
  </si>
  <si>
    <t>Neuverpflichtung · Gesamt (Stück) · HSA1</t>
  </si>
  <si>
    <t>Fristgerecht erledigt · HSA1</t>
  </si>
  <si>
    <t>Neuverpflichtung · Fristgerecht erledigt · HSA1</t>
  </si>
  <si>
    <t>Erledigungsquote in % · HSA1</t>
  </si>
  <si>
    <t>Neuverpflichtung · Erledigungsquote in % · HSA1</t>
  </si>
  <si>
    <t>nicht Fristgerecht erledigt · HSA1</t>
  </si>
  <si>
    <t>Neuverpflichtung · nicht Fristgerecht erledigt · HSA1</t>
  </si>
  <si>
    <t>Zurückgezogen/ Rückgabe an RD · HSA1</t>
  </si>
  <si>
    <t>Neuverpflichtung · Zurückgezogen/ Rückgabe an RD · HSA1</t>
  </si>
  <si>
    <t>Konfiguration</t>
  </si>
  <si>
    <t>Weiße Felder mit Rahmen = Eingaben · graue Felder = berechnet</t>
  </si>
  <si>
    <t>BERICHTSTAG</t>
  </si>
  <si>
    <t>Berichtstag automatisch (Wochentag F4 nach dem Freitag der KW; Feiertag am Standort F5 → nächster Werktag)</t>
  </si>
  <si>
    <t>Hilfswerte</t>
  </si>
  <si>
    <t>Wochentag des Berichtstags</t>
  </si>
  <si>
    <t>Montag</t>
  </si>
  <si>
    <t>Feiertage nach Standort (Blatt Feiertage)</t>
  </si>
  <si>
    <t>D</t>
  </si>
  <si>
    <t>Stichtag der Wochenwerte (Freitag der gemeldeten KW)</t>
  </si>
  <si>
    <t>Wochentag gilt ab (davor Meldung am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</si>
  <si>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</si>
  <si>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</si>
  <si>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</si>
  <si>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</si>
  <si>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</si>
  <si>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</si>
  <si>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</si>
  <si>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</si>
  <si>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</si>
  <si>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https://myergo.sharepoint.com/sites/PVDashboard/Shared Documents/BÜ - HS/BUE_Reporting_Master.xlsm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</si>
  <si>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</si>
  <si>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</si>
  <si>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</si>
  <si>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</si>
  <si>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</si>
  <si>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</si>
  <si>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</si>
  <si>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</si>
  <si>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</si>
  <si>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</si>
  <si>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</si>
  <si>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</si>
  <si>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</si>
  <si>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</si>
  <si>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Deckblatt</t>
  </si>
  <si>
    <t>Titelfolie</t>
  </si>
  <si>
    <t>PPT_2</t>
  </si>
  <si>
    <t>HR Sales | Dashboard Serviceparameter</t>
  </si>
  <si>
    <t>DASHBOARDS</t>
  </si>
  <si>
    <t>PPT_3</t>
  </si>
  <si>
    <t>HR Sales | Dashboard ext. Faktoren &amp; HS-Ressourcen</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</si>
  <si>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</si>
  <si>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</si>
  <si>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</si>
  <si>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</si>
  <si>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</si>
  <si>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</si>
  <si>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</si>
  <si>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</si>
  <si>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</si>
  <si>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</si>
  <si>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</si>
  <si>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</si>
  <si>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</si>
  <si>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</si>
  <si>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</si>
  <si>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</si>
  <si>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</si>
  <si>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</si>
  <si>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Köster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</si>
  <si>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</si>
  <si>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</si>
  <si>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</si>
  <si>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</si>
  <si>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</si>
  <si>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</si>
  <si>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</si>
  <si>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</si>
  <si>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</si>
  <si>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</si>
  <si>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</si>
  <si>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</si>
  <si>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</si>
  <si>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</si>
  <si>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https://myergo.sharepoint.com/sites/PVDashboard/Shared Documents/Allgemein/2025_Dashboard HS.xlsm</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</si>
  <si>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</si>
  <si>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</si>
  <si>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</si>
  <si>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</si>
  <si>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</si>
  <si>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</si>
  <si>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</si>
  <si>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</si>
  <si>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</si>
  <si>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</si>
  <si>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</si>
  <si>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</si>
  <si>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</si>
  <si>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</si>
  <si>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</si>
  <si>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</si>
  <si>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</si>
  <si>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</si>
  <si>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</si>
  <si>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</si>
  <si>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</si>
  <si>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</si>
  <si>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</si>
  <si>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</si>
  <si>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</si>
  <si>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</si>
  <si>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</si>
  <si>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</si>
  <si>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</si>
  <si>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</si>
  <si>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</si>
  <si>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</si>
  <si>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</si>
  <si>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</si>
  <si>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</si>
  <si>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</si>
  <si>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</si>
  <si>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</si>
  <si>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</si>
  <si>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</si>
  <si>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</si>
  <si>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</si>
  <si>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</si>
  <si>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</si>
  <si>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</si>
  <si>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</si>
  <si>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</si>
  <si>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</si>
  <si>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</si>
  <si>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</si>
  <si>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</si>
  <si>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</si>
  <si>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</si>
  <si>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</si>
  <si>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</si>
  <si>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</si>
  <si>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</si>
  <si>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</si>
  <si>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</si>
  <si>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</si>
  <si>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</si>
  <si>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</si>
  <si>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</si>
  <si>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</si>
  <si>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</si>
  <si>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</si>
  <si>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</si>
  <si>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</si>
  <si>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</si>
  <si>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</si>
  <si>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</si>
  <si>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</si>
  <si>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Richartz/ Mey</t>
  </si>
  <si>
    <t>Defects operativer Betrieb</t>
  </si>
  <si>
    <t>Revisionsanforderungen
(Sonderuntersuchungs- &amp; Revisionsbereichte)</t>
  </si>
  <si>
    <t>Start 15.10.24</t>
  </si>
  <si>
    <t>es handelt sich um keinen Rückstand im eigentlichen Sinne, sondern um Maßnahmenumsetzungen innerhalb der vorgegebenen Fristen</t>
  </si>
  <si>
    <t>Watchlist</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</si>
  <si>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</si>
  <si>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</si>
  <si>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</si>
  <si>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</si>
  <si>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</si>
  <si>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</si>
  <si>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</si>
  <si>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</si>
  <si>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</si>
  <si>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</si>
  <si>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</si>
  <si>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Zeitz/ Köster</t>
  </si>
  <si>
    <t>Ausgleichsanspruch</t>
  </si>
  <si>
    <t>Kneissler/ Kirsten</t>
  </si>
  <si>
    <t>Monat</t>
  </si>
  <si>
    <t>MONATSWERTE · Mitarbeiter-Kapazitäten  (Spalten = Monate)</t>
  </si>
  <si>
    <t>Rohdaten_2</t>
  </si>
  <si>
    <t>MAK</t>
  </si>
  <si>
    <t>Ist</t>
  </si>
  <si>
    <t>HSA1D</t>
  </si>
  <si>
    <t>Soll</t>
  </si>
  <si>
    <t>Vist</t>
  </si>
  <si>
    <t>MONATSWERTE · Neuverpflichtung  (Spalten = Monate)</t>
  </si>
  <si>
    <t>Rohdaten_3</t>
  </si>
  <si>
    <t>Neuverpflichtung</t>
  </si>
  <si>
    <t>Gesamt (Stück)</t>
  </si>
  <si>
    <t>HSA1</t>
  </si>
  <si>
    <t>Fristgerecht erledigt</t>
  </si>
  <si>
    <t>Erledigungsquote in %</t>
  </si>
  <si>
    <t>nicht Fristgerecht erledigt</t>
  </si>
  <si>
    <t>Zurückgezogen/ Rückgabe an RD</t>
  </si>
  <si>
    <t>Stand der Werte (Datum der Zahl in Rohdaten, gleiche Zelle)</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</si>
  <si>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</si>
  <si>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</si>
  <si>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</si>
  <si>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</si>
  <si>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</si>
  <si>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</si>
  <si>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</si>
  <si>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t>
  </si>
  <si>
    <t>Bestandsübertragung Makler</t>
  </si>
  <si>
    <t>Mit +0,1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Um die Rückstände weiter abzuarbeiten ist Samstagsarbeit und die parallele Realisierung der KI-gestützten Datenerfassung (Makler meets KI) geplant.</t>
  </si>
  <si>
    <t>Bestandsübertragung Verbund</t>
  </si>
  <si>
    <t>Bestandsübertragung OPAG</t>
  </si>
  <si>
    <t>Kachel 2 zeigt denselben Bestand wie Kachel 1, gezählt in der für Operations typischen Zählweise nach Arbeitsgütern statt nach Vorgängen. Die Werte liegen deshalb höher, beschreiben aber dieselbe Arbeitslage.
Beide Sichten werden bis auf Weiteres parallel ausgewiesen; perspektivisch wird das BÜ-Reporting auf diese Zählweise umgestellt.
Das SLA von 5.500 Vorgängen wird dafür über einen Umrechnungsfaktor angepasst: im Schnitt zuletzt 2,16, aktuell also rund 11.900 Arbeitsgüter.</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</si>
  <si>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</si>
  <si>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</si>
  <si>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</si>
  <si>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</si>
  <si>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</si>
  <si>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</si>
  <si>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</si>
  <si>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</si>
  <si>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</si>
  <si>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</si>
  <si>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</si>
  <si>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</si>
  <si>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</si>
  <si>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</si>
  <si>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</si>
  <si>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</si>
  <si>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</si>
  <si>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</si>
  <si>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</si>
  <si>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</si>
  <si>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</si>
  <si>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</si>
  <si>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</si>
  <si>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</si>
  <si>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</si>
  <si>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</si>
  <si>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</si>
  <si>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</si>
  <si>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</si>
  <si>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</si>
  <si>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</si>
  <si>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</si>
  <si>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</si>
  <si>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</si>
  <si>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</si>
  <si>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</si>
  <si>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</si>
  <si>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</si>
  <si>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</si>
  <si>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</si>
  <si>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</si>
  <si>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</si>
  <si>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</si>
  <si>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</si>
  <si>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</si>
  <si>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</si>
  <si>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</si>
  <si>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</si>
  <si>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</si>
  <si>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</si>
  <si>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</si>
  <si>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die Vorwoche der gemeldeten KW.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</si>
  <si>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</si>
  <si>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</si>
  <si>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</si>
  <si>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</si>
  <si>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</si>
  <si>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</si>
  <si>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</si>
  <si>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</si>
  <si>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</si>
  <si>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</si>
  <si>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</si>
  <si>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</si>
  <si>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</si>
  <si>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</si>
  <si>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</si>
  <si>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</si>
  <si>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</si>
  <si>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</si>
  <si>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</si>
  <si>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</si>
  <si>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</si>
  <si>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</si>
  <si>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</si>
  <si>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</si>
  <si>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</si>
  <si>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</si>
  <si>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</si>
  <si>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</si>
  <si>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</si>
  <si>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</si>
  <si>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</si>
  <si>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</si>
  <si>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</si>
  <si>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</si>
  <si>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</si>
  <si>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</si>
  <si>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</si>
  <si>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</si>
  <si>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</si>
  <si>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</si>
  <si>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</si>
  <si>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</si>
  <si>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</si>
  <si>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</si>
  <si>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</si>
  <si>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</si>
  <si>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</si>
  <si>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</si>
  <si>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</si>
  <si>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</si>
  <si>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</si>
  <si>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</si>
  <si>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</si>
  <si>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</si>
  <si>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</si>
  <si>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</si>
  <si>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</si>
  <si>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</si>
  <si>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</si>
  <si>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</si>
  <si>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</si>
  <si>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</si>
  <si>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</si>
  <si>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</si>
  <si>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</si>
  <si>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</si>
  <si>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</si>
  <si>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</si>
  <si>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</si>
  <si>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</si>
  <si>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</si>
  <si>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</si>
  <si>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</si>
  <si>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</si>
  <si>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</si>
  <si>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</si>
  <si>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</si>
  <si>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</si>
  <si>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</si>
  <si>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</si>
  <si>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</si>
  <si>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</si>
  <si>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Für den Berichtstag (Standort Konfiguration F5)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</si>
  <si>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</si>
  <si>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</si>
  <si>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</si>
  <si>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</si>
  <si>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</si>
  <si>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</si>
  <si>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</si>
  <si>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</si>
  <si>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</si>
  <si>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</si>
  <si>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</si>
  <si>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</si>
  <si>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</si>
  <si>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</si>
  <si>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</si>
  <si>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</si>
  <si>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</si>
  <si>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</si>
  <si>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</si>
  <si>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</si>
  <si>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</si>
  <si>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</si>
  <si>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</si>
  <si>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</si>
  <si>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</si>
  <si>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</si>
  <si>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</si>
  <si>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</si>
  <si>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</si>
  <si>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</si>
  <si>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</si>
  <si>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</si>
  <si>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</si>
  <si>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</si>
  <si>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</si>
  <si>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</si>
  <si>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</si>
  <si>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</si>
  <si>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</si>
  <si>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</si>
  <si>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</si>
  <si>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Säule|K1_Rueckstand&gt;Summe&gt;77|</t>
  </si>
  <si>
    <t>Werte je Sparte im Balken|K1_Rueckstand&gt;Wert Komposit&gt;65,K1_Rueckstand&gt;Wert Gesundheit&gt;67,K1_Rueckstand&gt;Wert Leben&gt;69|</t>
  </si>
  <si>
    <t>Zunahmen/Abnahmen über dem Balken|K1_Vorgaenge&gt;Wert Zunahmen&gt;81,K1_Vorgaenge&gt;Wert Abnahmen&gt;83|</t>
  </si>
  <si>
    <t>Saldo unter der KW|K1_Saldo&gt;Delta auf&gt;89,K1_Saldo&gt;Delta ab&gt;89,K1_Saldo&gt;Delta null&gt;89|</t>
  </si>
  <si>
    <t>K2_Rueckstand:B;K2_Vorgaenge:B;K2_Saldo:B</t>
  </si>
  <si>
    <t>Dashboard_Daten!$D$90</t>
  </si>
  <si>
    <t>Summe über der Säule|K2_Rueckstand&gt;Summe&gt;126|</t>
  </si>
  <si>
    <t>Werte je Sparte im Balken|K2_Rueckstand&gt;Wert Komposit&gt;114,K2_Rueckstand&gt;Wert Gesundheit&gt;116,K2_Rueckstand&gt;Wert Leben&gt;118|</t>
  </si>
  <si>
    <t>Zunahmen/Abnahmen über dem Balken|K2_Vorgaenge&gt;Wert Zunahmen&gt;130,K2_Vorgaenge&gt;Wert Abnahmen&gt;132|</t>
  </si>
  <si>
    <t>Saldo unter der KW|K2_Saldo&gt;Delta auf&gt;138,K2_Saldo&gt;Delta ab&gt;138,K2_Saldo&gt;Delta null&gt;138|</t>
  </si>
  <si>
    <t>K3_Linie:W;K3_Monate:M</t>
  </si>
  <si>
    <t>Eingang in HS|K3_Linie&gt;Eingang in HS&gt;0|</t>
  </si>
  <si>
    <t>Verpflichtungen (Anzahl)|K3_Monate&gt;Verpflichtungen je Monat&gt;0|</t>
  </si>
  <si>
    <t>Erledigungsquote|K3_Monate&gt;Erledigungsquote&gt;160|</t>
  </si>
  <si>
    <t>K4_Linie:W;K4_Bewegung:W;K4_BewegungDelta:W</t>
  </si>
  <si>
    <t>Dashboard_Daten!$D$183</t>
  </si>
  <si>
    <t>Offene Vorgänge|K4_Linie&gt;Offene Vorgänge&gt;181|</t>
  </si>
  <si>
    <t>Zunahmen|K4_Bewegung&gt;Wert Zunahmen&gt;198|</t>
  </si>
  <si>
    <t>Abnahmen|K4_Bewegung&gt;Wert Abnahmen&gt;200|</t>
  </si>
  <si>
    <t>Δ Zunahmen − Abnahmen unter der KW|K4_BewegungDelta&gt;Delta auf&gt;204,K4_BewegungDelta&gt;Delta ab&gt;204,K4_BewegungDelta&gt;Delta null&gt;204|Dashboard_Daten!$D$190</t>
  </si>
  <si>
    <t>K5_Linie:W</t>
  </si>
  <si>
    <t>Dashboard_Daten!$D$212</t>
  </si>
  <si>
    <t>Offene Vorgänge|K5_Linie&gt;Offene Vorgänge&gt;215|</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</si>
  <si>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</si>
  <si>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</si>
  <si>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</si>
  <si>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</si>
  <si>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</si>
  <si>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</si>
  <si>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</si>
  <si>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</si>
  <si>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VNRs&gt;238|</t>
  </si>
  <si>
    <t>In Bearbeitung|K2_Treffer&gt;In Bearbeitung&gt;240|</t>
  </si>
  <si>
    <t>Erledigt|K2_Treffer&gt;Erledigt&gt;242|</t>
  </si>
  <si>
    <t>K3_Linie:W</t>
  </si>
  <si>
    <t>Offene Arbeitsanweisungen|K3_Linie&gt;Offene Arbeitsanweisungen&gt;0|</t>
  </si>
  <si>
    <t>K4_Offen:W;K4_Bewegung:W;K4_BewegungDelta:W</t>
  </si>
  <si>
    <t>Dashboard_Daten!$D$257</t>
  </si>
  <si>
    <t>Sev 4|K4_Offen&gt;Sev 4&gt;0|</t>
  </si>
  <si>
    <t>Sev 3|K4_Offen&gt;Sev 3&gt;0|</t>
  </si>
  <si>
    <t>Sev 1+2|K4_Offen&gt;Sev 1+2&gt;0|</t>
  </si>
  <si>
    <t>Summe über dem Stapel|K4_Offen&gt;Summe&gt;256|</t>
  </si>
  <si>
    <t>Zunahmen|K4_Bewegung&gt;Wert Zunahmen&gt;272|</t>
  </si>
  <si>
    <t>Abnahmen|K4_Bewegung&gt;Wert Abnahmen&gt;274|</t>
  </si>
  <si>
    <t>Δ Zunahmen − Abnahmen unter der KW|K4_BewegungDelta&gt;Delta auf&gt;278,K4_BewegungDelta&gt;Delta ab&gt;278,K4_BewegungDelta&gt;Delta null&gt;278|Dashboard_Daten!$D$264</t>
  </si>
  <si>
    <t>K5_Offen:W;K5_Bewegung:W;K5_BewegungDelta:W</t>
  </si>
  <si>
    <t>Dashboard_Daten!$D$288</t>
  </si>
  <si>
    <t>Sev 4|K5_Offen&gt;Sev 4&gt;0|</t>
  </si>
  <si>
    <t>Sev 3|K5_Offen&gt;Sev 3&gt;0|</t>
  </si>
  <si>
    <t>Sev 1+2|K5_Offen&gt;Sev 1+2&gt;0|</t>
  </si>
  <si>
    <t>Summe über dem Stapel|K5_Offen&gt;Summe&gt;287|</t>
  </si>
  <si>
    <t>Zunahmen|K5_Bewegung&gt;Wert Zunahmen&gt;303|</t>
  </si>
  <si>
    <t>Abnahmen|K5_Bewegung&gt;Wert Abnahmen&gt;305|</t>
  </si>
  <si>
    <t>Δ Zunahmen − Abnahmen unter der KW|K5_BewegungDelta&gt;Delta auf&gt;309,K5_BewegungDelta&gt;Delta ab&gt;309,K5_BewegungDelta&gt;Delta null&gt;309|Dashboard_Daten!$D$295</t>
  </si>
  <si>
    <t>K6_MAK:F</t>
  </si>
  <si>
    <t>SOLL MAK|K6_MAK&gt;SOLL MAK&gt;0|</t>
  </si>
  <si>
    <t>(V)IST MAK|K6_MAK&gt;(V)IST MAK&gt;0|</t>
  </si>
</sst>
</file>

<file path=xl/styles.xml><?xml version="1.0" encoding="utf-8"?>
<styleSheet xmlns="http://schemas.openxmlformats.org/spreadsheetml/2006/main">
  <numFmts count="11">
    <numFmt numFmtId="164" formatCode="#,##0"/>
    <numFmt numFmtId="165" formatCode="[$-407]dddd, dd.mm.yyyy"/>
    <numFmt numFmtId="166" formatCode="dd.mm.yyyy"/>
    <numFmt numFmtId="167" formatCode="[Red]+#,##0;[Color10]-#,##0;0"/>
    <numFmt numFmtId="168" formatCode="dd.mm.yy"/>
    <numFmt numFmtId="169" formatCode="mm.yyyy"/>
    <numFmt numFmtId="170" formatCode="#,##0.##"/>
    <numFmt numFmtId="171" formatCode="#,##0.00"/>
    <numFmt numFmtId="172" formatCode="0%"/>
    <numFmt numFmtId="173" formatCode="[Red]+0%;[Color10]-0%;0%"/>
    <numFmt numFmtId="174" formatCode="#,##0.0"/>
  </numFmts>
  <fonts count="26">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sz val="9"/>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8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0" fontId="9" fillId="3" borderId="2" xfId="0" applyFont="1" applyFill="1" applyBorder="1" applyAlignment="1">
      <alignment vertical="center"/>
    </xf>
    <xf numFmtId="0" fontId="15" fillId="0" borderId="0" xfId="0" applyFont="1"/>
    <xf numFmtId="169" fontId="9" fillId="3" borderId="2" xfId="0" applyNumberFormat="1" applyFont="1" applyFill="1" applyBorder="1" applyAlignment="1">
      <alignment horizontal="center" vertical="center"/>
    </xf>
    <xf numFmtId="0" fontId="21" fillId="0" borderId="3" xfId="0" applyFont="1" applyBorder="1" applyAlignment="1">
      <alignment vertical="top"/>
    </xf>
    <xf numFmtId="170" fontId="13" fillId="5" borderId="4" xfId="0" applyNumberFormat="1" applyFont="1" applyFill="1" applyBorder="1"/>
    <xf numFmtId="0" fontId="21" fillId="0" borderId="0" xfId="0" applyFont="1" applyAlignment="1">
      <alignment vertical="top"/>
    </xf>
    <xf numFmtId="171" fontId="13" fillId="2" borderId="1" xfId="0" applyNumberFormat="1" applyFont="1" applyFill="1" applyBorder="1"/>
    <xf numFmtId="170" fontId="13" fillId="5" borderId="1" xfId="0" applyNumberFormat="1" applyFont="1" applyFill="1" applyBorder="1"/>
    <xf numFmtId="170" fontId="18" fillId="2" borderId="1" xfId="0" applyNumberFormat="1" applyFont="1" applyFill="1" applyBorder="1"/>
    <xf numFmtId="172" fontId="18" fillId="2" borderId="1" xfId="0" applyNumberFormat="1" applyFont="1" applyFill="1" applyBorder="1"/>
    <xf numFmtId="173" fontId="17" fillId="6" borderId="0" xfId="0" applyNumberFormat="1" applyFont="1" applyFill="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2"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3" fillId="8" borderId="1" xfId="0" applyFont="1" applyFill="1" applyBorder="1" applyAlignment="1">
      <alignment horizontal="left" vertical="center" indent="1"/>
    </xf>
    <xf numFmtId="0" fontId="13"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6"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4"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Dashboard_Daten!$AQ$60:$AZ$60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Dashboard_Daten!$AQ$61:$AZ$61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Dashboard_Daten!$AQ$62:$AZ$62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Gesamt (bisher, ohne Sparten)</c:v>
          </c:tx>
          <c:spPr>
            <a:solidFill>
              <a:srgbClr val="D6A3BE"/>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Dashboard_Daten!$AQ$63:$AZ$63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4"/>
          <c:order val="4"/>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Dashboard_Daten!$AQ$78:$AZ$78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Summe</c:v>
          </c:tx>
          <c:spPr>
            <a:ln>
              <a:noFill/>
            </a:ln>
          </c:spPr>
          <c:marker>
            <c:symbol val="none"/>
          </c:marker>
          <c:dLbls>
            <c:dLbl>
              <c:idx val="0"/>
              <c:layout/>
              <c:tx>
                <c:strRef>
                  <c:f>Dashboard_Daten!$AQ$77</c:f>
                  <c:strCache>
                    <c:ptCount val="1"/>
                    <c:pt idx="0">
                      <c:v>0</c:v>
                    </c:pt>
                  </c:strCache>
                </c:strRef>
              </c:tx>
              <c:dLblPos val="t"/>
              <c:showVal val="1"/>
            </c:dLbl>
            <c:dLbl>
              <c:idx val="1"/>
              <c:layout/>
              <c:tx>
                <c:strRef>
                  <c:f>Dashboard_Daten!$AR$77</c:f>
                  <c:strCache>
                    <c:ptCount val="1"/>
                    <c:pt idx="0">
                      <c:v>0</c:v>
                    </c:pt>
                  </c:strCache>
                </c:strRef>
              </c:tx>
              <c:dLblPos val="t"/>
              <c:showVal val="1"/>
            </c:dLbl>
            <c:dLbl>
              <c:idx val="2"/>
              <c:layout/>
              <c:tx>
                <c:strRef>
                  <c:f>Dashboard_Daten!$AS$77</c:f>
                  <c:strCache>
                    <c:ptCount val="1"/>
                    <c:pt idx="0">
                      <c:v>0</c:v>
                    </c:pt>
                  </c:strCache>
                </c:strRef>
              </c:tx>
              <c:dLblPos val="t"/>
              <c:showVal val="1"/>
            </c:dLbl>
            <c:dLbl>
              <c:idx val="3"/>
              <c:layout/>
              <c:tx>
                <c:strRef>
                  <c:f>Dashboard_Daten!$AT$77</c:f>
                  <c:strCache>
                    <c:ptCount val="1"/>
                    <c:pt idx="0">
                      <c:v>0</c:v>
                    </c:pt>
                  </c:strCache>
                </c:strRef>
              </c:tx>
              <c:dLblPos val="t"/>
              <c:showVal val="1"/>
            </c:dLbl>
            <c:dLbl>
              <c:idx val="4"/>
              <c:layout/>
              <c:tx>
                <c:strRef>
                  <c:f>Dashboard_Daten!$AU$77</c:f>
                  <c:strCache>
                    <c:ptCount val="1"/>
                    <c:pt idx="0">
                      <c:v>0</c:v>
                    </c:pt>
                  </c:strCache>
                </c:strRef>
              </c:tx>
              <c:dLblPos val="t"/>
              <c:showVal val="1"/>
            </c:dLbl>
            <c:dLbl>
              <c:idx val="5"/>
              <c:layout/>
              <c:tx>
                <c:strRef>
                  <c:f>Dashboard_Daten!$AV$77</c:f>
                  <c:strCache>
                    <c:ptCount val="1"/>
                    <c:pt idx="0">
                      <c:v>0</c:v>
                    </c:pt>
                  </c:strCache>
                </c:strRef>
              </c:tx>
              <c:dLblPos val="t"/>
              <c:showVal val="1"/>
            </c:dLbl>
            <c:dLbl>
              <c:idx val="6"/>
              <c:layout/>
              <c:tx>
                <c:strRef>
                  <c:f>Dashboard_Daten!$AW$77</c:f>
                  <c:strCache>
                    <c:ptCount val="1"/>
                    <c:pt idx="0">
                      <c:v>0</c:v>
                    </c:pt>
                  </c:strCache>
                </c:strRef>
              </c:tx>
              <c:dLblPos val="t"/>
              <c:showVal val="1"/>
            </c:dLbl>
            <c:dLbl>
              <c:idx val="7"/>
              <c:layout/>
              <c:tx>
                <c:strRef>
                  <c:f>Dashboard_Daten!$AX$77</c:f>
                  <c:strCache>
                    <c:ptCount val="1"/>
                    <c:pt idx="0">
                      <c:v>0</c:v>
                    </c:pt>
                  </c:strCache>
                </c:strRef>
              </c:tx>
              <c:dLblPos val="t"/>
              <c:showVal val="1"/>
            </c:dLbl>
            <c:dLbl>
              <c:idx val="8"/>
              <c:layout/>
              <c:tx>
                <c:strRef>
                  <c:f>Dashboard_Daten!$AY$77</c:f>
                  <c:strCache>
                    <c:ptCount val="1"/>
                    <c:pt idx="0">
                      <c:v>0</c:v>
                    </c:pt>
                  </c:strCache>
                </c:strRef>
              </c:tx>
              <c:dLblPos val="t"/>
              <c:showVal val="1"/>
            </c:dLbl>
            <c:dLbl>
              <c:idx val="9"/>
              <c:layout/>
              <c:tx>
                <c:strRef>
                  <c:f>Dashboard_Daten!$AZ$77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Dashboard_Daten!$AQ$76:$AZ$76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Komposit</c:v>
          </c:tx>
          <c:spPr>
            <a:ln>
              <a:noFill/>
            </a:ln>
          </c:spPr>
          <c:marker>
            <c:symbol val="none"/>
          </c:marker>
          <c:dLbls>
            <c:dLbl>
              <c:idx val="0"/>
              <c:layout/>
              <c:tx>
                <c:strRef>
                  <c:f>Dashboard_Daten!$AQ$65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Gesundheit</c:v>
          </c:tx>
          <c:spPr>
            <a:ln>
              <a:noFill/>
            </a:ln>
          </c:spPr>
          <c:marker>
            <c:symbol val="none"/>
          </c:marker>
          <c:dLbls>
            <c:dLbl>
              <c:idx val="0"/>
              <c:layout/>
              <c:tx>
                <c:strRef>
                  <c:f>Dashboard_Daten!$AQ$67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Dashboard_Daten!$AQ$74:$AZ$74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8"/>
          <c:order val="8"/>
          <c:tx>
            <c:v>Wert Leben</c:v>
          </c:tx>
          <c:spPr>
            <a:ln>
              <a:noFill/>
            </a:ln>
          </c:spPr>
          <c:marker>
            <c:symbol val="none"/>
          </c:marker>
          <c:dLbls>
            <c:dLbl>
              <c:idx val="0"/>
              <c:layout/>
              <c:tx>
                <c:strRef>
                  <c:f>Dashboard_Daten!$AQ$69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Dashboard_Daten!$AQ$84:$AZ$84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Dashboard_Daten!$AQ$86:$AZ$86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Dashboard_Daten!$AQ$87:$AZ$87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Dashboard_Daten!$AQ$88:$AZ$88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Dashboard_Daten!$AQ$110:$AZ$110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Dashboard_Daten!$AQ$111:$AZ$111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Dashboard_Daten!$AQ$112:$AZ$112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Dashboard_Daten!$AQ$127:$AZ$127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Dashboard_Daten!$AQ$126</c:f>
                  <c:strCache>
                    <c:ptCount val="1"/>
                    <c:pt idx="0">
                      <c:v>0</c:v>
                    </c:pt>
                  </c:strCache>
                </c:strRef>
              </c:tx>
              <c:dLblPos val="t"/>
              <c:showVal val="1"/>
            </c:dLbl>
            <c:dLbl>
              <c:idx val="1"/>
              <c:layout/>
              <c:tx>
                <c:strRef>
                  <c:f>Dashboard_Daten!$AR$126</c:f>
                  <c:strCache>
                    <c:ptCount val="1"/>
                    <c:pt idx="0">
                      <c:v>0</c:v>
                    </c:pt>
                  </c:strCache>
                </c:strRef>
              </c:tx>
              <c:dLblPos val="t"/>
              <c:showVal val="1"/>
            </c:dLbl>
            <c:dLbl>
              <c:idx val="2"/>
              <c:layout/>
              <c:tx>
                <c:strRef>
                  <c:f>Dashboard_Daten!$AS$126</c:f>
                  <c:strCache>
                    <c:ptCount val="1"/>
                    <c:pt idx="0">
                      <c:v>0</c:v>
                    </c:pt>
                  </c:strCache>
                </c:strRef>
              </c:tx>
              <c:dLblPos val="t"/>
              <c:showVal val="1"/>
            </c:dLbl>
            <c:dLbl>
              <c:idx val="3"/>
              <c:layout/>
              <c:tx>
                <c:strRef>
                  <c:f>Dashboard_Daten!$AT$126</c:f>
                  <c:strCache>
                    <c:ptCount val="1"/>
                    <c:pt idx="0">
                      <c:v>0</c:v>
                    </c:pt>
                  </c:strCache>
                </c:strRef>
              </c:tx>
              <c:dLblPos val="t"/>
              <c:showVal val="1"/>
            </c:dLbl>
            <c:dLbl>
              <c:idx val="4"/>
              <c:layout/>
              <c:tx>
                <c:strRef>
                  <c:f>Dashboard_Daten!$AU$126</c:f>
                  <c:strCache>
                    <c:ptCount val="1"/>
                    <c:pt idx="0">
                      <c:v>0</c:v>
                    </c:pt>
                  </c:strCache>
                </c:strRef>
              </c:tx>
              <c:dLblPos val="t"/>
              <c:showVal val="1"/>
            </c:dLbl>
            <c:dLbl>
              <c:idx val="5"/>
              <c:layout/>
              <c:tx>
                <c:strRef>
                  <c:f>Dashboard_Daten!$AV$126</c:f>
                  <c:strCache>
                    <c:ptCount val="1"/>
                    <c:pt idx="0">
                      <c:v>0</c:v>
                    </c:pt>
                  </c:strCache>
                </c:strRef>
              </c:tx>
              <c:dLblPos val="t"/>
              <c:showVal val="1"/>
            </c:dLbl>
            <c:dLbl>
              <c:idx val="6"/>
              <c:layout/>
              <c:tx>
                <c:strRef>
                  <c:f>Dashboard_Daten!$AW$126</c:f>
                  <c:strCache>
                    <c:ptCount val="1"/>
                    <c:pt idx="0">
                      <c:v>0</c:v>
                    </c:pt>
                  </c:strCache>
                </c:strRef>
              </c:tx>
              <c:dLblPos val="t"/>
              <c:showVal val="1"/>
            </c:dLbl>
            <c:dLbl>
              <c:idx val="7"/>
              <c:layout/>
              <c:tx>
                <c:strRef>
                  <c:f>Dashboard_Daten!$AX$126</c:f>
                  <c:strCache>
                    <c:ptCount val="1"/>
                    <c:pt idx="0">
                      <c:v>0</c:v>
                    </c:pt>
                  </c:strCache>
                </c:strRef>
              </c:tx>
              <c:dLblPos val="t"/>
              <c:showVal val="1"/>
            </c:dLbl>
            <c:dLbl>
              <c:idx val="8"/>
              <c:layout/>
              <c:tx>
                <c:strRef>
                  <c:f>Dashboard_Daten!$AY$126</c:f>
                  <c:strCache>
                    <c:ptCount val="1"/>
                    <c:pt idx="0">
                      <c:v>0</c:v>
                    </c:pt>
                  </c:strCache>
                </c:strRef>
              </c:tx>
              <c:dLblPos val="t"/>
              <c:showVal val="1"/>
            </c:dLbl>
            <c:dLbl>
              <c:idx val="9"/>
              <c:layout/>
              <c:tx>
                <c:strRef>
                  <c:f>Dashboard_Daten!$AZ$126</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Dashboard_Daten!$AQ$125:$AZ$125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Dashboard_Daten!$AQ$123:$AZ$123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Dashboard_Daten!$AQ$133:$AZ$133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Dashboard_Daten!$AQ$134:$AZ$134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Dashboard_Daten!$AQ$135:$AZ$135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Dashboard_Daten!$AQ$136:$AZ$136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Dashboard_Daten!$AQ$137:$AZ$137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Dashboard_Daten!$CH$170:$CQ$170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Dashboard_Daten!$CH$171:$CQ$171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Dashboard_Daten!$AJ$155:$AO$155</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Dashboard_Daten!$AJ$160</c:f>
                  <c:strCache>
                    <c:ptCount val="1"/>
                    <c:pt idx="0">
                      <c:v>0</c:v>
                    </c:pt>
                  </c:strCache>
                </c:strRef>
              </c:tx>
              <c:showVal val="1"/>
            </c:dLbl>
            <c:dLbl>
              <c:idx val="1"/>
              <c:layout/>
              <c:tx>
                <c:strRef>
                  <c:f>Dashboard_Daten!$AK$160</c:f>
                  <c:strCache>
                    <c:ptCount val="1"/>
                    <c:pt idx="0">
                      <c:v>0</c:v>
                    </c:pt>
                  </c:strCache>
                </c:strRef>
              </c:tx>
              <c:showVal val="1"/>
            </c:dLbl>
            <c:dLbl>
              <c:idx val="2"/>
              <c:layout/>
              <c:tx>
                <c:strRef>
                  <c:f>Dashboard_Daten!$AL$160</c:f>
                  <c:strCache>
                    <c:ptCount val="1"/>
                    <c:pt idx="0">
                      <c:v>0</c:v>
                    </c:pt>
                  </c:strCache>
                </c:strRef>
              </c:tx>
              <c:showVal val="1"/>
            </c:dLbl>
            <c:dLbl>
              <c:idx val="3"/>
              <c:layout/>
              <c:tx>
                <c:strRef>
                  <c:f>Dashboard_Daten!$AM$160</c:f>
                  <c:strCache>
                    <c:ptCount val="1"/>
                    <c:pt idx="0">
                      <c:v>0</c:v>
                    </c:pt>
                  </c:strCache>
                </c:strRef>
              </c:tx>
              <c:showVal val="1"/>
            </c:dLbl>
            <c:dLbl>
              <c:idx val="4"/>
              <c:layout/>
              <c:tx>
                <c:strRef>
                  <c:f>Dashboard_Daten!$AN$160</c:f>
                  <c:strCache>
                    <c:ptCount val="1"/>
                    <c:pt idx="0">
                      <c:v>0</c:v>
                    </c:pt>
                  </c:strCache>
                </c:strRef>
              </c:tx>
              <c:showVal val="1"/>
            </c:dLbl>
            <c:dLbl>
              <c:idx val="5"/>
              <c:layout/>
              <c:tx>
                <c:strRef>
                  <c:f>Dashboard_Daten!$AO$160</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Dashboard_Daten!$AJ$155:$AO$155</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Dashboard_Daten!$CH$180:$CQ$180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Dashboard_Daten!$CH$182:$CQ$182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Dashboard_Daten!$CH$195:$CQ$195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Dashboard_Daten!$CH$199:$CQ$199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Dashboard_Daten!$CH$201:$CQ$201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Dashboard_Daten!$CH$202:$CQ$202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Dashboard_Daten!$CH$203:$CQ$203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Dashboard_Daten!$CH$214:$CQ$214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Dashboard_Daten!$CH$216:$CQ$216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2.09488"/>
          <c:min val="0.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Dashboard_Daten!$CH$220:$CQ$220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Dashboard_Daten!$CH$221:$CQ$221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Dashboard_Daten!$CH$225:$CQ$225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Dashboard_Daten!$CH$226:$CQ$226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Dashboard_Daten!$CH$231:$CQ$231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Dashboard_Daten!$CH$236:$CQ$236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Dashboard_Daten!$CH$237:$CQ$237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Dashboard_Daten!$CH$239:$CQ$239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Dashboard_Daten!$CH$241:$CQ$241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Dashboard_Daten!$CH$247:$CQ$247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Dashboard_Daten!$CH$252:$CQ$252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Dashboard_Daten!$CH$253:$CQ$253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Dashboard_Daten!$CH$254:$CQ$254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Dashboard_Daten!$CH$256</c:f>
                  <c:strCache>
                    <c:ptCount val="1"/>
                    <c:pt idx="0">
                      <c:v>0</c:v>
                    </c:pt>
                  </c:strCache>
                </c:strRef>
              </c:tx>
              <c:dLblPos val="t"/>
              <c:showVal val="1"/>
            </c:dLbl>
            <c:dLbl>
              <c:idx val="1"/>
              <c:layout/>
              <c:tx>
                <c:strRef>
                  <c:f>Dashboard_Daten!$CI$256</c:f>
                  <c:strCache>
                    <c:ptCount val="1"/>
                    <c:pt idx="0">
                      <c:v>0</c:v>
                    </c:pt>
                  </c:strCache>
                </c:strRef>
              </c:tx>
              <c:dLblPos val="t"/>
              <c:showVal val="1"/>
            </c:dLbl>
            <c:dLbl>
              <c:idx val="2"/>
              <c:layout/>
              <c:tx>
                <c:strRef>
                  <c:f>Dashboard_Daten!$CJ$256</c:f>
                  <c:strCache>
                    <c:ptCount val="1"/>
                    <c:pt idx="0">
                      <c:v>0</c:v>
                    </c:pt>
                  </c:strCache>
                </c:strRef>
              </c:tx>
              <c:dLblPos val="t"/>
              <c:showVal val="1"/>
            </c:dLbl>
            <c:dLbl>
              <c:idx val="3"/>
              <c:layout/>
              <c:tx>
                <c:strRef>
                  <c:f>Dashboard_Daten!$CK$256</c:f>
                  <c:strCache>
                    <c:ptCount val="1"/>
                    <c:pt idx="0">
                      <c:v>0</c:v>
                    </c:pt>
                  </c:strCache>
                </c:strRef>
              </c:tx>
              <c:dLblPos val="t"/>
              <c:showVal val="1"/>
            </c:dLbl>
            <c:dLbl>
              <c:idx val="4"/>
              <c:layout/>
              <c:tx>
                <c:strRef>
                  <c:f>Dashboard_Daten!$CL$256</c:f>
                  <c:strCache>
                    <c:ptCount val="1"/>
                    <c:pt idx="0">
                      <c:v>0</c:v>
                    </c:pt>
                  </c:strCache>
                </c:strRef>
              </c:tx>
              <c:dLblPos val="t"/>
              <c:showVal val="1"/>
            </c:dLbl>
            <c:dLbl>
              <c:idx val="5"/>
              <c:layout/>
              <c:tx>
                <c:strRef>
                  <c:f>Dashboard_Daten!$CM$256</c:f>
                  <c:strCache>
                    <c:ptCount val="1"/>
                    <c:pt idx="0">
                      <c:v>0</c:v>
                    </c:pt>
                  </c:strCache>
                </c:strRef>
              </c:tx>
              <c:dLblPos val="t"/>
              <c:showVal val="1"/>
            </c:dLbl>
            <c:dLbl>
              <c:idx val="6"/>
              <c:layout/>
              <c:tx>
                <c:strRef>
                  <c:f>Dashboard_Daten!$CN$256</c:f>
                  <c:strCache>
                    <c:ptCount val="1"/>
                    <c:pt idx="0">
                      <c:v>0</c:v>
                    </c:pt>
                  </c:strCache>
                </c:strRef>
              </c:tx>
              <c:dLblPos val="t"/>
              <c:showVal val="1"/>
            </c:dLbl>
            <c:dLbl>
              <c:idx val="7"/>
              <c:layout/>
              <c:tx>
                <c:strRef>
                  <c:f>Dashboard_Daten!$CO$256</c:f>
                  <c:strCache>
                    <c:ptCount val="1"/>
                    <c:pt idx="0">
                      <c:v>0</c:v>
                    </c:pt>
                  </c:strCache>
                </c:strRef>
              </c:tx>
              <c:dLblPos val="t"/>
              <c:showVal val="1"/>
            </c:dLbl>
            <c:dLbl>
              <c:idx val="8"/>
              <c:layout/>
              <c:tx>
                <c:strRef>
                  <c:f>Dashboard_Daten!$CP$256</c:f>
                  <c:strCache>
                    <c:ptCount val="1"/>
                    <c:pt idx="0">
                      <c:v>0</c:v>
                    </c:pt>
                  </c:strCache>
                </c:strRef>
              </c:tx>
              <c:dLblPos val="t"/>
              <c:showVal val="1"/>
            </c:dLbl>
            <c:dLbl>
              <c:idx val="9"/>
              <c:layout/>
              <c:tx>
                <c:strRef>
                  <c:f>Dashboard_Daten!$CQ$256</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Dashboard_Daten!$CH$255:$CQ$255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Dashboard_Daten!$CH$269:$CQ$269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Dashboard_Daten!$CH$270:$CQ$270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Dashboard_Daten!$CH$271:$CQ$271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Dashboard_Daten!$CH$283:$CQ$283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Dashboard_Daten!$CH$284:$CQ$284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Dashboard_Daten!$CH$285:$CQ$285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Dashboard_Daten!$CH$287</c:f>
                  <c:strCache>
                    <c:ptCount val="1"/>
                    <c:pt idx="0">
                      <c:v>0</c:v>
                    </c:pt>
                  </c:strCache>
                </c:strRef>
              </c:tx>
              <c:dLblPos val="t"/>
              <c:showVal val="1"/>
            </c:dLbl>
            <c:dLbl>
              <c:idx val="1"/>
              <c:layout/>
              <c:tx>
                <c:strRef>
                  <c:f>Dashboard_Daten!$CI$287</c:f>
                  <c:strCache>
                    <c:ptCount val="1"/>
                    <c:pt idx="0">
                      <c:v>0</c:v>
                    </c:pt>
                  </c:strCache>
                </c:strRef>
              </c:tx>
              <c:dLblPos val="t"/>
              <c:showVal val="1"/>
            </c:dLbl>
            <c:dLbl>
              <c:idx val="2"/>
              <c:layout/>
              <c:tx>
                <c:strRef>
                  <c:f>Dashboard_Daten!$CJ$287</c:f>
                  <c:strCache>
                    <c:ptCount val="1"/>
                    <c:pt idx="0">
                      <c:v>0</c:v>
                    </c:pt>
                  </c:strCache>
                </c:strRef>
              </c:tx>
              <c:dLblPos val="t"/>
              <c:showVal val="1"/>
            </c:dLbl>
            <c:dLbl>
              <c:idx val="3"/>
              <c:layout/>
              <c:tx>
                <c:strRef>
                  <c:f>Dashboard_Daten!$CK$287</c:f>
                  <c:strCache>
                    <c:ptCount val="1"/>
                    <c:pt idx="0">
                      <c:v>0</c:v>
                    </c:pt>
                  </c:strCache>
                </c:strRef>
              </c:tx>
              <c:dLblPos val="t"/>
              <c:showVal val="1"/>
            </c:dLbl>
            <c:dLbl>
              <c:idx val="4"/>
              <c:layout/>
              <c:tx>
                <c:strRef>
                  <c:f>Dashboard_Daten!$CL$287</c:f>
                  <c:strCache>
                    <c:ptCount val="1"/>
                    <c:pt idx="0">
                      <c:v>0</c:v>
                    </c:pt>
                  </c:strCache>
                </c:strRef>
              </c:tx>
              <c:dLblPos val="t"/>
              <c:showVal val="1"/>
            </c:dLbl>
            <c:dLbl>
              <c:idx val="5"/>
              <c:layout/>
              <c:tx>
                <c:strRef>
                  <c:f>Dashboard_Daten!$CM$287</c:f>
                  <c:strCache>
                    <c:ptCount val="1"/>
                    <c:pt idx="0">
                      <c:v>0</c:v>
                    </c:pt>
                  </c:strCache>
                </c:strRef>
              </c:tx>
              <c:dLblPos val="t"/>
              <c:showVal val="1"/>
            </c:dLbl>
            <c:dLbl>
              <c:idx val="6"/>
              <c:layout/>
              <c:tx>
                <c:strRef>
                  <c:f>Dashboard_Daten!$CN$287</c:f>
                  <c:strCache>
                    <c:ptCount val="1"/>
                    <c:pt idx="0">
                      <c:v>0</c:v>
                    </c:pt>
                  </c:strCache>
                </c:strRef>
              </c:tx>
              <c:dLblPos val="t"/>
              <c:showVal val="1"/>
            </c:dLbl>
            <c:dLbl>
              <c:idx val="7"/>
              <c:layout/>
              <c:tx>
                <c:strRef>
                  <c:f>Dashboard_Daten!$CO$287</c:f>
                  <c:strCache>
                    <c:ptCount val="1"/>
                    <c:pt idx="0">
                      <c:v>0</c:v>
                    </c:pt>
                  </c:strCache>
                </c:strRef>
              </c:tx>
              <c:dLblPos val="t"/>
              <c:showVal val="1"/>
            </c:dLbl>
            <c:dLbl>
              <c:idx val="8"/>
              <c:layout/>
              <c:tx>
                <c:strRef>
                  <c:f>Dashboard_Daten!$CP$287</c:f>
                  <c:strCache>
                    <c:ptCount val="1"/>
                    <c:pt idx="0">
                      <c:v>0</c:v>
                    </c:pt>
                  </c:strCache>
                </c:strRef>
              </c:tx>
              <c:dLblPos val="t"/>
              <c:showVal val="1"/>
            </c:dLbl>
            <c:dLbl>
              <c:idx val="9"/>
              <c:layout/>
              <c:tx>
                <c:strRef>
                  <c:f>Dashboard_Daten!$CQ$287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Dashboard_Daten!$CH$286:$CQ$286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Dashboard_Daten!$CH$300:$CQ$300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Dashboard_Daten!$CH$301:$CQ$301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Dashboard_Daten!$CH$302:$CQ$302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Dashboard_Daten!$CH$304:$CQ$304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Dashboard_Daten!$CH$306:$CQ$306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Dashboard_Daten!$CH$307:$CQ$307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Dashboard_Daten!$CH$308:$CQ$308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Dashboard_Daten!$CS$163:$CV$163</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Dashboard_Daten!$CS$164:$CV$164</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2"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4"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8"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4"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3"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10"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4"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7"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21"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65">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2533650"/>
    <xdr:ext cx="66675" cy="66675"/>
    <xdr:sp macro="" textlink="">
      <xdr:nvSpPr>
        <xdr:cNvPr id="44" name="K1_Leg144_3S"/>
        <xdr:cNvSpPr txBox="1"/>
      </xdr:nvSpPr>
      <xdr:spPr>
        <a:xfrm>
          <a:off x="809625" y="2533650"/>
          <a:ext cx="66675" cy="66675"/>
        </a:xfrm>
        <a:prstGeom prst="rect">
          <a:avLst/>
        </a:prstGeom>
        <a:solidFill>
          <a:srgbClr val="D6A3B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514600"/>
    <xdr:ext cx="609600" cy="104775"/>
    <xdr:sp macro="" textlink="">
      <xdr:nvSpPr>
        <xdr:cNvPr id="45" name="K1_Leg144_3"/>
        <xdr:cNvSpPr txBox="1"/>
      </xdr:nvSpPr>
      <xdr:spPr>
        <a:xfrm>
          <a:off x="914400" y="2514600"/>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Gesamt bisher</a:t>
          </a:r>
        </a:p>
      </xdr:txBody>
    </xdr:sp>
    <xdr:clientData/>
  </xdr:absoluteAnchor>
  <xdr:absoluteAnchor>
    <xdr:pos x="809625" y="3362325"/>
    <xdr:ext cx="2447925" cy="114300"/>
    <xdr:sp macro="" textlink="">
      <xdr:nvSpPr>
        <xdr:cNvPr id="46"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7"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8"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9"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50"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51"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66">
      <xdr:nvSpPr>
        <xdr:cNvPr id="5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7"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8"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9"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60"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61"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2"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3"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4"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5"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6"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7"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8"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9"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70"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71"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2"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3"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9">
      <xdr:nvSpPr>
        <xdr:cNvPr id="75"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6"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7"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9"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80"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81"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2"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3"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74">
      <xdr:nvSpPr>
        <xdr:cNvPr id="85"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6"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9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9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7">
      <xdr:nvSpPr>
        <xdr:cNvPr id="100"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101"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2"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4"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5"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6"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7"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8"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9"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9">
      <xdr:nvSpPr>
        <xdr:cNvPr id="111"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2"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3"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5"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6"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24">
      <xdr:nvSpPr>
        <xdr:cNvPr id="118"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9"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20"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2"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3"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4"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5"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6"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127"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Bestandsübertragung Makler</a:t>
          </a:r>
        </a:p>
      </xdr:txBody>
    </xdr:sp>
    <xdr:clientData/>
  </xdr:absoluteAnchor>
  <xdr:absoluteAnchor>
    <xdr:pos x="9448800" y="2371725"/>
    <xdr:ext cx="2771775" cy="1181100"/>
    <xdr:sp macro="" textlink="">
      <xdr:nvSpPr>
        <xdr:cNvPr id="128" name="KOM_0_Text"/>
        <xdr:cNvSpPr txBox="1"/>
      </xdr:nvSpPr>
      <xdr:spPr>
        <a:xfrm>
          <a:off x="9448800" y="2371725"/>
          <a:ext cx="2771775"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Mit +0,1 T im Vergleich zur Vorwoche sind die offenen Makler BÜ Vorgänge leicht gestiegen. Die Gründe für die weiterhin hohe Anzahl von offnen Vorgängen sind im Wesentlichen folgende:</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erhöhter Eingang von Erinnerungsmails, die offenen Vorgänge in Summe erhöhen</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technischer Fehler bei der Erfassung von KV Makler BÜ, führt zur Nachbuchung von 900 offen Positionen</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weitere technische Effekte führen ebenfalls zu einer doppelten Zählung im Emaileingang</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Um die Rückstände weiter abzuarbeiten ist Samstagsarbeit und die parallele Realisierung der KI-gestützten Datenerfassung (Makler meets KI) geplant.</a:t>
          </a:r>
        </a:p>
      </xdr:txBody>
    </xdr:sp>
    <xdr:clientData/>
  </xdr:absoluteAnchor>
  <xdr:absoluteAnchor>
    <xdr:pos x="9115425" y="3590925"/>
    <xdr:ext cx="276225" cy="161925"/>
    <xdr:sp macro="" textlink="">
      <xdr:nvSpPr>
        <xdr:cNvPr id="129" name="KOM_1_Nr"/>
        <xdr:cNvSpPr txBox="1"/>
      </xdr:nvSpPr>
      <xdr:spPr>
        <a:xfrm>
          <a:off x="9115425" y="35909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3590925"/>
    <xdr:ext cx="2771775" cy="161925"/>
    <xdr:sp macro="" textlink="">
      <xdr:nvSpPr>
        <xdr:cNvPr id="130" name="KOM_1_Ueb"/>
        <xdr:cNvSpPr txBox="1"/>
      </xdr:nvSpPr>
      <xdr:spPr>
        <a:xfrm>
          <a:off x="9448800" y="35909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Bestandsübertragung OPAG</a:t>
          </a:r>
        </a:p>
      </xdr:txBody>
    </xdr:sp>
    <xdr:clientData/>
  </xdr:absoluteAnchor>
  <xdr:absoluteAnchor>
    <xdr:pos x="9448800" y="3762375"/>
    <xdr:ext cx="2771775" cy="600075"/>
    <xdr:sp macro="" textlink="">
      <xdr:nvSpPr>
        <xdr:cNvPr id="131" name="KOM_1_Text"/>
        <xdr:cNvSpPr txBox="1"/>
      </xdr:nvSpPr>
      <xdr:spPr>
        <a:xfrm>
          <a:off x="9448800" y="376237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Kachel 2 zeigt denselben Bestand wie Kachel 1, gezählt in der für Operations typischen Zählweise nach Arbeitsgütern statt nach Vorgängen. Die Werte liegen deshalb höher, beschreiben aber dieselbe Arbeitslage.</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Beide Sichten werden bis auf Weiteres parallel ausgewiesen; perspektivisch wird das BÜ-Reporting auf diese Zählweise umgestellt.</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Das SLA von 5.500 Vorgängen wird dafür über einen Umrechnungsfaktor angepasst: im Schnitt zuletzt 2,16, aktuell also rund 11.900 Arbeitsgüter.</a:t>
          </a:r>
        </a:p>
      </xdr:txBody>
    </xdr:sp>
    <xdr:clientData/>
  </xdr:absoluteAnchor>
  <xdr:absoluteAnchor>
    <xdr:pos x="9115425" y="4391025"/>
    <xdr:ext cx="276225" cy="161925"/>
    <xdr:sp macro="" textlink="">
      <xdr:nvSpPr>
        <xdr:cNvPr id="132" name="KOM_2_Nr"/>
        <xdr:cNvSpPr txBox="1"/>
      </xdr:nvSpPr>
      <xdr:spPr>
        <a:xfrm>
          <a:off x="9115425" y="43910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4391025"/>
    <xdr:ext cx="2771775" cy="161925"/>
    <xdr:sp macro="" textlink="">
      <xdr:nvSpPr>
        <xdr:cNvPr id="133" name="KOM_2_Ueb"/>
        <xdr:cNvSpPr txBox="1"/>
      </xdr:nvSpPr>
      <xdr:spPr>
        <a:xfrm>
          <a:off x="9448800" y="43910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Neueinstellungen</a:t>
          </a:r>
        </a:p>
      </xdr:txBody>
    </xdr:sp>
    <xdr:clientData/>
  </xdr:absoluteAnchor>
  <xdr:absoluteAnchor>
    <xdr:pos x="9448800" y="4562475"/>
    <xdr:ext cx="2771775" cy="676275"/>
    <xdr:sp macro="" textlink="">
      <xdr:nvSpPr>
        <xdr:cNvPr id="134" name="KOM_2_Text"/>
        <xdr:cNvSpPr txBox="1"/>
      </xdr:nvSpPr>
      <xdr:spPr>
        <a:xfrm>
          <a:off x="9448800" y="4562475"/>
          <a:ext cx="277177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Für den Verpflichtungsmonat September 2026 gab es 161 Vorgänge, 94 % wurden fristgerecht umgesetzt. Die übrigen 6 % wurden seitens RD zurückgezogen oder konnten auf Grund fehlender Unterlagen nicht fristgerecht umgesetzt werden.</a:t>
          </a:r>
        </a:p>
      </xdr:txBody>
    </xdr:sp>
    <xdr:clientData/>
  </xdr:absoluteAnchor>
  <xdr:absoluteAnchor>
    <xdr:pos x="9115425" y="5267325"/>
    <xdr:ext cx="276225" cy="161925"/>
    <xdr:sp macro="" textlink="">
      <xdr:nvSpPr>
        <xdr:cNvPr id="135" name="KOM_3_Nr"/>
        <xdr:cNvSpPr txBox="1"/>
      </xdr:nvSpPr>
      <xdr:spPr>
        <a:xfrm>
          <a:off x="9115425" y="52673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5267325"/>
    <xdr:ext cx="2771775" cy="161925"/>
    <xdr:sp macro="" textlink="">
      <xdr:nvSpPr>
        <xdr:cNvPr id="136" name="KOM_3_Ueb"/>
        <xdr:cNvSpPr txBox="1"/>
      </xdr:nvSpPr>
      <xdr:spPr>
        <a:xfrm>
          <a:off x="9448800" y="52673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Provisionsreklamation AO und Makler</a:t>
          </a:r>
        </a:p>
      </xdr:txBody>
    </xdr:sp>
    <xdr:clientData/>
  </xdr:absoluteAnchor>
  <xdr:absoluteAnchor>
    <xdr:pos x="9448800" y="5438775"/>
    <xdr:ext cx="2771775" cy="114300"/>
    <xdr:sp macro="" textlink="">
      <xdr:nvSpPr>
        <xdr:cNvPr id="137" name="KOM_3_Text"/>
        <xdr:cNvSpPr txBox="1"/>
      </xdr:nvSpPr>
      <xdr:spPr>
        <a:xfrm>
          <a:off x="9448800" y="5438775"/>
          <a:ext cx="277177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Der angestrebte Service-Level wird nach wie vor deutlich erfüllt.</a:t>
          </a:r>
        </a:p>
      </xdr:txBody>
    </xdr:sp>
    <xdr:clientData/>
  </xdr:absoluteAnchor>
  <xdr:absoluteAnchor>
    <xdr:pos x="9115425" y="5591175"/>
    <xdr:ext cx="276225" cy="161925"/>
    <xdr:sp macro="" textlink="">
      <xdr:nvSpPr>
        <xdr:cNvPr id="138" name="KOM_4_Nr"/>
        <xdr:cNvSpPr txBox="1"/>
      </xdr:nvSpPr>
      <xdr:spPr>
        <a:xfrm>
          <a:off x="9115425" y="5591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591175"/>
    <xdr:ext cx="2771775" cy="161925"/>
    <xdr:sp macro="" textlink="">
      <xdr:nvSpPr>
        <xdr:cNvPr id="139" name="KOM_4_Ueb"/>
        <xdr:cNvSpPr txBox="1"/>
      </xdr:nvSpPr>
      <xdr:spPr>
        <a:xfrm>
          <a:off x="9448800" y="5591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Buchauszug</a:t>
          </a:r>
        </a:p>
      </xdr:txBody>
    </xdr:sp>
    <xdr:clientData/>
  </xdr:absoluteAnchor>
  <xdr:absoluteAnchor>
    <xdr:pos x="9448800" y="5753100"/>
    <xdr:ext cx="2771775" cy="657225"/>
    <xdr:sp macro="" textlink="">
      <xdr:nvSpPr>
        <xdr:cNvPr id="140" name="KOM_4_Text"/>
        <xdr:cNvSpPr txBox="1"/>
      </xdr:nvSpPr>
      <xdr:spPr>
        <a:xfrm>
          <a:off x="9448800" y="5753100"/>
          <a:ext cx="2771775"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448425"/>
    <xdr:ext cx="276225" cy="161925"/>
    <xdr:sp macro="" textlink="">
      <xdr:nvSpPr>
        <xdr:cNvPr id="141" name="KOM_5_Nr"/>
        <xdr:cNvSpPr txBox="1"/>
      </xdr:nvSpPr>
      <xdr:spPr>
        <a:xfrm>
          <a:off x="9115425" y="64484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448425"/>
    <xdr:ext cx="2771775" cy="161925"/>
    <xdr:sp macro="" textlink="">
      <xdr:nvSpPr>
        <xdr:cNvPr id="142" name="KOM_5_Ueb"/>
        <xdr:cNvSpPr txBox="1"/>
      </xdr:nvSpPr>
      <xdr:spPr>
        <a:xfrm>
          <a:off x="9448800" y="64484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Ausgleichsanspruch</a:t>
          </a:r>
        </a:p>
      </xdr:txBody>
    </xdr:sp>
    <xdr:clientData/>
  </xdr:absoluteAnchor>
  <xdr:absoluteAnchor>
    <xdr:pos x="9448800" y="6619875"/>
    <xdr:ext cx="2771775" cy="266700"/>
    <xdr:sp macro="" textlink="">
      <xdr:nvSpPr>
        <xdr:cNvPr id="143" name="KOM_5_Text"/>
        <xdr:cNvSpPr txBox="1"/>
      </xdr:nvSpPr>
      <xdr:spPr>
        <a:xfrm>
          <a:off x="9448800" y="6619875"/>
          <a:ext cx="2771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9">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34">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45">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50">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81">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twoCellAnchor editAs="absolute">
    <xdr:from>
      <xdr:col>7</xdr:col>
      <xdr:colOff>342900</xdr:colOff>
      <xdr:row>0</xdr:row>
      <xdr:rowOff>57150</xdr:rowOff>
    </xdr:from>
    <xdr:to>
      <xdr:col>10</xdr:col>
      <xdr:colOff>161925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10</xdr:col>
      <xdr:colOff>276225</xdr:colOff>
      <xdr:row>0</xdr:row>
      <xdr:rowOff>57150</xdr:rowOff>
    </xdr:from>
    <xdr:to>
      <xdr:col>15</xdr:col>
      <xdr:colOff>85725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23</xdr:col>
      <xdr:colOff>28575</xdr:colOff>
      <xdr:row>0</xdr:row>
      <xdr:rowOff>57150</xdr:rowOff>
    </xdr:from>
    <xdr:to>
      <xdr:col>28</xdr:col>
      <xdr:colOff>28575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28</xdr:col>
      <xdr:colOff>142875</xdr:colOff>
      <xdr:row>0</xdr:row>
      <xdr:rowOff>57150</xdr:rowOff>
    </xdr:from>
    <xdr:to>
      <xdr:col>33</xdr:col>
      <xdr:colOff>142875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hyperlink" Target="https://myergo.sharepoint.com/sites/PVDashboard/Shared%20Documents/B&#220;%20-%20HS/BUE_Reporting_Master.xlsm" TargetMode="External"/><Relationship Id="rId2" Type="http://schemas.openxmlformats.org/officeDocument/2006/relationships/hyperlink" Target="https://myergo.sharepoint.com/sites/PVDashboard/Shared%20Documents/Allgemein/2025_Dashboard%20HS.xlsm" TargetMode="Externa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1325</v>
      </c>
    </row>
    <row r="3" spans="2:27" ht="16.5" customHeight="1">
      <c r="B3" s="2">
        <f>Konfiguration!C16</f>
        <v>0</v>
      </c>
    </row>
    <row r="4" spans="2:27" ht="16.5" customHeight="1">
      <c r="U4" s="3" t="s">
        <v>1345</v>
      </c>
    </row>
    <row r="5" spans="2:27" ht="16.5" customHeight="1">
      <c r="B5" s="4" t="s">
        <v>993</v>
      </c>
      <c r="G5" s="4" t="s">
        <v>1332</v>
      </c>
      <c r="Y5" s="3" t="s">
        <v>1346</v>
      </c>
      <c r="Z5" s="5">
        <f>SUM($Y$7:$Y$36)</f>
        <v>0</v>
      </c>
    </row>
    <row r="6" spans="2:27" ht="16.5" customHeight="1">
      <c r="B6" s="6">
        <f>Berichtstag</f>
        <v>0</v>
      </c>
      <c r="C6" s="6"/>
      <c r="D6" s="7">
        <f>"KW "&amp;_xlfn.ISOWEEKNUM(Stichtag)</f>
        <v>0</v>
      </c>
      <c r="G6" s="8" t="s">
        <v>1333</v>
      </c>
      <c r="U6" s="3" t="s">
        <v>1347</v>
      </c>
      <c r="V6" s="3" t="s">
        <v>1337</v>
      </c>
      <c r="W6" s="3" t="s">
        <v>1338</v>
      </c>
      <c r="X6" s="3" t="s">
        <v>698</v>
      </c>
      <c r="Y6" s="3" t="s">
        <v>1348</v>
      </c>
      <c r="Z6" s="3" t="s">
        <v>1349</v>
      </c>
      <c r="AA6" s="3" t="s">
        <v>1350</v>
      </c>
    </row>
    <row r="7" spans="2:27" ht="16.5" customHeight="1">
      <c r="B7" s="8">
        <f>IF(Konfiguration!C5="","automatisch: nächster "&amp;Konfiguration!F4,"von Hand gesetzt (Konfiguration C5)")&amp;" · Werte der KW "&amp;_xlfn.ISOWEEKNUM(Stichtag)&amp;" (Stand "&amp;TEXT(DAY(Stichtag),"00")&amp;"."&amp;TEXT(MONTH(Stichtag),"00")&amp;".)"</f>
        <v>0</v>
      </c>
      <c r="G7" s="8" t="s">
        <v>1334</v>
      </c>
      <c r="U7">
        <f>IF(Konfiguration!$B$28="","",Konfiguration!$B$28)</f>
        <v>0</v>
      </c>
      <c r="V7">
        <f>IF($U7="","",COUNTIFS(Zuständigkeiten!$I$5:$I$400,"●",Zuständigkeiten!$F$5:$F$400,"ja",Zuständigkeiten!$H$5:$H$400,"offen")+IF(COUNTIFS(Zuständigkeiten!$I$5:$I$400,"●",Zuständigkeiten!$B$5:$B$400,"7V?")&gt;0,1-BUE_V_OK,0)+IF(COUNTIFS(Zuständigkeiten!$I$5:$I$400,"●",Zuständigkeiten!$B$5:$B$400,"7O?")&gt;0,1-BUE_O_OK,0))</f>
        <v>0</v>
      </c>
      <c r="W7">
        <f>IF($U7="","",COUNTIFS(Zuständigkeiten!$I$5:$I$400,"●",Zuständigkeiten!$F$5:$F$400,"ja",Zuständigkeiten!$H$5:$H$400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1335</v>
      </c>
      <c r="U8">
        <f>IF(Konfiguration!$B$29="","",Konfiguration!$B$29)</f>
        <v>0</v>
      </c>
      <c r="V8">
        <f>IF($U8="","",COUNTIFS(Zuständigkeiten!$J$5:$J$400,"●",Zuständigkeiten!$F$5:$F$400,"ja",Zuständigkeiten!$H$5:$H$400,"offen")+IF(COUNTIFS(Zuständigkeiten!$J$5:$J$400,"●",Zuständigkeiten!$B$5:$B$400,"7V?")&gt;0,1-BUE_V_OK,0)+IF(COUNTIFS(Zuständigkeiten!$J$5:$J$400,"●",Zuständigkeiten!$B$5:$B$400,"7O?")&gt;0,1-BUE_O_OK,0))</f>
        <v>0</v>
      </c>
      <c r="W8">
        <f>IF($U8="","",COUNTIFS(Zuständigkeiten!$J$5:$J$400,"●",Zuständigkeiten!$F$5:$F$400,"ja",Zuständigkeiten!$H$5:$H$400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1336</v>
      </c>
      <c r="H9" s="10" t="s">
        <v>1337</v>
      </c>
      <c r="I9" s="10" t="s">
        <v>1338</v>
      </c>
      <c r="J9" s="10" t="s">
        <v>1339</v>
      </c>
      <c r="U9">
        <f>IF(Konfiguration!$B$30="","",Konfiguration!$B$30)</f>
        <v>0</v>
      </c>
      <c r="V9">
        <f>IF($U9="","",COUNTIFS(Zuständigkeiten!$K$5:$K$400,"●",Zuständigkeiten!$F$5:$F$400,"ja",Zuständigkeiten!$H$5:$H$400,"offen")+IF(COUNTIFS(Zuständigkeiten!$K$5:$K$400,"●",Zuständigkeiten!$B$5:$B$400,"7V?")&gt;0,1-BUE_V_OK,0)+IF(COUNTIFS(Zuständigkeiten!$K$5:$K$400,"●",Zuständigkeiten!$B$5:$B$400,"7O?")&gt;0,1-BUE_O_OK,0))</f>
        <v>0</v>
      </c>
      <c r="W9">
        <f>IF($U9="","",COUNTIFS(Zuständigkeiten!$K$5:$K$400,"●",Zuständigkeiten!$F$5:$F$400,"ja",Zuständigkeiten!$H$5:$H$400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IF($AA10="P",INDEX($V$7:$V$36,MATCH(1,$Z$7:$Z$36,0)),IF($AA10="G",COUNTIFS(Zuständigkeiten!$F$5:$F$400,"ja",Zuständigkeiten!$H$5:$H$400,"offen")+(1-BUE_V_OK)+(1-BUE_O_OK),""))</f>
        <v>0</v>
      </c>
      <c r="I10" s="12">
        <f>IF($AA10="P",INDEX($W$7:$W$36,MATCH(1,$Z$7:$Z$36,0)),IF($AA10="G",COUNTIFS(Zuständigkeiten!$F$5:$F$400,"ja",Zuständigkeiten!$H$5:$H$400,"erledigt")+BUE_V_OK+BUE_O_OK,""))</f>
        <v>0</v>
      </c>
      <c r="J10" s="12">
        <f>IF($AA10="P",INDEX($X$7:$X$36,MATCH(1,$Z$7:$Z$36,0)),IF($AA10="G",COUNTIF(Zuständigkeiten!$F$5:$F$400,"ja")+2,""))</f>
        <v>0</v>
      </c>
      <c r="U10">
        <f>IF(Konfiguration!$B$31="","",Konfiguration!$B$31)</f>
        <v>0</v>
      </c>
      <c r="V10">
        <f>IF($U10="","",COUNTIFS(Zuständigkeiten!$L$5:$L$400,"●",Zuständigkeiten!$F$5:$F$400,"ja",Zuständigkeiten!$H$5:$H$400,"offen")+IF(COUNTIFS(Zuständigkeiten!$L$5:$L$400,"●",Zuständigkeiten!$B$5:$B$400,"7V?")&gt;0,1-BUE_V_OK,0)+IF(COUNTIFS(Zuständigkeiten!$L$5:$L$400,"●",Zuständigkeiten!$B$5:$B$400,"7O?")&gt;0,1-BUE_O_OK,0))</f>
        <v>0</v>
      </c>
      <c r="W10">
        <f>IF($U10="","",COUNTIFS(Zuständigkeiten!$L$5:$L$400,"●",Zuständigkeiten!$F$5:$F$400,"ja",Zuständigkeiten!$H$5:$H$400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IF($AA11="P",INDEX($V$7:$V$36,MATCH(2,$Z$7:$Z$36,0)),IF($AA11="G",COUNTIFS(Zuständigkeiten!$F$5:$F$400,"ja",Zuständigkeiten!$H$5:$H$400,"offen")+(1-BUE_V_OK)+(1-BUE_O_OK),""))</f>
        <v>0</v>
      </c>
      <c r="I11" s="12">
        <f>IF($AA11="P",INDEX($W$7:$W$36,MATCH(2,$Z$7:$Z$36,0)),IF($AA11="G",COUNTIFS(Zuständigkeiten!$F$5:$F$400,"ja",Zuständigkeiten!$H$5:$H$400,"erledigt")+BUE_V_OK+BUE_O_OK,""))</f>
        <v>0</v>
      </c>
      <c r="J11" s="12">
        <f>IF($AA11="P",INDEX($X$7:$X$36,MATCH(2,$Z$7:$Z$36,0)),IF($AA11="G",COUNTIF(Zuständigkeiten!$F$5:$F$400,"ja")+2,""))</f>
        <v>0</v>
      </c>
      <c r="U11">
        <f>IF(Konfiguration!$B$32="","",Konfiguration!$B$32)</f>
        <v>0</v>
      </c>
      <c r="V11">
        <f>IF($U11="","",COUNTIFS(Zuständigkeiten!$M$5:$M$400,"●",Zuständigkeiten!$F$5:$F$400,"ja",Zuständigkeiten!$H$5:$H$400,"offen")+IF(COUNTIFS(Zuständigkeiten!$M$5:$M$400,"●",Zuständigkeiten!$B$5:$B$400,"7V?")&gt;0,1-BUE_V_OK,0)+IF(COUNTIFS(Zuständigkeiten!$M$5:$M$400,"●",Zuständigkeiten!$B$5:$B$400,"7O?")&gt;0,1-BUE_O_OK,0))</f>
        <v>0</v>
      </c>
      <c r="W11">
        <f>IF($U11="","",COUNTIFS(Zuständigkeiten!$M$5:$M$400,"●",Zuständigkeiten!$F$5:$F$400,"ja",Zuständigkeiten!$H$5:$H$400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IF($AA12="P",INDEX($V$7:$V$36,MATCH(3,$Z$7:$Z$36,0)),IF($AA12="G",COUNTIFS(Zuständigkeiten!$F$5:$F$400,"ja",Zuständigkeiten!$H$5:$H$400,"offen")+(1-BUE_V_OK)+(1-BUE_O_OK),""))</f>
        <v>0</v>
      </c>
      <c r="I12" s="12">
        <f>IF($AA12="P",INDEX($W$7:$W$36,MATCH(3,$Z$7:$Z$36,0)),IF($AA12="G",COUNTIFS(Zuständigkeiten!$F$5:$F$400,"ja",Zuständigkeiten!$H$5:$H$400,"erledigt")+BUE_V_OK+BUE_O_OK,""))</f>
        <v>0</v>
      </c>
      <c r="J12" s="12">
        <f>IF($AA12="P",INDEX($X$7:$X$36,MATCH(3,$Z$7:$Z$36,0)),IF($AA12="G",COUNTIF(Zuständigkeiten!$F$5:$F$400,"ja")+2,""))</f>
        <v>0</v>
      </c>
      <c r="U12">
        <f>IF(Konfiguration!$B$33="","",Konfiguration!$B$33)</f>
        <v>0</v>
      </c>
      <c r="V12">
        <f>IF($U12="","",COUNTIFS(Zuständigkeiten!$N$5:$N$400,"●",Zuständigkeiten!$F$5:$F$400,"ja",Zuständigkeiten!$H$5:$H$400,"offen")+IF(COUNTIFS(Zuständigkeiten!$N$5:$N$400,"●",Zuständigkeiten!$B$5:$B$400,"7V?")&gt;0,1-BUE_V_OK,0)+IF(COUNTIFS(Zuständigkeiten!$N$5:$N$400,"●",Zuständigkeiten!$B$5:$B$400,"7O?")&gt;0,1-BUE_O_OK,0))</f>
        <v>0</v>
      </c>
      <c r="W12">
        <f>IF($U12="","",COUNTIFS(Zuständigkeiten!$N$5:$N$400,"●",Zuständigkeiten!$F$5:$F$400,"ja",Zuständigkeiten!$H$5:$H$400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IF($AA13="P",INDEX($V$7:$V$36,MATCH(4,$Z$7:$Z$36,0)),IF($AA13="G",COUNTIFS(Zuständigkeiten!$F$5:$F$400,"ja",Zuständigkeiten!$H$5:$H$400,"offen")+(1-BUE_V_OK)+(1-BUE_O_OK),""))</f>
        <v>0</v>
      </c>
      <c r="I13" s="12">
        <f>IF($AA13="P",INDEX($W$7:$W$36,MATCH(4,$Z$7:$Z$36,0)),IF($AA13="G",COUNTIFS(Zuständigkeiten!$F$5:$F$400,"ja",Zuständigkeiten!$H$5:$H$400,"erledigt")+BUE_V_OK+BUE_O_OK,""))</f>
        <v>0</v>
      </c>
      <c r="J13" s="12">
        <f>IF($AA13="P",INDEX($X$7:$X$36,MATCH(4,$Z$7:$Z$36,0)),IF($AA13="G",COUNTIF(Zuständigkeiten!$F$5:$F$400,"ja")+2,""))</f>
        <v>0</v>
      </c>
      <c r="U13">
        <f>IF(Konfiguration!$B$34="","",Konfiguration!$B$34)</f>
        <v>0</v>
      </c>
      <c r="V13">
        <f>IF($U13="","",COUNTIFS(Zuständigkeiten!$O$5:$O$400,"●",Zuständigkeiten!$F$5:$F$400,"ja",Zuständigkeiten!$H$5:$H$400,"offen")+IF(COUNTIFS(Zuständigkeiten!$O$5:$O$400,"●",Zuständigkeiten!$B$5:$B$400,"7V?")&gt;0,1-BUE_V_OK,0)+IF(COUNTIFS(Zuständigkeiten!$O$5:$O$400,"●",Zuständigkeiten!$B$5:$B$400,"7O?")&gt;0,1-BUE_O_OK,0))</f>
        <v>0</v>
      </c>
      <c r="W13">
        <f>IF($U13="","",COUNTIFS(Zuständigkeiten!$O$5:$O$400,"●",Zuständigkeiten!$F$5:$F$400,"ja",Zuständigkeiten!$H$5:$H$400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1326</v>
      </c>
      <c r="G14" s="11">
        <f>IF($AA14="P",INDEX($U$7:$U$36,MATCH(5,$Z$7:$Z$36,0)),IF($AA14="G","Gesamt (Werte)",""))</f>
        <v>0</v>
      </c>
      <c r="H14" s="12">
        <f>IF($AA14="P",INDEX($V$7:$V$36,MATCH(5,$Z$7:$Z$36,0)),IF($AA14="G",COUNTIFS(Zuständigkeiten!$F$5:$F$400,"ja",Zuständigkeiten!$H$5:$H$400,"offen")+(1-BUE_V_OK)+(1-BUE_O_OK),""))</f>
        <v>0</v>
      </c>
      <c r="I14" s="12">
        <f>IF($AA14="P",INDEX($W$7:$W$36,MATCH(5,$Z$7:$Z$36,0)),IF($AA14="G",COUNTIFS(Zuständigkeiten!$F$5:$F$400,"ja",Zuständigkeiten!$H$5:$H$400,"erledigt")+BUE_V_OK+BUE_O_OK,""))</f>
        <v>0</v>
      </c>
      <c r="J14" s="12">
        <f>IF($AA14="P",INDEX($X$7:$X$36,MATCH(5,$Z$7:$Z$36,0)),IF($AA14="G",COUNTIF(Zuständigkeiten!$F$5:$F$400,"ja")+2,""))</f>
        <v>0</v>
      </c>
      <c r="U14">
        <f>IF(Konfiguration!$B$35="","",Konfiguration!$B$35)</f>
        <v>0</v>
      </c>
      <c r="V14">
        <f>IF($U14="","",COUNTIFS(Zuständigkeiten!$P$5:$P$400,"●",Zuständigkeiten!$F$5:$F$400,"ja",Zuständigkeiten!$H$5:$H$400,"offen")+IF(COUNTIFS(Zuständigkeiten!$P$5:$P$400,"●",Zuständigkeiten!$B$5:$B$400,"7V?")&gt;0,1-BUE_V_OK,0)+IF(COUNTIFS(Zuständigkeiten!$P$5:$P$400,"●",Zuständigkeiten!$B$5:$B$400,"7O?")&gt;0,1-BUE_O_OK,0))</f>
        <v>0</v>
      </c>
      <c r="W14">
        <f>IF($U14="","",COUNTIFS(Zuständigkeiten!$P$5:$P$400,"●",Zuständigkeiten!$F$5:$F$400,"ja",Zuständigkeiten!$H$5:$H$400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IF($AA15="P",INDEX($V$7:$V$36,MATCH(6,$Z$7:$Z$36,0)),IF($AA15="G",COUNTIFS(Zuständigkeiten!$F$5:$F$400,"ja",Zuständigkeiten!$H$5:$H$400,"offen")+(1-BUE_V_OK)+(1-BUE_O_OK),""))</f>
        <v>0</v>
      </c>
      <c r="I15" s="12">
        <f>IF($AA15="P",INDEX($W$7:$W$36,MATCH(6,$Z$7:$Z$36,0)),IF($AA15="G",COUNTIFS(Zuständigkeiten!$F$5:$F$400,"ja",Zuständigkeiten!$H$5:$H$400,"erledigt")+BUE_V_OK+BUE_O_OK,""))</f>
        <v>0</v>
      </c>
      <c r="J15" s="12">
        <f>IF($AA15="P",INDEX($X$7:$X$36,MATCH(6,$Z$7:$Z$36,0)),IF($AA15="G",COUNTIF(Zuständigkeiten!$F$5:$F$400,"ja")+2,""))</f>
        <v>0</v>
      </c>
      <c r="U15">
        <f>IF(Konfiguration!$B$36="","",Konfiguration!$B$36)</f>
        <v>0</v>
      </c>
      <c r="V15">
        <f>IF($U15="","",COUNTIFS(Zuständigkeiten!$Q$5:$Q$400,"●",Zuständigkeiten!$F$5:$F$400,"ja",Zuständigkeiten!$H$5:$H$400,"offen")+IF(COUNTIFS(Zuständigkeiten!$Q$5:$Q$400,"●",Zuständigkeiten!$B$5:$B$400,"7V?")&gt;0,1-BUE_V_OK,0)+IF(COUNTIFS(Zuständigkeiten!$Q$5:$Q$400,"●",Zuständigkeiten!$B$5:$B$400,"7O?")&gt;0,1-BUE_O_OK,0))</f>
        <v>0</v>
      </c>
      <c r="W15">
        <f>IF($U15="","",COUNTIFS(Zuständigkeiten!$Q$5:$Q$400,"●",Zuständigkeiten!$F$5:$F$400,"ja",Zuständigkeiten!$H$5:$H$400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IF($AA16="P",INDEX($V$7:$V$36,MATCH(7,$Z$7:$Z$36,0)),IF($AA16="G",COUNTIFS(Zuständigkeiten!$F$5:$F$400,"ja",Zuständigkeiten!$H$5:$H$400,"offen")+(1-BUE_V_OK)+(1-BUE_O_OK),""))</f>
        <v>0</v>
      </c>
      <c r="I16" s="12">
        <f>IF($AA16="P",INDEX($W$7:$W$36,MATCH(7,$Z$7:$Z$36,0)),IF($AA16="G",COUNTIFS(Zuständigkeiten!$F$5:$F$400,"ja",Zuständigkeiten!$H$5:$H$400,"erledigt")+BUE_V_OK+BUE_O_OK,""))</f>
        <v>0</v>
      </c>
      <c r="J16" s="12">
        <f>IF($AA16="P",INDEX($X$7:$X$36,MATCH(7,$Z$7:$Z$36,0)),IF($AA16="G",COUNTIF(Zuständigkeiten!$F$5:$F$400,"ja")+2,""))</f>
        <v>0</v>
      </c>
      <c r="U16">
        <f>IF(Konfiguration!$B$37="","",Konfiguration!$B$37)</f>
        <v>0</v>
      </c>
      <c r="V16">
        <f>IF($U16="","",COUNTIFS(Zuständigkeiten!$R$5:$R$400,"●",Zuständigkeiten!$F$5:$F$400,"ja",Zuständigkeiten!$H$5:$H$400,"offen")+IF(COUNTIFS(Zuständigkeiten!$R$5:$R$400,"●",Zuständigkeiten!$B$5:$B$400,"7V?")&gt;0,1-BUE_V_OK,0)+IF(COUNTIFS(Zuständigkeiten!$R$5:$R$400,"●",Zuständigkeiten!$B$5:$B$400,"7O?")&gt;0,1-BUE_O_OK,0))</f>
        <v>0</v>
      </c>
      <c r="W16">
        <f>IF($U16="","",COUNTIFS(Zuständigkeiten!$R$5:$R$400,"●",Zuständigkeiten!$F$5:$F$400,"ja",Zuständigkeiten!$H$5:$H$400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IF($AA17="P",INDEX($V$7:$V$36,MATCH(8,$Z$7:$Z$36,0)),IF($AA17="G",COUNTIFS(Zuständigkeiten!$F$5:$F$400,"ja",Zuständigkeiten!$H$5:$H$400,"offen")+(1-BUE_V_OK)+(1-BUE_O_OK),""))</f>
        <v>0</v>
      </c>
      <c r="I17" s="12">
        <f>IF($AA17="P",INDEX($W$7:$W$36,MATCH(8,$Z$7:$Z$36,0)),IF($AA17="G",COUNTIFS(Zuständigkeiten!$F$5:$F$400,"ja",Zuständigkeiten!$H$5:$H$400,"erledigt")+BUE_V_OK+BUE_O_OK,""))</f>
        <v>0</v>
      </c>
      <c r="J17" s="12">
        <f>IF($AA17="P",INDEX($X$7:$X$36,MATCH(8,$Z$7:$Z$36,0)),IF($AA17="G",COUNTIF(Zuständigkeiten!$F$5:$F$400,"ja")+2,""))</f>
        <v>0</v>
      </c>
      <c r="U17">
        <f>IF(Konfiguration!$B$38="","",Konfiguration!$B$38)</f>
        <v>0</v>
      </c>
      <c r="V17">
        <f>IF($U17="","",COUNTIFS(Zuständigkeiten!$S$5:$S$400,"●",Zuständigkeiten!$F$5:$F$400,"ja",Zuständigkeiten!$H$5:$H$400,"offen")+IF(COUNTIFS(Zuständigkeiten!$S$5:$S$400,"●",Zuständigkeiten!$B$5:$B$400,"7V?")&gt;0,1-BUE_V_OK,0)+IF(COUNTIFS(Zuständigkeiten!$S$5:$S$400,"●",Zuständigkeiten!$B$5:$B$400,"7O?")&gt;0,1-BUE_O_OK,0))</f>
        <v>0</v>
      </c>
      <c r="W17">
        <f>IF($U17="","",COUNTIFS(Zuständigkeiten!$S$5:$S$400,"●",Zuständigkeiten!$F$5:$F$400,"ja",Zuständigkeiten!$H$5:$H$400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IF($AA18="P",INDEX($V$7:$V$36,MATCH(9,$Z$7:$Z$36,0)),IF($AA18="G",COUNTIFS(Zuständigkeiten!$F$5:$F$400,"ja",Zuständigkeiten!$H$5:$H$400,"offen")+(1-BUE_V_OK)+(1-BUE_O_OK),""))</f>
        <v>0</v>
      </c>
      <c r="I18" s="12">
        <f>IF($AA18="P",INDEX($W$7:$W$36,MATCH(9,$Z$7:$Z$36,0)),IF($AA18="G",COUNTIFS(Zuständigkeiten!$F$5:$F$400,"ja",Zuständigkeiten!$H$5:$H$400,"erledigt")+BUE_V_OK+BUE_O_OK,""))</f>
        <v>0</v>
      </c>
      <c r="J18" s="12">
        <f>IF($AA18="P",INDEX($X$7:$X$36,MATCH(9,$Z$7:$Z$36,0)),IF($AA18="G",COUNTIF(Zuständigkeiten!$F$5:$F$400,"ja")+2,""))</f>
        <v>0</v>
      </c>
      <c r="U18">
        <f>IF(Konfiguration!$B$39="","",Konfiguration!$B$39)</f>
        <v>0</v>
      </c>
      <c r="V18">
        <f>IF($U18="","",COUNTIFS(Zuständigkeiten!$T$5:$T$400,"●",Zuständigkeiten!$F$5:$F$400,"ja",Zuständigkeiten!$H$5:$H$400,"offen")+IF(COUNTIFS(Zuständigkeiten!$T$5:$T$400,"●",Zuständigkeiten!$B$5:$B$400,"7V?")&gt;0,1-BUE_V_OK,0)+IF(COUNTIFS(Zuständigkeiten!$T$5:$T$400,"●",Zuständigkeiten!$B$5:$B$400,"7O?")&gt;0,1-BUE_O_OK,0))</f>
        <v>0</v>
      </c>
      <c r="W18">
        <f>IF($U18="","",COUNTIFS(Zuständigkeiten!$T$5:$T$400,"●",Zuständigkeiten!$F$5:$F$400,"ja",Zuständigkeiten!$H$5:$H$400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IF($AA19="P",INDEX($V$7:$V$36,MATCH(10,$Z$7:$Z$36,0)),IF($AA19="G",COUNTIFS(Zuständigkeiten!$F$5:$F$400,"ja",Zuständigkeiten!$H$5:$H$400,"offen")+(1-BUE_V_OK)+(1-BUE_O_OK),""))</f>
        <v>0</v>
      </c>
      <c r="I19" s="12">
        <f>IF($AA19="P",INDEX($W$7:$W$36,MATCH(10,$Z$7:$Z$36,0)),IF($AA19="G",COUNTIFS(Zuständigkeiten!$F$5:$F$400,"ja",Zuständigkeiten!$H$5:$H$400,"erledigt")+BUE_V_OK+BUE_O_OK,""))</f>
        <v>0</v>
      </c>
      <c r="J19" s="12">
        <f>IF($AA19="P",INDEX($X$7:$X$36,MATCH(10,$Z$7:$Z$36,0)),IF($AA19="G",COUNTIF(Zuständigkeiten!$F$5:$F$400,"ja")+2,""))</f>
        <v>0</v>
      </c>
      <c r="U19">
        <f>IF(Konfiguration!$B$40="","",Konfiguration!$B$40)</f>
        <v>0</v>
      </c>
      <c r="V19">
        <f>IF($U19="","",COUNTIFS(Zuständigkeiten!$U$5:$U$400,"●",Zuständigkeiten!$F$5:$F$400,"ja",Zuständigkeiten!$H$5:$H$400,"offen")+IF(COUNTIFS(Zuständigkeiten!$U$5:$U$400,"●",Zuständigkeiten!$B$5:$B$400,"7V?")&gt;0,1-BUE_V_OK,0)+IF(COUNTIFS(Zuständigkeiten!$U$5:$U$400,"●",Zuständigkeiten!$B$5:$B$400,"7O?")&gt;0,1-BUE_O_OK,0))</f>
        <v>0</v>
      </c>
      <c r="W19">
        <f>IF($U19="","",COUNTIFS(Zuständigkeiten!$U$5:$U$400,"●",Zuständigkeiten!$F$5:$F$400,"ja",Zuständigkeiten!$H$5:$H$400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IF($AA20="P",INDEX($V$7:$V$36,MATCH(11,$Z$7:$Z$36,0)),IF($AA20="G",COUNTIFS(Zuständigkeiten!$F$5:$F$400,"ja",Zuständigkeiten!$H$5:$H$400,"offen")+(1-BUE_V_OK)+(1-BUE_O_OK),""))</f>
        <v>0</v>
      </c>
      <c r="I20" s="12">
        <f>IF($AA20="P",INDEX($W$7:$W$36,MATCH(11,$Z$7:$Z$36,0)),IF($AA20="G",COUNTIFS(Zuständigkeiten!$F$5:$F$400,"ja",Zuständigkeiten!$H$5:$H$400,"erledigt")+BUE_V_OK+BUE_O_OK,""))</f>
        <v>0</v>
      </c>
      <c r="J20" s="12">
        <f>IF($AA20="P",INDEX($X$7:$X$36,MATCH(11,$Z$7:$Z$36,0)),IF($AA20="G",COUNTIF(Zuständigkeiten!$F$5:$F$400,"ja")+2,""))</f>
        <v>0</v>
      </c>
      <c r="U20">
        <f>IF(Konfiguration!$B$41="","",Konfiguration!$B$41)</f>
        <v>0</v>
      </c>
      <c r="V20">
        <f>IF($U20="","",COUNTIFS(Zuständigkeiten!$V$5:$V$400,"●",Zuständigkeiten!$F$5:$F$400,"ja",Zuständigkeiten!$H$5:$H$400,"offen")+IF(COUNTIFS(Zuständigkeiten!$V$5:$V$400,"●",Zuständigkeiten!$B$5:$B$400,"7V?")&gt;0,1-BUE_V_OK,0)+IF(COUNTIFS(Zuständigkeiten!$V$5:$V$400,"●",Zuständigkeiten!$B$5:$B$400,"7O?")&gt;0,1-BUE_O_OK,0))</f>
        <v>0</v>
      </c>
      <c r="W20">
        <f>IF($U20="","",COUNTIFS(Zuständigkeiten!$V$5:$V$400,"●",Zuständigkeiten!$F$5:$F$400,"ja",Zuständigkeiten!$H$5:$H$400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IF($AA21="P",INDEX($V$7:$V$36,MATCH(12,$Z$7:$Z$36,0)),IF($AA21="G",COUNTIFS(Zuständigkeiten!$F$5:$F$400,"ja",Zuständigkeiten!$H$5:$H$400,"offen")+(1-BUE_V_OK)+(1-BUE_O_OK),""))</f>
        <v>0</v>
      </c>
      <c r="I21" s="12">
        <f>IF($AA21="P",INDEX($W$7:$W$36,MATCH(12,$Z$7:$Z$36,0)),IF($AA21="G",COUNTIFS(Zuständigkeiten!$F$5:$F$400,"ja",Zuständigkeiten!$H$5:$H$400,"erledigt")+BUE_V_OK+BUE_O_OK,""))</f>
        <v>0</v>
      </c>
      <c r="J21" s="12">
        <f>IF($AA21="P",INDEX($X$7:$X$36,MATCH(12,$Z$7:$Z$36,0)),IF($AA21="G",COUNTIF(Zuständigkeiten!$F$5:$F$400,"ja")+2,""))</f>
        <v>0</v>
      </c>
      <c r="U21">
        <f>IF(Konfiguration!$B$42="","",Konfiguration!$B$42)</f>
        <v>0</v>
      </c>
      <c r="V21">
        <f>IF($U21="","",COUNTIFS(Zuständigkeiten!$W$5:$W$400,"●",Zuständigkeiten!$F$5:$F$400,"ja",Zuständigkeiten!$H$5:$H$400,"offen")+IF(COUNTIFS(Zuständigkeiten!$W$5:$W$400,"●",Zuständigkeiten!$B$5:$B$400,"7V?")&gt;0,1-BUE_V_OK,0)+IF(COUNTIFS(Zuständigkeiten!$W$5:$W$400,"●",Zuständigkeiten!$B$5:$B$400,"7O?")&gt;0,1-BUE_O_OK,0))</f>
        <v>0</v>
      </c>
      <c r="W21">
        <f>IF($U21="","",COUNTIFS(Zuständigkeiten!$W$5:$W$400,"●",Zuständigkeiten!$F$5:$F$400,"ja",Zuständigkeiten!$H$5:$H$400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IF($AA22="P",INDEX($V$7:$V$36,MATCH(13,$Z$7:$Z$36,0)),IF($AA22="G",COUNTIFS(Zuständigkeiten!$F$5:$F$400,"ja",Zuständigkeiten!$H$5:$H$400,"offen")+(1-BUE_V_OK)+(1-BUE_O_OK),""))</f>
        <v>0</v>
      </c>
      <c r="I22" s="12">
        <f>IF($AA22="P",INDEX($W$7:$W$36,MATCH(13,$Z$7:$Z$36,0)),IF($AA22="G",COUNTIFS(Zuständigkeiten!$F$5:$F$400,"ja",Zuständigkeiten!$H$5:$H$400,"erledigt")+BUE_V_OK+BUE_O_OK,""))</f>
        <v>0</v>
      </c>
      <c r="J22" s="12">
        <f>IF($AA22="P",INDEX($X$7:$X$36,MATCH(13,$Z$7:$Z$36,0)),IF($AA22="G",COUNTIF(Zuständigkeiten!$F$5:$F$400,"ja")+2,""))</f>
        <v>0</v>
      </c>
      <c r="U22">
        <f>IF(Konfiguration!$B$43="","",Konfiguration!$B$43)</f>
        <v>0</v>
      </c>
      <c r="V22">
        <f>IF($U22="","",COUNTIFS(Zuständigkeiten!$X$5:$X$400,"●",Zuständigkeiten!$F$5:$F$400,"ja",Zuständigkeiten!$H$5:$H$400,"offen")+IF(COUNTIFS(Zuständigkeiten!$X$5:$X$400,"●",Zuständigkeiten!$B$5:$B$400,"7V?")&gt;0,1-BUE_V_OK,0)+IF(COUNTIFS(Zuständigkeiten!$X$5:$X$400,"●",Zuständigkeiten!$B$5:$B$400,"7O?")&gt;0,1-BUE_O_OK,0))</f>
        <v>0</v>
      </c>
      <c r="W22">
        <f>IF($U22="","",COUNTIFS(Zuständigkeiten!$X$5:$X$400,"●",Zuständigkeiten!$F$5:$F$400,"ja",Zuständigkeiten!$H$5:$H$400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IF($AA23="P",INDEX($V$7:$V$36,MATCH(14,$Z$7:$Z$36,0)),IF($AA23="G",COUNTIFS(Zuständigkeiten!$F$5:$F$400,"ja",Zuständigkeiten!$H$5:$H$400,"offen")+(1-BUE_V_OK)+(1-BUE_O_OK),""))</f>
        <v>0</v>
      </c>
      <c r="I23" s="12">
        <f>IF($AA23="P",INDEX($W$7:$W$36,MATCH(14,$Z$7:$Z$36,0)),IF($AA23="G",COUNTIFS(Zuständigkeiten!$F$5:$F$400,"ja",Zuständigkeiten!$H$5:$H$400,"erledigt")+BUE_V_OK+BUE_O_OK,""))</f>
        <v>0</v>
      </c>
      <c r="J23" s="12">
        <f>IF($AA23="P",INDEX($X$7:$X$36,MATCH(14,$Z$7:$Z$36,0)),IF($AA23="G",COUNTIF(Zuständigkeiten!$F$5:$F$400,"ja")+2,""))</f>
        <v>0</v>
      </c>
      <c r="U23">
        <f>IF(Konfiguration!$B$44="","",Konfiguration!$B$44)</f>
        <v>0</v>
      </c>
      <c r="V23">
        <f>IF($U23="","",COUNTIFS(Zuständigkeiten!$Y$5:$Y$400,"●",Zuständigkeiten!$F$5:$F$400,"ja",Zuständigkeiten!$H$5:$H$400,"offen")+IF(COUNTIFS(Zuständigkeiten!$Y$5:$Y$400,"●",Zuständigkeiten!$B$5:$B$400,"7V?")&gt;0,1-BUE_V_OK,0)+IF(COUNTIFS(Zuständigkeiten!$Y$5:$Y$400,"●",Zuständigkeiten!$B$5:$B$400,"7O?")&gt;0,1-BUE_O_OK,0))</f>
        <v>0</v>
      </c>
      <c r="W23">
        <f>IF($U23="","",COUNTIFS(Zuständigkeiten!$Y$5:$Y$400,"●",Zuständigkeiten!$F$5:$F$400,"ja",Zuständigkeiten!$H$5:$H$400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IF($AA24="P",INDEX($V$7:$V$36,MATCH(15,$Z$7:$Z$36,0)),IF($AA24="G",COUNTIFS(Zuständigkeiten!$F$5:$F$400,"ja",Zuständigkeiten!$H$5:$H$400,"offen")+(1-BUE_V_OK)+(1-BUE_O_OK),""))</f>
        <v>0</v>
      </c>
      <c r="I24" s="12">
        <f>IF($AA24="P",INDEX($W$7:$W$36,MATCH(15,$Z$7:$Z$36,0)),IF($AA24="G",COUNTIFS(Zuständigkeiten!$F$5:$F$400,"ja",Zuständigkeiten!$H$5:$H$400,"erledigt")+BUE_V_OK+BUE_O_OK,""))</f>
        <v>0</v>
      </c>
      <c r="J24" s="12">
        <f>IF($AA24="P",INDEX($X$7:$X$36,MATCH(15,$Z$7:$Z$36,0)),IF($AA24="G",COUNTIF(Zuständigkeiten!$F$5:$F$400,"ja")+2,""))</f>
        <v>0</v>
      </c>
      <c r="U24">
        <f>IF(Konfiguration!$B$45="","",Konfiguration!$B$45)</f>
        <v>0</v>
      </c>
      <c r="V24">
        <f>IF($U24="","",COUNTIFS(Zuständigkeiten!$Z$5:$Z$400,"●",Zuständigkeiten!$F$5:$F$400,"ja",Zuständigkeiten!$H$5:$H$400,"offen")+IF(COUNTIFS(Zuständigkeiten!$Z$5:$Z$400,"●",Zuständigkeiten!$B$5:$B$400,"7V?")&gt;0,1-BUE_V_OK,0)+IF(COUNTIFS(Zuständigkeiten!$Z$5:$Z$400,"●",Zuständigkeiten!$B$5:$B$400,"7O?")&gt;0,1-BUE_O_OK,0))</f>
        <v>0</v>
      </c>
      <c r="W24">
        <f>IF($U24="","",COUNTIFS(Zuständigkeiten!$Z$5:$Z$400,"●",Zuständigkeiten!$F$5:$F$400,"ja",Zuständigkeiten!$H$5:$H$400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IF($AA25="P",INDEX($V$7:$V$36,MATCH(16,$Z$7:$Z$36,0)),IF($AA25="G",COUNTIFS(Zuständigkeiten!$F$5:$F$400,"ja",Zuständigkeiten!$H$5:$H$400,"offen")+(1-BUE_V_OK)+(1-BUE_O_OK),""))</f>
        <v>0</v>
      </c>
      <c r="I25" s="12">
        <f>IF($AA25="P",INDEX($W$7:$W$36,MATCH(16,$Z$7:$Z$36,0)),IF($AA25="G",COUNTIFS(Zuständigkeiten!$F$5:$F$400,"ja",Zuständigkeiten!$H$5:$H$400,"erledigt")+BUE_V_OK+BUE_O_OK,""))</f>
        <v>0</v>
      </c>
      <c r="J25" s="12">
        <f>IF($AA25="P",INDEX($X$7:$X$36,MATCH(16,$Z$7:$Z$36,0)),IF($AA25="G",COUNTIF(Zuständigkeiten!$F$5:$F$400,"ja")+2,""))</f>
        <v>0</v>
      </c>
      <c r="U25">
        <f>IF(Konfiguration!$B$46="","",Konfiguration!$B$46)</f>
        <v>0</v>
      </c>
      <c r="V25">
        <f>IF($U25="","",COUNTIFS(Zuständigkeiten!$AA$5:$AA$400,"●",Zuständigkeiten!$F$5:$F$400,"ja",Zuständigkeiten!$H$5:$H$400,"offen")+IF(COUNTIFS(Zuständigkeiten!$AA$5:$AA$400,"●",Zuständigkeiten!$B$5:$B$400,"7V?")&gt;0,1-BUE_V_OK,0)+IF(COUNTIFS(Zuständigkeiten!$AA$5:$AA$400,"●",Zuständigkeiten!$B$5:$B$400,"7O?")&gt;0,1-BUE_O_OK,0))</f>
        <v>0</v>
      </c>
      <c r="W25">
        <f>IF($U25="","",COUNTIFS(Zuständigkeiten!$AA$5:$AA$400,"●",Zuständigkeiten!$F$5:$F$400,"ja",Zuständigkeiten!$H$5:$H$400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IF($AA26="P",INDEX($V$7:$V$36,MATCH(17,$Z$7:$Z$36,0)),IF($AA26="G",COUNTIFS(Zuständigkeiten!$F$5:$F$400,"ja",Zuständigkeiten!$H$5:$H$400,"offen")+(1-BUE_V_OK)+(1-BUE_O_OK),""))</f>
        <v>0</v>
      </c>
      <c r="I26" s="12">
        <f>IF($AA26="P",INDEX($W$7:$W$36,MATCH(17,$Z$7:$Z$36,0)),IF($AA26="G",COUNTIFS(Zuständigkeiten!$F$5:$F$400,"ja",Zuständigkeiten!$H$5:$H$400,"erledigt")+BUE_V_OK+BUE_O_OK,""))</f>
        <v>0</v>
      </c>
      <c r="J26" s="12">
        <f>IF($AA26="P",INDEX($X$7:$X$36,MATCH(17,$Z$7:$Z$36,0)),IF($AA26="G",COUNTIF(Zuständigkeiten!$F$5:$F$400,"ja")+2,""))</f>
        <v>0</v>
      </c>
      <c r="U26">
        <f>IF(Konfiguration!$B$47="","",Konfiguration!$B$47)</f>
        <v>0</v>
      </c>
      <c r="V26">
        <f>IF($U26="","",COUNTIFS(Zuständigkeiten!$AB$5:$AB$400,"●",Zuständigkeiten!$F$5:$F$400,"ja",Zuständigkeiten!$H$5:$H$400,"offen")+IF(COUNTIFS(Zuständigkeiten!$AB$5:$AB$400,"●",Zuständigkeiten!$B$5:$B$400,"7V?")&gt;0,1-BUE_V_OK,0)+IF(COUNTIFS(Zuständigkeiten!$AB$5:$AB$400,"●",Zuständigkeiten!$B$5:$B$400,"7O?")&gt;0,1-BUE_O_OK,0))</f>
        <v>0</v>
      </c>
      <c r="W26">
        <f>IF($U26="","",COUNTIFS(Zuständigkeiten!$AB$5:$AB$400,"●",Zuständigkeiten!$F$5:$F$400,"ja",Zuständigkeiten!$H$5:$H$400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IF($AA27="P",INDEX($V$7:$V$36,MATCH(18,$Z$7:$Z$36,0)),IF($AA27="G",COUNTIFS(Zuständigkeiten!$F$5:$F$400,"ja",Zuständigkeiten!$H$5:$H$400,"offen")+(1-BUE_V_OK)+(1-BUE_O_OK),""))</f>
        <v>0</v>
      </c>
      <c r="I27" s="12">
        <f>IF($AA27="P",INDEX($W$7:$W$36,MATCH(18,$Z$7:$Z$36,0)),IF($AA27="G",COUNTIFS(Zuständigkeiten!$F$5:$F$400,"ja",Zuständigkeiten!$H$5:$H$400,"erledigt")+BUE_V_OK+BUE_O_OK,""))</f>
        <v>0</v>
      </c>
      <c r="J27" s="12">
        <f>IF($AA27="P",INDEX($X$7:$X$36,MATCH(18,$Z$7:$Z$36,0)),IF($AA27="G",COUNTIF(Zuständigkeiten!$F$5:$F$400,"ja")+2,""))</f>
        <v>0</v>
      </c>
      <c r="U27">
        <f>IF(Konfiguration!$B$48="","",Konfiguration!$B$48)</f>
        <v>0</v>
      </c>
      <c r="V27">
        <f>IF($U27="","",COUNTIFS(Zuständigkeiten!$AC$5:$AC$400,"●",Zuständigkeiten!$F$5:$F$400,"ja",Zuständigkeiten!$H$5:$H$400,"offen")+IF(COUNTIFS(Zuständigkeiten!$AC$5:$AC$400,"●",Zuständigkeiten!$B$5:$B$400,"7V?")&gt;0,1-BUE_V_OK,0)+IF(COUNTIFS(Zuständigkeiten!$AC$5:$AC$400,"●",Zuständigkeiten!$B$5:$B$400,"7O?")&gt;0,1-BUE_O_OK,0))</f>
        <v>0</v>
      </c>
      <c r="W27">
        <f>IF($U27="","",COUNTIFS(Zuständigkeiten!$AC$5:$AC$400,"●",Zuständigkeiten!$F$5:$F$400,"ja",Zuständigkeiten!$H$5:$H$400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1327</v>
      </c>
      <c r="G28" s="11">
        <f>IF($AA28="P",INDEX($U$7:$U$36,MATCH(19,$Z$7:$Z$36,0)),IF($AA28="G","Gesamt (Werte)",""))</f>
        <v>0</v>
      </c>
      <c r="H28" s="12">
        <f>IF($AA28="P",INDEX($V$7:$V$36,MATCH(19,$Z$7:$Z$36,0)),IF($AA28="G",COUNTIFS(Zuständigkeiten!$F$5:$F$400,"ja",Zuständigkeiten!$H$5:$H$400,"offen")+(1-BUE_V_OK)+(1-BUE_O_OK),""))</f>
        <v>0</v>
      </c>
      <c r="I28" s="12">
        <f>IF($AA28="P",INDEX($W$7:$W$36,MATCH(19,$Z$7:$Z$36,0)),IF($AA28="G",COUNTIFS(Zuständigkeiten!$F$5:$F$400,"ja",Zuständigkeiten!$H$5:$H$400,"erledigt")+BUE_V_OK+BUE_O_OK,""))</f>
        <v>0</v>
      </c>
      <c r="J28" s="12">
        <f>IF($AA28="P",INDEX($X$7:$X$36,MATCH(19,$Z$7:$Z$36,0)),IF($AA28="G",COUNTIF(Zuständigkeiten!$F$5:$F$400,"ja")+2,""))</f>
        <v>0</v>
      </c>
      <c r="U28">
        <f>IF(Konfiguration!$B$49="","",Konfiguration!$B$49)</f>
        <v>0</v>
      </c>
      <c r="V28">
        <f>IF($U28="","",COUNTIFS(Zuständigkeiten!$AD$5:$AD$400,"●",Zuständigkeiten!$F$5:$F$400,"ja",Zuständigkeiten!$H$5:$H$400,"offen")+IF(COUNTIFS(Zuständigkeiten!$AD$5:$AD$400,"●",Zuständigkeiten!$B$5:$B$400,"7V?")&gt;0,1-BUE_V_OK,0)+IF(COUNTIFS(Zuständigkeiten!$AD$5:$AD$400,"●",Zuständigkeiten!$B$5:$B$400,"7O?")&gt;0,1-BUE_O_OK,0))</f>
        <v>0</v>
      </c>
      <c r="W28">
        <f>IF($U28="","",COUNTIFS(Zuständigkeiten!$AD$5:$AD$400,"●",Zuständigkeiten!$F$5:$F$400,"ja",Zuständigkeiten!$H$5:$H$400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1328</v>
      </c>
      <c r="G29" s="11">
        <f>IF($AA29="P",INDEX($U$7:$U$36,MATCH(20,$Z$7:$Z$36,0)),IF($AA29="G","Gesamt (Werte)",""))</f>
        <v>0</v>
      </c>
      <c r="H29" s="12">
        <f>IF($AA29="P",INDEX($V$7:$V$36,MATCH(20,$Z$7:$Z$36,0)),IF($AA29="G",COUNTIFS(Zuständigkeiten!$F$5:$F$400,"ja",Zuständigkeiten!$H$5:$H$400,"offen")+(1-BUE_V_OK)+(1-BUE_O_OK),""))</f>
        <v>0</v>
      </c>
      <c r="I29" s="12">
        <f>IF($AA29="P",INDEX($W$7:$W$36,MATCH(20,$Z$7:$Z$36,0)),IF($AA29="G",COUNTIFS(Zuständigkeiten!$F$5:$F$400,"ja",Zuständigkeiten!$H$5:$H$400,"erledigt")+BUE_V_OK+BUE_O_OK,""))</f>
        <v>0</v>
      </c>
      <c r="J29" s="12">
        <f>IF($AA29="P",INDEX($X$7:$X$36,MATCH(20,$Z$7:$Z$36,0)),IF($AA29="G",COUNTIF(Zuständigkeiten!$F$5:$F$400,"ja")+2,""))</f>
        <v>0</v>
      </c>
      <c r="U29">
        <f>IF(Konfiguration!$B$50="","",Konfiguration!$B$50)</f>
        <v>0</v>
      </c>
      <c r="V29">
        <f>IF($U29="","",COUNTIFS(Zuständigkeiten!$AE$5:$AE$400,"●",Zuständigkeiten!$F$5:$F$400,"ja",Zuständigkeiten!$H$5:$H$400,"offen")+IF(COUNTIFS(Zuständigkeiten!$AE$5:$AE$400,"●",Zuständigkeiten!$B$5:$B$400,"7V?")&gt;0,1-BUE_V_OK,0)+IF(COUNTIFS(Zuständigkeiten!$AE$5:$AE$400,"●",Zuständigkeiten!$B$5:$B$400,"7O?")&gt;0,1-BUE_O_OK,0))</f>
        <v>0</v>
      </c>
      <c r="W29">
        <f>IF($U29="","",COUNTIFS(Zuständigkeiten!$AE$5:$AE$400,"●",Zuständigkeiten!$F$5:$F$400,"ja",Zuständigkeiten!$H$5:$H$400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1329</v>
      </c>
      <c r="G30" s="11">
        <f>IF($AA30="P",INDEX($U$7:$U$36,MATCH(21,$Z$7:$Z$36,0)),IF($AA30="G","Gesamt (Werte)",""))</f>
        <v>0</v>
      </c>
      <c r="H30" s="12">
        <f>IF($AA30="P",INDEX($V$7:$V$36,MATCH(21,$Z$7:$Z$36,0)),IF($AA30="G",COUNTIFS(Zuständigkeiten!$F$5:$F$400,"ja",Zuständigkeiten!$H$5:$H$400,"offen")+(1-BUE_V_OK)+(1-BUE_O_OK),""))</f>
        <v>0</v>
      </c>
      <c r="I30" s="12">
        <f>IF($AA30="P",INDEX($W$7:$W$36,MATCH(21,$Z$7:$Z$36,0)),IF($AA30="G",COUNTIFS(Zuständigkeiten!$F$5:$F$400,"ja",Zuständigkeiten!$H$5:$H$400,"erledigt")+BUE_V_OK+BUE_O_OK,""))</f>
        <v>0</v>
      </c>
      <c r="J30" s="12">
        <f>IF($AA30="P",INDEX($X$7:$X$36,MATCH(21,$Z$7:$Z$36,0)),IF($AA30="G",COUNTIF(Zuständigkeiten!$F$5:$F$400,"ja")+2,""))</f>
        <v>0</v>
      </c>
      <c r="U30">
        <f>IF(Konfiguration!$B$51="","",Konfiguration!$B$51)</f>
        <v>0</v>
      </c>
      <c r="V30">
        <f>IF($U30="","",COUNTIFS(Zuständigkeiten!$AF$5:$AF$400,"●",Zuständigkeiten!$F$5:$F$400,"ja",Zuständigkeiten!$H$5:$H$400,"offen")+IF(COUNTIFS(Zuständigkeiten!$AF$5:$AF$400,"●",Zuständigkeiten!$B$5:$B$400,"7V?")&gt;0,1-BUE_V_OK,0)+IF(COUNTIFS(Zuständigkeiten!$AF$5:$AF$400,"●",Zuständigkeiten!$B$5:$B$400,"7O?")&gt;0,1-BUE_O_OK,0))</f>
        <v>0</v>
      </c>
      <c r="W30">
        <f>IF($U30="","",COUNTIFS(Zuständigkeiten!$AF$5:$AF$400,"●",Zuständigkeiten!$F$5:$F$400,"ja",Zuständigkeiten!$H$5:$H$400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1330</v>
      </c>
      <c r="G31" s="11">
        <f>IF($AA31="P",INDEX($U$7:$U$36,MATCH(22,$Z$7:$Z$36,0)),IF($AA31="G","Gesamt (Werte)",""))</f>
        <v>0</v>
      </c>
      <c r="H31" s="12">
        <f>IF($AA31="P",INDEX($V$7:$V$36,MATCH(22,$Z$7:$Z$36,0)),IF($AA31="G",COUNTIFS(Zuständigkeiten!$F$5:$F$400,"ja",Zuständigkeiten!$H$5:$H$400,"offen")+(1-BUE_V_OK)+(1-BUE_O_OK),""))</f>
        <v>0</v>
      </c>
      <c r="I31" s="12">
        <f>IF($AA31="P",INDEX($W$7:$W$36,MATCH(22,$Z$7:$Z$36,0)),IF($AA31="G",COUNTIFS(Zuständigkeiten!$F$5:$F$400,"ja",Zuständigkeiten!$H$5:$H$400,"erledigt")+BUE_V_OK+BUE_O_OK,""))</f>
        <v>0</v>
      </c>
      <c r="J31" s="12">
        <f>IF($AA31="P",INDEX($X$7:$X$36,MATCH(22,$Z$7:$Z$36,0)),IF($AA31="G",COUNTIF(Zuständigkeiten!$F$5:$F$400,"ja")+2,""))</f>
        <v>0</v>
      </c>
      <c r="U31">
        <f>IF(Konfiguration!$B$52="","",Konfiguration!$B$52)</f>
        <v>0</v>
      </c>
      <c r="V31">
        <f>IF($U31="","",COUNTIFS(Zuständigkeiten!$AG$5:$AG$400,"●",Zuständigkeiten!$F$5:$F$400,"ja",Zuständigkeiten!$H$5:$H$400,"offen")+IF(COUNTIFS(Zuständigkeiten!$AG$5:$AG$400,"●",Zuständigkeiten!$B$5:$B$400,"7V?")&gt;0,1-BUE_V_OK,0)+IF(COUNTIFS(Zuständigkeiten!$AG$5:$AG$400,"●",Zuständigkeiten!$B$5:$B$400,"7O?")&gt;0,1-BUE_O_OK,0))</f>
        <v>0</v>
      </c>
      <c r="W31">
        <f>IF($U31="","",COUNTIFS(Zuständigkeiten!$AG$5:$AG$400,"●",Zuständigkeiten!$F$5:$F$400,"ja",Zuständigkeiten!$H$5:$H$400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1331</v>
      </c>
      <c r="G32" s="11">
        <f>IF($AA32="P",INDEX($U$7:$U$36,MATCH(23,$Z$7:$Z$36,0)),IF($AA32="G","Gesamt (Werte)",""))</f>
        <v>0</v>
      </c>
      <c r="H32" s="12">
        <f>IF($AA32="P",INDEX($V$7:$V$36,MATCH(23,$Z$7:$Z$36,0)),IF($AA32="G",COUNTIFS(Zuständigkeiten!$F$5:$F$400,"ja",Zuständigkeiten!$H$5:$H$400,"offen")+(1-BUE_V_OK)+(1-BUE_O_OK),""))</f>
        <v>0</v>
      </c>
      <c r="I32" s="12">
        <f>IF($AA32="P",INDEX($W$7:$W$36,MATCH(23,$Z$7:$Z$36,0)),IF($AA32="G",COUNTIFS(Zuständigkeiten!$F$5:$F$400,"ja",Zuständigkeiten!$H$5:$H$400,"erledigt")+BUE_V_OK+BUE_O_OK,""))</f>
        <v>0</v>
      </c>
      <c r="J32" s="12">
        <f>IF($AA32="P",INDEX($X$7:$X$36,MATCH(23,$Z$7:$Z$36,0)),IF($AA32="G",COUNTIF(Zuständigkeiten!$F$5:$F$400,"ja")+2,""))</f>
        <v>0</v>
      </c>
      <c r="U32">
        <f>IF(Konfiguration!$B$53="","",Konfiguration!$B$53)</f>
        <v>0</v>
      </c>
      <c r="V32">
        <f>IF($U32="","",COUNTIFS(Zuständigkeiten!$AH$5:$AH$400,"●",Zuständigkeiten!$F$5:$F$400,"ja",Zuständigkeiten!$H$5:$H$400,"offen")+IF(COUNTIFS(Zuständigkeiten!$AH$5:$AH$400,"●",Zuständigkeiten!$B$5:$B$400,"7V?")&gt;0,1-BUE_V_OK,0)+IF(COUNTIFS(Zuständigkeiten!$AH$5:$AH$400,"●",Zuständigkeiten!$B$5:$B$400,"7O?")&gt;0,1-BUE_O_OK,0))</f>
        <v>0</v>
      </c>
      <c r="W32">
        <f>IF($U32="","",COUNTIFS(Zuständigkeiten!$AH$5:$AH$400,"●",Zuständigkeiten!$F$5:$F$400,"ja",Zuständigkeiten!$H$5:$H$400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IF($AA33="P",INDEX($V$7:$V$36,MATCH(24,$Z$7:$Z$36,0)),IF($AA33="G",COUNTIFS(Zuständigkeiten!$F$5:$F$400,"ja",Zuständigkeiten!$H$5:$H$400,"offen")+(1-BUE_V_OK)+(1-BUE_O_OK),""))</f>
        <v>0</v>
      </c>
      <c r="I33" s="12">
        <f>IF($AA33="P",INDEX($W$7:$W$36,MATCH(24,$Z$7:$Z$36,0)),IF($AA33="G",COUNTIFS(Zuständigkeiten!$F$5:$F$400,"ja",Zuständigkeiten!$H$5:$H$400,"erledigt")+BUE_V_OK+BUE_O_OK,""))</f>
        <v>0</v>
      </c>
      <c r="J33" s="12">
        <f>IF($AA33="P",INDEX($X$7:$X$36,MATCH(24,$Z$7:$Z$36,0)),IF($AA33="G",COUNTIF(Zuständigkeiten!$F$5:$F$400,"ja")+2,""))</f>
        <v>0</v>
      </c>
      <c r="U33">
        <f>IF(Konfiguration!$B$54="","",Konfiguration!$B$54)</f>
        <v>0</v>
      </c>
      <c r="V33">
        <f>IF($U33="","",COUNTIFS(Zuständigkeiten!$AI$5:$AI$400,"●",Zuständigkeiten!$F$5:$F$400,"ja",Zuständigkeiten!$H$5:$H$400,"offen")+IF(COUNTIFS(Zuständigkeiten!$AI$5:$AI$400,"●",Zuständigkeiten!$B$5:$B$400,"7V?")&gt;0,1-BUE_V_OK,0)+IF(COUNTIFS(Zuständigkeiten!$AI$5:$AI$400,"●",Zuständigkeiten!$B$5:$B$400,"7O?")&gt;0,1-BUE_O_OK,0))</f>
        <v>0</v>
      </c>
      <c r="W33">
        <f>IF($U33="","",COUNTIFS(Zuständigkeiten!$AI$5:$AI$400,"●",Zuständigkeiten!$F$5:$F$400,"ja",Zuständigkeiten!$H$5:$H$400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IF($AA34="P",INDEX($V$7:$V$36,MATCH(25,$Z$7:$Z$36,0)),IF($AA34="G",COUNTIFS(Zuständigkeiten!$F$5:$F$400,"ja",Zuständigkeiten!$H$5:$H$400,"offen")+(1-BUE_V_OK)+(1-BUE_O_OK),""))</f>
        <v>0</v>
      </c>
      <c r="I34" s="12">
        <f>IF($AA34="P",INDEX($W$7:$W$36,MATCH(25,$Z$7:$Z$36,0)),IF($AA34="G",COUNTIFS(Zuständigkeiten!$F$5:$F$400,"ja",Zuständigkeiten!$H$5:$H$400,"erledigt")+BUE_V_OK+BUE_O_OK,""))</f>
        <v>0</v>
      </c>
      <c r="J34" s="12">
        <f>IF($AA34="P",INDEX($X$7:$X$36,MATCH(25,$Z$7:$Z$36,0)),IF($AA34="G",COUNTIF(Zuständigkeiten!$F$5:$F$400,"ja")+2,""))</f>
        <v>0</v>
      </c>
      <c r="U34">
        <f>IF(Konfiguration!$B$55="","",Konfiguration!$B$55)</f>
        <v>0</v>
      </c>
      <c r="V34">
        <f>IF($U34="","",COUNTIFS(Zuständigkeiten!$AJ$5:$AJ$400,"●",Zuständigkeiten!$F$5:$F$400,"ja",Zuständigkeiten!$H$5:$H$400,"offen")+IF(COUNTIFS(Zuständigkeiten!$AJ$5:$AJ$400,"●",Zuständigkeiten!$B$5:$B$400,"7V?")&gt;0,1-BUE_V_OK,0)+IF(COUNTIFS(Zuständigkeiten!$AJ$5:$AJ$400,"●",Zuständigkeiten!$B$5:$B$400,"7O?")&gt;0,1-BUE_O_OK,0))</f>
        <v>0</v>
      </c>
      <c r="W34">
        <f>IF($U34="","",COUNTIFS(Zuständigkeiten!$AJ$5:$AJ$400,"●",Zuständigkeiten!$F$5:$F$400,"ja",Zuständigkeiten!$H$5:$H$400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IF($AA35="P",INDEX($V$7:$V$36,MATCH(26,$Z$7:$Z$36,0)),IF($AA35="G",COUNTIFS(Zuständigkeiten!$F$5:$F$400,"ja",Zuständigkeiten!$H$5:$H$400,"offen")+(1-BUE_V_OK)+(1-BUE_O_OK),""))</f>
        <v>0</v>
      </c>
      <c r="I35" s="12">
        <f>IF($AA35="P",INDEX($W$7:$W$36,MATCH(26,$Z$7:$Z$36,0)),IF($AA35="G",COUNTIFS(Zuständigkeiten!$F$5:$F$400,"ja",Zuständigkeiten!$H$5:$H$400,"erledigt")+BUE_V_OK+BUE_O_OK,""))</f>
        <v>0</v>
      </c>
      <c r="J35" s="12">
        <f>IF($AA35="P",INDEX($X$7:$X$36,MATCH(26,$Z$7:$Z$36,0)),IF($AA35="G",COUNTIF(Zuständigkeiten!$F$5:$F$400,"ja")+2,""))</f>
        <v>0</v>
      </c>
      <c r="U35">
        <f>IF(Konfiguration!$B$56="","",Konfiguration!$B$56)</f>
        <v>0</v>
      </c>
      <c r="V35">
        <f>IF($U35="","",COUNTIFS(Zuständigkeiten!$AK$5:$AK$400,"●",Zuständigkeiten!$F$5:$F$400,"ja",Zuständigkeiten!$H$5:$H$400,"offen")+IF(COUNTIFS(Zuständigkeiten!$AK$5:$AK$400,"●",Zuständigkeiten!$B$5:$B$400,"7V?")&gt;0,1-BUE_V_OK,0)+IF(COUNTIFS(Zuständigkeiten!$AK$5:$AK$400,"●",Zuständigkeiten!$B$5:$B$400,"7O?")&gt;0,1-BUE_O_OK,0))</f>
        <v>0</v>
      </c>
      <c r="W35">
        <f>IF($U35="","",COUNTIFS(Zuständigkeiten!$AK$5:$AK$400,"●",Zuständigkeiten!$F$5:$F$400,"ja",Zuständigkeiten!$H$5:$H$400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IF($AA36="P",INDEX($V$7:$V$36,MATCH(27,$Z$7:$Z$36,0)),IF($AA36="G",COUNTIFS(Zuständigkeiten!$F$5:$F$400,"ja",Zuständigkeiten!$H$5:$H$400,"offen")+(1-BUE_V_OK)+(1-BUE_O_OK),""))</f>
        <v>0</v>
      </c>
      <c r="I36" s="12">
        <f>IF($AA36="P",INDEX($W$7:$W$36,MATCH(27,$Z$7:$Z$36,0)),IF($AA36="G",COUNTIFS(Zuständigkeiten!$F$5:$F$400,"ja",Zuständigkeiten!$H$5:$H$400,"erledigt")+BUE_V_OK+BUE_O_OK,""))</f>
        <v>0</v>
      </c>
      <c r="J36" s="12">
        <f>IF($AA36="P",INDEX($X$7:$X$36,MATCH(27,$Z$7:$Z$36,0)),IF($AA36="G",COUNTIF(Zuständigkeiten!$F$5:$F$400,"ja")+2,""))</f>
        <v>0</v>
      </c>
      <c r="U36">
        <f>IF(Konfiguration!$B$57="","",Konfiguration!$B$57)</f>
        <v>0</v>
      </c>
      <c r="V36">
        <f>IF($U36="","",COUNTIFS(Zuständigkeiten!$AL$5:$AL$400,"●",Zuständigkeiten!$F$5:$F$400,"ja",Zuständigkeiten!$H$5:$H$400,"offen")+IF(COUNTIFS(Zuständigkeiten!$AL$5:$AL$400,"●",Zuständigkeiten!$B$5:$B$400,"7V?")&gt;0,1-BUE_V_OK,0)+IF(COUNTIFS(Zuständigkeiten!$AL$5:$AL$400,"●",Zuständigkeiten!$B$5:$B$400,"7O?")&gt;0,1-BUE_O_OK,0))</f>
        <v>0</v>
      </c>
      <c r="W36">
        <f>IF($U36="","",COUNTIFS(Zuständigkeiten!$AL$5:$AL$400,"●",Zuständigkeiten!$F$5:$F$400,"ja",Zuständigkeiten!$H$5:$H$400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IF($AA37="P",INDEX($V$7:$V$36,MATCH(28,$Z$7:$Z$36,0)),IF($AA37="G",COUNTIFS(Zuständigkeiten!$F$5:$F$400,"ja",Zuständigkeiten!$H$5:$H$400,"offen")+(1-BUE_V_OK)+(1-BUE_O_OK),""))</f>
        <v>0</v>
      </c>
      <c r="I37" s="12">
        <f>IF($AA37="P",INDEX($W$7:$W$36,MATCH(28,$Z$7:$Z$36,0)),IF($AA37="G",COUNTIFS(Zuständigkeiten!$F$5:$F$400,"ja",Zuständigkeiten!$H$5:$H$400,"erledigt")+BUE_V_OK+BUE_O_OK,""))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IF($AA38="P",INDEX($V$7:$V$36,MATCH(29,$Z$7:$Z$36,0)),IF($AA38="G",COUNTIFS(Zuständigkeiten!$F$5:$F$400,"ja",Zuständigkeiten!$H$5:$H$400,"offen")+(1-BUE_V_OK)+(1-BUE_O_OK),""))</f>
        <v>0</v>
      </c>
      <c r="I38" s="12">
        <f>IF($AA38="P",INDEX($W$7:$W$36,MATCH(29,$Z$7:$Z$36,0)),IF($AA38="G",COUNTIFS(Zuständigkeiten!$F$5:$F$400,"ja",Zuständigkeiten!$H$5:$H$400,"erledigt")+BUE_V_OK+BUE_O_OK,""))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IF($AA39="P",INDEX($V$7:$V$36,MATCH(30,$Z$7:$Z$36,0)),IF($AA39="G",COUNTIFS(Zuständigkeiten!$F$5:$F$400,"ja",Zuständigkeiten!$H$5:$H$400,"offen")+(1-BUE_V_OK)+(1-BUE_O_OK),""))</f>
        <v>0</v>
      </c>
      <c r="I39" s="12">
        <f>IF($AA39="P",INDEX($W$7:$W$36,MATCH(30,$Z$7:$Z$36,0)),IF($AA39="G",COUNTIFS(Zuständigkeiten!$F$5:$F$400,"ja",Zuständigkeiten!$H$5:$H$400,"erledigt")+BUE_V_OK+BUE_O_OK,""))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IF($AA40="P",INDEX($V$7:$V$36,MATCH(31,$Z$7:$Z$36,0)),IF($AA40="G",COUNTIFS(Zuständigkeiten!$F$5:$F$400,"ja",Zuständigkeiten!$H$5:$H$400,"offen")+(1-BUE_V_OK)+(1-BUE_O_OK),""))</f>
        <v>0</v>
      </c>
      <c r="I40" s="12">
        <f>IF($AA40="P",INDEX($W$7:$W$36,MATCH(31,$Z$7:$Z$36,0)),IF($AA40="G",COUNTIFS(Zuständigkeiten!$F$5:$F$400,"ja",Zuständigkeiten!$H$5:$H$400,"erledigt")+BUE_V_OK+BUE_O_OK,""))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1209</v>
      </c>
    </row>
    <row r="2" spans="2:8">
      <c r="B2" s="2">
        <f>"Letzter und davor liegender Eintrag je Kennzahl · Berichtstag "&amp;TEXT(DAY(Berichtstag),"00")&amp;"."&amp;TEXT(MONTH(Berichtstag),"00")&amp;"."&amp;YEAR(Berichtstag)</f>
        <v>0</v>
      </c>
    </row>
    <row r="4" spans="2:8" ht="22" customHeight="1">
      <c r="B4" s="9" t="s">
        <v>694</v>
      </c>
      <c r="C4" s="9" t="s">
        <v>695</v>
      </c>
      <c r="D4" s="10" t="s">
        <v>1210</v>
      </c>
      <c r="E4" s="10" t="s">
        <v>1211</v>
      </c>
      <c r="F4" s="10" t="s">
        <v>1212</v>
      </c>
      <c r="G4" s="10" t="s">
        <v>1211</v>
      </c>
      <c r="H4" s="10" t="s">
        <v>1213</v>
      </c>
    </row>
    <row r="5" spans="2:8">
      <c r="B5" s="14" t="s">
        <v>102</v>
      </c>
      <c r="C5" s="15" t="s">
        <v>1103</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837</v>
      </c>
      <c r="C6" s="15" t="s">
        <v>1214</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840</v>
      </c>
      <c r="C7" s="15" t="s">
        <v>1215</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1216</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872</v>
      </c>
      <c r="C9" s="15" t="s">
        <v>1217</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1218</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1137</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1219</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1220</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1221</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1222</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1223</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1224</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1225</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1226</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1227</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1228</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1229</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954</v>
      </c>
      <c r="C23" s="15" t="s">
        <v>1230</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963</v>
      </c>
      <c r="C24" s="15" t="s">
        <v>1231</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966</v>
      </c>
      <c r="C25" s="15" t="s">
        <v>1232</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1155</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1157</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385</v>
      </c>
      <c r="C28" s="15" t="s">
        <v>1233</v>
      </c>
      <c r="D28" s="16">
        <f t="array" ref="D28">IFERROR(LOOKUP(2,1/(ISNUMBER(Rohdaten!$JA$162:$LG$162)*ISNUMBER(Rohdaten!$JA$159:$LG$159)),Rohdaten!$JA$159:$LG$159),"")</f>
        <v>0</v>
      </c>
      <c r="E28" s="17">
        <f>IF(D28="","",INDEX(Rohdaten!$JA$162:$LG$162,MATCH(D28,Rohdaten!$JA$159:$LG$159,0)))</f>
        <v>0</v>
      </c>
      <c r="F28" s="16">
        <f t="array" ref="F28">IF(D28="","",IFERROR(LOOKUP(2,1/(ISNUMBER(Rohdaten!$JA$162:$LG$162)*ISNUMBER(Rohdaten!$JA$159:$LG$159)*(Rohdaten!$JA$159:$LG$159&lt;D28)),Rohdaten!$JA$159:$LG$159),""))</f>
        <v>0</v>
      </c>
      <c r="G28" s="17">
        <f>IF(F28="","",INDEX(Rohdaten!$JA$162:$LG$162,MATCH(F28,Rohdaten!$JA$159:$LG$159,0)))</f>
        <v>0</v>
      </c>
      <c r="H28" s="18">
        <f>IF(OR(E28="",G28=""),"",E28-G28)</f>
        <v>0</v>
      </c>
    </row>
    <row r="29" spans="2:8">
      <c r="B29" s="14" t="s">
        <v>387</v>
      </c>
      <c r="C29" s="15" t="s">
        <v>1234</v>
      </c>
      <c r="D29" s="16">
        <f t="array" ref="D29">IFERROR(LOOKUP(2,1/(ISNUMBER(Rohdaten!$JA$163:$LG$163)*ISNUMBER(Rohdaten!$JA$159:$LG$159)),Rohdaten!$JA$159:$LG$159),"")</f>
        <v>0</v>
      </c>
      <c r="E29" s="17">
        <f>IF(D29="","",INDEX(Rohdaten!$JA$163:$LG$163,MATCH(D29,Rohdaten!$JA$159:$LG$159,0)))</f>
        <v>0</v>
      </c>
      <c r="F29" s="16">
        <f t="array" ref="F29">IF(D29="","",IFERROR(LOOKUP(2,1/(ISNUMBER(Rohdaten!$JA$163:$LG$163)*ISNUMBER(Rohdaten!$JA$159:$LG$159)*(Rohdaten!$JA$159:$LG$159&lt;D29)),Rohdaten!$JA$159:$LG$159),""))</f>
        <v>0</v>
      </c>
      <c r="G29" s="17">
        <f>IF(F29="","",INDEX(Rohdaten!$JA$163:$LG$163,MATCH(F29,Rohdaten!$JA$159:$LG$159,0)))</f>
        <v>0</v>
      </c>
      <c r="H29" s="18">
        <f>IF(OR(E29="",G29=""),"",E29-G29)</f>
        <v>0</v>
      </c>
    </row>
    <row r="30" spans="2:8">
      <c r="B30" s="14" t="s">
        <v>145</v>
      </c>
      <c r="C30" s="15" t="s">
        <v>1235</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801</v>
      </c>
      <c r="C31" s="15" t="s">
        <v>1236</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807</v>
      </c>
      <c r="C32" s="15" t="s">
        <v>1237</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253</v>
      </c>
      <c r="C33" s="15" t="s">
        <v>1238</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822</v>
      </c>
      <c r="C34" s="15" t="s">
        <v>1239</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828</v>
      </c>
      <c r="C35" s="15" t="s">
        <v>1240</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1241</v>
      </c>
    </row>
  </sheetData>
  <conditionalFormatting sqref="D5:D35">
    <cfRule type="expression" dxfId="4" priority="1">
      <formula>AND(ISNUMBER($D5),$D5&lt;Stichtag-7)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Deckblatt">
    <tabColor rgb="FFBF1528"/>
  </sheetPr>
  <dimension ref="G2"/>
  <sheetViews>
    <sheetView showGridLines="0" zoomScale="90" zoomScaleNormal="90" workbookViewId="0"/>
  </sheetViews>
  <sheetFormatPr defaultRowHeight="15"/>
  <cols>
    <col min="1" max="61" width="9.85546875" customWidth="1"/>
  </cols>
  <sheetData>
    <row r="2" spans="7:7">
      <c r="G2" s="8" t="s">
        <v>393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394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394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Rohdaten">
    <tabColor rgb="FF0B6F7D"/>
    <outlinePr summaryBelow="0"/>
  </sheetPr>
  <dimension ref="A1:LJ171"/>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1069</v>
      </c>
      <c r="B1" s="9" t="s">
        <v>1070</v>
      </c>
      <c r="C1" s="9" t="s">
        <v>1071</v>
      </c>
      <c r="D1" s="9" t="s">
        <v>1072</v>
      </c>
      <c r="E1" s="9" t="s">
        <v>1073</v>
      </c>
      <c r="F1" s="9" t="s">
        <v>1074</v>
      </c>
      <c r="G1" s="9" t="s">
        <v>1075</v>
      </c>
      <c r="H1" s="9" t="s">
        <v>1076</v>
      </c>
      <c r="I1" s="19">
        <v>45324</v>
      </c>
      <c r="J1" s="20" t="s">
        <v>1077</v>
      </c>
      <c r="K1" s="19">
        <v>45330</v>
      </c>
      <c r="L1" s="20" t="s">
        <v>1077</v>
      </c>
      <c r="M1" s="19">
        <v>45337</v>
      </c>
      <c r="N1" s="20" t="s">
        <v>1077</v>
      </c>
      <c r="O1" s="19">
        <v>45344</v>
      </c>
      <c r="P1" s="20" t="s">
        <v>1077</v>
      </c>
      <c r="Q1" s="19">
        <v>45351</v>
      </c>
      <c r="R1" s="20" t="s">
        <v>1077</v>
      </c>
      <c r="S1" s="19">
        <v>45358</v>
      </c>
      <c r="T1" s="20" t="s">
        <v>1077</v>
      </c>
      <c r="U1" s="19">
        <v>45365</v>
      </c>
      <c r="V1" s="20" t="s">
        <v>1077</v>
      </c>
      <c r="W1" s="19">
        <v>45372</v>
      </c>
      <c r="X1" s="20" t="s">
        <v>1077</v>
      </c>
      <c r="Y1" s="19">
        <v>45379</v>
      </c>
      <c r="Z1" s="20" t="s">
        <v>1077</v>
      </c>
      <c r="AA1" s="19">
        <v>45386</v>
      </c>
      <c r="AB1" s="20" t="s">
        <v>1077</v>
      </c>
      <c r="AC1" s="19">
        <v>45393</v>
      </c>
      <c r="AD1" s="20" t="s">
        <v>1077</v>
      </c>
      <c r="AE1" s="19">
        <v>45400</v>
      </c>
      <c r="AF1" s="20" t="s">
        <v>1077</v>
      </c>
      <c r="AG1" s="19">
        <v>45407</v>
      </c>
      <c r="AH1" s="20" t="s">
        <v>1077</v>
      </c>
      <c r="AI1" s="19">
        <v>45414</v>
      </c>
      <c r="AJ1" s="20" t="s">
        <v>1077</v>
      </c>
      <c r="AK1" s="19">
        <v>45420</v>
      </c>
      <c r="AL1" s="20" t="s">
        <v>1077</v>
      </c>
      <c r="AM1" s="19">
        <v>45428</v>
      </c>
      <c r="AN1" s="20" t="s">
        <v>1077</v>
      </c>
      <c r="AO1" s="19">
        <v>45435</v>
      </c>
      <c r="AP1" s="20" t="s">
        <v>1077</v>
      </c>
      <c r="AQ1" s="19">
        <v>45443</v>
      </c>
      <c r="AR1" s="20" t="s">
        <v>1077</v>
      </c>
      <c r="AS1" s="19">
        <v>45456</v>
      </c>
      <c r="AT1" s="20" t="s">
        <v>1077</v>
      </c>
      <c r="AU1" s="19">
        <v>45463</v>
      </c>
      <c r="AV1" s="20" t="s">
        <v>1077</v>
      </c>
      <c r="AW1" s="19">
        <v>45470</v>
      </c>
      <c r="AX1" s="20" t="s">
        <v>1077</v>
      </c>
      <c r="AY1" s="19">
        <v>45477</v>
      </c>
      <c r="AZ1" s="20" t="s">
        <v>1077</v>
      </c>
      <c r="BA1" s="19">
        <v>45484</v>
      </c>
      <c r="BB1" s="20" t="s">
        <v>1077</v>
      </c>
      <c r="BC1" s="19">
        <v>45491</v>
      </c>
      <c r="BD1" s="20" t="s">
        <v>1077</v>
      </c>
      <c r="BE1" s="19">
        <v>45498</v>
      </c>
      <c r="BF1" s="20" t="s">
        <v>1077</v>
      </c>
      <c r="BG1" s="19">
        <v>45505</v>
      </c>
      <c r="BH1" s="20" t="s">
        <v>1077</v>
      </c>
      <c r="BI1" s="19">
        <v>45512</v>
      </c>
      <c r="BJ1" s="20" t="s">
        <v>1077</v>
      </c>
      <c r="BK1" s="19">
        <v>45520</v>
      </c>
      <c r="BL1" s="20" t="s">
        <v>1077</v>
      </c>
      <c r="BM1" s="19">
        <v>45526</v>
      </c>
      <c r="BN1" s="20" t="s">
        <v>1077</v>
      </c>
      <c r="BO1" s="19">
        <v>45533</v>
      </c>
      <c r="BP1" s="20" t="s">
        <v>1077</v>
      </c>
      <c r="BQ1" s="19">
        <v>45540</v>
      </c>
      <c r="BR1" s="20" t="s">
        <v>1077</v>
      </c>
      <c r="BS1" s="19">
        <v>45547</v>
      </c>
      <c r="BT1" s="20" t="s">
        <v>1077</v>
      </c>
      <c r="BU1" s="19">
        <v>45554</v>
      </c>
      <c r="BV1" s="20" t="s">
        <v>1077</v>
      </c>
      <c r="BW1" s="19">
        <v>45561</v>
      </c>
      <c r="BX1" s="20" t="s">
        <v>1077</v>
      </c>
      <c r="BY1" s="19">
        <v>45567</v>
      </c>
      <c r="BZ1" s="20" t="s">
        <v>1077</v>
      </c>
      <c r="CA1" s="19">
        <v>45575</v>
      </c>
      <c r="CB1" s="20" t="s">
        <v>1077</v>
      </c>
      <c r="CC1" s="19">
        <v>45582</v>
      </c>
      <c r="CD1" s="20" t="s">
        <v>1077</v>
      </c>
      <c r="CE1" s="19">
        <v>45589</v>
      </c>
      <c r="CF1" s="20" t="s">
        <v>1077</v>
      </c>
      <c r="CG1" s="19">
        <v>45596</v>
      </c>
      <c r="CH1" s="20" t="s">
        <v>1077</v>
      </c>
      <c r="CI1" s="19">
        <v>45603</v>
      </c>
      <c r="CJ1" s="20" t="s">
        <v>1077</v>
      </c>
      <c r="CK1" s="19">
        <v>45610</v>
      </c>
      <c r="CL1" s="20" t="s">
        <v>1077</v>
      </c>
      <c r="CM1" s="19">
        <v>45617</v>
      </c>
      <c r="CN1" s="20" t="s">
        <v>1077</v>
      </c>
      <c r="CO1" s="19">
        <v>45624</v>
      </c>
      <c r="CP1" s="20" t="s">
        <v>1077</v>
      </c>
      <c r="CQ1" s="19">
        <v>45631</v>
      </c>
      <c r="CR1" s="20" t="s">
        <v>1077</v>
      </c>
      <c r="CS1" s="19">
        <v>45638</v>
      </c>
      <c r="CT1" s="20" t="s">
        <v>1077</v>
      </c>
      <c r="CU1" s="19">
        <v>45645</v>
      </c>
      <c r="CV1" s="20" t="s">
        <v>1077</v>
      </c>
      <c r="CW1" s="19">
        <v>45660</v>
      </c>
      <c r="CX1" s="20" t="s">
        <v>1077</v>
      </c>
      <c r="CY1" s="19">
        <v>45663</v>
      </c>
      <c r="CZ1" s="20" t="s">
        <v>1077</v>
      </c>
      <c r="DA1" s="19">
        <v>45674</v>
      </c>
      <c r="DB1" s="20" t="s">
        <v>1077</v>
      </c>
      <c r="DC1" s="19">
        <v>45681</v>
      </c>
      <c r="DD1" s="20" t="s">
        <v>1077</v>
      </c>
      <c r="DE1" s="19">
        <v>45688</v>
      </c>
      <c r="DF1" s="20" t="s">
        <v>1077</v>
      </c>
      <c r="DG1" s="19">
        <v>45695</v>
      </c>
      <c r="DH1" s="20" t="s">
        <v>1077</v>
      </c>
      <c r="DI1" s="19">
        <v>45702</v>
      </c>
      <c r="DJ1" s="20" t="s">
        <v>1077</v>
      </c>
      <c r="DK1" s="19">
        <v>45709</v>
      </c>
      <c r="DL1" s="20" t="s">
        <v>1077</v>
      </c>
      <c r="DM1" s="19">
        <v>45716</v>
      </c>
      <c r="DN1" s="20" t="s">
        <v>1077</v>
      </c>
      <c r="DO1" s="19">
        <v>45723</v>
      </c>
      <c r="DP1" s="20" t="s">
        <v>1077</v>
      </c>
      <c r="DQ1" s="19">
        <v>45730</v>
      </c>
      <c r="DR1" s="20" t="s">
        <v>1077</v>
      </c>
      <c r="DS1" s="19">
        <v>45737</v>
      </c>
      <c r="DT1" s="20" t="s">
        <v>1077</v>
      </c>
      <c r="DU1" s="19">
        <v>45744</v>
      </c>
      <c r="DV1" s="20" t="s">
        <v>1077</v>
      </c>
      <c r="DW1" s="19">
        <v>45751</v>
      </c>
      <c r="DX1" s="20" t="s">
        <v>1077</v>
      </c>
      <c r="DY1" s="19">
        <v>45758</v>
      </c>
      <c r="DZ1" s="20" t="s">
        <v>1077</v>
      </c>
      <c r="EA1" s="19">
        <v>45764</v>
      </c>
      <c r="EB1" s="20" t="s">
        <v>1077</v>
      </c>
      <c r="EC1" s="19">
        <v>45772</v>
      </c>
      <c r="ED1" s="20" t="s">
        <v>1077</v>
      </c>
      <c r="EE1" s="19">
        <v>45779</v>
      </c>
      <c r="EF1" s="20" t="s">
        <v>1077</v>
      </c>
      <c r="EG1" s="19">
        <v>45786</v>
      </c>
      <c r="EH1" s="20" t="s">
        <v>1077</v>
      </c>
      <c r="EI1" s="19">
        <v>45793</v>
      </c>
      <c r="EJ1" s="20" t="s">
        <v>1077</v>
      </c>
      <c r="EK1" s="19">
        <v>45800</v>
      </c>
      <c r="EL1" s="20" t="s">
        <v>1077</v>
      </c>
      <c r="EM1" s="19">
        <v>45807</v>
      </c>
      <c r="EN1" s="20" t="s">
        <v>1077</v>
      </c>
      <c r="EO1" s="19">
        <v>45814</v>
      </c>
      <c r="EP1" s="20" t="s">
        <v>1077</v>
      </c>
      <c r="EQ1" s="19">
        <v>45821</v>
      </c>
      <c r="ER1" s="20" t="s">
        <v>1077</v>
      </c>
      <c r="ES1" s="19">
        <v>45828</v>
      </c>
      <c r="ET1" s="20" t="s">
        <v>1077</v>
      </c>
      <c r="EU1" s="19">
        <v>45835</v>
      </c>
      <c r="EV1" s="20" t="s">
        <v>1077</v>
      </c>
      <c r="EW1" s="19">
        <v>45842</v>
      </c>
      <c r="EX1" s="20" t="s">
        <v>1077</v>
      </c>
      <c r="EY1" s="19">
        <v>45849</v>
      </c>
      <c r="EZ1" s="20" t="s">
        <v>1077</v>
      </c>
      <c r="FA1" s="19">
        <v>45856</v>
      </c>
      <c r="FB1" s="20" t="s">
        <v>1077</v>
      </c>
      <c r="FC1" s="19">
        <v>45863</v>
      </c>
      <c r="FD1" s="20" t="s">
        <v>1077</v>
      </c>
      <c r="FE1" s="19">
        <v>45870</v>
      </c>
      <c r="FF1" s="20" t="s">
        <v>1077</v>
      </c>
      <c r="FG1" s="19">
        <v>45877</v>
      </c>
      <c r="FH1" s="20" t="s">
        <v>1077</v>
      </c>
      <c r="FI1" s="19">
        <v>45884</v>
      </c>
      <c r="FJ1" s="20" t="s">
        <v>1077</v>
      </c>
      <c r="FK1" s="19">
        <v>45891</v>
      </c>
      <c r="FL1" s="20" t="s">
        <v>1077</v>
      </c>
      <c r="FM1" s="19">
        <v>45898</v>
      </c>
      <c r="FN1" s="20" t="s">
        <v>1077</v>
      </c>
      <c r="FO1" s="19">
        <v>45905</v>
      </c>
      <c r="FP1" s="20" t="s">
        <v>1077</v>
      </c>
      <c r="FQ1" s="19">
        <v>45912</v>
      </c>
      <c r="FR1" s="20" t="s">
        <v>1077</v>
      </c>
      <c r="FS1" s="19">
        <v>45919</v>
      </c>
      <c r="FT1" s="20" t="s">
        <v>1077</v>
      </c>
      <c r="FU1" s="19">
        <v>45926</v>
      </c>
      <c r="FV1" s="20" t="s">
        <v>1077</v>
      </c>
      <c r="FW1" s="19">
        <v>45933</v>
      </c>
      <c r="FX1" s="20" t="s">
        <v>1077</v>
      </c>
      <c r="FY1" s="19">
        <v>45940</v>
      </c>
      <c r="FZ1" s="20" t="s">
        <v>1077</v>
      </c>
      <c r="GA1" s="19">
        <v>45947</v>
      </c>
      <c r="GB1" s="20" t="s">
        <v>1077</v>
      </c>
      <c r="GC1" s="19">
        <v>45954</v>
      </c>
      <c r="GD1" s="20" t="s">
        <v>1077</v>
      </c>
      <c r="GE1" s="19">
        <v>45961</v>
      </c>
      <c r="GF1" s="20" t="s">
        <v>1077</v>
      </c>
      <c r="GG1" s="19">
        <v>45968</v>
      </c>
      <c r="GH1" s="20" t="s">
        <v>1077</v>
      </c>
      <c r="GI1" s="19">
        <v>45975</v>
      </c>
      <c r="GJ1" s="20" t="s">
        <v>1077</v>
      </c>
      <c r="GK1" s="19">
        <v>45982</v>
      </c>
      <c r="GL1" s="20" t="s">
        <v>1077</v>
      </c>
      <c r="GM1" s="19">
        <v>45989</v>
      </c>
      <c r="GN1" s="20" t="s">
        <v>1077</v>
      </c>
      <c r="GO1" s="19">
        <v>45996</v>
      </c>
      <c r="GP1" s="20" t="s">
        <v>1077</v>
      </c>
      <c r="GQ1" s="19">
        <v>46003</v>
      </c>
      <c r="GR1" s="20" t="s">
        <v>1077</v>
      </c>
      <c r="GS1" s="19">
        <v>46010</v>
      </c>
      <c r="GT1" s="20" t="s">
        <v>1077</v>
      </c>
      <c r="GU1" s="19">
        <v>46017</v>
      </c>
      <c r="GV1" s="20" t="s">
        <v>1077</v>
      </c>
      <c r="GW1" s="19">
        <v>46024</v>
      </c>
      <c r="GX1" s="20" t="s">
        <v>1077</v>
      </c>
      <c r="GY1" s="19">
        <v>46031</v>
      </c>
      <c r="GZ1" s="20" t="s">
        <v>1077</v>
      </c>
      <c r="HA1" s="19">
        <v>46038</v>
      </c>
      <c r="HB1" s="20" t="s">
        <v>1077</v>
      </c>
      <c r="HC1" s="19">
        <v>46045</v>
      </c>
      <c r="HD1" s="20" t="s">
        <v>1077</v>
      </c>
      <c r="HE1" s="19">
        <v>46052</v>
      </c>
      <c r="HF1" s="20" t="s">
        <v>1077</v>
      </c>
      <c r="HG1" s="19">
        <v>46059</v>
      </c>
      <c r="HH1" s="20" t="s">
        <v>1077</v>
      </c>
      <c r="HI1" s="19">
        <v>46066</v>
      </c>
      <c r="HJ1" s="20" t="s">
        <v>1077</v>
      </c>
      <c r="HK1" s="19">
        <v>46073</v>
      </c>
      <c r="HL1" s="20" t="s">
        <v>1077</v>
      </c>
      <c r="HM1" s="19">
        <v>46080</v>
      </c>
      <c r="HN1" s="20" t="s">
        <v>1077</v>
      </c>
      <c r="HO1" s="19">
        <v>46087</v>
      </c>
      <c r="HP1" s="20" t="s">
        <v>1077</v>
      </c>
      <c r="HQ1" s="19">
        <v>46094</v>
      </c>
      <c r="HR1" s="20" t="s">
        <v>1077</v>
      </c>
      <c r="HS1" s="19">
        <v>46101</v>
      </c>
      <c r="HT1" s="20" t="s">
        <v>1077</v>
      </c>
      <c r="HU1" s="19">
        <v>46108</v>
      </c>
      <c r="HV1" s="20" t="s">
        <v>1077</v>
      </c>
      <c r="HW1" s="19">
        <v>46115</v>
      </c>
      <c r="HX1" s="20" t="s">
        <v>1077</v>
      </c>
      <c r="HY1" s="19">
        <v>46122</v>
      </c>
      <c r="HZ1" s="20" t="s">
        <v>1077</v>
      </c>
      <c r="IA1" s="19">
        <v>46129</v>
      </c>
      <c r="IB1" s="20" t="s">
        <v>1077</v>
      </c>
      <c r="IC1" s="19">
        <v>46136</v>
      </c>
      <c r="ID1" s="20" t="s">
        <v>1077</v>
      </c>
      <c r="IE1" s="19">
        <v>46143</v>
      </c>
      <c r="IF1" s="20" t="s">
        <v>1077</v>
      </c>
      <c r="IG1" s="19">
        <v>46150</v>
      </c>
      <c r="IH1" s="20" t="s">
        <v>1077</v>
      </c>
      <c r="II1" s="19">
        <v>46157</v>
      </c>
      <c r="IJ1" s="20" t="s">
        <v>1077</v>
      </c>
      <c r="IK1" s="19">
        <v>46164</v>
      </c>
      <c r="IL1" s="20" t="s">
        <v>1077</v>
      </c>
      <c r="IM1" s="19">
        <v>46171</v>
      </c>
      <c r="IN1" s="20" t="s">
        <v>1077</v>
      </c>
      <c r="IO1" s="19">
        <v>46178</v>
      </c>
      <c r="IP1" s="20" t="s">
        <v>1077</v>
      </c>
      <c r="IQ1" s="19">
        <v>46185</v>
      </c>
      <c r="IR1" s="20" t="s">
        <v>1077</v>
      </c>
      <c r="IS1" s="19">
        <v>46192</v>
      </c>
      <c r="IT1" s="20" t="s">
        <v>1077</v>
      </c>
      <c r="IU1" s="19">
        <v>46199</v>
      </c>
      <c r="IV1" s="20" t="s">
        <v>1077</v>
      </c>
      <c r="IW1" s="19">
        <v>46206</v>
      </c>
      <c r="IX1" s="20" t="s">
        <v>1077</v>
      </c>
      <c r="IY1" s="19">
        <v>46213</v>
      </c>
      <c r="IZ1" s="20" t="s">
        <v>1077</v>
      </c>
      <c r="JA1" s="19">
        <v>46220</v>
      </c>
      <c r="JB1" s="20" t="s">
        <v>1077</v>
      </c>
      <c r="JC1" s="19">
        <v>46227</v>
      </c>
      <c r="JD1" s="20" t="s">
        <v>1077</v>
      </c>
      <c r="JE1" s="19">
        <v>46234</v>
      </c>
      <c r="JF1" s="20" t="s">
        <v>1077</v>
      </c>
      <c r="JG1" s="19">
        <v>46241</v>
      </c>
      <c r="JH1" s="20" t="s">
        <v>1077</v>
      </c>
      <c r="JI1" s="19">
        <v>46248</v>
      </c>
      <c r="JJ1" s="20" t="s">
        <v>1077</v>
      </c>
      <c r="JK1" s="19">
        <v>46255</v>
      </c>
      <c r="JL1" s="20" t="s">
        <v>1077</v>
      </c>
      <c r="JM1" s="19">
        <v>46262</v>
      </c>
      <c r="JN1" s="20" t="s">
        <v>1077</v>
      </c>
      <c r="JO1" s="19">
        <v>46269</v>
      </c>
      <c r="JP1" s="20" t="s">
        <v>1077</v>
      </c>
      <c r="JQ1" s="19">
        <v>46276</v>
      </c>
      <c r="JR1" s="20" t="s">
        <v>1077</v>
      </c>
      <c r="JS1" s="19">
        <v>46283</v>
      </c>
      <c r="JT1" s="20" t="s">
        <v>1077</v>
      </c>
      <c r="JU1" s="19">
        <v>46290</v>
      </c>
      <c r="JV1" s="20" t="s">
        <v>1077</v>
      </c>
      <c r="JW1" s="19">
        <v>46297</v>
      </c>
      <c r="JX1" s="20" t="s">
        <v>1077</v>
      </c>
      <c r="JY1" s="19">
        <v>46304</v>
      </c>
      <c r="JZ1" s="20" t="s">
        <v>1077</v>
      </c>
      <c r="KA1" s="19">
        <v>46311</v>
      </c>
      <c r="KB1" s="20" t="s">
        <v>1077</v>
      </c>
      <c r="KC1" s="19">
        <v>46318</v>
      </c>
      <c r="KD1" s="20" t="s">
        <v>1077</v>
      </c>
      <c r="KE1" s="19">
        <v>46325</v>
      </c>
      <c r="KF1" s="20" t="s">
        <v>1077</v>
      </c>
      <c r="KG1" s="19">
        <v>46332</v>
      </c>
      <c r="KH1" s="20" t="s">
        <v>1077</v>
      </c>
      <c r="KI1" s="19">
        <v>46339</v>
      </c>
      <c r="KJ1" s="20" t="s">
        <v>1077</v>
      </c>
      <c r="KK1" s="19">
        <v>46346</v>
      </c>
      <c r="KL1" s="20" t="s">
        <v>1077</v>
      </c>
      <c r="KM1" s="19">
        <v>46353</v>
      </c>
      <c r="KN1" s="20" t="s">
        <v>1077</v>
      </c>
      <c r="KO1" s="19">
        <v>46360</v>
      </c>
      <c r="KP1" s="20" t="s">
        <v>1077</v>
      </c>
      <c r="KQ1" s="19">
        <v>46367</v>
      </c>
      <c r="KR1" s="20" t="s">
        <v>1077</v>
      </c>
      <c r="KS1" s="19">
        <v>46374</v>
      </c>
      <c r="KT1" s="20" t="s">
        <v>1077</v>
      </c>
      <c r="KU1" s="19">
        <v>46381</v>
      </c>
      <c r="KV1" s="20" t="s">
        <v>1077</v>
      </c>
      <c r="KW1" s="19">
        <v>46388</v>
      </c>
      <c r="KX1" s="20" t="s">
        <v>1077</v>
      </c>
      <c r="KY1" s="19">
        <v>46395</v>
      </c>
      <c r="KZ1" s="20" t="s">
        <v>1077</v>
      </c>
      <c r="LA1" s="19">
        <v>46402</v>
      </c>
      <c r="LB1" s="20" t="s">
        <v>1077</v>
      </c>
      <c r="LC1" s="19">
        <v>46409</v>
      </c>
      <c r="LD1" s="20" t="s">
        <v>1077</v>
      </c>
      <c r="LE1" s="19">
        <v>46416</v>
      </c>
      <c r="LF1" s="20" t="s">
        <v>1077</v>
      </c>
      <c r="LG1" s="19">
        <v>46423</v>
      </c>
      <c r="LH1" s="20" t="s">
        <v>1077</v>
      </c>
      <c r="LJ1" s="9" t="s">
        <v>1079</v>
      </c>
    </row>
    <row r="2" spans="1:322" ht="12" customHeight="1">
      <c r="I2" s="21">
        <f>IF(COUNT(I3:I157)&gt;0,"Y","X")</f>
        <v>0</v>
      </c>
      <c r="J2" s="21" t="s">
        <v>1078</v>
      </c>
      <c r="K2" s="21">
        <f>IF(COUNT(K3:K157)&gt;0,"Y","X")</f>
        <v>0</v>
      </c>
      <c r="L2" s="21" t="s">
        <v>1078</v>
      </c>
      <c r="M2" s="21">
        <f>IF(COUNT(M3:M157)&gt;0,"Y","X")</f>
        <v>0</v>
      </c>
      <c r="N2" s="21" t="s">
        <v>1078</v>
      </c>
      <c r="O2" s="21">
        <f>IF(COUNT(O3:O157)&gt;0,"Y","X")</f>
        <v>0</v>
      </c>
      <c r="P2" s="21" t="s">
        <v>1078</v>
      </c>
      <c r="Q2" s="21">
        <f>IF(COUNT(Q3:Q157)&gt;0,"Y","X")</f>
        <v>0</v>
      </c>
      <c r="R2" s="21" t="s">
        <v>1078</v>
      </c>
      <c r="S2" s="21">
        <f>IF(COUNT(S3:S157)&gt;0,"Y","X")</f>
        <v>0</v>
      </c>
      <c r="T2" s="21" t="s">
        <v>1078</v>
      </c>
      <c r="U2" s="21">
        <f>IF(COUNT(U3:U157)&gt;0,"Y","X")</f>
        <v>0</v>
      </c>
      <c r="V2" s="21" t="s">
        <v>1078</v>
      </c>
      <c r="W2" s="21">
        <f>IF(COUNT(W3:W157)&gt;0,"Y","X")</f>
        <v>0</v>
      </c>
      <c r="X2" s="21" t="s">
        <v>1078</v>
      </c>
      <c r="Y2" s="21">
        <f>IF(COUNT(Y3:Y157)&gt;0,"Y","X")</f>
        <v>0</v>
      </c>
      <c r="Z2" s="21" t="s">
        <v>1078</v>
      </c>
      <c r="AA2" s="21">
        <f>IF(COUNT(AA3:AA157)&gt;0,"Y","X")</f>
        <v>0</v>
      </c>
      <c r="AB2" s="21" t="s">
        <v>1078</v>
      </c>
      <c r="AC2" s="21">
        <f>IF(COUNT(AC3:AC157)&gt;0,"Y","X")</f>
        <v>0</v>
      </c>
      <c r="AD2" s="21" t="s">
        <v>1078</v>
      </c>
      <c r="AE2" s="21">
        <f>IF(COUNT(AE3:AE157)&gt;0,"Y","X")</f>
        <v>0</v>
      </c>
      <c r="AF2" s="21" t="s">
        <v>1078</v>
      </c>
      <c r="AG2" s="21">
        <f>IF(COUNT(AG3:AG157)&gt;0,"Y","X")</f>
        <v>0</v>
      </c>
      <c r="AH2" s="21" t="s">
        <v>1078</v>
      </c>
      <c r="AI2" s="21">
        <f>IF(COUNT(AI3:AI157)&gt;0,"Y","X")</f>
        <v>0</v>
      </c>
      <c r="AJ2" s="21" t="s">
        <v>1078</v>
      </c>
      <c r="AK2" s="21">
        <f>IF(COUNT(AK3:AK157)&gt;0,"Y","X")</f>
        <v>0</v>
      </c>
      <c r="AL2" s="21" t="s">
        <v>1078</v>
      </c>
      <c r="AM2" s="21">
        <f>IF(COUNT(AM3:AM157)&gt;0,"Y","X")</f>
        <v>0</v>
      </c>
      <c r="AN2" s="21" t="s">
        <v>1078</v>
      </c>
      <c r="AO2" s="21">
        <f>IF(COUNT(AO3:AO157)&gt;0,"Y","X")</f>
        <v>0</v>
      </c>
      <c r="AP2" s="21" t="s">
        <v>1078</v>
      </c>
      <c r="AQ2" s="21">
        <f>IF(COUNT(AQ3:AQ157)&gt;0,"Y","X")</f>
        <v>0</v>
      </c>
      <c r="AR2" s="21" t="s">
        <v>1078</v>
      </c>
      <c r="AS2" s="21">
        <f>IF(COUNT(AS3:AS157)&gt;0,"Y","X")</f>
        <v>0</v>
      </c>
      <c r="AT2" s="21" t="s">
        <v>1078</v>
      </c>
      <c r="AU2" s="21">
        <f>IF(COUNT(AU3:AU157)&gt;0,"Y","X")</f>
        <v>0</v>
      </c>
      <c r="AV2" s="21" t="s">
        <v>1078</v>
      </c>
      <c r="AW2" s="21">
        <f>IF(COUNT(AW3:AW157)&gt;0,"Y","X")</f>
        <v>0</v>
      </c>
      <c r="AX2" s="21" t="s">
        <v>1078</v>
      </c>
      <c r="AY2" s="21">
        <f>IF(COUNT(AY3:AY157)&gt;0,"Y","X")</f>
        <v>0</v>
      </c>
      <c r="AZ2" s="21" t="s">
        <v>1078</v>
      </c>
      <c r="BA2" s="21">
        <f>IF(COUNT(BA3:BA157)&gt;0,"Y","X")</f>
        <v>0</v>
      </c>
      <c r="BB2" s="21" t="s">
        <v>1078</v>
      </c>
      <c r="BC2" s="21">
        <f>IF(COUNT(BC3:BC157)&gt;0,"Y","X")</f>
        <v>0</v>
      </c>
      <c r="BD2" s="21" t="s">
        <v>1078</v>
      </c>
      <c r="BE2" s="21">
        <f>IF(COUNT(BE3:BE157)&gt;0,"Y","X")</f>
        <v>0</v>
      </c>
      <c r="BF2" s="21" t="s">
        <v>1078</v>
      </c>
      <c r="BG2" s="21">
        <f>IF(COUNT(BG3:BG157)&gt;0,"Y","X")</f>
        <v>0</v>
      </c>
      <c r="BH2" s="21" t="s">
        <v>1078</v>
      </c>
      <c r="BI2" s="21">
        <f>IF(COUNT(BI3:BI157)&gt;0,"Y","X")</f>
        <v>0</v>
      </c>
      <c r="BJ2" s="21" t="s">
        <v>1078</v>
      </c>
      <c r="BK2" s="21">
        <f>IF(COUNT(BK3:BK157)&gt;0,"Y","X")</f>
        <v>0</v>
      </c>
      <c r="BL2" s="21" t="s">
        <v>1078</v>
      </c>
      <c r="BM2" s="21">
        <f>IF(COUNT(BM3:BM157)&gt;0,"Y","X")</f>
        <v>0</v>
      </c>
      <c r="BN2" s="21" t="s">
        <v>1078</v>
      </c>
      <c r="BO2" s="21">
        <f>IF(COUNT(BO3:BO157)&gt;0,"Y","X")</f>
        <v>0</v>
      </c>
      <c r="BP2" s="21" t="s">
        <v>1078</v>
      </c>
      <c r="BQ2" s="21">
        <f>IF(COUNT(BQ3:BQ157)&gt;0,"Y","X")</f>
        <v>0</v>
      </c>
      <c r="BR2" s="21" t="s">
        <v>1078</v>
      </c>
      <c r="BS2" s="21">
        <f>IF(COUNT(BS3:BS157)&gt;0,"Y","X")</f>
        <v>0</v>
      </c>
      <c r="BT2" s="21" t="s">
        <v>1078</v>
      </c>
      <c r="BU2" s="21">
        <f>IF(COUNT(BU3:BU157)&gt;0,"Y","X")</f>
        <v>0</v>
      </c>
      <c r="BV2" s="21" t="s">
        <v>1078</v>
      </c>
      <c r="BW2" s="21">
        <f>IF(COUNT(BW3:BW157)&gt;0,"Y","X")</f>
        <v>0</v>
      </c>
      <c r="BX2" s="21" t="s">
        <v>1078</v>
      </c>
      <c r="BY2" s="21">
        <f>IF(COUNT(BY3:BY157)&gt;0,"Y","X")</f>
        <v>0</v>
      </c>
      <c r="BZ2" s="21" t="s">
        <v>1078</v>
      </c>
      <c r="CA2" s="21">
        <f>IF(COUNT(CA3:CA157)&gt;0,"Y","X")</f>
        <v>0</v>
      </c>
      <c r="CB2" s="21" t="s">
        <v>1078</v>
      </c>
      <c r="CC2" s="21">
        <f>IF(COUNT(CC3:CC157)&gt;0,"Y","X")</f>
        <v>0</v>
      </c>
      <c r="CD2" s="21" t="s">
        <v>1078</v>
      </c>
      <c r="CE2" s="21">
        <f>IF(COUNT(CE3:CE157)&gt;0,"Y","X")</f>
        <v>0</v>
      </c>
      <c r="CF2" s="21" t="s">
        <v>1078</v>
      </c>
      <c r="CG2" s="21">
        <f>IF(COUNT(CG3:CG157)&gt;0,"Y","X")</f>
        <v>0</v>
      </c>
      <c r="CH2" s="21" t="s">
        <v>1078</v>
      </c>
      <c r="CI2" s="21">
        <f>IF(COUNT(CI3:CI157)&gt;0,"Y","X")</f>
        <v>0</v>
      </c>
      <c r="CJ2" s="21" t="s">
        <v>1078</v>
      </c>
      <c r="CK2" s="21">
        <f>IF(COUNT(CK3:CK157)&gt;0,"Y","X")</f>
        <v>0</v>
      </c>
      <c r="CL2" s="21" t="s">
        <v>1078</v>
      </c>
      <c r="CM2" s="21">
        <f>IF(COUNT(CM3:CM157)&gt;0,"Y","X")</f>
        <v>0</v>
      </c>
      <c r="CN2" s="21" t="s">
        <v>1078</v>
      </c>
      <c r="CO2" s="21">
        <f>IF(COUNT(CO3:CO157)&gt;0,"Y","X")</f>
        <v>0</v>
      </c>
      <c r="CP2" s="21" t="s">
        <v>1078</v>
      </c>
      <c r="CQ2" s="21">
        <f>IF(COUNT(CQ3:CQ157)&gt;0,"Y","X")</f>
        <v>0</v>
      </c>
      <c r="CR2" s="21" t="s">
        <v>1078</v>
      </c>
      <c r="CS2" s="21">
        <f>IF(COUNT(CS3:CS157)&gt;0,"Y","X")</f>
        <v>0</v>
      </c>
      <c r="CT2" s="21" t="s">
        <v>1078</v>
      </c>
      <c r="CU2" s="21">
        <f>IF(COUNT(CU3:CU157)&gt;0,"Y","X")</f>
        <v>0</v>
      </c>
      <c r="CV2" s="21" t="s">
        <v>1078</v>
      </c>
      <c r="CW2" s="21">
        <f>IF(COUNT(CW3:CW157)&gt;0,"Y","X")</f>
        <v>0</v>
      </c>
      <c r="CX2" s="21" t="s">
        <v>1078</v>
      </c>
      <c r="CY2" s="21">
        <f>IF(COUNT(CY3:CY157)&gt;0,"Y","X")</f>
        <v>0</v>
      </c>
      <c r="CZ2" s="21" t="s">
        <v>1078</v>
      </c>
      <c r="DA2" s="21">
        <f>IF(COUNT(DA3:DA157)&gt;0,"Y","X")</f>
        <v>0</v>
      </c>
      <c r="DB2" s="21" t="s">
        <v>1078</v>
      </c>
      <c r="DC2" s="21">
        <f>IF(COUNT(DC3:DC157)&gt;0,"Y","X")</f>
        <v>0</v>
      </c>
      <c r="DD2" s="21" t="s">
        <v>1078</v>
      </c>
      <c r="DE2" s="21">
        <f>IF(COUNT(DE3:DE157)&gt;0,"Y","X")</f>
        <v>0</v>
      </c>
      <c r="DF2" s="21" t="s">
        <v>1078</v>
      </c>
      <c r="DG2" s="21">
        <f>IF(COUNT(DG3:DG157)&gt;0,"Y","X")</f>
        <v>0</v>
      </c>
      <c r="DH2" s="21" t="s">
        <v>1078</v>
      </c>
      <c r="DI2" s="21">
        <f>IF(COUNT(DI3:DI157)&gt;0,"Y","X")</f>
        <v>0</v>
      </c>
      <c r="DJ2" s="21" t="s">
        <v>1078</v>
      </c>
      <c r="DK2" s="21">
        <f>IF(COUNT(DK3:DK157)&gt;0,"Y","X")</f>
        <v>0</v>
      </c>
      <c r="DL2" s="21" t="s">
        <v>1078</v>
      </c>
      <c r="DM2" s="21">
        <f>IF(COUNT(DM3:DM157)&gt;0,"Y","X")</f>
        <v>0</v>
      </c>
      <c r="DN2" s="21" t="s">
        <v>1078</v>
      </c>
      <c r="DO2" s="21">
        <f>IF(COUNT(DO3:DO157)&gt;0,"Y","X")</f>
        <v>0</v>
      </c>
      <c r="DP2" s="21" t="s">
        <v>1078</v>
      </c>
      <c r="DQ2" s="21">
        <f>IF(COUNT(DQ3:DQ157)&gt;0,"Y","X")</f>
        <v>0</v>
      </c>
      <c r="DR2" s="21" t="s">
        <v>1078</v>
      </c>
      <c r="DS2" s="21">
        <f>IF(COUNT(DS3:DS157)&gt;0,"Y","X")</f>
        <v>0</v>
      </c>
      <c r="DT2" s="21" t="s">
        <v>1078</v>
      </c>
      <c r="DU2" s="21">
        <f>IF(COUNT(DU3:DU157)&gt;0,"Y","X")</f>
        <v>0</v>
      </c>
      <c r="DV2" s="21" t="s">
        <v>1078</v>
      </c>
      <c r="DW2" s="21">
        <f>IF(COUNT(DW3:DW157)&gt;0,"Y","X")</f>
        <v>0</v>
      </c>
      <c r="DX2" s="21" t="s">
        <v>1078</v>
      </c>
      <c r="DY2" s="21">
        <f>IF(COUNT(DY3:DY157)&gt;0,"Y","X")</f>
        <v>0</v>
      </c>
      <c r="DZ2" s="21" t="s">
        <v>1078</v>
      </c>
      <c r="EA2" s="21">
        <f>IF(COUNT(EA3:EA157)&gt;0,"Y","X")</f>
        <v>0</v>
      </c>
      <c r="EB2" s="21" t="s">
        <v>1078</v>
      </c>
      <c r="EC2" s="21">
        <f>IF(COUNT(EC3:EC157)&gt;0,"Y","X")</f>
        <v>0</v>
      </c>
      <c r="ED2" s="21" t="s">
        <v>1078</v>
      </c>
      <c r="EE2" s="21">
        <f>IF(COUNT(EE3:EE157)&gt;0,"Y","X")</f>
        <v>0</v>
      </c>
      <c r="EF2" s="21" t="s">
        <v>1078</v>
      </c>
      <c r="EG2" s="21">
        <f>IF(COUNT(EG3:EG157)&gt;0,"Y","X")</f>
        <v>0</v>
      </c>
      <c r="EH2" s="21" t="s">
        <v>1078</v>
      </c>
      <c r="EI2" s="21">
        <f>IF(COUNT(EI3:EI157)&gt;0,"Y","X")</f>
        <v>0</v>
      </c>
      <c r="EJ2" s="21" t="s">
        <v>1078</v>
      </c>
      <c r="EK2" s="21">
        <f>IF(COUNT(EK3:EK157)&gt;0,"Y","X")</f>
        <v>0</v>
      </c>
      <c r="EL2" s="21" t="s">
        <v>1078</v>
      </c>
      <c r="EM2" s="21">
        <f>IF(COUNT(EM3:EM157)&gt;0,"Y","X")</f>
        <v>0</v>
      </c>
      <c r="EN2" s="21" t="s">
        <v>1078</v>
      </c>
      <c r="EO2" s="21">
        <f>IF(COUNT(EO3:EO157)&gt;0,"Y","X")</f>
        <v>0</v>
      </c>
      <c r="EP2" s="21" t="s">
        <v>1078</v>
      </c>
      <c r="EQ2" s="21">
        <f>IF(COUNT(EQ3:EQ157)&gt;0,"Y","X")</f>
        <v>0</v>
      </c>
      <c r="ER2" s="21" t="s">
        <v>1078</v>
      </c>
      <c r="ES2" s="21">
        <f>IF(COUNT(ES3:ES157)&gt;0,"Y","X")</f>
        <v>0</v>
      </c>
      <c r="ET2" s="21" t="s">
        <v>1078</v>
      </c>
      <c r="EU2" s="21">
        <f>IF(COUNT(EU3:EU157)&gt;0,"Y","X")</f>
        <v>0</v>
      </c>
      <c r="EV2" s="21" t="s">
        <v>1078</v>
      </c>
      <c r="EW2" s="21">
        <f>IF(COUNT(EW3:EW157)&gt;0,"Y","X")</f>
        <v>0</v>
      </c>
      <c r="EX2" s="21" t="s">
        <v>1078</v>
      </c>
      <c r="EY2" s="21">
        <f>IF(COUNT(EY3:EY157)&gt;0,"Y","X")</f>
        <v>0</v>
      </c>
      <c r="EZ2" s="21" t="s">
        <v>1078</v>
      </c>
      <c r="FA2" s="21">
        <f>IF(COUNT(FA3:FA157)&gt;0,"Y","X")</f>
        <v>0</v>
      </c>
      <c r="FB2" s="21" t="s">
        <v>1078</v>
      </c>
      <c r="FC2" s="21">
        <f>IF(COUNT(FC3:FC157)&gt;0,"Y","X")</f>
        <v>0</v>
      </c>
      <c r="FD2" s="21" t="s">
        <v>1078</v>
      </c>
      <c r="FE2" s="21">
        <f>IF(COUNT(FE3:FE157)&gt;0,"Y","X")</f>
        <v>0</v>
      </c>
      <c r="FF2" s="21" t="s">
        <v>1078</v>
      </c>
      <c r="FG2" s="21">
        <f>IF(COUNT(FG3:FG157)&gt;0,"Y","X")</f>
        <v>0</v>
      </c>
      <c r="FH2" s="21" t="s">
        <v>1078</v>
      </c>
      <c r="FI2" s="21">
        <f>IF(COUNT(FI3:FI157)&gt;0,"Y","X")</f>
        <v>0</v>
      </c>
      <c r="FJ2" s="21" t="s">
        <v>1078</v>
      </c>
      <c r="FK2" s="21">
        <f>IF(COUNT(FK3:FK157)&gt;0,"Y","X")</f>
        <v>0</v>
      </c>
      <c r="FL2" s="21" t="s">
        <v>1078</v>
      </c>
      <c r="FM2" s="21">
        <f>IF(COUNT(FM3:FM157)&gt;0,"Y","X")</f>
        <v>0</v>
      </c>
      <c r="FN2" s="21" t="s">
        <v>1078</v>
      </c>
      <c r="FO2" s="21">
        <f>IF(COUNT(FO3:FO157)&gt;0,"Y","X")</f>
        <v>0</v>
      </c>
      <c r="FP2" s="21" t="s">
        <v>1078</v>
      </c>
      <c r="FQ2" s="21">
        <f>IF(COUNT(FQ3:FQ157)&gt;0,"Y","X")</f>
        <v>0</v>
      </c>
      <c r="FR2" s="21" t="s">
        <v>1078</v>
      </c>
      <c r="FS2" s="21">
        <f>IF(COUNT(FS3:FS157)&gt;0,"Y","X")</f>
        <v>0</v>
      </c>
      <c r="FT2" s="21" t="s">
        <v>1078</v>
      </c>
      <c r="FU2" s="21">
        <f>IF(COUNT(FU3:FU157)&gt;0,"Y","X")</f>
        <v>0</v>
      </c>
      <c r="FV2" s="21" t="s">
        <v>1078</v>
      </c>
      <c r="FW2" s="21">
        <f>IF(COUNT(FW3:FW157)&gt;0,"Y","X")</f>
        <v>0</v>
      </c>
      <c r="FX2" s="21" t="s">
        <v>1078</v>
      </c>
      <c r="FY2" s="21">
        <f>IF(COUNT(FY3:FY157)&gt;0,"Y","X")</f>
        <v>0</v>
      </c>
      <c r="FZ2" s="21" t="s">
        <v>1078</v>
      </c>
      <c r="GA2" s="21">
        <f>IF(COUNT(GA3:GA157)&gt;0,"Y","X")</f>
        <v>0</v>
      </c>
      <c r="GB2" s="21" t="s">
        <v>1078</v>
      </c>
      <c r="GC2" s="21">
        <f>IF(COUNT(GC3:GC157)&gt;0,"Y","X")</f>
        <v>0</v>
      </c>
      <c r="GD2" s="21" t="s">
        <v>1078</v>
      </c>
      <c r="GE2" s="21">
        <f>IF(COUNT(GE3:GE157)&gt;0,"Y","X")</f>
        <v>0</v>
      </c>
      <c r="GF2" s="21" t="s">
        <v>1078</v>
      </c>
      <c r="GG2" s="21">
        <f>IF(COUNT(GG3:GG157)&gt;0,"Y","X")</f>
        <v>0</v>
      </c>
      <c r="GH2" s="21" t="s">
        <v>1078</v>
      </c>
      <c r="GI2" s="21">
        <f>IF(COUNT(GI3:GI157)&gt;0,"Y","X")</f>
        <v>0</v>
      </c>
      <c r="GJ2" s="21" t="s">
        <v>1078</v>
      </c>
      <c r="GK2" s="21">
        <f>IF(COUNT(GK3:GK157)&gt;0,"Y","X")</f>
        <v>0</v>
      </c>
      <c r="GL2" s="21" t="s">
        <v>1078</v>
      </c>
      <c r="GM2" s="21">
        <f>IF(COUNT(GM3:GM157)&gt;0,"Y","X")</f>
        <v>0</v>
      </c>
      <c r="GN2" s="21" t="s">
        <v>1078</v>
      </c>
      <c r="GO2" s="21">
        <f>IF(COUNT(GO3:GO157)&gt;0,"Y","X")</f>
        <v>0</v>
      </c>
      <c r="GP2" s="21" t="s">
        <v>1078</v>
      </c>
      <c r="GQ2" s="21">
        <f>IF(COUNT(GQ3:GQ157)&gt;0,"Y","X")</f>
        <v>0</v>
      </c>
      <c r="GR2" s="21" t="s">
        <v>1078</v>
      </c>
      <c r="GS2" s="21">
        <f>IF(COUNT(GS3:GS157)&gt;0,"Y","X")</f>
        <v>0</v>
      </c>
      <c r="GT2" s="21" t="s">
        <v>1078</v>
      </c>
      <c r="GU2" s="21">
        <f>IF(COUNT(GU3:GU157)&gt;0,"Y","X")</f>
        <v>0</v>
      </c>
      <c r="GV2" s="21" t="s">
        <v>1078</v>
      </c>
      <c r="GW2" s="21">
        <f>IF(COUNT(GW3:GW157)&gt;0,"Y","X")</f>
        <v>0</v>
      </c>
      <c r="GX2" s="21" t="s">
        <v>1078</v>
      </c>
      <c r="GY2" s="21">
        <f>IF(COUNT(GY3:GY157)&gt;0,"Y","X")</f>
        <v>0</v>
      </c>
      <c r="GZ2" s="21" t="s">
        <v>1078</v>
      </c>
      <c r="HA2" s="21">
        <f>IF(COUNT(HA3:HA157)&gt;0,"Y","X")</f>
        <v>0</v>
      </c>
      <c r="HB2" s="21" t="s">
        <v>1078</v>
      </c>
      <c r="HC2" s="21">
        <f>IF(COUNT(HC3:HC157)&gt;0,"Y","X")</f>
        <v>0</v>
      </c>
      <c r="HD2" s="21" t="s">
        <v>1078</v>
      </c>
      <c r="HE2" s="21">
        <f>IF(COUNT(HE3:HE157)&gt;0,"Y","X")</f>
        <v>0</v>
      </c>
      <c r="HF2" s="21" t="s">
        <v>1078</v>
      </c>
      <c r="HG2" s="21">
        <f>IF(COUNT(HG3:HG157)&gt;0,"Y","X")</f>
        <v>0</v>
      </c>
      <c r="HH2" s="21" t="s">
        <v>1078</v>
      </c>
      <c r="HI2" s="21">
        <f>IF(COUNT(HI3:HI157)&gt;0,"Y","X")</f>
        <v>0</v>
      </c>
      <c r="HJ2" s="21" t="s">
        <v>1078</v>
      </c>
      <c r="HK2" s="21">
        <f>IF(COUNT(HK3:HK157)&gt;0,"Y","X")</f>
        <v>0</v>
      </c>
      <c r="HL2" s="21" t="s">
        <v>1078</v>
      </c>
      <c r="HM2" s="21">
        <f>IF(COUNT(HM3:HM157)&gt;0,"Y","X")</f>
        <v>0</v>
      </c>
      <c r="HN2" s="21" t="s">
        <v>1078</v>
      </c>
      <c r="HO2" s="21">
        <f>IF(COUNT(HO3:HO157)&gt;0,"Y","X")</f>
        <v>0</v>
      </c>
      <c r="HP2" s="21" t="s">
        <v>1078</v>
      </c>
      <c r="HQ2" s="21">
        <f>IF(COUNT(HQ3:HQ157)&gt;0,"Y","X")</f>
        <v>0</v>
      </c>
      <c r="HR2" s="21" t="s">
        <v>1078</v>
      </c>
      <c r="HS2" s="21">
        <f>IF(COUNT(HS3:HS157)&gt;0,"Y","X")</f>
        <v>0</v>
      </c>
      <c r="HT2" s="21" t="s">
        <v>1078</v>
      </c>
      <c r="HU2" s="21">
        <f>IF(COUNT(HU3:HU157)&gt;0,"Y","X")</f>
        <v>0</v>
      </c>
      <c r="HV2" s="21" t="s">
        <v>1078</v>
      </c>
      <c r="HW2" s="21">
        <f>IF(COUNT(HW3:HW157)&gt;0,"Y","X")</f>
        <v>0</v>
      </c>
      <c r="HX2" s="21" t="s">
        <v>1078</v>
      </c>
      <c r="HY2" s="21">
        <f>IF(COUNT(HY3:HY157)&gt;0,"Y","X")</f>
        <v>0</v>
      </c>
      <c r="HZ2" s="21" t="s">
        <v>1078</v>
      </c>
      <c r="IA2" s="21">
        <f>IF(COUNT(IA3:IA157)&gt;0,"Y","X")</f>
        <v>0</v>
      </c>
      <c r="IB2" s="21" t="s">
        <v>1078</v>
      </c>
      <c r="IC2" s="21">
        <f>IF(COUNT(IC3:IC157)&gt;0,"Y","X")</f>
        <v>0</v>
      </c>
      <c r="ID2" s="21" t="s">
        <v>1078</v>
      </c>
      <c r="IE2" s="21">
        <f>IF(COUNT(IE3:IE157)&gt;0,"Y","X")</f>
        <v>0</v>
      </c>
      <c r="IF2" s="21" t="s">
        <v>1078</v>
      </c>
      <c r="IG2" s="21">
        <f>IF(COUNT(IG3:IG157)&gt;0,"Y","X")</f>
        <v>0</v>
      </c>
      <c r="IH2" s="21" t="s">
        <v>1078</v>
      </c>
      <c r="II2" s="21">
        <f>IF(COUNT(II3:II157)&gt;0,"Y","X")</f>
        <v>0</v>
      </c>
      <c r="IJ2" s="21" t="s">
        <v>1078</v>
      </c>
      <c r="IK2" s="21">
        <f>IF(COUNT(IK3:IK157)&gt;0,"Y","X")</f>
        <v>0</v>
      </c>
      <c r="IL2" s="21" t="s">
        <v>1078</v>
      </c>
      <c r="IM2" s="21">
        <f>IF(COUNT(IM3:IM157)&gt;0,"Y","X")</f>
        <v>0</v>
      </c>
      <c r="IN2" s="21" t="s">
        <v>1078</v>
      </c>
      <c r="IO2" s="21">
        <f>IF(COUNT(IO3:IO157)&gt;0,"Y","X")</f>
        <v>0</v>
      </c>
      <c r="IP2" s="21" t="s">
        <v>1078</v>
      </c>
      <c r="IQ2" s="21">
        <f>IF(COUNT(IQ3:IQ157)&gt;0,"Y","X")</f>
        <v>0</v>
      </c>
      <c r="IR2" s="21" t="s">
        <v>1078</v>
      </c>
      <c r="IS2" s="21">
        <f>IF(COUNT(IS3:IS157)&gt;0,"Y","X")</f>
        <v>0</v>
      </c>
      <c r="IT2" s="21" t="s">
        <v>1078</v>
      </c>
      <c r="IU2" s="21">
        <f>IF(COUNT(IU3:IU157)&gt;0,"Y","X")</f>
        <v>0</v>
      </c>
      <c r="IV2" s="21" t="s">
        <v>1078</v>
      </c>
      <c r="IW2" s="21">
        <f>IF(COUNT(IW3:IW157)&gt;0,"Y","X")</f>
        <v>0</v>
      </c>
      <c r="IX2" s="21" t="s">
        <v>1078</v>
      </c>
      <c r="IY2" s="21">
        <f>IF(COUNT(IY3:IY157)&gt;0,"Y","X")</f>
        <v>0</v>
      </c>
      <c r="IZ2" s="21" t="s">
        <v>1078</v>
      </c>
      <c r="JA2" s="21">
        <f>IF(COUNT(JA3:JA157)&gt;0,"Y","X")</f>
        <v>0</v>
      </c>
      <c r="JB2" s="21" t="s">
        <v>1078</v>
      </c>
      <c r="JC2" s="21">
        <f>IF(COUNT(JC3:JC157)&gt;0,"Y","X")</f>
        <v>0</v>
      </c>
      <c r="JD2" s="21" t="s">
        <v>1078</v>
      </c>
      <c r="JE2" s="21">
        <f>IF(COUNT(JE3:JE157)&gt;0,"Y","X")</f>
        <v>0</v>
      </c>
      <c r="JF2" s="21" t="s">
        <v>1078</v>
      </c>
      <c r="JG2" s="21">
        <f>IF(COUNT(JG3:JG157)&gt;0,"Y","X")</f>
        <v>0</v>
      </c>
      <c r="JH2" s="21" t="s">
        <v>1078</v>
      </c>
      <c r="JI2" s="21">
        <f>IF(COUNT(JI3:JI157)&gt;0,"Y","X")</f>
        <v>0</v>
      </c>
      <c r="JJ2" s="21" t="s">
        <v>1078</v>
      </c>
      <c r="JK2" s="21">
        <f>IF(COUNT(JK3:JK157)&gt;0,"Y","X")</f>
        <v>0</v>
      </c>
      <c r="JL2" s="21" t="s">
        <v>1078</v>
      </c>
      <c r="JM2" s="21">
        <f>IF(COUNT(JM3:JM157)&gt;0,"Y","X")</f>
        <v>0</v>
      </c>
      <c r="JN2" s="21" t="s">
        <v>1078</v>
      </c>
      <c r="JO2" s="21">
        <f>IF(COUNT(JO3:JO157)&gt;0,"Y","X")</f>
        <v>0</v>
      </c>
      <c r="JP2" s="21" t="s">
        <v>1078</v>
      </c>
      <c r="JQ2" s="21">
        <f>IF(COUNT(JQ3:JQ157)&gt;0,"Y","X")</f>
        <v>0</v>
      </c>
      <c r="JR2" s="21" t="s">
        <v>1078</v>
      </c>
      <c r="JS2" s="21">
        <f>IF(COUNT(JS3:JS157)&gt;0,"Y","X")</f>
        <v>0</v>
      </c>
      <c r="JT2" s="21" t="s">
        <v>1078</v>
      </c>
      <c r="JU2" s="21">
        <f>IF(COUNT(JU3:JU157)&gt;0,"Y","X")</f>
        <v>0</v>
      </c>
      <c r="JV2" s="21" t="s">
        <v>1078</v>
      </c>
      <c r="JW2" s="21">
        <f>IF(COUNT(JW3:JW157)&gt;0,"Y","X")</f>
        <v>0</v>
      </c>
      <c r="JX2" s="21" t="s">
        <v>1078</v>
      </c>
      <c r="JY2" s="21">
        <f>IF(COUNT(JY3:JY157)&gt;0,"Y","X")</f>
        <v>0</v>
      </c>
      <c r="JZ2" s="21" t="s">
        <v>1078</v>
      </c>
      <c r="KA2" s="21">
        <f>IF(COUNT(KA3:KA157)&gt;0,"Y","X")</f>
        <v>0</v>
      </c>
      <c r="KB2" s="21" t="s">
        <v>1078</v>
      </c>
      <c r="KC2" s="21">
        <f>IF(COUNT(KC3:KC157)&gt;0,"Y","X")</f>
        <v>0</v>
      </c>
      <c r="KD2" s="21" t="s">
        <v>1078</v>
      </c>
      <c r="KE2" s="21">
        <f>IF(COUNT(KE3:KE157)&gt;0,"Y","X")</f>
        <v>0</v>
      </c>
      <c r="KF2" s="21" t="s">
        <v>1078</v>
      </c>
      <c r="KG2" s="21">
        <f>IF(COUNT(KG3:KG157)&gt;0,"Y","X")</f>
        <v>0</v>
      </c>
      <c r="KH2" s="21" t="s">
        <v>1078</v>
      </c>
      <c r="KI2" s="21">
        <f>IF(COUNT(KI3:KI157)&gt;0,"Y","X")</f>
        <v>0</v>
      </c>
      <c r="KJ2" s="21" t="s">
        <v>1078</v>
      </c>
      <c r="KK2" s="21">
        <f>IF(COUNT(KK3:KK157)&gt;0,"Y","X")</f>
        <v>0</v>
      </c>
      <c r="KL2" s="21" t="s">
        <v>1078</v>
      </c>
      <c r="KM2" s="21">
        <f>IF(COUNT(KM3:KM157)&gt;0,"Y","X")</f>
        <v>0</v>
      </c>
      <c r="KN2" s="21" t="s">
        <v>1078</v>
      </c>
      <c r="KO2" s="21">
        <f>IF(COUNT(KO3:KO157)&gt;0,"Y","X")</f>
        <v>0</v>
      </c>
      <c r="KP2" s="21" t="s">
        <v>1078</v>
      </c>
      <c r="KQ2" s="21">
        <f>IF(COUNT(KQ3:KQ157)&gt;0,"Y","X")</f>
        <v>0</v>
      </c>
      <c r="KR2" s="21" t="s">
        <v>1078</v>
      </c>
      <c r="KS2" s="21">
        <f>IF(COUNT(KS3:KS157)&gt;0,"Y","X")</f>
        <v>0</v>
      </c>
      <c r="KT2" s="21" t="s">
        <v>1078</v>
      </c>
      <c r="KU2" s="21">
        <f>IF(COUNT(KU3:KU157)&gt;0,"Y","X")</f>
        <v>0</v>
      </c>
      <c r="KV2" s="21" t="s">
        <v>1078</v>
      </c>
      <c r="KW2" s="21">
        <f>IF(COUNT(KW3:KW157)&gt;0,"Y","X")</f>
        <v>0</v>
      </c>
      <c r="KX2" s="21" t="s">
        <v>1078</v>
      </c>
      <c r="KY2" s="21">
        <f>IF(COUNT(KY3:KY157)&gt;0,"Y","X")</f>
        <v>0</v>
      </c>
      <c r="KZ2" s="21" t="s">
        <v>1078</v>
      </c>
      <c r="LA2" s="21">
        <f>IF(COUNT(LA3:LA157)&gt;0,"Y","X")</f>
        <v>0</v>
      </c>
      <c r="LB2" s="21" t="s">
        <v>1078</v>
      </c>
      <c r="LC2" s="21">
        <f>IF(COUNT(LC3:LC157)&gt;0,"Y","X")</f>
        <v>0</v>
      </c>
      <c r="LD2" s="21" t="s">
        <v>1078</v>
      </c>
      <c r="LE2" s="21">
        <f>IF(COUNT(LE3:LE157)&gt;0,"Y","X")</f>
        <v>0</v>
      </c>
      <c r="LF2" s="21" t="s">
        <v>1078</v>
      </c>
      <c r="LG2" s="21">
        <f>IF(COUNT(LG3:LG157)&gt;0,"Y","X")</f>
        <v>0</v>
      </c>
      <c r="LH2" s="21" t="s">
        <v>1078</v>
      </c>
    </row>
    <row r="3" spans="1:322" ht="53" customHeight="1" collapsed="1">
      <c r="A3" s="22" t="s">
        <v>707</v>
      </c>
      <c r="B3" s="23" t="s">
        <v>1080</v>
      </c>
      <c r="C3" s="24" t="s">
        <v>708</v>
      </c>
      <c r="D3" s="24"/>
      <c r="E3" s="25" t="s">
        <v>1081</v>
      </c>
      <c r="F3" s="26"/>
      <c r="G3" s="26"/>
      <c r="H3" s="26" t="s">
        <v>1082</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710</v>
      </c>
      <c r="E4" s="32" t="s">
        <v>1083</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715</v>
      </c>
      <c r="E5" s="32" t="s">
        <v>1059</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717</v>
      </c>
      <c r="E6" s="32" t="s">
        <v>1047</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719</v>
      </c>
      <c r="E7" s="32" t="s">
        <v>1058</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1084</v>
      </c>
    </row>
    <row r="8" spans="1:322" hidden="1" outlineLevel="1">
      <c r="B8" s="23"/>
      <c r="D8" s="31" t="s">
        <v>721</v>
      </c>
      <c r="E8" s="32" t="s">
        <v>1054</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723</v>
      </c>
      <c r="E9" s="32" t="s">
        <v>1052</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725</v>
      </c>
      <c r="E10" s="32" t="s">
        <v>1060</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1085</v>
      </c>
    </row>
    <row r="11" spans="1:322" hidden="1" outlineLevel="1">
      <c r="A11" s="36" t="s">
        <v>727</v>
      </c>
      <c r="B11" s="23"/>
      <c r="C11" s="37" t="s">
        <v>728</v>
      </c>
      <c r="E11" s="32" t="s">
        <v>1081</v>
      </c>
      <c r="F11" s="38">
        <f>MIN(F15:F21)</f>
        <v>45689.0</v>
      </c>
      <c r="H11" s="38" t="s">
        <v>1082</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1078</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1086</v>
      </c>
    </row>
    <row r="12" spans="1:322" hidden="1" outlineLevel="1">
      <c r="B12" s="23"/>
    </row>
    <row r="13" spans="1:322" hidden="1" outlineLevel="1">
      <c r="B13" s="23"/>
    </row>
    <row r="14" spans="1:322" hidden="1" outlineLevel="1">
      <c r="B14" s="23"/>
    </row>
    <row r="15" spans="1:322" hidden="1" outlineLevel="1">
      <c r="B15" s="23"/>
      <c r="D15" s="31" t="s">
        <v>710</v>
      </c>
      <c r="E15" s="32" t="s">
        <v>1083</v>
      </c>
      <c r="F15" s="38" t="s">
        <v>1087</v>
      </c>
      <c r="I15" s="40" t="s">
        <v>1088</v>
      </c>
      <c r="J15" s="34">
        <f>IF(AND(ISNUMBER(K15),ISNUMBER(I15)),K15-I15,"")</f>
        <v>0</v>
      </c>
      <c r="K15" s="33">
        <v>5</v>
      </c>
      <c r="L15" s="34">
        <f>IF(AND(ISNUMBER(M15),ISNUMBER(K15)),M15-K15,"")</f>
        <v>0</v>
      </c>
      <c r="M15" s="40" t="s">
        <v>1088</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715</v>
      </c>
      <c r="E16" s="32" t="s">
        <v>1059</v>
      </c>
      <c r="F16" s="38">
        <v>45689</v>
      </c>
      <c r="I16" s="40" t="s">
        <v>1088</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717</v>
      </c>
      <c r="E17" s="32" t="s">
        <v>1047</v>
      </c>
      <c r="I17" s="40" t="s">
        <v>1088</v>
      </c>
      <c r="J17" s="34">
        <f>IF(AND(ISNUMBER(K17),ISNUMBER(I17)),K17-I17,"")</f>
        <v>0</v>
      </c>
      <c r="K17" s="40" t="s">
        <v>1088</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1088</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719</v>
      </c>
      <c r="E18" s="32" t="s">
        <v>1058</v>
      </c>
      <c r="I18" s="40" t="s">
        <v>1088</v>
      </c>
      <c r="J18" s="34">
        <f>IF(AND(ISNUMBER(K18),ISNUMBER(I18)),K18-I18,"")</f>
        <v>0</v>
      </c>
      <c r="K18" s="40" t="s">
        <v>1088</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1088</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1084</v>
      </c>
    </row>
    <row r="19" spans="1:322" hidden="1" outlineLevel="1">
      <c r="B19" s="23"/>
      <c r="D19" s="31" t="s">
        <v>721</v>
      </c>
      <c r="E19" s="32" t="s">
        <v>1054</v>
      </c>
      <c r="F19" s="38">
        <v>45689</v>
      </c>
      <c r="I19" s="40" t="s">
        <v>1088</v>
      </c>
      <c r="J19" s="34">
        <f>IF(AND(ISNUMBER(K19),ISNUMBER(I19)),K19-I19,"")</f>
        <v>0</v>
      </c>
      <c r="K19" s="40" t="s">
        <v>1088</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723</v>
      </c>
      <c r="E20" s="32" t="s">
        <v>1052</v>
      </c>
      <c r="F20" s="38">
        <v>45689</v>
      </c>
      <c r="I20" s="33">
        <v>2</v>
      </c>
      <c r="J20" s="34">
        <f>IF(AND(ISNUMBER(K20),ISNUMBER(I20)),K20-I20,"")</f>
        <v>0</v>
      </c>
      <c r="K20" s="33">
        <v>0</v>
      </c>
      <c r="L20" s="34">
        <f>IF(AND(ISNUMBER(M20),ISNUMBER(K20)),M20-K20,"")</f>
        <v>0</v>
      </c>
      <c r="M20" s="33">
        <v>0</v>
      </c>
      <c r="N20" s="34">
        <f>IF(AND(ISNUMBER(O20),ISNUMBER(M20)),O20-M20,"")</f>
        <v>0</v>
      </c>
      <c r="O20" s="40" t="s">
        <v>1088</v>
      </c>
      <c r="P20" s="34">
        <f>IF(AND(ISNUMBER(Q20),ISNUMBER(O20)),Q20-O20,"")</f>
        <v>0</v>
      </c>
      <c r="Q20" s="33">
        <v>0</v>
      </c>
      <c r="R20" s="34">
        <f>IF(AND(ISNUMBER(S20),ISNUMBER(Q20)),S20-Q20,"")</f>
        <v>0</v>
      </c>
      <c r="S20" s="33">
        <v>8</v>
      </c>
      <c r="T20" s="34">
        <f>IF(AND(ISNUMBER(U20),ISNUMBER(S20)),U20-S20,"")</f>
        <v>0</v>
      </c>
      <c r="U20" s="40" t="s">
        <v>1088</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725</v>
      </c>
      <c r="E21" s="32" t="s">
        <v>1060</v>
      </c>
      <c r="F21" s="38">
        <v>45689</v>
      </c>
      <c r="I21" s="40" t="s">
        <v>1088</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1088</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1088</v>
      </c>
      <c r="AP21" s="34">
        <f>IF(AND(ISNUMBER(AQ21),ISNUMBER(AO21)),AQ21-AO21,"")</f>
        <v>0</v>
      </c>
      <c r="AQ21" s="40" t="s">
        <v>1088</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1085</v>
      </c>
    </row>
    <row r="22" spans="1:322" hidden="1" outlineLevel="1"/>
    <row r="23" spans="1:322" ht="40.25" customHeight="1" collapsed="1">
      <c r="A23" s="22" t="s">
        <v>737</v>
      </c>
      <c r="B23" s="23" t="s">
        <v>1089</v>
      </c>
      <c r="C23" s="24" t="s">
        <v>708</v>
      </c>
      <c r="D23" s="24"/>
      <c r="E23" s="25" t="s">
        <v>1081</v>
      </c>
      <c r="F23" s="26"/>
      <c r="G23" s="26"/>
      <c r="H23" s="26" t="s">
        <v>1082</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1086</v>
      </c>
    </row>
    <row r="24" spans="1:322" hidden="1" outlineLevel="1">
      <c r="B24" s="23"/>
      <c r="D24" s="31" t="s">
        <v>710</v>
      </c>
      <c r="E24" s="32" t="s">
        <v>1083</v>
      </c>
      <c r="F24" s="38" t="s">
        <v>1090</v>
      </c>
      <c r="I24" s="40" t="s">
        <v>1088</v>
      </c>
      <c r="J24" s="34">
        <f>IF(AND(ISNUMBER(K24),ISNUMBER(I24)),K24-I24,"")</f>
        <v>0</v>
      </c>
      <c r="K24" s="40" t="s">
        <v>1088</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1088</v>
      </c>
      <c r="Z24" s="34">
        <f>IF(AND(ISNUMBER(AA24),ISNUMBER(Y24)),AA24-Y24,"")</f>
        <v>0</v>
      </c>
      <c r="AA24" s="40" t="s">
        <v>1088</v>
      </c>
      <c r="AB24" s="34">
        <f>IF(AND(ISNUMBER(AC24),ISNUMBER(AA24)),AC24-AA24,"")</f>
        <v>0</v>
      </c>
      <c r="AC24" s="40" t="s">
        <v>1088</v>
      </c>
      <c r="AD24" s="34">
        <f>IF(AND(ISNUMBER(AE24),ISNUMBER(AC24)),AE24-AC24,"")</f>
        <v>0</v>
      </c>
      <c r="AE24" s="40" t="s">
        <v>1088</v>
      </c>
      <c r="AF24" s="34">
        <f>IF(AND(ISNUMBER(AG24),ISNUMBER(AE24)),AG24-AE24,"")</f>
        <v>0</v>
      </c>
      <c r="AG24" s="40" t="s">
        <v>1088</v>
      </c>
      <c r="AH24" s="34">
        <f>IF(AND(ISNUMBER(AI24),ISNUMBER(AG24)),AI24-AG24,"")</f>
        <v>0</v>
      </c>
      <c r="AI24" s="40" t="s">
        <v>1088</v>
      </c>
      <c r="AJ24" s="34">
        <f>IF(AND(ISNUMBER(AK24),ISNUMBER(AI24)),AK24-AI24,"")</f>
        <v>0</v>
      </c>
      <c r="AK24" s="33">
        <v>0</v>
      </c>
      <c r="AL24" s="34">
        <f>IF(AND(ISNUMBER(AM24),ISNUMBER(AK24)),AM24-AK24,"")</f>
        <v>0</v>
      </c>
      <c r="AM24" s="40" t="s">
        <v>1088</v>
      </c>
      <c r="AN24" s="34">
        <f>IF(AND(ISNUMBER(AO24),ISNUMBER(AM24)),AO24-AM24,"")</f>
        <v>0</v>
      </c>
      <c r="AO24" s="40" t="s">
        <v>1088</v>
      </c>
      <c r="AP24" s="34">
        <f>IF(AND(ISNUMBER(AQ24),ISNUMBER(AO24)),AQ24-AO24,"")</f>
        <v>0</v>
      </c>
      <c r="AQ24" s="40" t="s">
        <v>1088</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715</v>
      </c>
      <c r="E25" s="32" t="s">
        <v>1059</v>
      </c>
      <c r="I25" s="40" t="s">
        <v>1088</v>
      </c>
      <c r="J25" s="34">
        <f>IF(AND(ISNUMBER(K25),ISNUMBER(I25)),K25-I25,"")</f>
        <v>0</v>
      </c>
      <c r="K25" s="33">
        <v>5</v>
      </c>
      <c r="L25" s="34">
        <f>IF(AND(ISNUMBER(M25),ISNUMBER(K25)),M25-K25,"")</f>
        <v>0</v>
      </c>
      <c r="M25" s="33">
        <v>0</v>
      </c>
      <c r="N25" s="34">
        <f>IF(AND(ISNUMBER(O25),ISNUMBER(M25)),O25-M25,"")</f>
        <v>0</v>
      </c>
      <c r="O25" s="40" t="s">
        <v>1088</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1088</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717</v>
      </c>
      <c r="E26" s="32" t="s">
        <v>1047</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719</v>
      </c>
      <c r="E27" s="32" t="s">
        <v>1058</v>
      </c>
      <c r="I27" s="40" t="s">
        <v>1088</v>
      </c>
      <c r="J27" s="34">
        <f>IF(AND(ISNUMBER(K27),ISNUMBER(I27)),K27-I27,"")</f>
        <v>0</v>
      </c>
      <c r="K27" s="40" t="s">
        <v>1088</v>
      </c>
      <c r="L27" s="34">
        <f>IF(AND(ISNUMBER(M27),ISNUMBER(K27)),M27-K27,"")</f>
        <v>0</v>
      </c>
      <c r="M27" s="33">
        <v>0</v>
      </c>
      <c r="N27" s="34">
        <f>IF(AND(ISNUMBER(O27),ISNUMBER(M27)),O27-M27,"")</f>
        <v>0</v>
      </c>
      <c r="O27" s="40" t="s">
        <v>1088</v>
      </c>
      <c r="P27" s="34">
        <f>IF(AND(ISNUMBER(Q27),ISNUMBER(O27)),Q27-O27,"")</f>
        <v>0</v>
      </c>
      <c r="Q27" s="40" t="s">
        <v>1088</v>
      </c>
      <c r="R27" s="34">
        <f>IF(AND(ISNUMBER(S27),ISNUMBER(Q27)),S27-Q27,"")</f>
        <v>0</v>
      </c>
      <c r="S27" s="33">
        <v>12</v>
      </c>
      <c r="T27" s="34">
        <f>IF(AND(ISNUMBER(U27),ISNUMBER(S27)),U27-S27,"")</f>
        <v>0</v>
      </c>
      <c r="U27" s="40" t="s">
        <v>1088</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1088</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1091</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1092</v>
      </c>
    </row>
    <row r="28" spans="1:322" hidden="1" outlineLevel="1">
      <c r="B28" s="23"/>
      <c r="D28" s="31" t="s">
        <v>721</v>
      </c>
      <c r="E28" s="32" t="s">
        <v>1054</v>
      </c>
      <c r="I28" s="40" t="s">
        <v>1088</v>
      </c>
      <c r="J28" s="34">
        <f>IF(AND(ISNUMBER(K28),ISNUMBER(I28)),K28-I28,"")</f>
        <v>0</v>
      </c>
      <c r="K28" s="40" t="s">
        <v>1088</v>
      </c>
      <c r="L28" s="34">
        <f>IF(AND(ISNUMBER(M28),ISNUMBER(K28)),M28-K28,"")</f>
        <v>0</v>
      </c>
      <c r="M28" s="40" t="s">
        <v>1088</v>
      </c>
      <c r="N28" s="34">
        <f>IF(AND(ISNUMBER(O28),ISNUMBER(M28)),O28-M28,"")</f>
        <v>0</v>
      </c>
      <c r="O28" s="40" t="s">
        <v>1088</v>
      </c>
      <c r="P28" s="34">
        <f>IF(AND(ISNUMBER(Q28),ISNUMBER(O28)),Q28-O28,"")</f>
        <v>0</v>
      </c>
      <c r="Q28" s="40" t="s">
        <v>1088</v>
      </c>
      <c r="R28" s="34">
        <f>IF(AND(ISNUMBER(S28),ISNUMBER(Q28)),S28-Q28,"")</f>
        <v>0</v>
      </c>
      <c r="S28" s="40" t="s">
        <v>1088</v>
      </c>
      <c r="T28" s="34">
        <f>IF(AND(ISNUMBER(U28),ISNUMBER(S28)),U28-S28,"")</f>
        <v>0</v>
      </c>
      <c r="U28" s="40" t="s">
        <v>1088</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723</v>
      </c>
      <c r="E29" s="32" t="s">
        <v>1052</v>
      </c>
      <c r="I29" s="40" t="s">
        <v>1088</v>
      </c>
      <c r="J29" s="34">
        <f>IF(AND(ISNUMBER(K29),ISNUMBER(I29)),K29-I29,"")</f>
        <v>0</v>
      </c>
      <c r="K29" s="40" t="s">
        <v>1088</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1088</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725</v>
      </c>
      <c r="E30" s="32" t="s">
        <v>1060</v>
      </c>
      <c r="I30" s="40" t="s">
        <v>1088</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1088</v>
      </c>
      <c r="AP30" s="34">
        <f>IF(AND(ISNUMBER(AQ30),ISNUMBER(AO30)),AQ30-AO30,"")</f>
        <v>0</v>
      </c>
      <c r="AQ30" s="40" t="s">
        <v>1088</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1085</v>
      </c>
    </row>
    <row r="31" spans="1:322" hidden="1" outlineLevel="1">
      <c r="A31" s="36" t="s">
        <v>745</v>
      </c>
      <c r="B31" s="23"/>
      <c r="C31" s="37" t="s">
        <v>728</v>
      </c>
      <c r="E31" s="32" t="s">
        <v>1081</v>
      </c>
      <c r="F31" s="38">
        <f>MIN(F32:F38)</f>
        <v>45689.0</v>
      </c>
      <c r="H31" s="38" t="s">
        <v>1082</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1078</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1086</v>
      </c>
    </row>
    <row r="32" spans="1:322" hidden="1" outlineLevel="1">
      <c r="B32" s="23"/>
      <c r="D32" s="31" t="s">
        <v>710</v>
      </c>
      <c r="E32" s="32" t="s">
        <v>1083</v>
      </c>
      <c r="F32" s="38" t="s">
        <v>1093</v>
      </c>
      <c r="I32" s="40" t="s">
        <v>1088</v>
      </c>
      <c r="J32" s="34">
        <f>IF(AND(ISNUMBER(K32),ISNUMBER(I32)),K32-I32,"")</f>
        <v>0</v>
      </c>
      <c r="K32" s="40" t="s">
        <v>1088</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1088</v>
      </c>
      <c r="Z32" s="34">
        <f>IF(AND(ISNUMBER(AA32),ISNUMBER(Y32)),AA32-Y32,"")</f>
        <v>0</v>
      </c>
      <c r="AA32" s="40" t="s">
        <v>1088</v>
      </c>
      <c r="AB32" s="34">
        <f>IF(AND(ISNUMBER(AC32),ISNUMBER(AA32)),AC32-AA32,"")</f>
        <v>0</v>
      </c>
      <c r="AC32" s="40" t="s">
        <v>1088</v>
      </c>
      <c r="AD32" s="34">
        <f>IF(AND(ISNUMBER(AE32),ISNUMBER(AC32)),AE32-AC32,"")</f>
        <v>0</v>
      </c>
      <c r="AE32" s="40" t="s">
        <v>1088</v>
      </c>
      <c r="AF32" s="34">
        <f>IF(AND(ISNUMBER(AG32),ISNUMBER(AE32)),AG32-AE32,"")</f>
        <v>0</v>
      </c>
      <c r="AG32" s="40" t="s">
        <v>1088</v>
      </c>
      <c r="AH32" s="34">
        <f>IF(AND(ISNUMBER(AI32),ISNUMBER(AG32)),AI32-AG32,"")</f>
        <v>0</v>
      </c>
      <c r="AI32" s="40" t="s">
        <v>1088</v>
      </c>
      <c r="AJ32" s="34">
        <f>IF(AND(ISNUMBER(AK32),ISNUMBER(AI32)),AK32-AI32,"")</f>
        <v>0</v>
      </c>
      <c r="AK32" s="33">
        <v>0</v>
      </c>
      <c r="AL32" s="34">
        <f>IF(AND(ISNUMBER(AM32),ISNUMBER(AK32)),AM32-AK32,"")</f>
        <v>0</v>
      </c>
      <c r="AM32" s="40" t="s">
        <v>1088</v>
      </c>
      <c r="AN32" s="34">
        <f>IF(AND(ISNUMBER(AO32),ISNUMBER(AM32)),AO32-AM32,"")</f>
        <v>0</v>
      </c>
      <c r="AO32" s="40" t="s">
        <v>1088</v>
      </c>
      <c r="AP32" s="34">
        <f>IF(AND(ISNUMBER(AQ32),ISNUMBER(AO32)),AQ32-AO32,"")</f>
        <v>0</v>
      </c>
      <c r="AQ32" s="40" t="s">
        <v>1088</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715</v>
      </c>
      <c r="E33" s="32" t="s">
        <v>1059</v>
      </c>
      <c r="F33" s="38">
        <v>45689</v>
      </c>
      <c r="I33" s="40" t="s">
        <v>1088</v>
      </c>
      <c r="J33" s="34">
        <f>IF(AND(ISNUMBER(K33),ISNUMBER(I33)),K33-I33,"")</f>
        <v>0</v>
      </c>
      <c r="K33" s="33">
        <v>5</v>
      </c>
      <c r="L33" s="34">
        <f>IF(AND(ISNUMBER(M33),ISNUMBER(K33)),M33-K33,"")</f>
        <v>0</v>
      </c>
      <c r="M33" s="33">
        <v>0</v>
      </c>
      <c r="N33" s="34">
        <f>IF(AND(ISNUMBER(O33),ISNUMBER(M33)),O33-M33,"")</f>
        <v>0</v>
      </c>
      <c r="O33" s="40" t="s">
        <v>1088</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1088</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717</v>
      </c>
      <c r="E34" s="32" t="s">
        <v>1047</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719</v>
      </c>
      <c r="E35" s="32" t="s">
        <v>1058</v>
      </c>
      <c r="F35" s="38">
        <v>45689</v>
      </c>
      <c r="I35" s="33">
        <v>3</v>
      </c>
      <c r="J35" s="34">
        <f>IF(AND(ISNUMBER(K35),ISNUMBER(I35)),K35-I35,"")</f>
        <v>0</v>
      </c>
      <c r="K35" s="33">
        <v>2</v>
      </c>
      <c r="L35" s="34">
        <f>IF(AND(ISNUMBER(M35),ISNUMBER(K35)),M35-K35,"")</f>
        <v>0</v>
      </c>
      <c r="M35" s="33">
        <v>0</v>
      </c>
      <c r="N35" s="34">
        <f>IF(AND(ISNUMBER(O35),ISNUMBER(M35)),O35-M35,"")</f>
        <v>0</v>
      </c>
      <c r="O35" s="40" t="s">
        <v>1088</v>
      </c>
      <c r="P35" s="34">
        <f>IF(AND(ISNUMBER(Q35),ISNUMBER(O35)),Q35-O35,"")</f>
        <v>0</v>
      </c>
      <c r="Q35" s="40" t="s">
        <v>1088</v>
      </c>
      <c r="R35" s="34">
        <f>IF(AND(ISNUMBER(S35),ISNUMBER(Q35)),S35-Q35,"")</f>
        <v>0</v>
      </c>
      <c r="S35" s="33">
        <v>12</v>
      </c>
      <c r="T35" s="34">
        <f>IF(AND(ISNUMBER(U35),ISNUMBER(S35)),U35-S35,"")</f>
        <v>0</v>
      </c>
      <c r="U35" s="40" t="s">
        <v>1088</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1088</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1094</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1092</v>
      </c>
    </row>
    <row r="36" spans="1:322" hidden="1" outlineLevel="1">
      <c r="B36" s="23"/>
      <c r="D36" s="31" t="s">
        <v>721</v>
      </c>
      <c r="E36" s="32" t="s">
        <v>1054</v>
      </c>
      <c r="F36" s="38">
        <v>45689</v>
      </c>
      <c r="I36" s="40" t="s">
        <v>1088</v>
      </c>
      <c r="J36" s="34">
        <f>IF(AND(ISNUMBER(K36),ISNUMBER(I36)),K36-I36,"")</f>
        <v>0</v>
      </c>
      <c r="K36" s="40" t="s">
        <v>1088</v>
      </c>
      <c r="L36" s="34">
        <f>IF(AND(ISNUMBER(M36),ISNUMBER(K36)),M36-K36,"")</f>
        <v>0</v>
      </c>
      <c r="M36" s="40" t="s">
        <v>1088</v>
      </c>
      <c r="N36" s="34">
        <f>IF(AND(ISNUMBER(O36),ISNUMBER(M36)),O36-M36,"")</f>
        <v>0</v>
      </c>
      <c r="O36" s="40" t="s">
        <v>1088</v>
      </c>
      <c r="P36" s="34">
        <f>IF(AND(ISNUMBER(Q36),ISNUMBER(O36)),Q36-O36,"")</f>
        <v>0</v>
      </c>
      <c r="Q36" s="40" t="s">
        <v>1088</v>
      </c>
      <c r="R36" s="34">
        <f>IF(AND(ISNUMBER(S36),ISNUMBER(Q36)),S36-Q36,"")</f>
        <v>0</v>
      </c>
      <c r="S36" s="40" t="s">
        <v>1088</v>
      </c>
      <c r="T36" s="34">
        <f>IF(AND(ISNUMBER(U36),ISNUMBER(S36)),U36-S36,"")</f>
        <v>0</v>
      </c>
      <c r="U36" s="40" t="s">
        <v>1088</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723</v>
      </c>
      <c r="E37" s="32" t="s">
        <v>1052</v>
      </c>
      <c r="F37" s="38">
        <v>45689</v>
      </c>
      <c r="I37" s="40" t="s">
        <v>1088</v>
      </c>
      <c r="J37" s="34">
        <f>IF(AND(ISNUMBER(K37),ISNUMBER(I37)),K37-I37,"")</f>
        <v>0</v>
      </c>
      <c r="K37" s="40" t="s">
        <v>1088</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1088</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725</v>
      </c>
      <c r="E38" s="32" t="s">
        <v>1060</v>
      </c>
      <c r="F38" s="38">
        <v>45689</v>
      </c>
      <c r="I38" s="40" t="s">
        <v>1088</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1088</v>
      </c>
      <c r="AP38" s="34">
        <f>IF(AND(ISNUMBER(AQ38),ISNUMBER(AO38)),AQ38-AO38,"")</f>
        <v>0</v>
      </c>
      <c r="AQ38" s="40" t="s">
        <v>1088</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1085</v>
      </c>
    </row>
    <row r="39" spans="1:322" ht="27.5" customHeight="1" collapsed="1">
      <c r="A39" s="22">
        <v>3</v>
      </c>
      <c r="B39" s="23" t="s">
        <v>1095</v>
      </c>
      <c r="C39" s="24" t="s">
        <v>728</v>
      </c>
      <c r="D39" s="24"/>
      <c r="E39" s="25" t="s">
        <v>1081</v>
      </c>
      <c r="F39" s="26"/>
      <c r="G39" s="26"/>
      <c r="H39" s="26" t="s">
        <v>1096</v>
      </c>
      <c r="I39" s="27">
        <v>375</v>
      </c>
      <c r="J39" s="28">
        <f>IF(AND(ISNUMBER(K39),ISNUMBER(I39)),K39-I39,"")</f>
        <v>0</v>
      </c>
      <c r="K39" s="42" t="s">
        <v>1088</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1088</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1088</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1078</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1086</v>
      </c>
    </row>
    <row r="40" spans="1:322" hidden="1" outlineLevel="1">
      <c r="B40" s="23"/>
      <c r="D40" s="31" t="s">
        <v>710</v>
      </c>
      <c r="E40" s="32" t="s">
        <v>1083</v>
      </c>
      <c r="F40" s="38" t="s">
        <v>1097</v>
      </c>
      <c r="I40" s="40" t="s">
        <v>1078</v>
      </c>
      <c r="J40" s="34">
        <f>IF(AND(ISNUMBER(K40),ISNUMBER(I40)),K40-I40,"")</f>
        <v>0</v>
      </c>
      <c r="K40" s="40" t="s">
        <v>1078</v>
      </c>
      <c r="L40" s="34">
        <f>IF(AND(ISNUMBER(M40),ISNUMBER(K40)),M40-K40,"")</f>
        <v>0</v>
      </c>
      <c r="M40" s="40" t="s">
        <v>1078</v>
      </c>
      <c r="N40" s="34">
        <f>IF(AND(ISNUMBER(O40),ISNUMBER(M40)),O40-M40,"")</f>
        <v>0</v>
      </c>
      <c r="O40" s="40" t="s">
        <v>1078</v>
      </c>
      <c r="P40" s="34">
        <f>IF(AND(ISNUMBER(Q40),ISNUMBER(O40)),Q40-O40,"")</f>
        <v>0</v>
      </c>
      <c r="Q40" s="40" t="s">
        <v>1078</v>
      </c>
      <c r="R40" s="34">
        <f>IF(AND(ISNUMBER(S40),ISNUMBER(Q40)),S40-Q40,"")</f>
        <v>0</v>
      </c>
      <c r="S40" s="40" t="s">
        <v>1078</v>
      </c>
      <c r="T40" s="34">
        <f>IF(AND(ISNUMBER(U40),ISNUMBER(S40)),U40-S40,"")</f>
        <v>0</v>
      </c>
      <c r="U40" s="40" t="s">
        <v>1078</v>
      </c>
      <c r="V40" s="34">
        <f>IF(AND(ISNUMBER(W40),ISNUMBER(U40)),W40-U40,"")</f>
        <v>0</v>
      </c>
      <c r="W40" s="40" t="s">
        <v>1078</v>
      </c>
      <c r="X40" s="34">
        <f>IF(AND(ISNUMBER(Y40),ISNUMBER(W40)),Y40-W40,"")</f>
        <v>0</v>
      </c>
      <c r="Y40" s="40" t="s">
        <v>1078</v>
      </c>
      <c r="Z40" s="34">
        <f>IF(AND(ISNUMBER(AA40),ISNUMBER(Y40)),AA40-Y40,"")</f>
        <v>0</v>
      </c>
      <c r="AA40" s="40" t="s">
        <v>1078</v>
      </c>
      <c r="AB40" s="34">
        <f>IF(AND(ISNUMBER(AC40),ISNUMBER(AA40)),AC40-AA40,"")</f>
        <v>0</v>
      </c>
      <c r="AC40" s="40" t="s">
        <v>1078</v>
      </c>
      <c r="AD40" s="34">
        <f>IF(AND(ISNUMBER(AE40),ISNUMBER(AC40)),AE40-AC40,"")</f>
        <v>0</v>
      </c>
      <c r="AE40" s="40" t="s">
        <v>1078</v>
      </c>
      <c r="AF40" s="34">
        <f>IF(AND(ISNUMBER(AG40),ISNUMBER(AE40)),AG40-AE40,"")</f>
        <v>0</v>
      </c>
      <c r="AG40" s="40" t="s">
        <v>1078</v>
      </c>
      <c r="AH40" s="34">
        <f>IF(AND(ISNUMBER(AI40),ISNUMBER(AG40)),AI40-AG40,"")</f>
        <v>0</v>
      </c>
      <c r="AI40" s="40" t="s">
        <v>1078</v>
      </c>
      <c r="AJ40" s="34">
        <f>IF(AND(ISNUMBER(AK40),ISNUMBER(AI40)),AK40-AI40,"")</f>
        <v>0</v>
      </c>
      <c r="AK40" s="40" t="s">
        <v>1078</v>
      </c>
      <c r="AL40" s="34">
        <f>IF(AND(ISNUMBER(AM40),ISNUMBER(AK40)),AM40-AK40,"")</f>
        <v>0</v>
      </c>
      <c r="AM40" s="40" t="s">
        <v>1078</v>
      </c>
      <c r="AN40" s="34">
        <f>IF(AND(ISNUMBER(AO40),ISNUMBER(AM40)),AO40-AM40,"")</f>
        <v>0</v>
      </c>
      <c r="AO40" s="40" t="s">
        <v>1078</v>
      </c>
      <c r="AP40" s="34">
        <f>IF(AND(ISNUMBER(AQ40),ISNUMBER(AO40)),AQ40-AO40,"")</f>
        <v>0</v>
      </c>
      <c r="AQ40" s="40" t="s">
        <v>1078</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715</v>
      </c>
      <c r="E41" s="32" t="s">
        <v>1059</v>
      </c>
      <c r="I41" s="40" t="s">
        <v>1078</v>
      </c>
      <c r="J41" s="34">
        <f>IF(AND(ISNUMBER(K41),ISNUMBER(I41)),K41-I41,"")</f>
        <v>0</v>
      </c>
      <c r="K41" s="40" t="s">
        <v>1078</v>
      </c>
      <c r="L41" s="34">
        <f>IF(AND(ISNUMBER(M41),ISNUMBER(K41)),M41-K41,"")</f>
        <v>0</v>
      </c>
      <c r="M41" s="40" t="s">
        <v>1078</v>
      </c>
      <c r="N41" s="34">
        <f>IF(AND(ISNUMBER(O41),ISNUMBER(M41)),O41-M41,"")</f>
        <v>0</v>
      </c>
      <c r="O41" s="40" t="s">
        <v>1078</v>
      </c>
      <c r="P41" s="34">
        <f>IF(AND(ISNUMBER(Q41),ISNUMBER(O41)),Q41-O41,"")</f>
        <v>0</v>
      </c>
      <c r="Q41" s="40" t="s">
        <v>1078</v>
      </c>
      <c r="R41" s="34">
        <f>IF(AND(ISNUMBER(S41),ISNUMBER(Q41)),S41-Q41,"")</f>
        <v>0</v>
      </c>
      <c r="S41" s="40" t="s">
        <v>1078</v>
      </c>
      <c r="T41" s="34">
        <f>IF(AND(ISNUMBER(U41),ISNUMBER(S41)),U41-S41,"")</f>
        <v>0</v>
      </c>
      <c r="U41" s="40" t="s">
        <v>1078</v>
      </c>
      <c r="V41" s="34">
        <f>IF(AND(ISNUMBER(W41),ISNUMBER(U41)),W41-U41,"")</f>
        <v>0</v>
      </c>
      <c r="W41" s="40" t="s">
        <v>1078</v>
      </c>
      <c r="X41" s="34">
        <f>IF(AND(ISNUMBER(Y41),ISNUMBER(W41)),Y41-W41,"")</f>
        <v>0</v>
      </c>
      <c r="Y41" s="40" t="s">
        <v>1078</v>
      </c>
      <c r="Z41" s="34">
        <f>IF(AND(ISNUMBER(AA41),ISNUMBER(Y41)),AA41-Y41,"")</f>
        <v>0</v>
      </c>
      <c r="AA41" s="40" t="s">
        <v>1078</v>
      </c>
      <c r="AB41" s="34">
        <f>IF(AND(ISNUMBER(AC41),ISNUMBER(AA41)),AC41-AA41,"")</f>
        <v>0</v>
      </c>
      <c r="AC41" s="40" t="s">
        <v>1078</v>
      </c>
      <c r="AD41" s="34">
        <f>IF(AND(ISNUMBER(AE41),ISNUMBER(AC41)),AE41-AC41,"")</f>
        <v>0</v>
      </c>
      <c r="AE41" s="40" t="s">
        <v>1078</v>
      </c>
      <c r="AF41" s="34">
        <f>IF(AND(ISNUMBER(AG41),ISNUMBER(AE41)),AG41-AE41,"")</f>
        <v>0</v>
      </c>
      <c r="AG41" s="40" t="s">
        <v>1078</v>
      </c>
      <c r="AH41" s="34">
        <f>IF(AND(ISNUMBER(AI41),ISNUMBER(AG41)),AI41-AG41,"")</f>
        <v>0</v>
      </c>
      <c r="AI41" s="40" t="s">
        <v>1078</v>
      </c>
      <c r="AJ41" s="34">
        <f>IF(AND(ISNUMBER(AK41),ISNUMBER(AI41)),AK41-AI41,"")</f>
        <v>0</v>
      </c>
      <c r="AK41" s="40" t="s">
        <v>1078</v>
      </c>
      <c r="AL41" s="34">
        <f>IF(AND(ISNUMBER(AM41),ISNUMBER(AK41)),AM41-AK41,"")</f>
        <v>0</v>
      </c>
      <c r="AM41" s="40" t="s">
        <v>1078</v>
      </c>
      <c r="AN41" s="34">
        <f>IF(AND(ISNUMBER(AO41),ISNUMBER(AM41)),AO41-AM41,"")</f>
        <v>0</v>
      </c>
      <c r="AO41" s="40" t="s">
        <v>1078</v>
      </c>
      <c r="AP41" s="34">
        <f>IF(AND(ISNUMBER(AQ41),ISNUMBER(AO41)),AQ41-AO41,"")</f>
        <v>0</v>
      </c>
      <c r="AQ41" s="40" t="s">
        <v>1078</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717</v>
      </c>
      <c r="E42" s="32" t="s">
        <v>1047</v>
      </c>
      <c r="I42" s="40" t="s">
        <v>1078</v>
      </c>
      <c r="J42" s="34">
        <f>IF(AND(ISNUMBER(K42),ISNUMBER(I42)),K42-I42,"")</f>
        <v>0</v>
      </c>
      <c r="K42" s="40" t="s">
        <v>1078</v>
      </c>
      <c r="L42" s="34">
        <f>IF(AND(ISNUMBER(M42),ISNUMBER(K42)),M42-K42,"")</f>
        <v>0</v>
      </c>
      <c r="M42" s="40" t="s">
        <v>1078</v>
      </c>
      <c r="N42" s="34">
        <f>IF(AND(ISNUMBER(O42),ISNUMBER(M42)),O42-M42,"")</f>
        <v>0</v>
      </c>
      <c r="O42" s="40" t="s">
        <v>1078</v>
      </c>
      <c r="P42" s="34">
        <f>IF(AND(ISNUMBER(Q42),ISNUMBER(O42)),Q42-O42,"")</f>
        <v>0</v>
      </c>
      <c r="Q42" s="40" t="s">
        <v>1078</v>
      </c>
      <c r="R42" s="34">
        <f>IF(AND(ISNUMBER(S42),ISNUMBER(Q42)),S42-Q42,"")</f>
        <v>0</v>
      </c>
      <c r="S42" s="40" t="s">
        <v>1078</v>
      </c>
      <c r="T42" s="34">
        <f>IF(AND(ISNUMBER(U42),ISNUMBER(S42)),U42-S42,"")</f>
        <v>0</v>
      </c>
      <c r="U42" s="40" t="s">
        <v>1078</v>
      </c>
      <c r="V42" s="34">
        <f>IF(AND(ISNUMBER(W42),ISNUMBER(U42)),W42-U42,"")</f>
        <v>0</v>
      </c>
      <c r="W42" s="40" t="s">
        <v>1078</v>
      </c>
      <c r="X42" s="34">
        <f>IF(AND(ISNUMBER(Y42),ISNUMBER(W42)),Y42-W42,"")</f>
        <v>0</v>
      </c>
      <c r="Y42" s="40" t="s">
        <v>1078</v>
      </c>
      <c r="Z42" s="34">
        <f>IF(AND(ISNUMBER(AA42),ISNUMBER(Y42)),AA42-Y42,"")</f>
        <v>0</v>
      </c>
      <c r="AA42" s="40" t="s">
        <v>1078</v>
      </c>
      <c r="AB42" s="34">
        <f>IF(AND(ISNUMBER(AC42),ISNUMBER(AA42)),AC42-AA42,"")</f>
        <v>0</v>
      </c>
      <c r="AC42" s="40" t="s">
        <v>1078</v>
      </c>
      <c r="AD42" s="34">
        <f>IF(AND(ISNUMBER(AE42),ISNUMBER(AC42)),AE42-AC42,"")</f>
        <v>0</v>
      </c>
      <c r="AE42" s="40" t="s">
        <v>1078</v>
      </c>
      <c r="AF42" s="34">
        <f>IF(AND(ISNUMBER(AG42),ISNUMBER(AE42)),AG42-AE42,"")</f>
        <v>0</v>
      </c>
      <c r="AG42" s="40" t="s">
        <v>1078</v>
      </c>
      <c r="AH42" s="34">
        <f>IF(AND(ISNUMBER(AI42),ISNUMBER(AG42)),AI42-AG42,"")</f>
        <v>0</v>
      </c>
      <c r="AI42" s="40" t="s">
        <v>1078</v>
      </c>
      <c r="AJ42" s="34">
        <f>IF(AND(ISNUMBER(AK42),ISNUMBER(AI42)),AK42-AI42,"")</f>
        <v>0</v>
      </c>
      <c r="AK42" s="40" t="s">
        <v>1078</v>
      </c>
      <c r="AL42" s="34">
        <f>IF(AND(ISNUMBER(AM42),ISNUMBER(AK42)),AM42-AK42,"")</f>
        <v>0</v>
      </c>
      <c r="AM42" s="40" t="s">
        <v>1078</v>
      </c>
      <c r="AN42" s="34">
        <f>IF(AND(ISNUMBER(AO42),ISNUMBER(AM42)),AO42-AM42,"")</f>
        <v>0</v>
      </c>
      <c r="AO42" s="40" t="s">
        <v>1078</v>
      </c>
      <c r="AP42" s="34">
        <f>IF(AND(ISNUMBER(AQ42),ISNUMBER(AO42)),AQ42-AO42,"")</f>
        <v>0</v>
      </c>
      <c r="AQ42" s="40" t="s">
        <v>1078</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719</v>
      </c>
      <c r="E43" s="32" t="s">
        <v>1058</v>
      </c>
      <c r="I43" s="40" t="s">
        <v>1078</v>
      </c>
      <c r="J43" s="34">
        <f>IF(AND(ISNUMBER(K43),ISNUMBER(I43)),K43-I43,"")</f>
        <v>0</v>
      </c>
      <c r="K43" s="40" t="s">
        <v>1078</v>
      </c>
      <c r="L43" s="34">
        <f>IF(AND(ISNUMBER(M43),ISNUMBER(K43)),M43-K43,"")</f>
        <v>0</v>
      </c>
      <c r="M43" s="33">
        <v>2</v>
      </c>
      <c r="N43" s="34">
        <f>IF(AND(ISNUMBER(O43),ISNUMBER(M43)),O43-M43,"")</f>
        <v>0</v>
      </c>
      <c r="O43" s="40" t="s">
        <v>1078</v>
      </c>
      <c r="P43" s="34">
        <f>IF(AND(ISNUMBER(Q43),ISNUMBER(O43)),Q43-O43,"")</f>
        <v>0</v>
      </c>
      <c r="Q43" s="40" t="s">
        <v>1078</v>
      </c>
      <c r="R43" s="34">
        <f>IF(AND(ISNUMBER(S43),ISNUMBER(Q43)),S43-Q43,"")</f>
        <v>0</v>
      </c>
      <c r="S43" s="40" t="s">
        <v>1078</v>
      </c>
      <c r="T43" s="34">
        <f>IF(AND(ISNUMBER(U43),ISNUMBER(S43)),U43-S43,"")</f>
        <v>0</v>
      </c>
      <c r="U43" s="40" t="s">
        <v>1078</v>
      </c>
      <c r="V43" s="34">
        <f>IF(AND(ISNUMBER(W43),ISNUMBER(U43)),W43-U43,"")</f>
        <v>0</v>
      </c>
      <c r="W43" s="40" t="s">
        <v>1078</v>
      </c>
      <c r="X43" s="34">
        <f>IF(AND(ISNUMBER(Y43),ISNUMBER(W43)),Y43-W43,"")</f>
        <v>0</v>
      </c>
      <c r="Y43" s="40" t="s">
        <v>1078</v>
      </c>
      <c r="Z43" s="34">
        <f>IF(AND(ISNUMBER(AA43),ISNUMBER(Y43)),AA43-Y43,"")</f>
        <v>0</v>
      </c>
      <c r="AA43" s="40" t="s">
        <v>1078</v>
      </c>
      <c r="AB43" s="34">
        <f>IF(AND(ISNUMBER(AC43),ISNUMBER(AA43)),AC43-AA43,"")</f>
        <v>0</v>
      </c>
      <c r="AC43" s="40" t="s">
        <v>1078</v>
      </c>
      <c r="AD43" s="34">
        <f>IF(AND(ISNUMBER(AE43),ISNUMBER(AC43)),AE43-AC43,"")</f>
        <v>0</v>
      </c>
      <c r="AE43" s="40" t="s">
        <v>1078</v>
      </c>
      <c r="AF43" s="34">
        <f>IF(AND(ISNUMBER(AG43),ISNUMBER(AE43)),AG43-AE43,"")</f>
        <v>0</v>
      </c>
      <c r="AG43" s="40" t="s">
        <v>1078</v>
      </c>
      <c r="AH43" s="34">
        <f>IF(AND(ISNUMBER(AI43),ISNUMBER(AG43)),AI43-AG43,"")</f>
        <v>0</v>
      </c>
      <c r="AI43" s="40" t="s">
        <v>1078</v>
      </c>
      <c r="AJ43" s="34">
        <f>IF(AND(ISNUMBER(AK43),ISNUMBER(AI43)),AK43-AI43,"")</f>
        <v>0</v>
      </c>
      <c r="AK43" s="40" t="s">
        <v>1078</v>
      </c>
      <c r="AL43" s="34">
        <f>IF(AND(ISNUMBER(AM43),ISNUMBER(AK43)),AM43-AK43,"")</f>
        <v>0</v>
      </c>
      <c r="AM43" s="40" t="s">
        <v>1078</v>
      </c>
      <c r="AN43" s="34">
        <f>IF(AND(ISNUMBER(AO43),ISNUMBER(AM43)),AO43-AM43,"")</f>
        <v>0</v>
      </c>
      <c r="AO43" s="40" t="s">
        <v>1078</v>
      </c>
      <c r="AP43" s="34">
        <f>IF(AND(ISNUMBER(AQ43),ISNUMBER(AO43)),AQ43-AO43,"")</f>
        <v>0</v>
      </c>
      <c r="AQ43" s="40" t="s">
        <v>1078</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721</v>
      </c>
      <c r="E44" s="32" t="s">
        <v>1054</v>
      </c>
      <c r="I44" s="40" t="s">
        <v>1078</v>
      </c>
      <c r="J44" s="34">
        <f>IF(AND(ISNUMBER(K44),ISNUMBER(I44)),K44-I44,"")</f>
        <v>0</v>
      </c>
      <c r="K44" s="40" t="s">
        <v>1078</v>
      </c>
      <c r="L44" s="34">
        <f>IF(AND(ISNUMBER(M44),ISNUMBER(K44)),M44-K44,"")</f>
        <v>0</v>
      </c>
      <c r="M44" s="40" t="s">
        <v>1078</v>
      </c>
      <c r="N44" s="34">
        <f>IF(AND(ISNUMBER(O44),ISNUMBER(M44)),O44-M44,"")</f>
        <v>0</v>
      </c>
      <c r="O44" s="40" t="s">
        <v>1078</v>
      </c>
      <c r="P44" s="34">
        <f>IF(AND(ISNUMBER(Q44),ISNUMBER(O44)),Q44-O44,"")</f>
        <v>0</v>
      </c>
      <c r="Q44" s="40" t="s">
        <v>1078</v>
      </c>
      <c r="R44" s="34">
        <f>IF(AND(ISNUMBER(S44),ISNUMBER(Q44)),S44-Q44,"")</f>
        <v>0</v>
      </c>
      <c r="S44" s="40" t="s">
        <v>1078</v>
      </c>
      <c r="T44" s="34">
        <f>IF(AND(ISNUMBER(U44),ISNUMBER(S44)),U44-S44,"")</f>
        <v>0</v>
      </c>
      <c r="U44" s="40" t="s">
        <v>1078</v>
      </c>
      <c r="V44" s="34">
        <f>IF(AND(ISNUMBER(W44),ISNUMBER(U44)),W44-U44,"")</f>
        <v>0</v>
      </c>
      <c r="W44" s="40" t="s">
        <v>1078</v>
      </c>
      <c r="X44" s="34">
        <f>IF(AND(ISNUMBER(Y44),ISNUMBER(W44)),Y44-W44,"")</f>
        <v>0</v>
      </c>
      <c r="Y44" s="40" t="s">
        <v>1078</v>
      </c>
      <c r="Z44" s="34">
        <f>IF(AND(ISNUMBER(AA44),ISNUMBER(Y44)),AA44-Y44,"")</f>
        <v>0</v>
      </c>
      <c r="AA44" s="40" t="s">
        <v>1078</v>
      </c>
      <c r="AB44" s="34">
        <f>IF(AND(ISNUMBER(AC44),ISNUMBER(AA44)),AC44-AA44,"")</f>
        <v>0</v>
      </c>
      <c r="AC44" s="33">
        <v>3</v>
      </c>
      <c r="AD44" s="34">
        <f>IF(AND(ISNUMBER(AE44),ISNUMBER(AC44)),AE44-AC44,"")</f>
        <v>0</v>
      </c>
      <c r="AE44" s="40" t="s">
        <v>1078</v>
      </c>
      <c r="AF44" s="34">
        <f>IF(AND(ISNUMBER(AG44),ISNUMBER(AE44)),AG44-AE44,"")</f>
        <v>0</v>
      </c>
      <c r="AG44" s="40" t="s">
        <v>1078</v>
      </c>
      <c r="AH44" s="34">
        <f>IF(AND(ISNUMBER(AI44),ISNUMBER(AG44)),AI44-AG44,"")</f>
        <v>0</v>
      </c>
      <c r="AI44" s="40" t="s">
        <v>1078</v>
      </c>
      <c r="AJ44" s="34">
        <f>IF(AND(ISNUMBER(AK44),ISNUMBER(AI44)),AK44-AI44,"")</f>
        <v>0</v>
      </c>
      <c r="AK44" s="40" t="s">
        <v>1078</v>
      </c>
      <c r="AL44" s="34">
        <f>IF(AND(ISNUMBER(AM44),ISNUMBER(AK44)),AM44-AK44,"")</f>
        <v>0</v>
      </c>
      <c r="AM44" s="40" t="s">
        <v>1078</v>
      </c>
      <c r="AN44" s="34">
        <f>IF(AND(ISNUMBER(AO44),ISNUMBER(AM44)),AO44-AM44,"")</f>
        <v>0</v>
      </c>
      <c r="AO44" s="40" t="s">
        <v>1078</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723</v>
      </c>
      <c r="E45" s="32" t="s">
        <v>1052</v>
      </c>
      <c r="I45" s="40" t="s">
        <v>1078</v>
      </c>
      <c r="J45" s="34">
        <f>IF(AND(ISNUMBER(K45),ISNUMBER(I45)),K45-I45,"")</f>
        <v>0</v>
      </c>
      <c r="K45" s="40" t="s">
        <v>1078</v>
      </c>
      <c r="L45" s="34">
        <f>IF(AND(ISNUMBER(M45),ISNUMBER(K45)),M45-K45,"")</f>
        <v>0</v>
      </c>
      <c r="M45" s="40" t="s">
        <v>1078</v>
      </c>
      <c r="N45" s="34">
        <f>IF(AND(ISNUMBER(O45),ISNUMBER(M45)),O45-M45,"")</f>
        <v>0</v>
      </c>
      <c r="O45" s="40" t="s">
        <v>1078</v>
      </c>
      <c r="P45" s="34">
        <f>IF(AND(ISNUMBER(Q45),ISNUMBER(O45)),Q45-O45,"")</f>
        <v>0</v>
      </c>
      <c r="Q45" s="40" t="s">
        <v>1078</v>
      </c>
      <c r="R45" s="34">
        <f>IF(AND(ISNUMBER(S45),ISNUMBER(Q45)),S45-Q45,"")</f>
        <v>0</v>
      </c>
      <c r="S45" s="40" t="s">
        <v>1078</v>
      </c>
      <c r="T45" s="34">
        <f>IF(AND(ISNUMBER(U45),ISNUMBER(S45)),U45-S45,"")</f>
        <v>0</v>
      </c>
      <c r="U45" s="40" t="s">
        <v>1078</v>
      </c>
      <c r="V45" s="34">
        <f>IF(AND(ISNUMBER(W45),ISNUMBER(U45)),W45-U45,"")</f>
        <v>0</v>
      </c>
      <c r="W45" s="40" t="s">
        <v>1078</v>
      </c>
      <c r="X45" s="34">
        <f>IF(AND(ISNUMBER(Y45),ISNUMBER(W45)),Y45-W45,"")</f>
        <v>0</v>
      </c>
      <c r="Y45" s="40" t="s">
        <v>1078</v>
      </c>
      <c r="Z45" s="34">
        <f>IF(AND(ISNUMBER(AA45),ISNUMBER(Y45)),AA45-Y45,"")</f>
        <v>0</v>
      </c>
      <c r="AA45" s="40" t="s">
        <v>1078</v>
      </c>
      <c r="AB45" s="34">
        <f>IF(AND(ISNUMBER(AC45),ISNUMBER(AA45)),AC45-AA45,"")</f>
        <v>0</v>
      </c>
      <c r="AC45" s="33">
        <v>1</v>
      </c>
      <c r="AD45" s="34">
        <f>IF(AND(ISNUMBER(AE45),ISNUMBER(AC45)),AE45-AC45,"")</f>
        <v>0</v>
      </c>
      <c r="AE45" s="40" t="s">
        <v>1078</v>
      </c>
      <c r="AF45" s="34">
        <f>IF(AND(ISNUMBER(AG45),ISNUMBER(AE45)),AG45-AE45,"")</f>
        <v>0</v>
      </c>
      <c r="AG45" s="40" t="s">
        <v>1078</v>
      </c>
      <c r="AH45" s="34">
        <f>IF(AND(ISNUMBER(AI45),ISNUMBER(AG45)),AI45-AG45,"")</f>
        <v>0</v>
      </c>
      <c r="AI45" s="40" t="s">
        <v>1078</v>
      </c>
      <c r="AJ45" s="34">
        <f>IF(AND(ISNUMBER(AK45),ISNUMBER(AI45)),AK45-AI45,"")</f>
        <v>0</v>
      </c>
      <c r="AK45" s="40" t="s">
        <v>1078</v>
      </c>
      <c r="AL45" s="34">
        <f>IF(AND(ISNUMBER(AM45),ISNUMBER(AK45)),AM45-AK45,"")</f>
        <v>0</v>
      </c>
      <c r="AM45" s="40" t="s">
        <v>1078</v>
      </c>
      <c r="AN45" s="34">
        <f>IF(AND(ISNUMBER(AO45),ISNUMBER(AM45)),AO45-AM45,"")</f>
        <v>0</v>
      </c>
      <c r="AO45" s="40" t="s">
        <v>1078</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725</v>
      </c>
      <c r="E46" s="32" t="s">
        <v>1060</v>
      </c>
      <c r="I46" s="40" t="s">
        <v>1078</v>
      </c>
      <c r="J46" s="34">
        <f>IF(AND(ISNUMBER(K46),ISNUMBER(I46)),K46-I46,"")</f>
        <v>0</v>
      </c>
      <c r="K46" s="40" t="s">
        <v>1078</v>
      </c>
      <c r="L46" s="34">
        <f>IF(AND(ISNUMBER(M46),ISNUMBER(K46)),M46-K46,"")</f>
        <v>0</v>
      </c>
      <c r="M46" s="40" t="s">
        <v>1078</v>
      </c>
      <c r="N46" s="34">
        <f>IF(AND(ISNUMBER(O46),ISNUMBER(M46)),O46-M46,"")</f>
        <v>0</v>
      </c>
      <c r="O46" s="40" t="s">
        <v>1078</v>
      </c>
      <c r="P46" s="34">
        <f>IF(AND(ISNUMBER(Q46),ISNUMBER(O46)),Q46-O46,"")</f>
        <v>0</v>
      </c>
      <c r="Q46" s="40" t="s">
        <v>1078</v>
      </c>
      <c r="R46" s="34">
        <f>IF(AND(ISNUMBER(S46),ISNUMBER(Q46)),S46-Q46,"")</f>
        <v>0</v>
      </c>
      <c r="S46" s="40" t="s">
        <v>1078</v>
      </c>
      <c r="T46" s="34">
        <f>IF(AND(ISNUMBER(U46),ISNUMBER(S46)),U46-S46,"")</f>
        <v>0</v>
      </c>
      <c r="U46" s="40" t="s">
        <v>1078</v>
      </c>
      <c r="V46" s="34">
        <f>IF(AND(ISNUMBER(W46),ISNUMBER(U46)),W46-U46,"")</f>
        <v>0</v>
      </c>
      <c r="W46" s="40" t="s">
        <v>1078</v>
      </c>
      <c r="X46" s="34">
        <f>IF(AND(ISNUMBER(Y46),ISNUMBER(W46)),Y46-W46,"")</f>
        <v>0</v>
      </c>
      <c r="Y46" s="40" t="s">
        <v>1078</v>
      </c>
      <c r="Z46" s="34">
        <f>IF(AND(ISNUMBER(AA46),ISNUMBER(Y46)),AA46-Y46,"")</f>
        <v>0</v>
      </c>
      <c r="AA46" s="40" t="s">
        <v>1078</v>
      </c>
      <c r="AB46" s="34">
        <f>IF(AND(ISNUMBER(AC46),ISNUMBER(AA46)),AC46-AA46,"")</f>
        <v>0</v>
      </c>
      <c r="AC46" s="40" t="s">
        <v>1078</v>
      </c>
      <c r="AD46" s="34">
        <f>IF(AND(ISNUMBER(AE46),ISNUMBER(AC46)),AE46-AC46,"")</f>
        <v>0</v>
      </c>
      <c r="AE46" s="40" t="s">
        <v>1078</v>
      </c>
      <c r="AF46" s="34">
        <f>IF(AND(ISNUMBER(AG46),ISNUMBER(AE46)),AG46-AE46,"")</f>
        <v>0</v>
      </c>
      <c r="AG46" s="40" t="s">
        <v>1078</v>
      </c>
      <c r="AH46" s="34">
        <f>IF(AND(ISNUMBER(AI46),ISNUMBER(AG46)),AI46-AG46,"")</f>
        <v>0</v>
      </c>
      <c r="AI46" s="40" t="s">
        <v>1078</v>
      </c>
      <c r="AJ46" s="34">
        <f>IF(AND(ISNUMBER(AK46),ISNUMBER(AI46)),AK46-AI46,"")</f>
        <v>0</v>
      </c>
      <c r="AK46" s="40" t="s">
        <v>1078</v>
      </c>
      <c r="AL46" s="34">
        <f>IF(AND(ISNUMBER(AM46),ISNUMBER(AK46)),AM46-AK46,"")</f>
        <v>0</v>
      </c>
      <c r="AM46" s="40" t="s">
        <v>1078</v>
      </c>
      <c r="AN46" s="34">
        <f>IF(AND(ISNUMBER(AO46),ISNUMBER(AM46)),AO46-AM46,"")</f>
        <v>0</v>
      </c>
      <c r="AO46" s="40" t="s">
        <v>1078</v>
      </c>
      <c r="AP46" s="34">
        <f>IF(AND(ISNUMBER(AQ46),ISNUMBER(AO46)),AQ46-AO46,"")</f>
        <v>0</v>
      </c>
      <c r="AQ46" s="40" t="s">
        <v>1078</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1085</v>
      </c>
    </row>
    <row r="47" spans="1:322" ht="27.5" customHeight="1" collapsed="1">
      <c r="A47" s="22" t="s">
        <v>762</v>
      </c>
      <c r="B47" s="23" t="s">
        <v>1098</v>
      </c>
      <c r="C47" s="24" t="s">
        <v>708</v>
      </c>
      <c r="D47" s="24"/>
      <c r="E47" s="25" t="s">
        <v>1081</v>
      </c>
      <c r="F47" s="26"/>
      <c r="G47" s="26"/>
      <c r="H47" s="26" t="s">
        <v>1082</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1086</v>
      </c>
    </row>
    <row r="48" spans="1:322" hidden="1" outlineLevel="1">
      <c r="B48" s="23"/>
      <c r="D48" s="31" t="s">
        <v>710</v>
      </c>
      <c r="E48" s="32" t="s">
        <v>1099</v>
      </c>
      <c r="I48" s="40" t="s">
        <v>1078</v>
      </c>
      <c r="J48" s="34">
        <f>IF(AND(ISNUMBER(K48),ISNUMBER(I48)),K48-I48,"")</f>
        <v>0</v>
      </c>
      <c r="K48" s="40" t="s">
        <v>1078</v>
      </c>
      <c r="L48" s="34">
        <f>IF(AND(ISNUMBER(M48),ISNUMBER(K48)),M48-K48,"")</f>
        <v>0</v>
      </c>
      <c r="M48" s="40" t="s">
        <v>1078</v>
      </c>
      <c r="N48" s="34">
        <f>IF(AND(ISNUMBER(O48),ISNUMBER(M48)),O48-M48,"")</f>
        <v>0</v>
      </c>
      <c r="O48" s="40" t="s">
        <v>1078</v>
      </c>
      <c r="P48" s="34">
        <f>IF(AND(ISNUMBER(Q48),ISNUMBER(O48)),Q48-O48,"")</f>
        <v>0</v>
      </c>
      <c r="Q48" s="40" t="s">
        <v>1078</v>
      </c>
      <c r="R48" s="34">
        <f>IF(AND(ISNUMBER(S48),ISNUMBER(Q48)),S48-Q48,"")</f>
        <v>0</v>
      </c>
      <c r="S48" s="40" t="s">
        <v>1078</v>
      </c>
      <c r="T48" s="34">
        <f>IF(AND(ISNUMBER(U48),ISNUMBER(S48)),U48-S48,"")</f>
        <v>0</v>
      </c>
      <c r="U48" s="40" t="s">
        <v>1078</v>
      </c>
      <c r="V48" s="34">
        <f>IF(AND(ISNUMBER(W48),ISNUMBER(U48)),W48-U48,"")</f>
        <v>0</v>
      </c>
      <c r="W48" s="40" t="s">
        <v>1078</v>
      </c>
      <c r="X48" s="34">
        <f>IF(AND(ISNUMBER(Y48),ISNUMBER(W48)),Y48-W48,"")</f>
        <v>0</v>
      </c>
      <c r="Y48" s="40" t="s">
        <v>1078</v>
      </c>
      <c r="Z48" s="34">
        <f>IF(AND(ISNUMBER(AA48),ISNUMBER(Y48)),AA48-Y48,"")</f>
        <v>0</v>
      </c>
      <c r="AA48" s="40" t="s">
        <v>1078</v>
      </c>
      <c r="AB48" s="34">
        <f>IF(AND(ISNUMBER(AC48),ISNUMBER(AA48)),AC48-AA48,"")</f>
        <v>0</v>
      </c>
      <c r="AC48" s="40" t="s">
        <v>1078</v>
      </c>
      <c r="AD48" s="34">
        <f>IF(AND(ISNUMBER(AE48),ISNUMBER(AC48)),AE48-AC48,"")</f>
        <v>0</v>
      </c>
      <c r="AE48" s="40" t="s">
        <v>1078</v>
      </c>
      <c r="AF48" s="34">
        <f>IF(AND(ISNUMBER(AG48),ISNUMBER(AE48)),AG48-AE48,"")</f>
        <v>0</v>
      </c>
      <c r="AG48" s="40" t="s">
        <v>1078</v>
      </c>
      <c r="AH48" s="34">
        <f>IF(AND(ISNUMBER(AI48),ISNUMBER(AG48)),AI48-AG48,"")</f>
        <v>0</v>
      </c>
      <c r="AI48" s="40" t="s">
        <v>1078</v>
      </c>
      <c r="AJ48" s="34">
        <f>IF(AND(ISNUMBER(AK48),ISNUMBER(AI48)),AK48-AI48,"")</f>
        <v>0</v>
      </c>
      <c r="AK48" s="40" t="s">
        <v>1078</v>
      </c>
      <c r="AL48" s="34">
        <f>IF(AND(ISNUMBER(AM48),ISNUMBER(AK48)),AM48-AK48,"")</f>
        <v>0</v>
      </c>
      <c r="AM48" s="40" t="s">
        <v>1078</v>
      </c>
      <c r="AN48" s="34">
        <f>IF(AND(ISNUMBER(AO48),ISNUMBER(AM48)),AO48-AM48,"")</f>
        <v>0</v>
      </c>
      <c r="AO48" s="40" t="s">
        <v>1078</v>
      </c>
      <c r="AP48" s="34">
        <f>IF(AND(ISNUMBER(AQ48),ISNUMBER(AO48)),AQ48-AO48,"")</f>
        <v>0</v>
      </c>
      <c r="AQ48" s="40" t="s">
        <v>1078</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715</v>
      </c>
      <c r="E49" s="32" t="s">
        <v>1059</v>
      </c>
      <c r="I49" s="40" t="s">
        <v>1078</v>
      </c>
      <c r="J49" s="34">
        <f>IF(AND(ISNUMBER(K49),ISNUMBER(I49)),K49-I49,"")</f>
        <v>0</v>
      </c>
      <c r="K49" s="40" t="s">
        <v>1078</v>
      </c>
      <c r="L49" s="34">
        <f>IF(AND(ISNUMBER(M49),ISNUMBER(K49)),M49-K49,"")</f>
        <v>0</v>
      </c>
      <c r="M49" s="40" t="s">
        <v>1078</v>
      </c>
      <c r="N49" s="34">
        <f>IF(AND(ISNUMBER(O49),ISNUMBER(M49)),O49-M49,"")</f>
        <v>0</v>
      </c>
      <c r="O49" s="40" t="s">
        <v>1078</v>
      </c>
      <c r="P49" s="34">
        <f>IF(AND(ISNUMBER(Q49),ISNUMBER(O49)),Q49-O49,"")</f>
        <v>0</v>
      </c>
      <c r="Q49" s="40" t="s">
        <v>1078</v>
      </c>
      <c r="R49" s="34">
        <f>IF(AND(ISNUMBER(S49),ISNUMBER(Q49)),S49-Q49,"")</f>
        <v>0</v>
      </c>
      <c r="S49" s="40" t="s">
        <v>1078</v>
      </c>
      <c r="T49" s="34">
        <f>IF(AND(ISNUMBER(U49),ISNUMBER(S49)),U49-S49,"")</f>
        <v>0</v>
      </c>
      <c r="U49" s="40" t="s">
        <v>1078</v>
      </c>
      <c r="V49" s="34">
        <f>IF(AND(ISNUMBER(W49),ISNUMBER(U49)),W49-U49,"")</f>
        <v>0</v>
      </c>
      <c r="W49" s="40" t="s">
        <v>1078</v>
      </c>
      <c r="X49" s="34">
        <f>IF(AND(ISNUMBER(Y49),ISNUMBER(W49)),Y49-W49,"")</f>
        <v>0</v>
      </c>
      <c r="Y49" s="40" t="s">
        <v>1078</v>
      </c>
      <c r="Z49" s="34">
        <f>IF(AND(ISNUMBER(AA49),ISNUMBER(Y49)),AA49-Y49,"")</f>
        <v>0</v>
      </c>
      <c r="AA49" s="40" t="s">
        <v>1078</v>
      </c>
      <c r="AB49" s="34">
        <f>IF(AND(ISNUMBER(AC49),ISNUMBER(AA49)),AC49-AA49,"")</f>
        <v>0</v>
      </c>
      <c r="AC49" s="40" t="s">
        <v>1078</v>
      </c>
      <c r="AD49" s="34">
        <f>IF(AND(ISNUMBER(AE49),ISNUMBER(AC49)),AE49-AC49,"")</f>
        <v>0</v>
      </c>
      <c r="AE49" s="40" t="s">
        <v>1078</v>
      </c>
      <c r="AF49" s="34">
        <f>IF(AND(ISNUMBER(AG49),ISNUMBER(AE49)),AG49-AE49,"")</f>
        <v>0</v>
      </c>
      <c r="AG49" s="40" t="s">
        <v>1078</v>
      </c>
      <c r="AH49" s="34">
        <f>IF(AND(ISNUMBER(AI49),ISNUMBER(AG49)),AI49-AG49,"")</f>
        <v>0</v>
      </c>
      <c r="AI49" s="40" t="s">
        <v>1078</v>
      </c>
      <c r="AJ49" s="34">
        <f>IF(AND(ISNUMBER(AK49),ISNUMBER(AI49)),AK49-AI49,"")</f>
        <v>0</v>
      </c>
      <c r="AK49" s="40" t="s">
        <v>1078</v>
      </c>
      <c r="AL49" s="34">
        <f>IF(AND(ISNUMBER(AM49),ISNUMBER(AK49)),AM49-AK49,"")</f>
        <v>0</v>
      </c>
      <c r="AM49" s="40" t="s">
        <v>1078</v>
      </c>
      <c r="AN49" s="34">
        <f>IF(AND(ISNUMBER(AO49),ISNUMBER(AM49)),AO49-AM49,"")</f>
        <v>0</v>
      </c>
      <c r="AO49" s="40" t="s">
        <v>1078</v>
      </c>
      <c r="AP49" s="34">
        <f>IF(AND(ISNUMBER(AQ49),ISNUMBER(AO49)),AQ49-AO49,"")</f>
        <v>0</v>
      </c>
      <c r="AQ49" s="40" t="s">
        <v>1078</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717</v>
      </c>
      <c r="E50" s="32" t="s">
        <v>1047</v>
      </c>
      <c r="I50" s="40" t="s">
        <v>1078</v>
      </c>
      <c r="J50" s="34">
        <f>IF(AND(ISNUMBER(K50),ISNUMBER(I50)),K50-I50,"")</f>
        <v>0</v>
      </c>
      <c r="K50" s="40" t="s">
        <v>1078</v>
      </c>
      <c r="L50" s="34">
        <f>IF(AND(ISNUMBER(M50),ISNUMBER(K50)),M50-K50,"")</f>
        <v>0</v>
      </c>
      <c r="M50" s="40" t="s">
        <v>1078</v>
      </c>
      <c r="N50" s="34">
        <f>IF(AND(ISNUMBER(O50),ISNUMBER(M50)),O50-M50,"")</f>
        <v>0</v>
      </c>
      <c r="O50" s="40" t="s">
        <v>1078</v>
      </c>
      <c r="P50" s="34">
        <f>IF(AND(ISNUMBER(Q50),ISNUMBER(O50)),Q50-O50,"")</f>
        <v>0</v>
      </c>
      <c r="Q50" s="40" t="s">
        <v>1078</v>
      </c>
      <c r="R50" s="34">
        <f>IF(AND(ISNUMBER(S50),ISNUMBER(Q50)),S50-Q50,"")</f>
        <v>0</v>
      </c>
      <c r="S50" s="40" t="s">
        <v>1078</v>
      </c>
      <c r="T50" s="34">
        <f>IF(AND(ISNUMBER(U50),ISNUMBER(S50)),U50-S50,"")</f>
        <v>0</v>
      </c>
      <c r="U50" s="40" t="s">
        <v>1078</v>
      </c>
      <c r="V50" s="34">
        <f>IF(AND(ISNUMBER(W50),ISNUMBER(U50)),W50-U50,"")</f>
        <v>0</v>
      </c>
      <c r="W50" s="40" t="s">
        <v>1078</v>
      </c>
      <c r="X50" s="34">
        <f>IF(AND(ISNUMBER(Y50),ISNUMBER(W50)),Y50-W50,"")</f>
        <v>0</v>
      </c>
      <c r="Y50" s="40" t="s">
        <v>1078</v>
      </c>
      <c r="Z50" s="34">
        <f>IF(AND(ISNUMBER(AA50),ISNUMBER(Y50)),AA50-Y50,"")</f>
        <v>0</v>
      </c>
      <c r="AA50" s="40" t="s">
        <v>1078</v>
      </c>
      <c r="AB50" s="34">
        <f>IF(AND(ISNUMBER(AC50),ISNUMBER(AA50)),AC50-AA50,"")</f>
        <v>0</v>
      </c>
      <c r="AC50" s="40" t="s">
        <v>1078</v>
      </c>
      <c r="AD50" s="34">
        <f>IF(AND(ISNUMBER(AE50),ISNUMBER(AC50)),AE50-AC50,"")</f>
        <v>0</v>
      </c>
      <c r="AE50" s="40" t="s">
        <v>1078</v>
      </c>
      <c r="AF50" s="34">
        <f>IF(AND(ISNUMBER(AG50),ISNUMBER(AE50)),AG50-AE50,"")</f>
        <v>0</v>
      </c>
      <c r="AG50" s="40" t="s">
        <v>1078</v>
      </c>
      <c r="AH50" s="34">
        <f>IF(AND(ISNUMBER(AI50),ISNUMBER(AG50)),AI50-AG50,"")</f>
        <v>0</v>
      </c>
      <c r="AI50" s="40" t="s">
        <v>1078</v>
      </c>
      <c r="AJ50" s="34">
        <f>IF(AND(ISNUMBER(AK50),ISNUMBER(AI50)),AK50-AI50,"")</f>
        <v>0</v>
      </c>
      <c r="AK50" s="40" t="s">
        <v>1078</v>
      </c>
      <c r="AL50" s="34">
        <f>IF(AND(ISNUMBER(AM50),ISNUMBER(AK50)),AM50-AK50,"")</f>
        <v>0</v>
      </c>
      <c r="AM50" s="40" t="s">
        <v>1078</v>
      </c>
      <c r="AN50" s="34">
        <f>IF(AND(ISNUMBER(AO50),ISNUMBER(AM50)),AO50-AM50,"")</f>
        <v>0</v>
      </c>
      <c r="AO50" s="40" t="s">
        <v>1078</v>
      </c>
      <c r="AP50" s="34">
        <f>IF(AND(ISNUMBER(AQ50),ISNUMBER(AO50)),AQ50-AO50,"")</f>
        <v>0</v>
      </c>
      <c r="AQ50" s="40" t="s">
        <v>1078</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719</v>
      </c>
      <c r="E51" s="32" t="s">
        <v>1058</v>
      </c>
      <c r="I51" s="40" t="s">
        <v>1078</v>
      </c>
      <c r="J51" s="34">
        <f>IF(AND(ISNUMBER(K51),ISNUMBER(I51)),K51-I51,"")</f>
        <v>0</v>
      </c>
      <c r="K51" s="40" t="s">
        <v>1078</v>
      </c>
      <c r="L51" s="34">
        <f>IF(AND(ISNUMBER(M51),ISNUMBER(K51)),M51-K51,"")</f>
        <v>0</v>
      </c>
      <c r="M51" s="40" t="s">
        <v>1078</v>
      </c>
      <c r="N51" s="34">
        <f>IF(AND(ISNUMBER(O51),ISNUMBER(M51)),O51-M51,"")</f>
        <v>0</v>
      </c>
      <c r="O51" s="40" t="s">
        <v>1078</v>
      </c>
      <c r="P51" s="34">
        <f>IF(AND(ISNUMBER(Q51),ISNUMBER(O51)),Q51-O51,"")</f>
        <v>0</v>
      </c>
      <c r="Q51" s="40" t="s">
        <v>1078</v>
      </c>
      <c r="R51" s="34">
        <f>IF(AND(ISNUMBER(S51),ISNUMBER(Q51)),S51-Q51,"")</f>
        <v>0</v>
      </c>
      <c r="S51" s="40" t="s">
        <v>1078</v>
      </c>
      <c r="T51" s="34">
        <f>IF(AND(ISNUMBER(U51),ISNUMBER(S51)),U51-S51,"")</f>
        <v>0</v>
      </c>
      <c r="U51" s="40" t="s">
        <v>1078</v>
      </c>
      <c r="V51" s="34">
        <f>IF(AND(ISNUMBER(W51),ISNUMBER(U51)),W51-U51,"")</f>
        <v>0</v>
      </c>
      <c r="W51" s="40" t="s">
        <v>1078</v>
      </c>
      <c r="X51" s="34">
        <f>IF(AND(ISNUMBER(Y51),ISNUMBER(W51)),Y51-W51,"")</f>
        <v>0</v>
      </c>
      <c r="Y51" s="40" t="s">
        <v>1078</v>
      </c>
      <c r="Z51" s="34">
        <f>IF(AND(ISNUMBER(AA51),ISNUMBER(Y51)),AA51-Y51,"")</f>
        <v>0</v>
      </c>
      <c r="AA51" s="40" t="s">
        <v>1078</v>
      </c>
      <c r="AB51" s="34">
        <f>IF(AND(ISNUMBER(AC51),ISNUMBER(AA51)),AC51-AA51,"")</f>
        <v>0</v>
      </c>
      <c r="AC51" s="40" t="s">
        <v>1078</v>
      </c>
      <c r="AD51" s="34">
        <f>IF(AND(ISNUMBER(AE51),ISNUMBER(AC51)),AE51-AC51,"")</f>
        <v>0</v>
      </c>
      <c r="AE51" s="40" t="s">
        <v>1078</v>
      </c>
      <c r="AF51" s="34">
        <f>IF(AND(ISNUMBER(AG51),ISNUMBER(AE51)),AG51-AE51,"")</f>
        <v>0</v>
      </c>
      <c r="AG51" s="40" t="s">
        <v>1078</v>
      </c>
      <c r="AH51" s="34">
        <f>IF(AND(ISNUMBER(AI51),ISNUMBER(AG51)),AI51-AG51,"")</f>
        <v>0</v>
      </c>
      <c r="AI51" s="40" t="s">
        <v>1078</v>
      </c>
      <c r="AJ51" s="34">
        <f>IF(AND(ISNUMBER(AK51),ISNUMBER(AI51)),AK51-AI51,"")</f>
        <v>0</v>
      </c>
      <c r="AK51" s="40" t="s">
        <v>1078</v>
      </c>
      <c r="AL51" s="34">
        <f>IF(AND(ISNUMBER(AM51),ISNUMBER(AK51)),AM51-AK51,"")</f>
        <v>0</v>
      </c>
      <c r="AM51" s="40" t="s">
        <v>1078</v>
      </c>
      <c r="AN51" s="34">
        <f>IF(AND(ISNUMBER(AO51),ISNUMBER(AM51)),AO51-AM51,"")</f>
        <v>0</v>
      </c>
      <c r="AO51" s="40" t="s">
        <v>1078</v>
      </c>
      <c r="AP51" s="34">
        <f>IF(AND(ISNUMBER(AQ51),ISNUMBER(AO51)),AQ51-AO51,"")</f>
        <v>0</v>
      </c>
      <c r="AQ51" s="40" t="s">
        <v>1078</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1100</v>
      </c>
    </row>
    <row r="52" spans="1:322" hidden="1" outlineLevel="1">
      <c r="B52" s="23"/>
      <c r="D52" s="31" t="s">
        <v>721</v>
      </c>
      <c r="E52" s="32" t="s">
        <v>1054</v>
      </c>
      <c r="I52" s="40" t="s">
        <v>1078</v>
      </c>
      <c r="J52" s="34">
        <f>IF(AND(ISNUMBER(K52),ISNUMBER(I52)),K52-I52,"")</f>
        <v>0</v>
      </c>
      <c r="K52" s="40" t="s">
        <v>1078</v>
      </c>
      <c r="L52" s="34">
        <f>IF(AND(ISNUMBER(M52),ISNUMBER(K52)),M52-K52,"")</f>
        <v>0</v>
      </c>
      <c r="M52" s="40" t="s">
        <v>1078</v>
      </c>
      <c r="N52" s="34">
        <f>IF(AND(ISNUMBER(O52),ISNUMBER(M52)),O52-M52,"")</f>
        <v>0</v>
      </c>
      <c r="O52" s="40" t="s">
        <v>1078</v>
      </c>
      <c r="P52" s="34">
        <f>IF(AND(ISNUMBER(Q52),ISNUMBER(O52)),Q52-O52,"")</f>
        <v>0</v>
      </c>
      <c r="Q52" s="40" t="s">
        <v>1078</v>
      </c>
      <c r="R52" s="34">
        <f>IF(AND(ISNUMBER(S52),ISNUMBER(Q52)),S52-Q52,"")</f>
        <v>0</v>
      </c>
      <c r="S52" s="40" t="s">
        <v>1078</v>
      </c>
      <c r="T52" s="34">
        <f>IF(AND(ISNUMBER(U52),ISNUMBER(S52)),U52-S52,"")</f>
        <v>0</v>
      </c>
      <c r="U52" s="40" t="s">
        <v>1078</v>
      </c>
      <c r="V52" s="34">
        <f>IF(AND(ISNUMBER(W52),ISNUMBER(U52)),W52-U52,"")</f>
        <v>0</v>
      </c>
      <c r="W52" s="40" t="s">
        <v>1078</v>
      </c>
      <c r="X52" s="34">
        <f>IF(AND(ISNUMBER(Y52),ISNUMBER(W52)),Y52-W52,"")</f>
        <v>0</v>
      </c>
      <c r="Y52" s="40" t="s">
        <v>1078</v>
      </c>
      <c r="Z52" s="34">
        <f>IF(AND(ISNUMBER(AA52),ISNUMBER(Y52)),AA52-Y52,"")</f>
        <v>0</v>
      </c>
      <c r="AA52" s="40" t="s">
        <v>1078</v>
      </c>
      <c r="AB52" s="34">
        <f>IF(AND(ISNUMBER(AC52),ISNUMBER(AA52)),AC52-AA52,"")</f>
        <v>0</v>
      </c>
      <c r="AC52" s="40" t="s">
        <v>1078</v>
      </c>
      <c r="AD52" s="34">
        <f>IF(AND(ISNUMBER(AE52),ISNUMBER(AC52)),AE52-AC52,"")</f>
        <v>0</v>
      </c>
      <c r="AE52" s="40" t="s">
        <v>1078</v>
      </c>
      <c r="AF52" s="34">
        <f>IF(AND(ISNUMBER(AG52),ISNUMBER(AE52)),AG52-AE52,"")</f>
        <v>0</v>
      </c>
      <c r="AG52" s="40" t="s">
        <v>1078</v>
      </c>
      <c r="AH52" s="34">
        <f>IF(AND(ISNUMBER(AI52),ISNUMBER(AG52)),AI52-AG52,"")</f>
        <v>0</v>
      </c>
      <c r="AI52" s="40" t="s">
        <v>1078</v>
      </c>
      <c r="AJ52" s="34">
        <f>IF(AND(ISNUMBER(AK52),ISNUMBER(AI52)),AK52-AI52,"")</f>
        <v>0</v>
      </c>
      <c r="AK52" s="40" t="s">
        <v>1078</v>
      </c>
      <c r="AL52" s="34">
        <f>IF(AND(ISNUMBER(AM52),ISNUMBER(AK52)),AM52-AK52,"")</f>
        <v>0</v>
      </c>
      <c r="AM52" s="40" t="s">
        <v>1078</v>
      </c>
      <c r="AN52" s="34">
        <f>IF(AND(ISNUMBER(AO52),ISNUMBER(AM52)),AO52-AM52,"")</f>
        <v>0</v>
      </c>
      <c r="AO52" s="40" t="s">
        <v>1078</v>
      </c>
      <c r="AP52" s="34">
        <f>IF(AND(ISNUMBER(AQ52),ISNUMBER(AO52)),AQ52-AO52,"")</f>
        <v>0</v>
      </c>
      <c r="AQ52" s="40" t="s">
        <v>1078</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723</v>
      </c>
      <c r="E53" s="32" t="s">
        <v>1052</v>
      </c>
      <c r="I53" s="40" t="s">
        <v>1078</v>
      </c>
      <c r="J53" s="34">
        <f>IF(AND(ISNUMBER(K53),ISNUMBER(I53)),K53-I53,"")</f>
        <v>0</v>
      </c>
      <c r="K53" s="40" t="s">
        <v>1078</v>
      </c>
      <c r="L53" s="34">
        <f>IF(AND(ISNUMBER(M53),ISNUMBER(K53)),M53-K53,"")</f>
        <v>0</v>
      </c>
      <c r="M53" s="40" t="s">
        <v>1078</v>
      </c>
      <c r="N53" s="34">
        <f>IF(AND(ISNUMBER(O53),ISNUMBER(M53)),O53-M53,"")</f>
        <v>0</v>
      </c>
      <c r="O53" s="40" t="s">
        <v>1078</v>
      </c>
      <c r="P53" s="34">
        <f>IF(AND(ISNUMBER(Q53),ISNUMBER(O53)),Q53-O53,"")</f>
        <v>0</v>
      </c>
      <c r="Q53" s="40" t="s">
        <v>1078</v>
      </c>
      <c r="R53" s="34">
        <f>IF(AND(ISNUMBER(S53),ISNUMBER(Q53)),S53-Q53,"")</f>
        <v>0</v>
      </c>
      <c r="S53" s="40" t="s">
        <v>1078</v>
      </c>
      <c r="T53" s="34">
        <f>IF(AND(ISNUMBER(U53),ISNUMBER(S53)),U53-S53,"")</f>
        <v>0</v>
      </c>
      <c r="U53" s="40" t="s">
        <v>1078</v>
      </c>
      <c r="V53" s="34">
        <f>IF(AND(ISNUMBER(W53),ISNUMBER(U53)),W53-U53,"")</f>
        <v>0</v>
      </c>
      <c r="W53" s="40" t="s">
        <v>1078</v>
      </c>
      <c r="X53" s="34">
        <f>IF(AND(ISNUMBER(Y53),ISNUMBER(W53)),Y53-W53,"")</f>
        <v>0</v>
      </c>
      <c r="Y53" s="40" t="s">
        <v>1078</v>
      </c>
      <c r="Z53" s="34">
        <f>IF(AND(ISNUMBER(AA53),ISNUMBER(Y53)),AA53-Y53,"")</f>
        <v>0</v>
      </c>
      <c r="AA53" s="40" t="s">
        <v>1078</v>
      </c>
      <c r="AB53" s="34">
        <f>IF(AND(ISNUMBER(AC53),ISNUMBER(AA53)),AC53-AA53,"")</f>
        <v>0</v>
      </c>
      <c r="AC53" s="40" t="s">
        <v>1078</v>
      </c>
      <c r="AD53" s="34">
        <f>IF(AND(ISNUMBER(AE53),ISNUMBER(AC53)),AE53-AC53,"")</f>
        <v>0</v>
      </c>
      <c r="AE53" s="40" t="s">
        <v>1078</v>
      </c>
      <c r="AF53" s="34">
        <f>IF(AND(ISNUMBER(AG53),ISNUMBER(AE53)),AG53-AE53,"")</f>
        <v>0</v>
      </c>
      <c r="AG53" s="40" t="s">
        <v>1078</v>
      </c>
      <c r="AH53" s="34">
        <f>IF(AND(ISNUMBER(AI53),ISNUMBER(AG53)),AI53-AG53,"")</f>
        <v>0</v>
      </c>
      <c r="AI53" s="40" t="s">
        <v>1078</v>
      </c>
      <c r="AJ53" s="34">
        <f>IF(AND(ISNUMBER(AK53),ISNUMBER(AI53)),AK53-AI53,"")</f>
        <v>0</v>
      </c>
      <c r="AK53" s="40" t="s">
        <v>1078</v>
      </c>
      <c r="AL53" s="34">
        <f>IF(AND(ISNUMBER(AM53),ISNUMBER(AK53)),AM53-AK53,"")</f>
        <v>0</v>
      </c>
      <c r="AM53" s="40" t="s">
        <v>1078</v>
      </c>
      <c r="AN53" s="34">
        <f>IF(AND(ISNUMBER(AO53),ISNUMBER(AM53)),AO53-AM53,"")</f>
        <v>0</v>
      </c>
      <c r="AO53" s="40" t="s">
        <v>1078</v>
      </c>
      <c r="AP53" s="34">
        <f>IF(AND(ISNUMBER(AQ53),ISNUMBER(AO53)),AQ53-AO53,"")</f>
        <v>0</v>
      </c>
      <c r="AQ53" s="40" t="s">
        <v>1078</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725</v>
      </c>
      <c r="E54" s="32" t="s">
        <v>1060</v>
      </c>
      <c r="I54" s="40" t="s">
        <v>1078</v>
      </c>
      <c r="J54" s="34">
        <f>IF(AND(ISNUMBER(K54),ISNUMBER(I54)),K54-I54,"")</f>
        <v>0</v>
      </c>
      <c r="K54" s="40" t="s">
        <v>1078</v>
      </c>
      <c r="L54" s="34">
        <f>IF(AND(ISNUMBER(M54),ISNUMBER(K54)),M54-K54,"")</f>
        <v>0</v>
      </c>
      <c r="M54" s="40" t="s">
        <v>1078</v>
      </c>
      <c r="N54" s="34">
        <f>IF(AND(ISNUMBER(O54),ISNUMBER(M54)),O54-M54,"")</f>
        <v>0</v>
      </c>
      <c r="O54" s="40" t="s">
        <v>1078</v>
      </c>
      <c r="P54" s="34">
        <f>IF(AND(ISNUMBER(Q54),ISNUMBER(O54)),Q54-O54,"")</f>
        <v>0</v>
      </c>
      <c r="Q54" s="40" t="s">
        <v>1078</v>
      </c>
      <c r="R54" s="34">
        <f>IF(AND(ISNUMBER(S54),ISNUMBER(Q54)),S54-Q54,"")</f>
        <v>0</v>
      </c>
      <c r="S54" s="40" t="s">
        <v>1078</v>
      </c>
      <c r="T54" s="34">
        <f>IF(AND(ISNUMBER(U54),ISNUMBER(S54)),U54-S54,"")</f>
        <v>0</v>
      </c>
      <c r="U54" s="40" t="s">
        <v>1078</v>
      </c>
      <c r="V54" s="34">
        <f>IF(AND(ISNUMBER(W54),ISNUMBER(U54)),W54-U54,"")</f>
        <v>0</v>
      </c>
      <c r="W54" s="40" t="s">
        <v>1078</v>
      </c>
      <c r="X54" s="34">
        <f>IF(AND(ISNUMBER(Y54),ISNUMBER(W54)),Y54-W54,"")</f>
        <v>0</v>
      </c>
      <c r="Y54" s="40" t="s">
        <v>1078</v>
      </c>
      <c r="Z54" s="34">
        <f>IF(AND(ISNUMBER(AA54),ISNUMBER(Y54)),AA54-Y54,"")</f>
        <v>0</v>
      </c>
      <c r="AA54" s="40" t="s">
        <v>1078</v>
      </c>
      <c r="AB54" s="34">
        <f>IF(AND(ISNUMBER(AC54),ISNUMBER(AA54)),AC54-AA54,"")</f>
        <v>0</v>
      </c>
      <c r="AC54" s="40" t="s">
        <v>1078</v>
      </c>
      <c r="AD54" s="34">
        <f>IF(AND(ISNUMBER(AE54),ISNUMBER(AC54)),AE54-AC54,"")</f>
        <v>0</v>
      </c>
      <c r="AE54" s="40" t="s">
        <v>1078</v>
      </c>
      <c r="AF54" s="34">
        <f>IF(AND(ISNUMBER(AG54),ISNUMBER(AE54)),AG54-AE54,"")</f>
        <v>0</v>
      </c>
      <c r="AG54" s="40" t="s">
        <v>1078</v>
      </c>
      <c r="AH54" s="34">
        <f>IF(AND(ISNUMBER(AI54),ISNUMBER(AG54)),AI54-AG54,"")</f>
        <v>0</v>
      </c>
      <c r="AI54" s="40" t="s">
        <v>1078</v>
      </c>
      <c r="AJ54" s="34">
        <f>IF(AND(ISNUMBER(AK54),ISNUMBER(AI54)),AK54-AI54,"")</f>
        <v>0</v>
      </c>
      <c r="AK54" s="40" t="s">
        <v>1078</v>
      </c>
      <c r="AL54" s="34">
        <f>IF(AND(ISNUMBER(AM54),ISNUMBER(AK54)),AM54-AK54,"")</f>
        <v>0</v>
      </c>
      <c r="AM54" s="40" t="s">
        <v>1078</v>
      </c>
      <c r="AN54" s="34">
        <f>IF(AND(ISNUMBER(AO54),ISNUMBER(AM54)),AO54-AM54,"")</f>
        <v>0</v>
      </c>
      <c r="AO54" s="40" t="s">
        <v>1078</v>
      </c>
      <c r="AP54" s="34">
        <f>IF(AND(ISNUMBER(AQ54),ISNUMBER(AO54)),AQ54-AO54,"")</f>
        <v>0</v>
      </c>
      <c r="AQ54" s="40" t="s">
        <v>1078</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1085</v>
      </c>
    </row>
    <row r="55" spans="1:322" hidden="1" outlineLevel="1">
      <c r="A55" s="36" t="s">
        <v>770</v>
      </c>
      <c r="B55" s="23"/>
      <c r="C55" s="37" t="s">
        <v>728</v>
      </c>
      <c r="E55" s="32" t="s">
        <v>1081</v>
      </c>
      <c r="F55" s="38">
        <f>MIN(F56:F62)</f>
        <v>45689.0</v>
      </c>
      <c r="H55" s="38" t="s">
        <v>1082</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1088</v>
      </c>
      <c r="Z55" s="34">
        <f>IF(AND(ISNUMBER(AA55),ISNUMBER(Y55)),AA55-Y55,"")</f>
        <v>0</v>
      </c>
      <c r="AA55" s="40" t="s">
        <v>1088</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1078</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1086</v>
      </c>
    </row>
    <row r="56" spans="1:322" hidden="1" outlineLevel="1">
      <c r="B56" s="23"/>
      <c r="D56" s="31" t="s">
        <v>710</v>
      </c>
      <c r="E56" s="32" t="s">
        <v>1083</v>
      </c>
      <c r="F56" s="38" t="s">
        <v>1101</v>
      </c>
      <c r="I56" s="40" t="s">
        <v>1078</v>
      </c>
      <c r="J56" s="34">
        <f>IF(AND(ISNUMBER(K56),ISNUMBER(I56)),K56-I56,"")</f>
        <v>0</v>
      </c>
      <c r="K56" s="40" t="s">
        <v>1078</v>
      </c>
      <c r="L56" s="34">
        <f>IF(AND(ISNUMBER(M56),ISNUMBER(K56)),M56-K56,"")</f>
        <v>0</v>
      </c>
      <c r="M56" s="40" t="s">
        <v>1078</v>
      </c>
      <c r="N56" s="34">
        <f>IF(AND(ISNUMBER(O56),ISNUMBER(M56)),O56-M56,"")</f>
        <v>0</v>
      </c>
      <c r="O56" s="40" t="s">
        <v>1078</v>
      </c>
      <c r="P56" s="34">
        <f>IF(AND(ISNUMBER(Q56),ISNUMBER(O56)),Q56-O56,"")</f>
        <v>0</v>
      </c>
      <c r="Q56" s="40" t="s">
        <v>1078</v>
      </c>
      <c r="R56" s="34">
        <f>IF(AND(ISNUMBER(S56),ISNUMBER(Q56)),S56-Q56,"")</f>
        <v>0</v>
      </c>
      <c r="S56" s="40" t="s">
        <v>1078</v>
      </c>
      <c r="T56" s="34">
        <f>IF(AND(ISNUMBER(U56),ISNUMBER(S56)),U56-S56,"")</f>
        <v>0</v>
      </c>
      <c r="U56" s="40" t="s">
        <v>1078</v>
      </c>
      <c r="V56" s="34">
        <f>IF(AND(ISNUMBER(W56),ISNUMBER(U56)),W56-U56,"")</f>
        <v>0</v>
      </c>
      <c r="W56" s="40" t="s">
        <v>1078</v>
      </c>
      <c r="X56" s="34">
        <f>IF(AND(ISNUMBER(Y56),ISNUMBER(W56)),Y56-W56,"")</f>
        <v>0</v>
      </c>
      <c r="Y56" s="40" t="s">
        <v>1078</v>
      </c>
      <c r="Z56" s="34">
        <f>IF(AND(ISNUMBER(AA56),ISNUMBER(Y56)),AA56-Y56,"")</f>
        <v>0</v>
      </c>
      <c r="AA56" s="40" t="s">
        <v>1078</v>
      </c>
      <c r="AB56" s="34">
        <f>IF(AND(ISNUMBER(AC56),ISNUMBER(AA56)),AC56-AA56,"")</f>
        <v>0</v>
      </c>
      <c r="AC56" s="40" t="s">
        <v>1078</v>
      </c>
      <c r="AD56" s="34">
        <f>IF(AND(ISNUMBER(AE56),ISNUMBER(AC56)),AE56-AC56,"")</f>
        <v>0</v>
      </c>
      <c r="AE56" s="40" t="s">
        <v>1078</v>
      </c>
      <c r="AF56" s="34">
        <f>IF(AND(ISNUMBER(AG56),ISNUMBER(AE56)),AG56-AE56,"")</f>
        <v>0</v>
      </c>
      <c r="AG56" s="40" t="s">
        <v>1078</v>
      </c>
      <c r="AH56" s="34">
        <f>IF(AND(ISNUMBER(AI56),ISNUMBER(AG56)),AI56-AG56,"")</f>
        <v>0</v>
      </c>
      <c r="AI56" s="40" t="s">
        <v>1078</v>
      </c>
      <c r="AJ56" s="34">
        <f>IF(AND(ISNUMBER(AK56),ISNUMBER(AI56)),AK56-AI56,"")</f>
        <v>0</v>
      </c>
      <c r="AK56" s="40" t="s">
        <v>1078</v>
      </c>
      <c r="AL56" s="34">
        <f>IF(AND(ISNUMBER(AM56),ISNUMBER(AK56)),AM56-AK56,"")</f>
        <v>0</v>
      </c>
      <c r="AM56" s="40" t="s">
        <v>1078</v>
      </c>
      <c r="AN56" s="34">
        <f>IF(AND(ISNUMBER(AO56),ISNUMBER(AM56)),AO56-AM56,"")</f>
        <v>0</v>
      </c>
      <c r="AO56" s="40" t="s">
        <v>1078</v>
      </c>
      <c r="AP56" s="34">
        <f>IF(AND(ISNUMBER(AQ56),ISNUMBER(AO56)),AQ56-AO56,"")</f>
        <v>0</v>
      </c>
      <c r="AQ56" s="40" t="s">
        <v>1078</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715</v>
      </c>
      <c r="E57" s="32" t="s">
        <v>1059</v>
      </c>
      <c r="F57" s="38">
        <v>45689</v>
      </c>
      <c r="I57" s="40" t="s">
        <v>1078</v>
      </c>
      <c r="J57" s="34">
        <f>IF(AND(ISNUMBER(K57),ISNUMBER(I57)),K57-I57,"")</f>
        <v>0</v>
      </c>
      <c r="K57" s="40" t="s">
        <v>1078</v>
      </c>
      <c r="L57" s="34">
        <f>IF(AND(ISNUMBER(M57),ISNUMBER(K57)),M57-K57,"")</f>
        <v>0</v>
      </c>
      <c r="M57" s="40" t="s">
        <v>1078</v>
      </c>
      <c r="N57" s="34">
        <f>IF(AND(ISNUMBER(O57),ISNUMBER(M57)),O57-M57,"")</f>
        <v>0</v>
      </c>
      <c r="O57" s="40" t="s">
        <v>1078</v>
      </c>
      <c r="P57" s="34">
        <f>IF(AND(ISNUMBER(Q57),ISNUMBER(O57)),Q57-O57,"")</f>
        <v>0</v>
      </c>
      <c r="Q57" s="40" t="s">
        <v>1078</v>
      </c>
      <c r="R57" s="34">
        <f>IF(AND(ISNUMBER(S57),ISNUMBER(Q57)),S57-Q57,"")</f>
        <v>0</v>
      </c>
      <c r="S57" s="40" t="s">
        <v>1078</v>
      </c>
      <c r="T57" s="34">
        <f>IF(AND(ISNUMBER(U57),ISNUMBER(S57)),U57-S57,"")</f>
        <v>0</v>
      </c>
      <c r="U57" s="40" t="s">
        <v>1078</v>
      </c>
      <c r="V57" s="34">
        <f>IF(AND(ISNUMBER(W57),ISNUMBER(U57)),W57-U57,"")</f>
        <v>0</v>
      </c>
      <c r="W57" s="40" t="s">
        <v>1078</v>
      </c>
      <c r="X57" s="34">
        <f>IF(AND(ISNUMBER(Y57),ISNUMBER(W57)),Y57-W57,"")</f>
        <v>0</v>
      </c>
      <c r="Y57" s="40" t="s">
        <v>1078</v>
      </c>
      <c r="Z57" s="34">
        <f>IF(AND(ISNUMBER(AA57),ISNUMBER(Y57)),AA57-Y57,"")</f>
        <v>0</v>
      </c>
      <c r="AA57" s="40" t="s">
        <v>1078</v>
      </c>
      <c r="AB57" s="34">
        <f>IF(AND(ISNUMBER(AC57),ISNUMBER(AA57)),AC57-AA57,"")</f>
        <v>0</v>
      </c>
      <c r="AC57" s="40" t="s">
        <v>1078</v>
      </c>
      <c r="AD57" s="34">
        <f>IF(AND(ISNUMBER(AE57),ISNUMBER(AC57)),AE57-AC57,"")</f>
        <v>0</v>
      </c>
      <c r="AE57" s="40" t="s">
        <v>1078</v>
      </c>
      <c r="AF57" s="34">
        <f>IF(AND(ISNUMBER(AG57),ISNUMBER(AE57)),AG57-AE57,"")</f>
        <v>0</v>
      </c>
      <c r="AG57" s="40" t="s">
        <v>1078</v>
      </c>
      <c r="AH57" s="34">
        <f>IF(AND(ISNUMBER(AI57),ISNUMBER(AG57)),AI57-AG57,"")</f>
        <v>0</v>
      </c>
      <c r="AI57" s="40" t="s">
        <v>1078</v>
      </c>
      <c r="AJ57" s="34">
        <f>IF(AND(ISNUMBER(AK57),ISNUMBER(AI57)),AK57-AI57,"")</f>
        <v>0</v>
      </c>
      <c r="AK57" s="40" t="s">
        <v>1078</v>
      </c>
      <c r="AL57" s="34">
        <f>IF(AND(ISNUMBER(AM57),ISNUMBER(AK57)),AM57-AK57,"")</f>
        <v>0</v>
      </c>
      <c r="AM57" s="40" t="s">
        <v>1078</v>
      </c>
      <c r="AN57" s="34">
        <f>IF(AND(ISNUMBER(AO57),ISNUMBER(AM57)),AO57-AM57,"")</f>
        <v>0</v>
      </c>
      <c r="AO57" s="40" t="s">
        <v>1078</v>
      </c>
      <c r="AP57" s="34">
        <f>IF(AND(ISNUMBER(AQ57),ISNUMBER(AO57)),AQ57-AO57,"")</f>
        <v>0</v>
      </c>
      <c r="AQ57" s="40" t="s">
        <v>1078</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717</v>
      </c>
      <c r="E58" s="32" t="s">
        <v>1047</v>
      </c>
      <c r="I58" s="40" t="s">
        <v>1078</v>
      </c>
      <c r="J58" s="34">
        <f>IF(AND(ISNUMBER(K58),ISNUMBER(I58)),K58-I58,"")</f>
        <v>0</v>
      </c>
      <c r="K58" s="40" t="s">
        <v>1078</v>
      </c>
      <c r="L58" s="34">
        <f>IF(AND(ISNUMBER(M58),ISNUMBER(K58)),M58-K58,"")</f>
        <v>0</v>
      </c>
      <c r="M58" s="40" t="s">
        <v>1078</v>
      </c>
      <c r="N58" s="34">
        <f>IF(AND(ISNUMBER(O58),ISNUMBER(M58)),O58-M58,"")</f>
        <v>0</v>
      </c>
      <c r="O58" s="40" t="s">
        <v>1078</v>
      </c>
      <c r="P58" s="34">
        <f>IF(AND(ISNUMBER(Q58),ISNUMBER(O58)),Q58-O58,"")</f>
        <v>0</v>
      </c>
      <c r="Q58" s="40" t="s">
        <v>1078</v>
      </c>
      <c r="R58" s="34">
        <f>IF(AND(ISNUMBER(S58),ISNUMBER(Q58)),S58-Q58,"")</f>
        <v>0</v>
      </c>
      <c r="S58" s="40" t="s">
        <v>1078</v>
      </c>
      <c r="T58" s="34">
        <f>IF(AND(ISNUMBER(U58),ISNUMBER(S58)),U58-S58,"")</f>
        <v>0</v>
      </c>
      <c r="U58" s="40" t="s">
        <v>1078</v>
      </c>
      <c r="V58" s="34">
        <f>IF(AND(ISNUMBER(W58),ISNUMBER(U58)),W58-U58,"")</f>
        <v>0</v>
      </c>
      <c r="W58" s="40" t="s">
        <v>1078</v>
      </c>
      <c r="X58" s="34">
        <f>IF(AND(ISNUMBER(Y58),ISNUMBER(W58)),Y58-W58,"")</f>
        <v>0</v>
      </c>
      <c r="Y58" s="40" t="s">
        <v>1078</v>
      </c>
      <c r="Z58" s="34">
        <f>IF(AND(ISNUMBER(AA58),ISNUMBER(Y58)),AA58-Y58,"")</f>
        <v>0</v>
      </c>
      <c r="AA58" s="40" t="s">
        <v>1078</v>
      </c>
      <c r="AB58" s="34">
        <f>IF(AND(ISNUMBER(AC58),ISNUMBER(AA58)),AC58-AA58,"")</f>
        <v>0</v>
      </c>
      <c r="AC58" s="40" t="s">
        <v>1078</v>
      </c>
      <c r="AD58" s="34">
        <f>IF(AND(ISNUMBER(AE58),ISNUMBER(AC58)),AE58-AC58,"")</f>
        <v>0</v>
      </c>
      <c r="AE58" s="40" t="s">
        <v>1078</v>
      </c>
      <c r="AF58" s="34">
        <f>IF(AND(ISNUMBER(AG58),ISNUMBER(AE58)),AG58-AE58,"")</f>
        <v>0</v>
      </c>
      <c r="AG58" s="40" t="s">
        <v>1078</v>
      </c>
      <c r="AH58" s="34">
        <f>IF(AND(ISNUMBER(AI58),ISNUMBER(AG58)),AI58-AG58,"")</f>
        <v>0</v>
      </c>
      <c r="AI58" s="40" t="s">
        <v>1078</v>
      </c>
      <c r="AJ58" s="34">
        <f>IF(AND(ISNUMBER(AK58),ISNUMBER(AI58)),AK58-AI58,"")</f>
        <v>0</v>
      </c>
      <c r="AK58" s="40" t="s">
        <v>1078</v>
      </c>
      <c r="AL58" s="34">
        <f>IF(AND(ISNUMBER(AM58),ISNUMBER(AK58)),AM58-AK58,"")</f>
        <v>0</v>
      </c>
      <c r="AM58" s="40" t="s">
        <v>1078</v>
      </c>
      <c r="AN58" s="34">
        <f>IF(AND(ISNUMBER(AO58),ISNUMBER(AM58)),AO58-AM58,"")</f>
        <v>0</v>
      </c>
      <c r="AO58" s="40" t="s">
        <v>1078</v>
      </c>
      <c r="AP58" s="34">
        <f>IF(AND(ISNUMBER(AQ58),ISNUMBER(AO58)),AQ58-AO58,"")</f>
        <v>0</v>
      </c>
      <c r="AQ58" s="40" t="s">
        <v>1078</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719</v>
      </c>
      <c r="E59" s="32" t="s">
        <v>1058</v>
      </c>
      <c r="F59" s="38">
        <v>45689</v>
      </c>
      <c r="I59" s="40" t="s">
        <v>1078</v>
      </c>
      <c r="J59" s="34">
        <f>IF(AND(ISNUMBER(K59),ISNUMBER(I59)),K59-I59,"")</f>
        <v>0</v>
      </c>
      <c r="K59" s="40" t="s">
        <v>1078</v>
      </c>
      <c r="L59" s="34">
        <f>IF(AND(ISNUMBER(M59),ISNUMBER(K59)),M59-K59,"")</f>
        <v>0</v>
      </c>
      <c r="M59" s="40" t="s">
        <v>1078</v>
      </c>
      <c r="N59" s="34">
        <f>IF(AND(ISNUMBER(O59),ISNUMBER(M59)),O59-M59,"")</f>
        <v>0</v>
      </c>
      <c r="O59" s="40" t="s">
        <v>1078</v>
      </c>
      <c r="P59" s="34">
        <f>IF(AND(ISNUMBER(Q59),ISNUMBER(O59)),Q59-O59,"")</f>
        <v>0</v>
      </c>
      <c r="Q59" s="40" t="s">
        <v>1078</v>
      </c>
      <c r="R59" s="34">
        <f>IF(AND(ISNUMBER(S59),ISNUMBER(Q59)),S59-Q59,"")</f>
        <v>0</v>
      </c>
      <c r="S59" s="40" t="s">
        <v>1078</v>
      </c>
      <c r="T59" s="34">
        <f>IF(AND(ISNUMBER(U59),ISNUMBER(S59)),U59-S59,"")</f>
        <v>0</v>
      </c>
      <c r="U59" s="40" t="s">
        <v>1078</v>
      </c>
      <c r="V59" s="34">
        <f>IF(AND(ISNUMBER(W59),ISNUMBER(U59)),W59-U59,"")</f>
        <v>0</v>
      </c>
      <c r="W59" s="40" t="s">
        <v>1078</v>
      </c>
      <c r="X59" s="34">
        <f>IF(AND(ISNUMBER(Y59),ISNUMBER(W59)),Y59-W59,"")</f>
        <v>0</v>
      </c>
      <c r="Y59" s="40" t="s">
        <v>1078</v>
      </c>
      <c r="Z59" s="34">
        <f>IF(AND(ISNUMBER(AA59),ISNUMBER(Y59)),AA59-Y59,"")</f>
        <v>0</v>
      </c>
      <c r="AA59" s="40" t="s">
        <v>1078</v>
      </c>
      <c r="AB59" s="34">
        <f>IF(AND(ISNUMBER(AC59),ISNUMBER(AA59)),AC59-AA59,"")</f>
        <v>0</v>
      </c>
      <c r="AC59" s="40" t="s">
        <v>1078</v>
      </c>
      <c r="AD59" s="34">
        <f>IF(AND(ISNUMBER(AE59),ISNUMBER(AC59)),AE59-AC59,"")</f>
        <v>0</v>
      </c>
      <c r="AE59" s="40" t="s">
        <v>1078</v>
      </c>
      <c r="AF59" s="34">
        <f>IF(AND(ISNUMBER(AG59),ISNUMBER(AE59)),AG59-AE59,"")</f>
        <v>0</v>
      </c>
      <c r="AG59" s="40" t="s">
        <v>1078</v>
      </c>
      <c r="AH59" s="34">
        <f>IF(AND(ISNUMBER(AI59),ISNUMBER(AG59)),AI59-AG59,"")</f>
        <v>0</v>
      </c>
      <c r="AI59" s="40" t="s">
        <v>1078</v>
      </c>
      <c r="AJ59" s="34">
        <f>IF(AND(ISNUMBER(AK59),ISNUMBER(AI59)),AK59-AI59,"")</f>
        <v>0</v>
      </c>
      <c r="AK59" s="40" t="s">
        <v>1078</v>
      </c>
      <c r="AL59" s="34">
        <f>IF(AND(ISNUMBER(AM59),ISNUMBER(AK59)),AM59-AK59,"")</f>
        <v>0</v>
      </c>
      <c r="AM59" s="40" t="s">
        <v>1078</v>
      </c>
      <c r="AN59" s="34">
        <f>IF(AND(ISNUMBER(AO59),ISNUMBER(AM59)),AO59-AM59,"")</f>
        <v>0</v>
      </c>
      <c r="AO59" s="40" t="s">
        <v>1078</v>
      </c>
      <c r="AP59" s="34">
        <f>IF(AND(ISNUMBER(AQ59),ISNUMBER(AO59)),AQ59-AO59,"")</f>
        <v>0</v>
      </c>
      <c r="AQ59" s="40" t="s">
        <v>1078</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1100</v>
      </c>
    </row>
    <row r="60" spans="1:322" hidden="1" outlineLevel="1">
      <c r="B60" s="23"/>
      <c r="D60" s="31" t="s">
        <v>721</v>
      </c>
      <c r="E60" s="32" t="s">
        <v>1054</v>
      </c>
      <c r="F60" s="38">
        <v>45689</v>
      </c>
      <c r="I60" s="40" t="s">
        <v>1078</v>
      </c>
      <c r="J60" s="34">
        <f>IF(AND(ISNUMBER(K60),ISNUMBER(I60)),K60-I60,"")</f>
        <v>0</v>
      </c>
      <c r="K60" s="40" t="s">
        <v>1078</v>
      </c>
      <c r="L60" s="34">
        <f>IF(AND(ISNUMBER(M60),ISNUMBER(K60)),M60-K60,"")</f>
        <v>0</v>
      </c>
      <c r="M60" s="40" t="s">
        <v>1078</v>
      </c>
      <c r="N60" s="34">
        <f>IF(AND(ISNUMBER(O60),ISNUMBER(M60)),O60-M60,"")</f>
        <v>0</v>
      </c>
      <c r="O60" s="40" t="s">
        <v>1078</v>
      </c>
      <c r="P60" s="34">
        <f>IF(AND(ISNUMBER(Q60),ISNUMBER(O60)),Q60-O60,"")</f>
        <v>0</v>
      </c>
      <c r="Q60" s="40" t="s">
        <v>1078</v>
      </c>
      <c r="R60" s="34">
        <f>IF(AND(ISNUMBER(S60),ISNUMBER(Q60)),S60-Q60,"")</f>
        <v>0</v>
      </c>
      <c r="S60" s="40" t="s">
        <v>1078</v>
      </c>
      <c r="T60" s="34">
        <f>IF(AND(ISNUMBER(U60),ISNUMBER(S60)),U60-S60,"")</f>
        <v>0</v>
      </c>
      <c r="U60" s="40" t="s">
        <v>1078</v>
      </c>
      <c r="V60" s="34">
        <f>IF(AND(ISNUMBER(W60),ISNUMBER(U60)),W60-U60,"")</f>
        <v>0</v>
      </c>
      <c r="W60" s="40" t="s">
        <v>1078</v>
      </c>
      <c r="X60" s="34">
        <f>IF(AND(ISNUMBER(Y60),ISNUMBER(W60)),Y60-W60,"")</f>
        <v>0</v>
      </c>
      <c r="Y60" s="40" t="s">
        <v>1078</v>
      </c>
      <c r="Z60" s="34">
        <f>IF(AND(ISNUMBER(AA60),ISNUMBER(Y60)),AA60-Y60,"")</f>
        <v>0</v>
      </c>
      <c r="AA60" s="40" t="s">
        <v>1078</v>
      </c>
      <c r="AB60" s="34">
        <f>IF(AND(ISNUMBER(AC60),ISNUMBER(AA60)),AC60-AA60,"")</f>
        <v>0</v>
      </c>
      <c r="AC60" s="33">
        <v>4</v>
      </c>
      <c r="AD60" s="34">
        <f>IF(AND(ISNUMBER(AE60),ISNUMBER(AC60)),AE60-AC60,"")</f>
        <v>0</v>
      </c>
      <c r="AE60" s="40" t="s">
        <v>1078</v>
      </c>
      <c r="AF60" s="34">
        <f>IF(AND(ISNUMBER(AG60),ISNUMBER(AE60)),AG60-AE60,"")</f>
        <v>0</v>
      </c>
      <c r="AG60" s="40" t="s">
        <v>1078</v>
      </c>
      <c r="AH60" s="34">
        <f>IF(AND(ISNUMBER(AI60),ISNUMBER(AG60)),AI60-AG60,"")</f>
        <v>0</v>
      </c>
      <c r="AI60" s="40" t="s">
        <v>1078</v>
      </c>
      <c r="AJ60" s="34">
        <f>IF(AND(ISNUMBER(AK60),ISNUMBER(AI60)),AK60-AI60,"")</f>
        <v>0</v>
      </c>
      <c r="AK60" s="40" t="s">
        <v>1078</v>
      </c>
      <c r="AL60" s="34">
        <f>IF(AND(ISNUMBER(AM60),ISNUMBER(AK60)),AM60-AK60,"")</f>
        <v>0</v>
      </c>
      <c r="AM60" s="40" t="s">
        <v>1078</v>
      </c>
      <c r="AN60" s="34">
        <f>IF(AND(ISNUMBER(AO60),ISNUMBER(AM60)),AO60-AM60,"")</f>
        <v>0</v>
      </c>
      <c r="AO60" s="40" t="s">
        <v>1078</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723</v>
      </c>
      <c r="E61" s="32" t="s">
        <v>1052</v>
      </c>
      <c r="F61" s="38">
        <v>45689</v>
      </c>
      <c r="I61" s="40" t="s">
        <v>1078</v>
      </c>
      <c r="J61" s="34">
        <f>IF(AND(ISNUMBER(K61),ISNUMBER(I61)),K61-I61,"")</f>
        <v>0</v>
      </c>
      <c r="K61" s="40" t="s">
        <v>1078</v>
      </c>
      <c r="L61" s="34">
        <f>IF(AND(ISNUMBER(M61),ISNUMBER(K61)),M61-K61,"")</f>
        <v>0</v>
      </c>
      <c r="M61" s="40" t="s">
        <v>1078</v>
      </c>
      <c r="N61" s="34">
        <f>IF(AND(ISNUMBER(O61),ISNUMBER(M61)),O61-M61,"")</f>
        <v>0</v>
      </c>
      <c r="O61" s="40" t="s">
        <v>1078</v>
      </c>
      <c r="P61" s="34">
        <f>IF(AND(ISNUMBER(Q61),ISNUMBER(O61)),Q61-O61,"")</f>
        <v>0</v>
      </c>
      <c r="Q61" s="40" t="s">
        <v>1078</v>
      </c>
      <c r="R61" s="34">
        <f>IF(AND(ISNUMBER(S61),ISNUMBER(Q61)),S61-Q61,"")</f>
        <v>0</v>
      </c>
      <c r="S61" s="40" t="s">
        <v>1078</v>
      </c>
      <c r="T61" s="34">
        <f>IF(AND(ISNUMBER(U61),ISNUMBER(S61)),U61-S61,"")</f>
        <v>0</v>
      </c>
      <c r="U61" s="40" t="s">
        <v>1078</v>
      </c>
      <c r="V61" s="34">
        <f>IF(AND(ISNUMBER(W61),ISNUMBER(U61)),W61-U61,"")</f>
        <v>0</v>
      </c>
      <c r="W61" s="40" t="s">
        <v>1078</v>
      </c>
      <c r="X61" s="34">
        <f>IF(AND(ISNUMBER(Y61),ISNUMBER(W61)),Y61-W61,"")</f>
        <v>0</v>
      </c>
      <c r="Y61" s="40" t="s">
        <v>1078</v>
      </c>
      <c r="Z61" s="34">
        <f>IF(AND(ISNUMBER(AA61),ISNUMBER(Y61)),AA61-Y61,"")</f>
        <v>0</v>
      </c>
      <c r="AA61" s="40" t="s">
        <v>1078</v>
      </c>
      <c r="AB61" s="34">
        <f>IF(AND(ISNUMBER(AC61),ISNUMBER(AA61)),AC61-AA61,"")</f>
        <v>0</v>
      </c>
      <c r="AC61" s="33">
        <v>0</v>
      </c>
      <c r="AD61" s="34">
        <f>IF(AND(ISNUMBER(AE61),ISNUMBER(AC61)),AE61-AC61,"")</f>
        <v>0</v>
      </c>
      <c r="AE61" s="40" t="s">
        <v>1078</v>
      </c>
      <c r="AF61" s="34">
        <f>IF(AND(ISNUMBER(AG61),ISNUMBER(AE61)),AG61-AE61,"")</f>
        <v>0</v>
      </c>
      <c r="AG61" s="40" t="s">
        <v>1078</v>
      </c>
      <c r="AH61" s="34">
        <f>IF(AND(ISNUMBER(AI61),ISNUMBER(AG61)),AI61-AG61,"")</f>
        <v>0</v>
      </c>
      <c r="AI61" s="40" t="s">
        <v>1078</v>
      </c>
      <c r="AJ61" s="34">
        <f>IF(AND(ISNUMBER(AK61),ISNUMBER(AI61)),AK61-AI61,"")</f>
        <v>0</v>
      </c>
      <c r="AK61" s="40" t="s">
        <v>1078</v>
      </c>
      <c r="AL61" s="34">
        <f>IF(AND(ISNUMBER(AM61),ISNUMBER(AK61)),AM61-AK61,"")</f>
        <v>0</v>
      </c>
      <c r="AM61" s="40" t="s">
        <v>1078</v>
      </c>
      <c r="AN61" s="34">
        <f>IF(AND(ISNUMBER(AO61),ISNUMBER(AM61)),AO61-AM61,"")</f>
        <v>0</v>
      </c>
      <c r="AO61" s="40" t="s">
        <v>1078</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725</v>
      </c>
      <c r="E62" s="32" t="s">
        <v>1060</v>
      </c>
      <c r="F62" s="38">
        <v>45689</v>
      </c>
      <c r="I62" s="40" t="s">
        <v>1078</v>
      </c>
      <c r="J62" s="34">
        <f>IF(AND(ISNUMBER(K62),ISNUMBER(I62)),K62-I62,"")</f>
        <v>0</v>
      </c>
      <c r="K62" s="40" t="s">
        <v>1078</v>
      </c>
      <c r="L62" s="34">
        <f>IF(AND(ISNUMBER(M62),ISNUMBER(K62)),M62-K62,"")</f>
        <v>0</v>
      </c>
      <c r="M62" s="40" t="s">
        <v>1078</v>
      </c>
      <c r="N62" s="34">
        <f>IF(AND(ISNUMBER(O62),ISNUMBER(M62)),O62-M62,"")</f>
        <v>0</v>
      </c>
      <c r="O62" s="40" t="s">
        <v>1078</v>
      </c>
      <c r="P62" s="34">
        <f>IF(AND(ISNUMBER(Q62),ISNUMBER(O62)),Q62-O62,"")</f>
        <v>0</v>
      </c>
      <c r="Q62" s="40" t="s">
        <v>1078</v>
      </c>
      <c r="R62" s="34">
        <f>IF(AND(ISNUMBER(S62),ISNUMBER(Q62)),S62-Q62,"")</f>
        <v>0</v>
      </c>
      <c r="S62" s="40" t="s">
        <v>1078</v>
      </c>
      <c r="T62" s="34">
        <f>IF(AND(ISNUMBER(U62),ISNUMBER(S62)),U62-S62,"")</f>
        <v>0</v>
      </c>
      <c r="U62" s="40" t="s">
        <v>1078</v>
      </c>
      <c r="V62" s="34">
        <f>IF(AND(ISNUMBER(W62),ISNUMBER(U62)),W62-U62,"")</f>
        <v>0</v>
      </c>
      <c r="W62" s="40" t="s">
        <v>1078</v>
      </c>
      <c r="X62" s="34">
        <f>IF(AND(ISNUMBER(Y62),ISNUMBER(W62)),Y62-W62,"")</f>
        <v>0</v>
      </c>
      <c r="Y62" s="40" t="s">
        <v>1078</v>
      </c>
      <c r="Z62" s="34">
        <f>IF(AND(ISNUMBER(AA62),ISNUMBER(Y62)),AA62-Y62,"")</f>
        <v>0</v>
      </c>
      <c r="AA62" s="40" t="s">
        <v>1078</v>
      </c>
      <c r="AB62" s="34">
        <f>IF(AND(ISNUMBER(AC62),ISNUMBER(AA62)),AC62-AA62,"")</f>
        <v>0</v>
      </c>
      <c r="AC62" s="40" t="s">
        <v>1078</v>
      </c>
      <c r="AD62" s="34">
        <f>IF(AND(ISNUMBER(AE62),ISNUMBER(AC62)),AE62-AC62,"")</f>
        <v>0</v>
      </c>
      <c r="AE62" s="40" t="s">
        <v>1078</v>
      </c>
      <c r="AF62" s="34">
        <f>IF(AND(ISNUMBER(AG62),ISNUMBER(AE62)),AG62-AE62,"")</f>
        <v>0</v>
      </c>
      <c r="AG62" s="40" t="s">
        <v>1078</v>
      </c>
      <c r="AH62" s="34">
        <f>IF(AND(ISNUMBER(AI62),ISNUMBER(AG62)),AI62-AG62,"")</f>
        <v>0</v>
      </c>
      <c r="AI62" s="40" t="s">
        <v>1078</v>
      </c>
      <c r="AJ62" s="34">
        <f>IF(AND(ISNUMBER(AK62),ISNUMBER(AI62)),AK62-AI62,"")</f>
        <v>0</v>
      </c>
      <c r="AK62" s="40" t="s">
        <v>1078</v>
      </c>
      <c r="AL62" s="34">
        <f>IF(AND(ISNUMBER(AM62),ISNUMBER(AK62)),AM62-AK62,"")</f>
        <v>0</v>
      </c>
      <c r="AM62" s="40" t="s">
        <v>1078</v>
      </c>
      <c r="AN62" s="34">
        <f>IF(AND(ISNUMBER(AO62),ISNUMBER(AM62)),AO62-AM62,"")</f>
        <v>0</v>
      </c>
      <c r="AO62" s="40" t="s">
        <v>1078</v>
      </c>
      <c r="AP62" s="34">
        <f>IF(AND(ISNUMBER(AQ62),ISNUMBER(AO62)),AQ62-AO62,"")</f>
        <v>0</v>
      </c>
      <c r="AQ62" s="40" t="s">
        <v>1078</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1085</v>
      </c>
    </row>
    <row r="63" spans="1:322">
      <c r="A63" s="22">
        <v>5</v>
      </c>
      <c r="B63" s="23" t="s">
        <v>1102</v>
      </c>
      <c r="C63" s="43" t="s">
        <v>728</v>
      </c>
      <c r="D63" s="43"/>
      <c r="E63" s="25" t="s">
        <v>1041</v>
      </c>
      <c r="F63" s="26"/>
      <c r="G63" s="26"/>
      <c r="H63" s="26" t="s">
        <v>1096</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1088</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1103</v>
      </c>
      <c r="C64" s="43" t="s">
        <v>728</v>
      </c>
      <c r="D64" s="43"/>
      <c r="E64" s="25" t="s">
        <v>1104</v>
      </c>
      <c r="F64" s="26"/>
      <c r="G64" s="26"/>
      <c r="H64" s="26" t="s">
        <v>1105</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1088</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v>2518</v>
      </c>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1106</v>
      </c>
    </row>
    <row r="65" spans="1:322" collapsed="1">
      <c r="A65" s="36" t="s">
        <v>785</v>
      </c>
      <c r="B65" s="23"/>
      <c r="C65" s="31" t="s">
        <v>783</v>
      </c>
      <c r="H65" s="38" t="s">
        <v>1105</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1088</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1106</v>
      </c>
    </row>
    <row r="66" spans="1:322" hidden="1" outlineLevel="1">
      <c r="A66" s="36" t="s">
        <v>788</v>
      </c>
      <c r="B66" s="23"/>
      <c r="C66" s="31" t="s">
        <v>786</v>
      </c>
      <c r="E66" s="32" t="s">
        <v>1104</v>
      </c>
      <c r="H66" s="38" t="s">
        <v>1105</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1088</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1106</v>
      </c>
    </row>
    <row r="67" spans="1:322">
      <c r="A67" s="22" t="s">
        <v>145</v>
      </c>
      <c r="B67" s="23" t="s">
        <v>1107</v>
      </c>
      <c r="C67" s="43" t="s">
        <v>1108</v>
      </c>
      <c r="D67" s="43" t="s">
        <v>1109</v>
      </c>
      <c r="E67" s="25"/>
      <c r="F67" s="26"/>
      <c r="G67" s="26"/>
      <c r="H67" s="26" t="s">
        <v>1082</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728</v>
      </c>
      <c r="D68" s="31" t="s">
        <v>793</v>
      </c>
      <c r="E68" s="32" t="s">
        <v>1036</v>
      </c>
      <c r="H68" s="38" t="s">
        <v>1082</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728</v>
      </c>
      <c r="D69" s="31" t="s">
        <v>795</v>
      </c>
      <c r="E69" s="32" t="s">
        <v>1036</v>
      </c>
      <c r="H69" s="38" t="s">
        <v>1082</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728</v>
      </c>
      <c r="D70" s="31" t="s">
        <v>797</v>
      </c>
      <c r="E70" s="32" t="s">
        <v>1036</v>
      </c>
      <c r="H70" s="38" t="s">
        <v>1082</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801</v>
      </c>
      <c r="B71" s="23"/>
      <c r="C71" s="31" t="s">
        <v>1110</v>
      </c>
      <c r="D71" s="31" t="s">
        <v>1109</v>
      </c>
      <c r="H71" s="38" t="s">
        <v>1082</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783</v>
      </c>
      <c r="D72" s="31" t="s">
        <v>793</v>
      </c>
      <c r="E72" s="32" t="s">
        <v>1036</v>
      </c>
      <c r="H72" s="38" t="s">
        <v>1082</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783</v>
      </c>
      <c r="D73" s="31" t="s">
        <v>795</v>
      </c>
      <c r="E73" s="32" t="s">
        <v>1036</v>
      </c>
      <c r="H73" s="38" t="s">
        <v>1082</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783</v>
      </c>
      <c r="D74" s="31" t="s">
        <v>797</v>
      </c>
      <c r="E74" s="32" t="s">
        <v>1036</v>
      </c>
      <c r="H74" s="38" t="s">
        <v>1082</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807</v>
      </c>
      <c r="B75" s="23"/>
      <c r="C75" s="31" t="s">
        <v>1111</v>
      </c>
      <c r="D75" s="31" t="s">
        <v>1109</v>
      </c>
      <c r="H75" s="38" t="s">
        <v>1082</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786</v>
      </c>
      <c r="D76" s="31" t="s">
        <v>793</v>
      </c>
      <c r="E76" s="32" t="s">
        <v>1036</v>
      </c>
      <c r="H76" s="38" t="s">
        <v>1082</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786</v>
      </c>
      <c r="D77" s="31" t="s">
        <v>795</v>
      </c>
      <c r="E77" s="32" t="s">
        <v>1036</v>
      </c>
      <c r="H77" s="38" t="s">
        <v>1082</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786</v>
      </c>
      <c r="D78" s="31" t="s">
        <v>797</v>
      </c>
      <c r="E78" s="32" t="s">
        <v>1036</v>
      </c>
      <c r="H78" s="38" t="s">
        <v>1082</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253</v>
      </c>
      <c r="B79" s="23"/>
      <c r="C79" s="31" t="s">
        <v>1112</v>
      </c>
      <c r="D79" s="31" t="s">
        <v>1113</v>
      </c>
      <c r="H79" s="38" t="s">
        <v>1082</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255</v>
      </c>
      <c r="B80" s="23"/>
      <c r="C80" s="31" t="s">
        <v>813</v>
      </c>
      <c r="D80" s="31" t="s">
        <v>814</v>
      </c>
      <c r="E80" s="32" t="s">
        <v>1036</v>
      </c>
      <c r="H80" s="38" t="s">
        <v>1082</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257</v>
      </c>
      <c r="B81" s="23"/>
      <c r="C81" s="31" t="s">
        <v>813</v>
      </c>
      <c r="D81" s="31" t="s">
        <v>816</v>
      </c>
      <c r="E81" s="32" t="s">
        <v>1036</v>
      </c>
      <c r="H81" s="38" t="s">
        <v>1082</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259</v>
      </c>
      <c r="B82" s="23"/>
      <c r="C82" s="31" t="s">
        <v>813</v>
      </c>
      <c r="D82" s="31" t="s">
        <v>818</v>
      </c>
      <c r="E82" s="32" t="s">
        <v>1036</v>
      </c>
      <c r="H82" s="38" t="s">
        <v>1082</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822</v>
      </c>
      <c r="B83" s="23"/>
      <c r="C83" s="31" t="s">
        <v>1110</v>
      </c>
      <c r="D83" s="31" t="s">
        <v>1113</v>
      </c>
      <c r="H83" s="38" t="s">
        <v>1082</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261</v>
      </c>
      <c r="B84" s="23"/>
      <c r="C84" s="31" t="s">
        <v>783</v>
      </c>
      <c r="D84" s="31" t="s">
        <v>814</v>
      </c>
      <c r="E84" s="32" t="s">
        <v>1036</v>
      </c>
      <c r="H84" s="38" t="s">
        <v>1082</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265</v>
      </c>
      <c r="B85" s="23"/>
      <c r="C85" s="31" t="s">
        <v>783</v>
      </c>
      <c r="D85" s="31" t="s">
        <v>816</v>
      </c>
      <c r="E85" s="32" t="s">
        <v>1036</v>
      </c>
      <c r="H85" s="38" t="s">
        <v>1082</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269</v>
      </c>
      <c r="B86" s="23"/>
      <c r="C86" s="31" t="s">
        <v>783</v>
      </c>
      <c r="D86" s="31" t="s">
        <v>818</v>
      </c>
      <c r="E86" s="32" t="s">
        <v>1036</v>
      </c>
      <c r="H86" s="38" t="s">
        <v>1082</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828</v>
      </c>
      <c r="B87" s="23"/>
      <c r="C87" s="31" t="s">
        <v>1111</v>
      </c>
      <c r="D87" s="31" t="s">
        <v>1113</v>
      </c>
      <c r="H87" s="38" t="s">
        <v>1082</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263</v>
      </c>
      <c r="B88" s="23"/>
      <c r="C88" s="31" t="s">
        <v>786</v>
      </c>
      <c r="D88" s="31" t="s">
        <v>814</v>
      </c>
      <c r="E88" s="32" t="s">
        <v>1036</v>
      </c>
      <c r="H88" s="38" t="s">
        <v>1082</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267</v>
      </c>
      <c r="B89" s="23"/>
      <c r="C89" s="31" t="s">
        <v>786</v>
      </c>
      <c r="D89" s="31" t="s">
        <v>816</v>
      </c>
      <c r="E89" s="32" t="s">
        <v>1036</v>
      </c>
      <c r="H89" s="38" t="s">
        <v>1082</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271</v>
      </c>
      <c r="B90" s="23"/>
      <c r="C90" s="31" t="s">
        <v>786</v>
      </c>
      <c r="D90" s="31" t="s">
        <v>818</v>
      </c>
      <c r="E90" s="32" t="s">
        <v>1036</v>
      </c>
      <c r="H90" s="38" t="s">
        <v>1082</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834</v>
      </c>
      <c r="B91" s="23" t="s">
        <v>1107</v>
      </c>
      <c r="C91" s="24" t="s">
        <v>728</v>
      </c>
      <c r="D91" s="24" t="s">
        <v>832</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837</v>
      </c>
      <c r="B92" s="23"/>
      <c r="C92" s="31" t="s">
        <v>728</v>
      </c>
      <c r="D92" s="31" t="s">
        <v>1114</v>
      </c>
      <c r="E92" s="32" t="s">
        <v>1036</v>
      </c>
      <c r="F92" s="38">
        <v>45597</v>
      </c>
      <c r="H92" s="38" t="s">
        <v>1082</v>
      </c>
      <c r="I92" s="33">
        <v>8918</v>
      </c>
      <c r="J92" s="34">
        <f>IF(AND(ISNUMBER(K92),ISNUMBER(I92)),K92-I92,"")</f>
        <v>0</v>
      </c>
      <c r="K92" s="40" t="s">
        <v>1088</v>
      </c>
      <c r="L92" s="34">
        <f>IF(AND(ISNUMBER(M92),ISNUMBER(K92)),M92-K92,"")</f>
        <v>0</v>
      </c>
      <c r="M92" s="40" t="s">
        <v>1088</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1115</v>
      </c>
    </row>
    <row r="93" spans="1:322" hidden="1">
      <c r="A93" s="36" t="s">
        <v>840</v>
      </c>
      <c r="B93" s="23"/>
      <c r="C93" s="31" t="s">
        <v>728</v>
      </c>
      <c r="D93" s="31" t="s">
        <v>838</v>
      </c>
      <c r="E93" s="32" t="s">
        <v>1036</v>
      </c>
      <c r="F93" s="38">
        <v>45627</v>
      </c>
      <c r="H93" s="38" t="s">
        <v>1082</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1116</v>
      </c>
      <c r="AZ93" s="34">
        <f>IF(AND(ISNUMBER(BA93),ISNUMBER(AY93)),BA93-AY93,"")</f>
        <v>0</v>
      </c>
      <c r="BA93" s="40" t="s">
        <v>1116</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1078</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1117</v>
      </c>
    </row>
    <row r="94" spans="1:322" hidden="1">
      <c r="A94" s="36" t="s">
        <v>843</v>
      </c>
      <c r="B94" s="23"/>
      <c r="C94" s="31" t="s">
        <v>728</v>
      </c>
      <c r="D94" s="31" t="s">
        <v>841</v>
      </c>
      <c r="E94" s="32" t="s">
        <v>1118</v>
      </c>
      <c r="H94" s="38" t="s">
        <v>1082</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846</v>
      </c>
      <c r="B95" s="23"/>
      <c r="C95" s="37" t="s">
        <v>1110</v>
      </c>
      <c r="D95" s="37" t="s">
        <v>832</v>
      </c>
      <c r="H95" s="38" t="s">
        <v>1082</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783</v>
      </c>
      <c r="D96" s="31" t="s">
        <v>835</v>
      </c>
      <c r="E96" s="32" t="s">
        <v>1036</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783</v>
      </c>
      <c r="D97" s="31" t="s">
        <v>1119</v>
      </c>
      <c r="E97" s="32" t="s">
        <v>1036</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1120</v>
      </c>
      <c r="IT97" s="34">
        <f>IF(AND(ISNUMBER(IU97),ISNUMBER(IS97)),IU97-IS97,"")</f>
        <v>0</v>
      </c>
      <c r="IU97" s="33">
        <v>2535</v>
      </c>
      <c r="IV97" s="34">
        <f>IF(AND(ISNUMBER(IW97),ISNUMBER(IU97)),IW97-IU97,"")</f>
        <v>0</v>
      </c>
      <c r="IW97" s="40" t="s">
        <v>1121</v>
      </c>
      <c r="IX97" s="34">
        <f>IF(AND(ISNUMBER(IY97),ISNUMBER(IW97)),IY97-IW97,"")</f>
        <v>0</v>
      </c>
      <c r="IY97" s="40" t="s">
        <v>1121</v>
      </c>
      <c r="IZ97" s="34">
        <f>IF(AND(ISNUMBER(JA97),ISNUMBER(IY97)),JA97-IY97,"")</f>
        <v>0</v>
      </c>
      <c r="JA97" s="40" t="s">
        <v>1121</v>
      </c>
      <c r="JB97" s="34">
        <f>IF(AND(ISNUMBER(JC97),ISNUMBER(JA97)),JC97-JA97,"")</f>
        <v>0</v>
      </c>
      <c r="JC97" s="40" t="s">
        <v>1121</v>
      </c>
      <c r="JD97" s="34">
        <f>IF(AND(ISNUMBER(JE97),ISNUMBER(JC97)),JE97-JC97,"")</f>
        <v>0</v>
      </c>
      <c r="JE97" s="40" t="s">
        <v>1121</v>
      </c>
      <c r="JF97" s="34">
        <f>IF(AND(ISNUMBER(JG97),ISNUMBER(JE97)),JG97-JE97,"")</f>
        <v>0</v>
      </c>
      <c r="JG97" s="40" t="s">
        <v>1121</v>
      </c>
      <c r="JH97" s="34">
        <f>IF(AND(ISNUMBER(JI97),ISNUMBER(JG97)),JI97-JG97,"")</f>
        <v>0</v>
      </c>
      <c r="JI97" s="40" t="s">
        <v>1121</v>
      </c>
      <c r="JJ97" s="34">
        <f>IF(AND(ISNUMBER(JK97),ISNUMBER(JI97)),JK97-JI97,"")</f>
        <v>0</v>
      </c>
      <c r="JK97" s="40" t="s">
        <v>1121</v>
      </c>
      <c r="JL97" s="34">
        <f>IF(AND(ISNUMBER(JM97),ISNUMBER(JK97)),JM97-JK97,"")</f>
        <v>0</v>
      </c>
      <c r="JM97" s="40" t="s">
        <v>1121</v>
      </c>
      <c r="JN97" s="34">
        <f>IF(AND(ISNUMBER(JO97),ISNUMBER(JM97)),JO97-JM97,"")</f>
        <v>0</v>
      </c>
      <c r="JO97" s="40" t="s">
        <v>1121</v>
      </c>
      <c r="JP97" s="34">
        <f>IF(AND(ISNUMBER(JQ97),ISNUMBER(JO97)),JQ97-JO97,"")</f>
        <v>0</v>
      </c>
      <c r="JQ97" s="40" t="s">
        <v>1121</v>
      </c>
      <c r="JR97" s="34">
        <f>IF(AND(ISNUMBER(JS97),ISNUMBER(JQ97)),JS97-JQ97,"")</f>
        <v>0</v>
      </c>
      <c r="JS97" s="40" t="s">
        <v>1121</v>
      </c>
      <c r="JT97" s="34">
        <f>IF(AND(ISNUMBER(JU97),ISNUMBER(JS97)),JU97-JS97,"")</f>
        <v>0</v>
      </c>
      <c r="JU97" s="40" t="s">
        <v>1121</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783</v>
      </c>
      <c r="D98" s="31" t="s">
        <v>850</v>
      </c>
      <c r="E98" s="32" t="s">
        <v>1118</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854</v>
      </c>
      <c r="B99" s="23"/>
      <c r="C99" s="37" t="s">
        <v>1111</v>
      </c>
      <c r="D99" s="37" t="s">
        <v>832</v>
      </c>
      <c r="H99" s="38" t="s">
        <v>1082</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786</v>
      </c>
      <c r="D100" s="31" t="s">
        <v>1114</v>
      </c>
      <c r="E100" s="32" t="s">
        <v>1036</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786</v>
      </c>
      <c r="D101" s="31" t="s">
        <v>1119</v>
      </c>
      <c r="E101" s="32" t="s">
        <v>1036</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1120</v>
      </c>
      <c r="IT101" s="34">
        <f>IF(AND(ISNUMBER(IU101),ISNUMBER(IS101)),IU101-IS101,"")</f>
        <v>0</v>
      </c>
      <c r="IU101" s="33">
        <v>2441</v>
      </c>
      <c r="IV101" s="34">
        <f>IF(AND(ISNUMBER(IW101),ISNUMBER(IU101)),IW101-IU101,"")</f>
        <v>0</v>
      </c>
      <c r="IW101" s="40" t="s">
        <v>1121</v>
      </c>
      <c r="IX101" s="34">
        <f>IF(AND(ISNUMBER(IY101),ISNUMBER(IW101)),IY101-IW101,"")</f>
        <v>0</v>
      </c>
      <c r="IY101" s="40" t="s">
        <v>1121</v>
      </c>
      <c r="IZ101" s="34">
        <f>IF(AND(ISNUMBER(JA101),ISNUMBER(IY101)),JA101-IY101,"")</f>
        <v>0</v>
      </c>
      <c r="JA101" s="40" t="s">
        <v>1121</v>
      </c>
      <c r="JB101" s="34">
        <f>IF(AND(ISNUMBER(JC101),ISNUMBER(JA101)),JC101-JA101,"")</f>
        <v>0</v>
      </c>
      <c r="JC101" s="40" t="s">
        <v>1121</v>
      </c>
      <c r="JD101" s="34">
        <f>IF(AND(ISNUMBER(JE101),ISNUMBER(JC101)),JE101-JC101,"")</f>
        <v>0</v>
      </c>
      <c r="JE101" s="40" t="s">
        <v>1121</v>
      </c>
      <c r="JF101" s="34">
        <f>IF(AND(ISNUMBER(JG101),ISNUMBER(JE101)),JG101-JE101,"")</f>
        <v>0</v>
      </c>
      <c r="JG101" s="40" t="s">
        <v>1121</v>
      </c>
      <c r="JH101" s="34">
        <f>IF(AND(ISNUMBER(JI101),ISNUMBER(JG101)),JI101-JG101,"")</f>
        <v>0</v>
      </c>
      <c r="JI101" s="40" t="s">
        <v>1121</v>
      </c>
      <c r="JJ101" s="34">
        <f>IF(AND(ISNUMBER(JK101),ISNUMBER(JI101)),JK101-JI101,"")</f>
        <v>0</v>
      </c>
      <c r="JK101" s="40" t="s">
        <v>1121</v>
      </c>
      <c r="JL101" s="34">
        <f>IF(AND(ISNUMBER(JM101),ISNUMBER(JK101)),JM101-JK101,"")</f>
        <v>0</v>
      </c>
      <c r="JM101" s="40" t="s">
        <v>1121</v>
      </c>
      <c r="JN101" s="34">
        <f>IF(AND(ISNUMBER(JO101),ISNUMBER(JM101)),JO101-JM101,"")</f>
        <v>0</v>
      </c>
      <c r="JO101" s="40" t="s">
        <v>1121</v>
      </c>
      <c r="JP101" s="34">
        <f>IF(AND(ISNUMBER(JQ101),ISNUMBER(JO101)),JQ101-JO101,"")</f>
        <v>0</v>
      </c>
      <c r="JQ101" s="40" t="s">
        <v>1121</v>
      </c>
      <c r="JR101" s="34">
        <f>IF(AND(ISNUMBER(JS101),ISNUMBER(JQ101)),JS101-JQ101,"")</f>
        <v>0</v>
      </c>
      <c r="JS101" s="40" t="s">
        <v>1121</v>
      </c>
      <c r="JT101" s="34">
        <f>IF(AND(ISNUMBER(JU101),ISNUMBER(JS101)),JU101-JS101,"")</f>
        <v>0</v>
      </c>
      <c r="JU101" s="40" t="s">
        <v>1121</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786</v>
      </c>
      <c r="D102" s="31" t="s">
        <v>850</v>
      </c>
      <c r="E102" s="32" t="s">
        <v>1118</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1122</v>
      </c>
      <c r="C103" s="43" t="s">
        <v>728</v>
      </c>
      <c r="D103" s="43" t="s">
        <v>859</v>
      </c>
      <c r="E103" s="25" t="s">
        <v>1123</v>
      </c>
      <c r="F103" s="26">
        <v>45388</v>
      </c>
      <c r="G103" s="26"/>
      <c r="H103" s="26" t="s">
        <v>1105</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v>0</v>
      </c>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1124</v>
      </c>
    </row>
    <row r="104" spans="1:322">
      <c r="B104" s="23"/>
      <c r="C104" s="31" t="s">
        <v>728</v>
      </c>
      <c r="D104" s="31" t="s">
        <v>861</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v>71</v>
      </c>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728</v>
      </c>
      <c r="D105" s="37" t="s">
        <v>832</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783</v>
      </c>
      <c r="D106" s="31" t="s">
        <v>859</v>
      </c>
      <c r="E106" s="25"/>
      <c r="H106" s="38" t="s">
        <v>1105</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v>0</v>
      </c>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783</v>
      </c>
      <c r="D107" s="31" t="s">
        <v>861</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v>49</v>
      </c>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783</v>
      </c>
      <c r="D108" s="37" t="s">
        <v>832</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786</v>
      </c>
      <c r="D109" s="37" t="s">
        <v>859</v>
      </c>
      <c r="E109" s="25"/>
      <c r="H109" s="38" t="s">
        <v>1105</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v>0</v>
      </c>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786</v>
      </c>
      <c r="D110" s="37" t="s">
        <v>861</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786</v>
      </c>
      <c r="D111" s="37" t="s">
        <v>832</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872</v>
      </c>
      <c r="B112" s="23"/>
      <c r="C112" s="31" t="s">
        <v>728</v>
      </c>
      <c r="D112" s="31" t="s">
        <v>1125</v>
      </c>
      <c r="E112" s="32" t="s">
        <v>1123</v>
      </c>
      <c r="F112" s="38">
        <v>45300</v>
      </c>
      <c r="H112" s="38" t="s">
        <v>1105</v>
      </c>
      <c r="I112" s="40" t="s">
        <v>1088</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1088</v>
      </c>
      <c r="V112" s="34">
        <f>IF(AND(ISNUMBER(W112),ISNUMBER(U112)),W112-U112,"")</f>
        <v>0</v>
      </c>
      <c r="W112" s="33">
        <v>3078</v>
      </c>
      <c r="X112" s="34">
        <f>IF(AND(ISNUMBER(Y112),ISNUMBER(W112)),Y112-W112,"")</f>
        <v>0</v>
      </c>
      <c r="Y112" s="40" t="s">
        <v>1088</v>
      </c>
      <c r="Z112" s="34">
        <f>IF(AND(ISNUMBER(AA112),ISNUMBER(Y112)),AA112-Y112,"")</f>
        <v>0</v>
      </c>
      <c r="AA112" s="40" t="s">
        <v>1088</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1088</v>
      </c>
      <c r="AP112" s="34">
        <f>IF(AND(ISNUMBER(AQ112),ISNUMBER(AO112)),AQ112-AO112,"")</f>
        <v>0</v>
      </c>
      <c r="AQ112" s="40" t="s">
        <v>1088</v>
      </c>
      <c r="AR112" s="34">
        <f>IF(AND(ISNUMBER(AS112),ISNUMBER(AQ112)),AS112-AQ112,"")</f>
        <v>0</v>
      </c>
      <c r="AS112" s="40" t="s">
        <v>1088</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v>0</v>
      </c>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1126</v>
      </c>
    </row>
    <row r="113" spans="1:322">
      <c r="A113" s="22" t="s">
        <v>108</v>
      </c>
      <c r="B113" s="23" t="s">
        <v>1127</v>
      </c>
      <c r="C113" s="43" t="s">
        <v>728</v>
      </c>
      <c r="D113" s="43"/>
      <c r="E113" s="25" t="s">
        <v>1128</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v>389</v>
      </c>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1129</v>
      </c>
      <c r="C114" s="43" t="s">
        <v>728</v>
      </c>
      <c r="D114" s="43"/>
      <c r="E114" s="25" t="s">
        <v>1130</v>
      </c>
      <c r="F114" s="26"/>
      <c r="G114" s="26"/>
      <c r="H114" s="26" t="s">
        <v>1096</v>
      </c>
      <c r="I114" s="42" t="s">
        <v>1078</v>
      </c>
      <c r="J114" s="28">
        <f>IF(AND(ISNUMBER(K114),ISNUMBER(I114)),K114-I114,"")</f>
        <v>0</v>
      </c>
      <c r="K114" s="42" t="s">
        <v>1078</v>
      </c>
      <c r="L114" s="28">
        <f>IF(AND(ISNUMBER(M114),ISNUMBER(K114)),M114-K114,"")</f>
        <v>0</v>
      </c>
      <c r="M114" s="42" t="s">
        <v>1078</v>
      </c>
      <c r="N114" s="28">
        <f>IF(AND(ISNUMBER(O114),ISNUMBER(M114)),O114-M114,"")</f>
        <v>0</v>
      </c>
      <c r="O114" s="42" t="s">
        <v>1078</v>
      </c>
      <c r="P114" s="28">
        <f>IF(AND(ISNUMBER(Q114),ISNUMBER(O114)),Q114-O114,"")</f>
        <v>0</v>
      </c>
      <c r="Q114" s="42" t="s">
        <v>1078</v>
      </c>
      <c r="R114" s="28">
        <f>IF(AND(ISNUMBER(S114),ISNUMBER(Q114)),S114-Q114,"")</f>
        <v>0</v>
      </c>
      <c r="S114" s="42" t="s">
        <v>1078</v>
      </c>
      <c r="T114" s="28">
        <f>IF(AND(ISNUMBER(U114),ISNUMBER(S114)),U114-S114,"")</f>
        <v>0</v>
      </c>
      <c r="U114" s="42" t="s">
        <v>1078</v>
      </c>
      <c r="V114" s="28">
        <f>IF(AND(ISNUMBER(W114),ISNUMBER(U114)),W114-U114,"")</f>
        <v>0</v>
      </c>
      <c r="W114" s="42" t="s">
        <v>1078</v>
      </c>
      <c r="X114" s="28">
        <f>IF(AND(ISNUMBER(Y114),ISNUMBER(W114)),Y114-W114,"")</f>
        <v>0</v>
      </c>
      <c r="Y114" s="42" t="s">
        <v>1078</v>
      </c>
      <c r="Z114" s="28">
        <f>IF(AND(ISNUMBER(AA114),ISNUMBER(Y114)),AA114-Y114,"")</f>
        <v>0</v>
      </c>
      <c r="AA114" s="42" t="s">
        <v>1078</v>
      </c>
      <c r="AB114" s="28">
        <f>IF(AND(ISNUMBER(AC114),ISNUMBER(AA114)),AC114-AA114,"")</f>
        <v>0</v>
      </c>
      <c r="AC114" s="27">
        <v>27</v>
      </c>
      <c r="AD114" s="28">
        <f>IF(AND(ISNUMBER(AE114),ISNUMBER(AC114)),AE114-AC114,"")</f>
        <v>0</v>
      </c>
      <c r="AE114" s="42" t="s">
        <v>1078</v>
      </c>
      <c r="AF114" s="28">
        <f>IF(AND(ISNUMBER(AG114),ISNUMBER(AE114)),AG114-AE114,"")</f>
        <v>0</v>
      </c>
      <c r="AG114" s="42" t="s">
        <v>1078</v>
      </c>
      <c r="AH114" s="28">
        <f>IF(AND(ISNUMBER(AI114),ISNUMBER(AG114)),AI114-AG114,"")</f>
        <v>0</v>
      </c>
      <c r="AI114" s="42" t="s">
        <v>1078</v>
      </c>
      <c r="AJ114" s="28">
        <f>IF(AND(ISNUMBER(AK114),ISNUMBER(AI114)),AK114-AI114,"")</f>
        <v>0</v>
      </c>
      <c r="AK114" s="42" t="s">
        <v>1078</v>
      </c>
      <c r="AL114" s="28">
        <f>IF(AND(ISNUMBER(AM114),ISNUMBER(AK114)),AM114-AK114,"")</f>
        <v>0</v>
      </c>
      <c r="AM114" s="42" t="s">
        <v>1078</v>
      </c>
      <c r="AN114" s="28">
        <f>IF(AND(ISNUMBER(AO114),ISNUMBER(AM114)),AO114-AM114,"")</f>
        <v>0</v>
      </c>
      <c r="AO114" s="42" t="s">
        <v>1078</v>
      </c>
      <c r="AP114" s="28">
        <f>IF(AND(ISNUMBER(AQ114),ISNUMBER(AO114)),AQ114-AO114,"")</f>
        <v>0</v>
      </c>
      <c r="AQ114" s="27">
        <v>45</v>
      </c>
      <c r="AR114" s="28">
        <f>IF(AND(ISNUMBER(AS114),ISNUMBER(AQ114)),AS114-AQ114,"")</f>
        <v>0</v>
      </c>
      <c r="AS114" s="42" t="s">
        <v>1078</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1131</v>
      </c>
    </row>
    <row r="115" spans="1:322">
      <c r="A115" s="22" t="s">
        <v>879</v>
      </c>
      <c r="B115" s="23" t="s">
        <v>1132</v>
      </c>
      <c r="C115" s="43" t="s">
        <v>728</v>
      </c>
      <c r="D115" s="43"/>
      <c r="E115" s="25" t="s">
        <v>1133</v>
      </c>
      <c r="F115" s="26"/>
      <c r="G115" s="26"/>
      <c r="H115" s="26" t="s">
        <v>1134</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1135</v>
      </c>
      <c r="BR115" s="28">
        <f>IF(AND(ISNUMBER(BS115),ISNUMBER(BQ115)),BS115-BQ115,"")</f>
        <v>0</v>
      </c>
      <c r="BS115" s="42" t="s">
        <v>1135</v>
      </c>
      <c r="BT115" s="28">
        <f>IF(AND(ISNUMBER(BU115),ISNUMBER(BS115)),BU115-BS115,"")</f>
        <v>0</v>
      </c>
      <c r="BU115" s="42" t="s">
        <v>1135</v>
      </c>
      <c r="BV115" s="28">
        <f>IF(AND(ISNUMBER(BW115),ISNUMBER(BU115)),BW115-BU115,"")</f>
        <v>0</v>
      </c>
      <c r="BW115" s="42" t="s">
        <v>1135</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1136</v>
      </c>
    </row>
    <row r="116" spans="1:322">
      <c r="A116" s="22" t="s">
        <v>104</v>
      </c>
      <c r="B116" s="23" t="s">
        <v>1137</v>
      </c>
      <c r="C116" s="43" t="s">
        <v>728</v>
      </c>
      <c r="D116" s="43"/>
      <c r="E116" s="25" t="s">
        <v>1133</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v>26</v>
      </c>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1138</v>
      </c>
      <c r="C117" s="24" t="s">
        <v>728</v>
      </c>
      <c r="D117" s="24"/>
      <c r="E117" s="25" t="s">
        <v>1139</v>
      </c>
      <c r="F117" s="26"/>
      <c r="G117" s="26"/>
      <c r="H117" s="26" t="s">
        <v>1105</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884</v>
      </c>
      <c r="E118" s="32" t="s">
        <v>1139</v>
      </c>
      <c r="H118" s="38" t="s">
        <v>1105</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v>0</v>
      </c>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886</v>
      </c>
      <c r="E119" s="32" t="s">
        <v>1139</v>
      </c>
      <c r="H119" s="38" t="s">
        <v>1105</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v>28</v>
      </c>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888</v>
      </c>
      <c r="E120" s="32" t="s">
        <v>1139</v>
      </c>
      <c r="H120" s="38" t="s">
        <v>1105</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v>25</v>
      </c>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783</v>
      </c>
      <c r="E121" s="32" t="s">
        <v>1139</v>
      </c>
      <c r="H121" s="38" t="s">
        <v>1105</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891</v>
      </c>
      <c r="E122" s="32" t="s">
        <v>1139</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v>0</v>
      </c>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893</v>
      </c>
      <c r="E123" s="32" t="s">
        <v>1139</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v>1</v>
      </c>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895</v>
      </c>
      <c r="E124" s="32" t="s">
        <v>1139</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v>0</v>
      </c>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786</v>
      </c>
      <c r="E125" s="32" t="s">
        <v>1139</v>
      </c>
      <c r="H125" s="38" t="s">
        <v>1105</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898</v>
      </c>
      <c r="E126" s="32" t="s">
        <v>1139</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v>0</v>
      </c>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900</v>
      </c>
      <c r="E127" s="32" t="s">
        <v>1139</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v>0</v>
      </c>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902</v>
      </c>
      <c r="E128" s="32" t="s">
        <v>1139</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v>0</v>
      </c>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1140</v>
      </c>
      <c r="C129" s="24" t="s">
        <v>905</v>
      </c>
      <c r="D129" s="24"/>
      <c r="E129" s="25" t="s">
        <v>1139</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907</v>
      </c>
      <c r="E130" s="32" t="s">
        <v>1139</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v>0</v>
      </c>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909</v>
      </c>
      <c r="E131" s="32" t="s">
        <v>1139</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v>67</v>
      </c>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911</v>
      </c>
      <c r="E132" s="32" t="s">
        <v>1139</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v>26</v>
      </c>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913</v>
      </c>
      <c r="E133" s="32" t="s">
        <v>1139</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915</v>
      </c>
      <c r="E134" s="32" t="s">
        <v>1139</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v>0</v>
      </c>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917</v>
      </c>
      <c r="E135" s="32" t="s">
        <v>1139</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v>1</v>
      </c>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919</v>
      </c>
      <c r="E136" s="32" t="s">
        <v>1139</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v>0</v>
      </c>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921</v>
      </c>
      <c r="E137" s="32" t="s">
        <v>1139</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923</v>
      </c>
      <c r="E138" s="32" t="s">
        <v>1139</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v>0</v>
      </c>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925</v>
      </c>
      <c r="E139" s="32" t="s">
        <v>1139</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v>0</v>
      </c>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927</v>
      </c>
      <c r="E140" s="32" t="s">
        <v>1139</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v>0</v>
      </c>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1141</v>
      </c>
      <c r="C141" s="43" t="s">
        <v>930</v>
      </c>
      <c r="D141" s="43"/>
      <c r="E141" s="25" t="s">
        <v>1139</v>
      </c>
      <c r="F141" s="26"/>
      <c r="G141" s="26"/>
      <c r="H141" s="26" t="s">
        <v>1134</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1142</v>
      </c>
      <c r="BR141" s="28">
        <f>IF(AND(ISNUMBER(BS141),ISNUMBER(BQ141)),BS141-BQ141,"")</f>
        <v>0</v>
      </c>
      <c r="BS141" s="42" t="s">
        <v>1142</v>
      </c>
      <c r="BT141" s="28">
        <f>IF(AND(ISNUMBER(BU141),ISNUMBER(BS141)),BU141-BS141,"")</f>
        <v>0</v>
      </c>
      <c r="BU141" s="42" t="s">
        <v>1142</v>
      </c>
      <c r="BV141" s="28">
        <f>IF(AND(ISNUMBER(BW141),ISNUMBER(BU141)),BW141-BU141,"")</f>
        <v>0</v>
      </c>
      <c r="BW141" s="42" t="s">
        <v>1142</v>
      </c>
      <c r="BX141" s="28">
        <f>IF(AND(ISNUMBER(BY141),ISNUMBER(BW141)),BY141-BW141,"")</f>
        <v>0</v>
      </c>
      <c r="BY141" s="42" t="s">
        <v>1142</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1143</v>
      </c>
    </row>
    <row r="142" spans="1:322">
      <c r="A142" s="22" t="s">
        <v>112</v>
      </c>
      <c r="B142" s="23" t="s">
        <v>1144</v>
      </c>
      <c r="C142" s="43" t="s">
        <v>934</v>
      </c>
      <c r="D142" s="43"/>
      <c r="E142" s="25" t="s">
        <v>1139</v>
      </c>
      <c r="F142" s="26"/>
      <c r="G142" s="26"/>
      <c r="H142" s="26" t="s">
        <v>1105</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v>53897</v>
      </c>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1144</v>
      </c>
      <c r="C143" s="43" t="s">
        <v>936</v>
      </c>
      <c r="D143" s="43"/>
      <c r="E143" s="25" t="s">
        <v>1139</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v>3479</v>
      </c>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1144</v>
      </c>
      <c r="C144" s="43" t="s">
        <v>938</v>
      </c>
      <c r="D144" s="43"/>
      <c r="E144" s="25" t="s">
        <v>1139</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v>826</v>
      </c>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1144</v>
      </c>
      <c r="C145" s="43" t="s">
        <v>940</v>
      </c>
      <c r="D145" s="43"/>
      <c r="E145" s="25" t="s">
        <v>1139</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v>2653</v>
      </c>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1145</v>
      </c>
      <c r="C146" s="43" t="s">
        <v>728</v>
      </c>
      <c r="D146" s="43"/>
      <c r="E146" s="25" t="s">
        <v>1146</v>
      </c>
      <c r="F146" s="26"/>
      <c r="G146" s="26"/>
      <c r="H146" s="26" t="s">
        <v>1105</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v>23</v>
      </c>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1147</v>
      </c>
    </row>
    <row r="147" spans="1:322" ht="40.25" customHeight="1" collapsed="1">
      <c r="A147" s="22">
        <v>15</v>
      </c>
      <c r="B147" s="23" t="s">
        <v>1148</v>
      </c>
      <c r="C147" s="43" t="s">
        <v>728</v>
      </c>
      <c r="D147" s="43"/>
      <c r="E147" s="25" t="s">
        <v>1056</v>
      </c>
      <c r="F147" s="26"/>
      <c r="G147" s="26" t="s">
        <v>1149</v>
      </c>
      <c r="H147" s="26" t="s">
        <v>1150</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1151</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1152</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1105</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954</v>
      </c>
      <c r="B150" s="23" t="s">
        <v>1153</v>
      </c>
      <c r="C150" s="43" t="s">
        <v>952</v>
      </c>
      <c r="D150" s="43"/>
      <c r="E150" s="25" t="s">
        <v>1154</v>
      </c>
      <c r="F150" s="26"/>
      <c r="G150" s="26"/>
      <c r="H150" s="26" t="s">
        <v>1105</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v>20</v>
      </c>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956</v>
      </c>
      <c r="B151" s="23"/>
      <c r="C151" s="31" t="s">
        <v>728</v>
      </c>
      <c r="E151" s="32" t="s">
        <v>1154</v>
      </c>
      <c r="F151" s="38">
        <v>45658</v>
      </c>
      <c r="H151" s="38" t="s">
        <v>1105</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957</v>
      </c>
      <c r="E152" s="32" t="s">
        <v>1154</v>
      </c>
      <c r="H152" s="38" t="s">
        <v>1105</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27</v>
      </c>
      <c r="JR152" s="34">
        <f>IF(AND(ISNUMBER(JS152),ISNUMBER(JQ152)),JS152-JQ152,"")</f>
        <v>0</v>
      </c>
      <c r="JS152" s="33">
        <v>20</v>
      </c>
      <c r="JT152" s="34">
        <f>IF(AND(ISNUMBER(JU152),ISNUMBER(JS152)),JU152-JS152,"")</f>
        <v>0</v>
      </c>
      <c r="JU152" s="33">
        <v>15</v>
      </c>
      <c r="JV152" s="34">
        <f>IF(AND(ISNUMBER(JW152),ISNUMBER(JU152)),JW152-JU152,"")</f>
        <v>0</v>
      </c>
      <c r="JW152" s="33">
        <v>20</v>
      </c>
      <c r="JX152" s="34">
        <f>IF(AND(ISNUMBER(JY152),ISNUMBER(JW152)),JY152-JW152,"")</f>
        <v>0</v>
      </c>
      <c r="JY152" s="33">
        <v>5</v>
      </c>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960</v>
      </c>
      <c r="B153" s="23"/>
      <c r="H153" s="38" t="s">
        <v>1105</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963</v>
      </c>
      <c r="B154" s="23"/>
      <c r="C154" s="31" t="s">
        <v>961</v>
      </c>
      <c r="E154" s="32" t="s">
        <v>1154</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966</v>
      </c>
      <c r="B155" s="23"/>
      <c r="C155" s="31" t="s">
        <v>964</v>
      </c>
      <c r="E155" s="32" t="s">
        <v>1154</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1155</v>
      </c>
      <c r="C156" s="43" t="s">
        <v>728</v>
      </c>
      <c r="D156" s="43"/>
      <c r="E156" s="25" t="s">
        <v>1156</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v>25</v>
      </c>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1157</v>
      </c>
      <c r="C157" s="43" t="s">
        <v>728</v>
      </c>
      <c r="D157" s="43"/>
      <c r="E157" s="25" t="s">
        <v>1158</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v>83</v>
      </c>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row r="159" spans="1:322" ht="30" customHeight="1">
      <c r="A159" s="44" t="s">
        <v>1159</v>
      </c>
      <c r="B159" s="44" t="s">
        <v>1160</v>
      </c>
      <c r="C159" s="44"/>
      <c r="D159" s="44"/>
      <c r="E159" s="44"/>
      <c r="F159" s="45" t="s">
        <v>1161</v>
      </c>
      <c r="JA159" s="46">
        <v>45870</v>
      </c>
      <c r="JB159" s="20" t="s">
        <v>1077</v>
      </c>
      <c r="JC159" s="46">
        <v>45901</v>
      </c>
      <c r="JD159" s="20" t="s">
        <v>1077</v>
      </c>
      <c r="JE159" s="46">
        <v>45931</v>
      </c>
      <c r="JF159" s="20" t="s">
        <v>1077</v>
      </c>
      <c r="JG159" s="46">
        <v>45962</v>
      </c>
      <c r="JH159" s="20" t="s">
        <v>1077</v>
      </c>
      <c r="JI159" s="46">
        <v>45992</v>
      </c>
      <c r="JJ159" s="20" t="s">
        <v>1077</v>
      </c>
      <c r="JK159" s="46">
        <v>46023</v>
      </c>
      <c r="JL159" s="20" t="s">
        <v>1077</v>
      </c>
      <c r="JM159" s="46">
        <v>46054</v>
      </c>
      <c r="JN159" s="20" t="s">
        <v>1077</v>
      </c>
      <c r="JO159" s="46">
        <v>46082</v>
      </c>
      <c r="JP159" s="20" t="s">
        <v>1077</v>
      </c>
      <c r="JQ159" s="46">
        <v>46113</v>
      </c>
      <c r="JR159" s="20" t="s">
        <v>1077</v>
      </c>
      <c r="JS159" s="46">
        <v>46143</v>
      </c>
      <c r="JT159" s="20" t="s">
        <v>1077</v>
      </c>
      <c r="JU159" s="46">
        <v>46174</v>
      </c>
      <c r="JV159" s="20" t="s">
        <v>1077</v>
      </c>
      <c r="JW159" s="46">
        <v>46204</v>
      </c>
      <c r="JX159" s="20" t="s">
        <v>1077</v>
      </c>
      <c r="JY159" s="46">
        <v>46235</v>
      </c>
      <c r="JZ159" s="20" t="s">
        <v>1077</v>
      </c>
      <c r="KA159" s="46">
        <v>46266</v>
      </c>
      <c r="KB159" s="20" t="s">
        <v>1077</v>
      </c>
      <c r="KC159" s="46">
        <v>46296</v>
      </c>
      <c r="KD159" s="20" t="s">
        <v>1077</v>
      </c>
      <c r="KE159" s="46">
        <v>46327</v>
      </c>
      <c r="KF159" s="20" t="s">
        <v>1077</v>
      </c>
      <c r="KG159" s="46">
        <v>46357</v>
      </c>
      <c r="KH159" s="20" t="s">
        <v>1077</v>
      </c>
      <c r="KI159" s="46">
        <v>46388</v>
      </c>
      <c r="KJ159" s="20" t="s">
        <v>1077</v>
      </c>
      <c r="KK159" s="46">
        <v>46419</v>
      </c>
      <c r="KL159" s="20" t="s">
        <v>1077</v>
      </c>
      <c r="KM159" s="46">
        <v>46447</v>
      </c>
      <c r="KN159" s="20" t="s">
        <v>1077</v>
      </c>
      <c r="KO159" s="46">
        <v>46478</v>
      </c>
      <c r="KP159" s="20" t="s">
        <v>1077</v>
      </c>
      <c r="KQ159" s="46">
        <v>46508</v>
      </c>
      <c r="KR159" s="20" t="s">
        <v>1077</v>
      </c>
      <c r="KS159" s="46">
        <v>46539</v>
      </c>
      <c r="KT159" s="20" t="s">
        <v>1077</v>
      </c>
      <c r="KU159" s="46">
        <v>46569</v>
      </c>
      <c r="KV159" s="20" t="s">
        <v>1077</v>
      </c>
      <c r="KW159" s="46">
        <v>46600</v>
      </c>
      <c r="KX159" s="20" t="s">
        <v>1077</v>
      </c>
      <c r="KY159" s="46">
        <v>46631</v>
      </c>
      <c r="KZ159" s="20" t="s">
        <v>1077</v>
      </c>
      <c r="LA159" s="46">
        <v>46661</v>
      </c>
      <c r="LB159" s="20" t="s">
        <v>1077</v>
      </c>
      <c r="LC159" s="46">
        <v>46692</v>
      </c>
      <c r="LD159" s="20" t="s">
        <v>1077</v>
      </c>
      <c r="LE159" s="46">
        <v>46722</v>
      </c>
      <c r="LF159" s="20" t="s">
        <v>1077</v>
      </c>
      <c r="LG159" s="46">
        <v>46753</v>
      </c>
    </row>
    <row r="160" spans="1:322" ht="12" customHeight="1">
      <c r="JA160" s="21">
        <f>IF(COUNT(JA161:JA163)&gt;0,"Y","X")</f>
        <v>0</v>
      </c>
      <c r="JC160" s="21">
        <f>IF(COUNT(JC161:JC163)&gt;0,"Y","X")</f>
        <v>0</v>
      </c>
      <c r="JE160" s="21">
        <f>IF(COUNT(JE161:JE163)&gt;0,"Y","X")</f>
        <v>0</v>
      </c>
      <c r="JG160" s="21">
        <f>IF(COUNT(JG161:JG163)&gt;0,"Y","X")</f>
        <v>0</v>
      </c>
      <c r="JI160" s="21">
        <f>IF(COUNT(JI161:JI163)&gt;0,"Y","X")</f>
        <v>0</v>
      </c>
      <c r="JK160" s="21">
        <f>IF(COUNT(JK161:JK163)&gt;0,"Y","X")</f>
        <v>0</v>
      </c>
      <c r="JM160" s="21">
        <f>IF(COUNT(JM161:JM163)&gt;0,"Y","X")</f>
        <v>0</v>
      </c>
      <c r="JO160" s="21">
        <f>IF(COUNT(JO161:JO163)&gt;0,"Y","X")</f>
        <v>0</v>
      </c>
      <c r="JQ160" s="21">
        <f>IF(COUNT(JQ161:JQ163)&gt;0,"Y","X")</f>
        <v>0</v>
      </c>
      <c r="JS160" s="21">
        <f>IF(COUNT(JS161:JS163)&gt;0,"Y","X")</f>
        <v>0</v>
      </c>
      <c r="JU160" s="21">
        <f>IF(COUNT(JU161:JU163)&gt;0,"Y","X")</f>
        <v>0</v>
      </c>
      <c r="JW160" s="21">
        <f>IF(COUNT(JW161:JW163)&gt;0,"Y","X")</f>
        <v>0</v>
      </c>
      <c r="JY160" s="21">
        <f>IF(COUNT(JY161:JY163)&gt;0,"Y","X")</f>
        <v>0</v>
      </c>
      <c r="KA160" s="21">
        <f>IF(COUNT(KA161:KA163)&gt;0,"Y","X")</f>
        <v>0</v>
      </c>
      <c r="KC160" s="21">
        <f>IF(COUNT(KC161:KC163)&gt;0,"Y","X")</f>
        <v>0</v>
      </c>
      <c r="KE160" s="21">
        <f>IF(COUNT(KE161:KE163)&gt;0,"Y","X")</f>
        <v>0</v>
      </c>
      <c r="KG160" s="21">
        <f>IF(COUNT(KG161:KG163)&gt;0,"Y","X")</f>
        <v>0</v>
      </c>
      <c r="KI160" s="21">
        <f>IF(COUNT(KI161:KI163)&gt;0,"Y","X")</f>
        <v>0</v>
      </c>
      <c r="KK160" s="21">
        <f>IF(COUNT(KK161:KK163)&gt;0,"Y","X")</f>
        <v>0</v>
      </c>
      <c r="KM160" s="21">
        <f>IF(COUNT(KM161:KM163)&gt;0,"Y","X")</f>
        <v>0</v>
      </c>
      <c r="KO160" s="21">
        <f>IF(COUNT(KO161:KO163)&gt;0,"Y","X")</f>
        <v>0</v>
      </c>
      <c r="KQ160" s="21">
        <f>IF(COUNT(KQ161:KQ163)&gt;0,"Y","X")</f>
        <v>0</v>
      </c>
      <c r="KS160" s="21">
        <f>IF(COUNT(KS161:KS163)&gt;0,"Y","X")</f>
        <v>0</v>
      </c>
      <c r="KU160" s="21">
        <f>IF(COUNT(KU161:KU163)&gt;0,"Y","X")</f>
        <v>0</v>
      </c>
      <c r="KW160" s="21">
        <f>IF(COUNT(KW161:KW163)&gt;0,"Y","X")</f>
        <v>0</v>
      </c>
      <c r="KY160" s="21">
        <f>IF(COUNT(KY161:KY163)&gt;0,"Y","X")</f>
        <v>0</v>
      </c>
      <c r="LA160" s="21">
        <f>IF(COUNT(LA161:LA163)&gt;0,"Y","X")</f>
        <v>0</v>
      </c>
      <c r="LC160" s="21">
        <f>IF(COUNT(LC161:LC163)&gt;0,"Y","X")</f>
        <v>0</v>
      </c>
      <c r="LE160" s="21">
        <f>IF(COUNT(LE161:LE163)&gt;0,"Y","X")</f>
        <v>0</v>
      </c>
      <c r="LG160" s="21">
        <f>IF(COUNT(LG161:LG163)&gt;0,"Y","X")</f>
        <v>0</v>
      </c>
    </row>
    <row r="161" spans="1:319">
      <c r="A161" s="24" t="s">
        <v>975</v>
      </c>
      <c r="B161" s="23" t="s">
        <v>1162</v>
      </c>
      <c r="C161" s="43" t="s">
        <v>1163</v>
      </c>
      <c r="D161" s="43" t="s">
        <v>1164</v>
      </c>
      <c r="E161" s="47" t="s">
        <v>1040</v>
      </c>
      <c r="JA161" s="48"/>
      <c r="JB161" s="28">
        <f>IF(AND(ISNUMBER(JC161),ISNUMBER(JA161)),JC161-JA161,"")</f>
        <v>0</v>
      </c>
      <c r="JC161" s="48"/>
      <c r="JD161" s="28">
        <f>IF(AND(ISNUMBER(JE161),ISNUMBER(JC161)),JE161-JC161,"")</f>
        <v>0</v>
      </c>
      <c r="JE161" s="48"/>
      <c r="JF161" s="28">
        <f>IF(AND(ISNUMBER(JG161),ISNUMBER(JE161)),JG161-JE161,"")</f>
        <v>0</v>
      </c>
      <c r="JG161" s="48"/>
      <c r="JH161" s="28">
        <f>IF(AND(ISNUMBER(JI161),ISNUMBER(JG161)),JI161-JG161,"")</f>
        <v>0</v>
      </c>
      <c r="JI161" s="48"/>
      <c r="JJ161" s="28">
        <f>IF(AND(ISNUMBER(JK161),ISNUMBER(JI161)),JK161-JI161,"")</f>
        <v>0</v>
      </c>
      <c r="JK161" s="48"/>
      <c r="JL161" s="28">
        <f>IF(AND(ISNUMBER(JM161),ISNUMBER(JK161)),JM161-JK161,"")</f>
        <v>0</v>
      </c>
      <c r="JM161" s="48"/>
      <c r="JN161" s="28">
        <f>IF(AND(ISNUMBER(JO161),ISNUMBER(JM161)),JO161-JM161,"")</f>
        <v>0</v>
      </c>
      <c r="JO161" s="48"/>
      <c r="JP161" s="28">
        <f>IF(AND(ISNUMBER(JQ161),ISNUMBER(JO161)),JQ161-JO161,"")</f>
        <v>0</v>
      </c>
      <c r="JQ161" s="48"/>
      <c r="JR161" s="28">
        <f>IF(AND(ISNUMBER(JS161),ISNUMBER(JQ161)),JS161-JQ161,"")</f>
        <v>0</v>
      </c>
      <c r="JS161" s="48"/>
      <c r="JT161" s="28">
        <f>IF(AND(ISNUMBER(JU161),ISNUMBER(JS161)),JU161-JS161,"")</f>
        <v>0</v>
      </c>
      <c r="JU161" s="48"/>
      <c r="JV161" s="28">
        <f>IF(AND(ISNUMBER(JW161),ISNUMBER(JU161)),JW161-JU161,"")</f>
        <v>0</v>
      </c>
      <c r="JW161" s="48"/>
      <c r="JX161" s="28">
        <f>IF(AND(ISNUMBER(JY161),ISNUMBER(JW161)),JY161-JW161,"")</f>
        <v>0</v>
      </c>
      <c r="JY161" s="48"/>
      <c r="JZ161" s="28">
        <f>IF(AND(ISNUMBER(KA161),ISNUMBER(JY161)),KA161-JY161,"")</f>
        <v>0</v>
      </c>
      <c r="KA161" s="48"/>
      <c r="KB161" s="28">
        <f>IF(AND(ISNUMBER(KC161),ISNUMBER(KA161)),KC161-KA161,"")</f>
        <v>0</v>
      </c>
      <c r="KC161" s="48"/>
      <c r="KD161" s="28">
        <f>IF(AND(ISNUMBER(KE161),ISNUMBER(KC161)),KE161-KC161,"")</f>
        <v>0</v>
      </c>
      <c r="KE161" s="48"/>
      <c r="KF161" s="28">
        <f>IF(AND(ISNUMBER(KG161),ISNUMBER(KE161)),KG161-KE161,"")</f>
        <v>0</v>
      </c>
      <c r="KG161" s="48"/>
      <c r="KH161" s="28">
        <f>IF(AND(ISNUMBER(KI161),ISNUMBER(KG161)),KI161-KG161,"")</f>
        <v>0</v>
      </c>
      <c r="KI161" s="48"/>
      <c r="KJ161" s="28">
        <f>IF(AND(ISNUMBER(KK161),ISNUMBER(KI161)),KK161-KI161,"")</f>
        <v>0</v>
      </c>
      <c r="KK161" s="48"/>
      <c r="KL161" s="28">
        <f>IF(AND(ISNUMBER(KM161),ISNUMBER(KK161)),KM161-KK161,"")</f>
        <v>0</v>
      </c>
      <c r="KM161" s="48"/>
      <c r="KN161" s="28">
        <f>IF(AND(ISNUMBER(KO161),ISNUMBER(KM161)),KO161-KM161,"")</f>
        <v>0</v>
      </c>
      <c r="KO161" s="48"/>
      <c r="KP161" s="28">
        <f>IF(AND(ISNUMBER(KQ161),ISNUMBER(KO161)),KQ161-KO161,"")</f>
        <v>0</v>
      </c>
      <c r="KQ161" s="48"/>
      <c r="KR161" s="28">
        <f>IF(AND(ISNUMBER(KS161),ISNUMBER(KQ161)),KS161-KQ161,"")</f>
        <v>0</v>
      </c>
      <c r="KS161" s="48"/>
      <c r="KT161" s="28">
        <f>IF(AND(ISNUMBER(KU161),ISNUMBER(KS161)),KU161-KS161,"")</f>
        <v>0</v>
      </c>
      <c r="KU161" s="48"/>
      <c r="KV161" s="28">
        <f>IF(AND(ISNUMBER(KW161),ISNUMBER(KU161)),KW161-KU161,"")</f>
        <v>0</v>
      </c>
      <c r="KW161" s="48"/>
      <c r="KX161" s="28">
        <f>IF(AND(ISNUMBER(KY161),ISNUMBER(KW161)),KY161-KW161,"")</f>
        <v>0</v>
      </c>
      <c r="KY161" s="48"/>
      <c r="KZ161" s="28">
        <f>IF(AND(ISNUMBER(LA161),ISNUMBER(KY161)),LA161-KY161,"")</f>
        <v>0</v>
      </c>
      <c r="LA161" s="48"/>
      <c r="LB161" s="28">
        <f>IF(AND(ISNUMBER(LC161),ISNUMBER(LA161)),LC161-LA161,"")</f>
        <v>0</v>
      </c>
      <c r="LC161" s="48"/>
      <c r="LD161" s="28">
        <f>IF(AND(ISNUMBER(LE161),ISNUMBER(LC161)),LE161-LC161,"")</f>
        <v>0</v>
      </c>
      <c r="LE161" s="48"/>
      <c r="LF161" s="28">
        <f>IF(AND(ISNUMBER(LG161),ISNUMBER(LE161)),LG161-LE161,"")</f>
        <v>0</v>
      </c>
      <c r="LG161" s="48"/>
    </row>
    <row r="162" spans="1:319">
      <c r="A162" s="37" t="s">
        <v>385</v>
      </c>
      <c r="B162" s="23"/>
      <c r="C162" s="31" t="s">
        <v>1165</v>
      </c>
      <c r="D162" s="31" t="s">
        <v>1164</v>
      </c>
      <c r="E162" s="49" t="s">
        <v>1040</v>
      </c>
      <c r="JA162" s="50">
        <f>[1]Dashboard!$I$4</f>
        <v>290</v>
      </c>
      <c r="JB162" s="34">
        <f>IF(AND(ISNUMBER(JC162),ISNUMBER(JA162)),JC162-JA162,"")</f>
        <v>0</v>
      </c>
      <c r="JC162" s="50">
        <f>[1]Dashboard!$J$4</f>
        <v>290</v>
      </c>
      <c r="JD162" s="34">
        <f>IF(AND(ISNUMBER(JE162),ISNUMBER(JC162)),JE162-JC162,"")</f>
        <v>0</v>
      </c>
      <c r="JE162" s="50">
        <f>[1]Dashboard!$K$4</f>
        <v>280</v>
      </c>
      <c r="JF162" s="34">
        <f>IF(AND(ISNUMBER(JG162),ISNUMBER(JE162)),JG162-JE162,"")</f>
        <v>0</v>
      </c>
      <c r="JG162" s="50">
        <f>[1]Dashboard!$L$4</f>
        <v>280</v>
      </c>
      <c r="JH162" s="34">
        <f>IF(AND(ISNUMBER(JI162),ISNUMBER(JG162)),JI162-JG162,"")</f>
        <v>0</v>
      </c>
      <c r="JI162" s="50">
        <f>[1]Dashboard!$M$4</f>
        <v>270</v>
      </c>
      <c r="JJ162" s="34">
        <f>IF(AND(ISNUMBER(JK162),ISNUMBER(JI162)),JK162-JI162,"")</f>
        <v>0</v>
      </c>
      <c r="JK162" s="50">
        <f>[1]Dashboard!$N$4</f>
        <v>250</v>
      </c>
      <c r="JL162" s="34">
        <f>IF(AND(ISNUMBER(JM162),ISNUMBER(JK162)),JM162-JK162,"")</f>
        <v>0</v>
      </c>
      <c r="JM162" s="50">
        <f>[1]Dashboard!$O$4</f>
        <v>245</v>
      </c>
      <c r="JN162" s="34">
        <f>IF(AND(ISNUMBER(JO162),ISNUMBER(JM162)),JO162-JM162,"")</f>
        <v>0</v>
      </c>
      <c r="JO162" s="50">
        <f>[1]Dashboard!$P$4</f>
        <v>240</v>
      </c>
      <c r="JP162" s="34">
        <f>IF(AND(ISNUMBER(JQ162),ISNUMBER(JO162)),JQ162-JO162,"")</f>
        <v>0</v>
      </c>
      <c r="JQ162" s="50">
        <f>[1]Dashboard!$Q$4</f>
        <v>235</v>
      </c>
      <c r="JR162" s="34">
        <f>IF(AND(ISNUMBER(JS162),ISNUMBER(JQ162)),JS162-JQ162,"")</f>
        <v>0</v>
      </c>
      <c r="JS162" s="50">
        <f>[1]Dashboard!$R$4</f>
        <v>230</v>
      </c>
      <c r="JT162" s="34">
        <f>IF(AND(ISNUMBER(JU162),ISNUMBER(JS162)),JU162-JS162,"")</f>
        <v>0</v>
      </c>
      <c r="JU162" s="50">
        <f>[1]Dashboard!$S$4</f>
        <v>230</v>
      </c>
      <c r="JV162" s="34">
        <f>IF(AND(ISNUMBER(JW162),ISNUMBER(JU162)),JW162-JU162,"")</f>
        <v>0</v>
      </c>
      <c r="JW162" s="50">
        <f>[1]Dashboard!$T$4</f>
        <v>225</v>
      </c>
      <c r="JX162" s="34">
        <f>IF(AND(ISNUMBER(JY162),ISNUMBER(JW162)),JY162-JW162,"")</f>
        <v>0</v>
      </c>
      <c r="JY162" s="50">
        <f>[1]Dashboard!$U$4</f>
        <v>225</v>
      </c>
      <c r="JZ162" s="34">
        <f>IF(AND(ISNUMBER(KA162),ISNUMBER(JY162)),KA162-JY162,"")</f>
        <v>0</v>
      </c>
      <c r="KA162" s="50">
        <f>[1]Dashboard!$V$4</f>
        <v>225</v>
      </c>
      <c r="KB162" s="34">
        <f>IF(AND(ISNUMBER(KC162),ISNUMBER(KA162)),KC162-KA162,"")</f>
        <v>0</v>
      </c>
      <c r="KC162" s="50">
        <f>[1]Dashboard!$W$4</f>
        <v>225</v>
      </c>
      <c r="KD162" s="34">
        <f>IF(AND(ISNUMBER(KE162),ISNUMBER(KC162)),KE162-KC162,"")</f>
        <v>0</v>
      </c>
      <c r="KE162" s="50">
        <f>[1]Dashboard!$X$4</f>
        <v>220</v>
      </c>
      <c r="KF162" s="34">
        <f>IF(AND(ISNUMBER(KG162),ISNUMBER(KE162)),KG162-KE162,"")</f>
        <v>0</v>
      </c>
      <c r="KG162" s="50">
        <f>[1]Dashboard!$Y$4</f>
        <v>200</v>
      </c>
      <c r="KH162" s="34">
        <f>IF(AND(ISNUMBER(KI162),ISNUMBER(KG162)),KI162-KG162,"")</f>
        <v>0</v>
      </c>
      <c r="KI162" s="50">
        <f>[1]Dashboard!$Z$4</f>
        <v>192.52</v>
      </c>
      <c r="KJ162" s="34">
        <f>IF(AND(ISNUMBER(KK162),ISNUMBER(KI162)),KK162-KI162,"")</f>
        <v>0</v>
      </c>
      <c r="KK162" s="51"/>
      <c r="KL162" s="34">
        <f>IF(AND(ISNUMBER(KM162),ISNUMBER(KK162)),KM162-KK162,"")</f>
        <v>0</v>
      </c>
      <c r="KM162" s="51"/>
      <c r="KN162" s="34">
        <f>IF(AND(ISNUMBER(KO162),ISNUMBER(KM162)),KO162-KM162,"")</f>
        <v>0</v>
      </c>
      <c r="KO162" s="51"/>
      <c r="KP162" s="34">
        <f>IF(AND(ISNUMBER(KQ162),ISNUMBER(KO162)),KQ162-KO162,"")</f>
        <v>0</v>
      </c>
      <c r="KQ162" s="51"/>
      <c r="KR162" s="34">
        <f>IF(AND(ISNUMBER(KS162),ISNUMBER(KQ162)),KS162-KQ162,"")</f>
        <v>0</v>
      </c>
      <c r="KS162" s="51"/>
      <c r="KT162" s="34">
        <f>IF(AND(ISNUMBER(KU162),ISNUMBER(KS162)),KU162-KS162,"")</f>
        <v>0</v>
      </c>
      <c r="KU162" s="51"/>
      <c r="KV162" s="34">
        <f>IF(AND(ISNUMBER(KW162),ISNUMBER(KU162)),KW162-KU162,"")</f>
        <v>0</v>
      </c>
      <c r="KW162" s="51"/>
      <c r="KX162" s="34">
        <f>IF(AND(ISNUMBER(KY162),ISNUMBER(KW162)),KY162-KW162,"")</f>
        <v>0</v>
      </c>
      <c r="KY162" s="51"/>
      <c r="KZ162" s="34">
        <f>IF(AND(ISNUMBER(LA162),ISNUMBER(KY162)),LA162-KY162,"")</f>
        <v>0</v>
      </c>
      <c r="LA162" s="51"/>
      <c r="LB162" s="34">
        <f>IF(AND(ISNUMBER(LC162),ISNUMBER(LA162)),LC162-LA162,"")</f>
        <v>0</v>
      </c>
      <c r="LC162" s="51"/>
      <c r="LD162" s="34">
        <f>IF(AND(ISNUMBER(LE162),ISNUMBER(LC162)),LE162-LC162,"")</f>
        <v>0</v>
      </c>
      <c r="LE162" s="51"/>
      <c r="LF162" s="34">
        <f>IF(AND(ISNUMBER(LG162),ISNUMBER(LE162)),LG162-LE162,"")</f>
        <v>0</v>
      </c>
      <c r="LG162" s="50">
        <f>[1]Dashboard!$AA$4</f>
        <v>192.52</v>
      </c>
    </row>
    <row r="163" spans="1:319">
      <c r="A163" s="37" t="s">
        <v>387</v>
      </c>
      <c r="B163" s="23"/>
      <c r="C163" s="31" t="s">
        <v>1166</v>
      </c>
      <c r="D163" s="31" t="s">
        <v>1164</v>
      </c>
      <c r="E163" s="49" t="s">
        <v>1040</v>
      </c>
      <c r="JA163" s="50">
        <f>[1]Dashboard!$I$5</f>
        <v>264.95</v>
      </c>
      <c r="JB163" s="34">
        <f>IF(AND(ISNUMBER(JC163),ISNUMBER(JA163)),JC163-JA163,"")</f>
        <v>0</v>
      </c>
      <c r="JC163" s="50">
        <f>[1]Dashboard!$J$5</f>
        <v>265.01</v>
      </c>
      <c r="JD163" s="34">
        <f>IF(AND(ISNUMBER(JE163),ISNUMBER(JC163)),JE163-JC163,"")</f>
        <v>0</v>
      </c>
      <c r="JE163" s="50">
        <f>[1]Dashboard!$K$5</f>
        <v>261.19</v>
      </c>
      <c r="JF163" s="34">
        <f>IF(AND(ISNUMBER(JG163),ISNUMBER(JE163)),JG163-JE163,"")</f>
        <v>0</v>
      </c>
      <c r="JG163" s="50">
        <f>[1]Dashboard!$L$5</f>
        <v>258.6299999999998</v>
      </c>
      <c r="JH163" s="34">
        <f>IF(AND(ISNUMBER(JI163),ISNUMBER(JG163)),JI163-JG163,"")</f>
        <v>0</v>
      </c>
      <c r="JI163" s="50">
        <f>[1]Dashboard!$M$5</f>
        <v>258.6299999999998</v>
      </c>
      <c r="JJ163" s="34">
        <f>IF(AND(ISNUMBER(JK163),ISNUMBER(JI163)),JK163-JI163,"")</f>
        <v>0</v>
      </c>
      <c r="JK163" s="50">
        <f>[1]Dashboard!$N$5</f>
        <v>248.28999999999994</v>
      </c>
      <c r="JL163" s="34">
        <f>IF(AND(ISNUMBER(JM163),ISNUMBER(JK163)),JM163-JK163,"")</f>
        <v>0</v>
      </c>
      <c r="JM163" s="50">
        <f>[1]Dashboard!$O$5</f>
        <v>248.28999999999994</v>
      </c>
      <c r="JN163" s="34">
        <f>IF(AND(ISNUMBER(JO163),ISNUMBER(JM163)),JO163-JM163,"")</f>
        <v>0</v>
      </c>
      <c r="JO163" s="50">
        <f>[1]Dashboard!$P$5</f>
        <v>248.28999999999994</v>
      </c>
      <c r="JP163" s="34">
        <f>IF(AND(ISNUMBER(JQ163),ISNUMBER(JO163)),JQ163-JO163,"")</f>
        <v>0</v>
      </c>
      <c r="JQ163" s="50">
        <f>[1]Dashboard!$Q$5</f>
        <v>243.9699999999999</v>
      </c>
      <c r="JR163" s="34">
        <f>IF(AND(ISNUMBER(JS163),ISNUMBER(JQ163)),JS163-JQ163,"")</f>
        <v>0</v>
      </c>
      <c r="JS163" s="50">
        <f>[1]Dashboard!$R$5</f>
        <v>242.9699999999999</v>
      </c>
      <c r="JT163" s="34">
        <f>IF(AND(ISNUMBER(JU163),ISNUMBER(JS163)),JU163-JS163,"")</f>
        <v>0</v>
      </c>
      <c r="JU163" s="50">
        <f>[1]Dashboard!$S$5</f>
        <v>241.30999999999992</v>
      </c>
      <c r="JV163" s="34">
        <f>IF(AND(ISNUMBER(JW163),ISNUMBER(JU163)),JW163-JU163,"")</f>
        <v>0</v>
      </c>
      <c r="JW163" s="50">
        <f>[1]Dashboard!$T$5</f>
        <v>226.57999999999993</v>
      </c>
      <c r="JX163" s="34">
        <f>IF(AND(ISNUMBER(JY163),ISNUMBER(JW163)),JY163-JW163,"")</f>
        <v>0</v>
      </c>
      <c r="JY163" s="50">
        <f>[1]Dashboard!$U$5</f>
        <v>225.07999999999993</v>
      </c>
      <c r="JZ163" s="34">
        <f>IF(AND(ISNUMBER(KA163),ISNUMBER(JY163)),KA163-JY163,"")</f>
        <v>0</v>
      </c>
      <c r="KA163" s="50">
        <f>[1]Dashboard!$V$5</f>
        <v>224.01999999999992</v>
      </c>
      <c r="KB163" s="34">
        <f>IF(AND(ISNUMBER(KC163),ISNUMBER(KA163)),KC163-KA163,"")</f>
        <v>0</v>
      </c>
      <c r="KC163" s="50">
        <f>[1]Dashboard!$W$5</f>
        <v>221.22999999999993</v>
      </c>
      <c r="KD163" s="34">
        <f>IF(AND(ISNUMBER(KE163),ISNUMBER(KC163)),KE163-KC163,"")</f>
        <v>0</v>
      </c>
      <c r="KE163" s="50">
        <f>[1]Dashboard!$X$5</f>
        <v>220.80999999999992</v>
      </c>
      <c r="KF163" s="34">
        <f>IF(AND(ISNUMBER(KG163),ISNUMBER(KE163)),KG163-KE163,"")</f>
        <v>0</v>
      </c>
      <c r="KG163" s="50">
        <f>[1]Dashboard!$Y$5</f>
        <v>218.95999999999992</v>
      </c>
      <c r="KH163" s="34">
        <f>IF(AND(ISNUMBER(KI163),ISNUMBER(KG163)),KI163-KG163,"")</f>
        <v>0</v>
      </c>
      <c r="KI163" s="50">
        <f>[1]Dashboard!$Z$5</f>
        <v>205.05999999999995</v>
      </c>
      <c r="KJ163" s="34">
        <f>IF(AND(ISNUMBER(KK163),ISNUMBER(KI163)),KK163-KI163,"")</f>
        <v>0</v>
      </c>
      <c r="KK163" s="51"/>
      <c r="KL163" s="34">
        <f>IF(AND(ISNUMBER(KM163),ISNUMBER(KK163)),KM163-KK163,"")</f>
        <v>0</v>
      </c>
      <c r="KM163" s="51"/>
      <c r="KN163" s="34">
        <f>IF(AND(ISNUMBER(KO163),ISNUMBER(KM163)),KO163-KM163,"")</f>
        <v>0</v>
      </c>
      <c r="KO163" s="51"/>
      <c r="KP163" s="34">
        <f>IF(AND(ISNUMBER(KQ163),ISNUMBER(KO163)),KQ163-KO163,"")</f>
        <v>0</v>
      </c>
      <c r="KQ163" s="51"/>
      <c r="KR163" s="34">
        <f>IF(AND(ISNUMBER(KS163),ISNUMBER(KQ163)),KS163-KQ163,"")</f>
        <v>0</v>
      </c>
      <c r="KS163" s="51"/>
      <c r="KT163" s="34">
        <f>IF(AND(ISNUMBER(KU163),ISNUMBER(KS163)),KU163-KS163,"")</f>
        <v>0</v>
      </c>
      <c r="KU163" s="51"/>
      <c r="KV163" s="34">
        <f>IF(AND(ISNUMBER(KW163),ISNUMBER(KU163)),KW163-KU163,"")</f>
        <v>0</v>
      </c>
      <c r="KW163" s="51"/>
      <c r="KX163" s="34">
        <f>IF(AND(ISNUMBER(KY163),ISNUMBER(KW163)),KY163-KW163,"")</f>
        <v>0</v>
      </c>
      <c r="KY163" s="51"/>
      <c r="KZ163" s="34">
        <f>IF(AND(ISNUMBER(LA163),ISNUMBER(KY163)),LA163-KY163,"")</f>
        <v>0</v>
      </c>
      <c r="LA163" s="51"/>
      <c r="LB163" s="34">
        <f>IF(AND(ISNUMBER(LC163),ISNUMBER(LA163)),LC163-LA163,"")</f>
        <v>0</v>
      </c>
      <c r="LC163" s="51"/>
      <c r="LD163" s="34">
        <f>IF(AND(ISNUMBER(LE163),ISNUMBER(LC163)),LE163-LC163,"")</f>
        <v>0</v>
      </c>
      <c r="LE163" s="51"/>
      <c r="LF163" s="34">
        <f>IF(AND(ISNUMBER(LG163),ISNUMBER(LE163)),LG163-LE163,"")</f>
        <v>0</v>
      </c>
      <c r="LG163" s="50">
        <f>[1]Dashboard!$AA$5</f>
        <v>197.26999999999995</v>
      </c>
    </row>
    <row r="165" spans="1:319" ht="30" customHeight="1">
      <c r="A165" s="44" t="s">
        <v>1159</v>
      </c>
      <c r="B165" s="44" t="s">
        <v>1167</v>
      </c>
      <c r="C165" s="44"/>
      <c r="D165" s="44"/>
      <c r="E165" s="44"/>
      <c r="F165" s="45" t="s">
        <v>1168</v>
      </c>
      <c r="JA165" s="46">
        <v>45870</v>
      </c>
      <c r="JB165" s="20" t="s">
        <v>1077</v>
      </c>
      <c r="JC165" s="46">
        <v>45901</v>
      </c>
      <c r="JD165" s="20" t="s">
        <v>1077</v>
      </c>
      <c r="JE165" s="46">
        <v>45931</v>
      </c>
      <c r="JF165" s="20" t="s">
        <v>1077</v>
      </c>
      <c r="JG165" s="46">
        <v>45962</v>
      </c>
      <c r="JH165" s="20" t="s">
        <v>1077</v>
      </c>
      <c r="JI165" s="46">
        <v>45992</v>
      </c>
      <c r="JJ165" s="20" t="s">
        <v>1077</v>
      </c>
      <c r="JK165" s="46">
        <v>46023</v>
      </c>
      <c r="JL165" s="20" t="s">
        <v>1077</v>
      </c>
      <c r="JM165" s="46">
        <v>46054</v>
      </c>
      <c r="JN165" s="20" t="s">
        <v>1077</v>
      </c>
      <c r="JO165" s="46">
        <v>46082</v>
      </c>
      <c r="JP165" s="20" t="s">
        <v>1077</v>
      </c>
      <c r="JQ165" s="46">
        <v>46113</v>
      </c>
      <c r="JR165" s="20" t="s">
        <v>1077</v>
      </c>
      <c r="JS165" s="46">
        <v>46143</v>
      </c>
      <c r="JT165" s="20" t="s">
        <v>1077</v>
      </c>
      <c r="JU165" s="46">
        <v>46174</v>
      </c>
      <c r="JV165" s="20" t="s">
        <v>1077</v>
      </c>
      <c r="JW165" s="46">
        <v>46204</v>
      </c>
      <c r="JX165" s="20" t="s">
        <v>1077</v>
      </c>
      <c r="JY165" s="46">
        <v>46235</v>
      </c>
      <c r="JZ165" s="20" t="s">
        <v>1077</v>
      </c>
      <c r="KA165" s="46">
        <v>46266</v>
      </c>
      <c r="KB165" s="20" t="s">
        <v>1077</v>
      </c>
      <c r="KC165" s="46">
        <v>46296</v>
      </c>
      <c r="KD165" s="20" t="s">
        <v>1077</v>
      </c>
      <c r="KE165" s="46">
        <v>46327</v>
      </c>
      <c r="KF165" s="20" t="s">
        <v>1077</v>
      </c>
      <c r="KG165" s="46">
        <v>46357</v>
      </c>
      <c r="KH165" s="20" t="s">
        <v>1077</v>
      </c>
      <c r="KI165" s="46">
        <v>46388</v>
      </c>
      <c r="KJ165" s="20" t="s">
        <v>1077</v>
      </c>
      <c r="KK165" s="46">
        <v>46419</v>
      </c>
      <c r="KL165" s="20" t="s">
        <v>1077</v>
      </c>
      <c r="KM165" s="46">
        <v>46447</v>
      </c>
      <c r="KN165" s="20" t="s">
        <v>1077</v>
      </c>
      <c r="KO165" s="46">
        <v>46478</v>
      </c>
      <c r="KP165" s="20" t="s">
        <v>1077</v>
      </c>
      <c r="KQ165" s="46">
        <v>46508</v>
      </c>
      <c r="KR165" s="20" t="s">
        <v>1077</v>
      </c>
      <c r="KS165" s="46">
        <v>46539</v>
      </c>
      <c r="KT165" s="20" t="s">
        <v>1077</v>
      </c>
      <c r="KU165" s="46">
        <v>46569</v>
      </c>
      <c r="KV165" s="20" t="s">
        <v>1077</v>
      </c>
      <c r="KW165" s="46">
        <v>46600</v>
      </c>
      <c r="KX165" s="20" t="s">
        <v>1077</v>
      </c>
      <c r="KY165" s="46">
        <v>46631</v>
      </c>
      <c r="KZ165" s="20" t="s">
        <v>1077</v>
      </c>
      <c r="LA165" s="46">
        <v>46661</v>
      </c>
      <c r="LB165" s="20" t="s">
        <v>1077</v>
      </c>
      <c r="LC165" s="46">
        <v>46692</v>
      </c>
      <c r="LD165" s="20" t="s">
        <v>1077</v>
      </c>
      <c r="LE165" s="46">
        <v>46722</v>
      </c>
      <c r="LF165" s="20" t="s">
        <v>1077</v>
      </c>
      <c r="LG165" s="46">
        <v>46753</v>
      </c>
    </row>
    <row r="166" spans="1:319" ht="12" customHeight="1">
      <c r="JA166" s="21">
        <f>IF(COUNT(JA167:JA171)&gt;0,"Y","X")</f>
        <v>0</v>
      </c>
      <c r="JC166" s="21">
        <f>IF(COUNT(JC167:JC171)&gt;0,"Y","X")</f>
        <v>0</v>
      </c>
      <c r="JE166" s="21">
        <f>IF(COUNT(JE167:JE171)&gt;0,"Y","X")</f>
        <v>0</v>
      </c>
      <c r="JG166" s="21">
        <f>IF(COUNT(JG167:JG171)&gt;0,"Y","X")</f>
        <v>0</v>
      </c>
      <c r="JI166" s="21">
        <f>IF(COUNT(JI167:JI171)&gt;0,"Y","X")</f>
        <v>0</v>
      </c>
      <c r="JK166" s="21">
        <f>IF(COUNT(JK167:JK171)&gt;0,"Y","X")</f>
        <v>0</v>
      </c>
      <c r="JM166" s="21">
        <f>IF(COUNT(JM167:JM171)&gt;0,"Y","X")</f>
        <v>0</v>
      </c>
      <c r="JO166" s="21">
        <f>IF(COUNT(JO167:JO171)&gt;0,"Y","X")</f>
        <v>0</v>
      </c>
      <c r="JQ166" s="21">
        <f>IF(COUNT(JQ167:JQ171)&gt;0,"Y","X")</f>
        <v>0</v>
      </c>
      <c r="JS166" s="21">
        <f>IF(COUNT(JS167:JS171)&gt;0,"Y","X")</f>
        <v>0</v>
      </c>
      <c r="JU166" s="21">
        <f>IF(COUNT(JU167:JU171)&gt;0,"Y","X")</f>
        <v>0</v>
      </c>
      <c r="JW166" s="21">
        <f>IF(COUNT(JW167:JW171)&gt;0,"Y","X")</f>
        <v>0</v>
      </c>
      <c r="JY166" s="21">
        <f>IF(COUNT(JY167:JY171)&gt;0,"Y","X")</f>
        <v>0</v>
      </c>
      <c r="KA166" s="21">
        <f>IF(COUNT(KA167:KA171)&gt;0,"Y","X")</f>
        <v>0</v>
      </c>
      <c r="KC166" s="21">
        <f>IF(COUNT(KC167:KC171)&gt;0,"Y","X")</f>
        <v>0</v>
      </c>
      <c r="KE166" s="21">
        <f>IF(COUNT(KE167:KE171)&gt;0,"Y","X")</f>
        <v>0</v>
      </c>
      <c r="KG166" s="21">
        <f>IF(COUNT(KG167:KG171)&gt;0,"Y","X")</f>
        <v>0</v>
      </c>
      <c r="KI166" s="21">
        <f>IF(COUNT(KI167:KI171)&gt;0,"Y","X")</f>
        <v>0</v>
      </c>
      <c r="KK166" s="21">
        <f>IF(COUNT(KK167:KK171)&gt;0,"Y","X")</f>
        <v>0</v>
      </c>
      <c r="KM166" s="21">
        <f>IF(COUNT(KM167:KM171)&gt;0,"Y","X")</f>
        <v>0</v>
      </c>
      <c r="KO166" s="21">
        <f>IF(COUNT(KO167:KO171)&gt;0,"Y","X")</f>
        <v>0</v>
      </c>
      <c r="KQ166" s="21">
        <f>IF(COUNT(KQ167:KQ171)&gt;0,"Y","X")</f>
        <v>0</v>
      </c>
      <c r="KS166" s="21">
        <f>IF(COUNT(KS167:KS171)&gt;0,"Y","X")</f>
        <v>0</v>
      </c>
      <c r="KU166" s="21">
        <f>IF(COUNT(KU167:KU171)&gt;0,"Y","X")</f>
        <v>0</v>
      </c>
      <c r="KW166" s="21">
        <f>IF(COUNT(KW167:KW171)&gt;0,"Y","X")</f>
        <v>0</v>
      </c>
      <c r="KY166" s="21">
        <f>IF(COUNT(KY167:KY171)&gt;0,"Y","X")</f>
        <v>0</v>
      </c>
      <c r="LA166" s="21">
        <f>IF(COUNT(LA167:LA171)&gt;0,"Y","X")</f>
        <v>0</v>
      </c>
      <c r="LC166" s="21">
        <f>IF(COUNT(LC167:LC171)&gt;0,"Y","X")</f>
        <v>0</v>
      </c>
      <c r="LE166" s="21">
        <f>IF(COUNT(LE167:LE171)&gt;0,"Y","X")</f>
        <v>0</v>
      </c>
      <c r="LG166" s="21">
        <f>IF(COUNT(LG167:LG171)&gt;0,"Y","X")</f>
        <v>0</v>
      </c>
    </row>
    <row r="167" spans="1:319">
      <c r="A167" s="24" t="s">
        <v>373</v>
      </c>
      <c r="B167" s="23" t="s">
        <v>1169</v>
      </c>
      <c r="C167" s="43" t="s">
        <v>1170</v>
      </c>
      <c r="D167" s="43" t="s">
        <v>1171</v>
      </c>
      <c r="E167" s="47" t="s">
        <v>1154</v>
      </c>
      <c r="JA167" s="48"/>
      <c r="JB167" s="28">
        <f>IF(AND(ISNUMBER(JC167),ISNUMBER(JA167)),JC167-JA167,"")</f>
        <v>0</v>
      </c>
      <c r="JC167" s="48">
        <v>67</v>
      </c>
      <c r="JD167" s="28">
        <f>IF(AND(ISNUMBER(JE167),ISNUMBER(JC167)),JE167-JC167,"")</f>
        <v>0</v>
      </c>
      <c r="JE167" s="48">
        <v>25</v>
      </c>
      <c r="JF167" s="28">
        <f>IF(AND(ISNUMBER(JG167),ISNUMBER(JE167)),JG167-JE167,"")</f>
        <v>0</v>
      </c>
      <c r="JG167" s="48">
        <v>44</v>
      </c>
      <c r="JH167" s="28">
        <f>IF(AND(ISNUMBER(JI167),ISNUMBER(JG167)),JI167-JG167,"")</f>
        <v>0</v>
      </c>
      <c r="JI167" s="48">
        <v>14</v>
      </c>
      <c r="JJ167" s="28">
        <f>IF(AND(ISNUMBER(JK167),ISNUMBER(JI167)),JK167-JI167,"")</f>
        <v>0</v>
      </c>
      <c r="JK167" s="48">
        <v>121</v>
      </c>
      <c r="JL167" s="28">
        <f>IF(AND(ISNUMBER(JM167),ISNUMBER(JK167)),JM167-JK167,"")</f>
        <v>0</v>
      </c>
      <c r="JM167" s="48">
        <v>31</v>
      </c>
      <c r="JN167" s="28">
        <f>IF(AND(ISNUMBER(JO167),ISNUMBER(JM167)),JO167-JM167,"")</f>
        <v>0</v>
      </c>
      <c r="JO167" s="48">
        <v>55</v>
      </c>
      <c r="JP167" s="28">
        <f>IF(AND(ISNUMBER(JQ167),ISNUMBER(JO167)),JQ167-JO167,"")</f>
        <v>0</v>
      </c>
      <c r="JQ167" s="48">
        <v>48</v>
      </c>
      <c r="JR167" s="28">
        <f>IF(AND(ISNUMBER(JS167),ISNUMBER(JQ167)),JS167-JQ167,"")</f>
        <v>0</v>
      </c>
      <c r="JS167" s="48">
        <v>75</v>
      </c>
      <c r="JT167" s="28">
        <f>IF(AND(ISNUMBER(JU167),ISNUMBER(JS167)),JU167-JS167,"")</f>
        <v>0</v>
      </c>
      <c r="JU167" s="48">
        <v>55</v>
      </c>
      <c r="JV167" s="28">
        <f>IF(AND(ISNUMBER(JW167),ISNUMBER(JU167)),JW167-JU167,"")</f>
        <v>0</v>
      </c>
      <c r="JW167" s="48">
        <v>104</v>
      </c>
      <c r="JX167" s="28">
        <f>IF(AND(ISNUMBER(JY167),ISNUMBER(JW167)),JY167-JW167,"")</f>
        <v>0</v>
      </c>
      <c r="JY167" s="48">
        <v>124</v>
      </c>
      <c r="JZ167" s="28">
        <f>IF(AND(ISNUMBER(KA167),ISNUMBER(JY167)),KA167-JY167,"")</f>
        <v>0</v>
      </c>
      <c r="KA167" s="48">
        <v>161</v>
      </c>
      <c r="KB167" s="28">
        <f>IF(AND(ISNUMBER(KC167),ISNUMBER(KA167)),KC167-KA167,"")</f>
        <v>0</v>
      </c>
      <c r="KC167" s="48"/>
      <c r="KD167" s="28">
        <f>IF(AND(ISNUMBER(KE167),ISNUMBER(KC167)),KE167-KC167,"")</f>
        <v>0</v>
      </c>
      <c r="KE167" s="48"/>
      <c r="KF167" s="28">
        <f>IF(AND(ISNUMBER(KG167),ISNUMBER(KE167)),KG167-KE167,"")</f>
        <v>0</v>
      </c>
      <c r="KG167" s="48"/>
      <c r="KH167" s="28">
        <f>IF(AND(ISNUMBER(KI167),ISNUMBER(KG167)),KI167-KG167,"")</f>
        <v>0</v>
      </c>
      <c r="KI167" s="48"/>
      <c r="KJ167" s="28">
        <f>IF(AND(ISNUMBER(KK167),ISNUMBER(KI167)),KK167-KI167,"")</f>
        <v>0</v>
      </c>
      <c r="KK167" s="48"/>
      <c r="KL167" s="28">
        <f>IF(AND(ISNUMBER(KM167),ISNUMBER(KK167)),KM167-KK167,"")</f>
        <v>0</v>
      </c>
      <c r="KM167" s="48"/>
      <c r="KN167" s="28">
        <f>IF(AND(ISNUMBER(KO167),ISNUMBER(KM167)),KO167-KM167,"")</f>
        <v>0</v>
      </c>
      <c r="KO167" s="48"/>
      <c r="KP167" s="28">
        <f>IF(AND(ISNUMBER(KQ167),ISNUMBER(KO167)),KQ167-KO167,"")</f>
        <v>0</v>
      </c>
      <c r="KQ167" s="48"/>
      <c r="KR167" s="28">
        <f>IF(AND(ISNUMBER(KS167),ISNUMBER(KQ167)),KS167-KQ167,"")</f>
        <v>0</v>
      </c>
      <c r="KS167" s="48"/>
      <c r="KT167" s="28">
        <f>IF(AND(ISNUMBER(KU167),ISNUMBER(KS167)),KU167-KS167,"")</f>
        <v>0</v>
      </c>
      <c r="KU167" s="48"/>
      <c r="KV167" s="28">
        <f>IF(AND(ISNUMBER(KW167),ISNUMBER(KU167)),KW167-KU167,"")</f>
        <v>0</v>
      </c>
      <c r="KW167" s="48"/>
      <c r="KX167" s="28">
        <f>IF(AND(ISNUMBER(KY167),ISNUMBER(KW167)),KY167-KW167,"")</f>
        <v>0</v>
      </c>
      <c r="KY167" s="48"/>
      <c r="KZ167" s="28">
        <f>IF(AND(ISNUMBER(LA167),ISNUMBER(KY167)),LA167-KY167,"")</f>
        <v>0</v>
      </c>
      <c r="LA167" s="48"/>
      <c r="LB167" s="28">
        <f>IF(AND(ISNUMBER(LC167),ISNUMBER(LA167)),LC167-LA167,"")</f>
        <v>0</v>
      </c>
      <c r="LC167" s="48"/>
      <c r="LD167" s="28">
        <f>IF(AND(ISNUMBER(LE167),ISNUMBER(LC167)),LE167-LC167,"")</f>
        <v>0</v>
      </c>
      <c r="LE167" s="48"/>
      <c r="LF167" s="28">
        <f>IF(AND(ISNUMBER(LG167),ISNUMBER(LE167)),LG167-LE167,"")</f>
        <v>0</v>
      </c>
      <c r="LG167" s="48"/>
    </row>
    <row r="168" spans="1:319">
      <c r="B168" s="23"/>
      <c r="C168" s="31" t="s">
        <v>1172</v>
      </c>
      <c r="D168" s="31" t="s">
        <v>1171</v>
      </c>
      <c r="E168" s="49" t="s">
        <v>1154</v>
      </c>
      <c r="JA168" s="51"/>
      <c r="JB168" s="34">
        <f>IF(AND(ISNUMBER(JC168),ISNUMBER(JA168)),JC168-JA168,"")</f>
        <v>0</v>
      </c>
      <c r="JC168" s="51">
        <v>67</v>
      </c>
      <c r="JD168" s="34">
        <f>IF(AND(ISNUMBER(JE168),ISNUMBER(JC168)),JE168-JC168,"")</f>
        <v>0</v>
      </c>
      <c r="JE168" s="51">
        <v>24</v>
      </c>
      <c r="JF168" s="34">
        <f>IF(AND(ISNUMBER(JG168),ISNUMBER(JE168)),JG168-JE168,"")</f>
        <v>0</v>
      </c>
      <c r="JG168" s="51">
        <v>44</v>
      </c>
      <c r="JH168" s="34">
        <f>IF(AND(ISNUMBER(JI168),ISNUMBER(JG168)),JI168-JG168,"")</f>
        <v>0</v>
      </c>
      <c r="JI168" s="51">
        <v>14</v>
      </c>
      <c r="JJ168" s="34">
        <f>IF(AND(ISNUMBER(JK168),ISNUMBER(JI168)),JK168-JI168,"")</f>
        <v>0</v>
      </c>
      <c r="JK168" s="51">
        <v>120</v>
      </c>
      <c r="JL168" s="34">
        <f>IF(AND(ISNUMBER(JM168),ISNUMBER(JK168)),JM168-JK168,"")</f>
        <v>0</v>
      </c>
      <c r="JM168" s="51">
        <v>31</v>
      </c>
      <c r="JN168" s="34">
        <f>IF(AND(ISNUMBER(JO168),ISNUMBER(JM168)),JO168-JM168,"")</f>
        <v>0</v>
      </c>
      <c r="JO168" s="51">
        <v>54</v>
      </c>
      <c r="JP168" s="34">
        <f>IF(AND(ISNUMBER(JQ168),ISNUMBER(JO168)),JQ168-JO168,"")</f>
        <v>0</v>
      </c>
      <c r="JQ168" s="51">
        <v>48</v>
      </c>
      <c r="JR168" s="34">
        <f>IF(AND(ISNUMBER(JS168),ISNUMBER(JQ168)),JS168-JQ168,"")</f>
        <v>0</v>
      </c>
      <c r="JS168" s="51">
        <v>73</v>
      </c>
      <c r="JT168" s="34">
        <f>IF(AND(ISNUMBER(JU168),ISNUMBER(JS168)),JU168-JS168,"")</f>
        <v>0</v>
      </c>
      <c r="JU168" s="51">
        <v>53</v>
      </c>
      <c r="JV168" s="34">
        <f>IF(AND(ISNUMBER(JW168),ISNUMBER(JU168)),JW168-JU168,"")</f>
        <v>0</v>
      </c>
      <c r="JW168" s="51">
        <v>102</v>
      </c>
      <c r="JX168" s="34">
        <f>IF(AND(ISNUMBER(JY168),ISNUMBER(JW168)),JY168-JW168,"")</f>
        <v>0</v>
      </c>
      <c r="JY168" s="51">
        <v>122</v>
      </c>
      <c r="JZ168" s="34">
        <f>IF(AND(ISNUMBER(KA168),ISNUMBER(JY168)),KA168-JY168,"")</f>
        <v>0</v>
      </c>
      <c r="KA168" s="52">
        <f>KA167-KA171</f>
        <v>151</v>
      </c>
      <c r="KB168" s="34">
        <f>IF(AND(ISNUMBER(KC168),ISNUMBER(KA168)),KC168-KA168,"")</f>
        <v>0</v>
      </c>
      <c r="KC168" s="51"/>
      <c r="KD168" s="34">
        <f>IF(AND(ISNUMBER(KE168),ISNUMBER(KC168)),KE168-KC168,"")</f>
        <v>0</v>
      </c>
      <c r="KE168" s="51"/>
      <c r="KF168" s="34">
        <f>IF(AND(ISNUMBER(KG168),ISNUMBER(KE168)),KG168-KE168,"")</f>
        <v>0</v>
      </c>
      <c r="KG168" s="51"/>
      <c r="KH168" s="34">
        <f>IF(AND(ISNUMBER(KI168),ISNUMBER(KG168)),KI168-KG168,"")</f>
        <v>0</v>
      </c>
      <c r="KI168" s="51"/>
      <c r="KJ168" s="34">
        <f>IF(AND(ISNUMBER(KK168),ISNUMBER(KI168)),KK168-KI168,"")</f>
        <v>0</v>
      </c>
      <c r="KK168" s="51"/>
      <c r="KL168" s="34">
        <f>IF(AND(ISNUMBER(KM168),ISNUMBER(KK168)),KM168-KK168,"")</f>
        <v>0</v>
      </c>
      <c r="KM168" s="51"/>
      <c r="KN168" s="34">
        <f>IF(AND(ISNUMBER(KO168),ISNUMBER(KM168)),KO168-KM168,"")</f>
        <v>0</v>
      </c>
      <c r="KO168" s="51"/>
      <c r="KP168" s="34">
        <f>IF(AND(ISNUMBER(KQ168),ISNUMBER(KO168)),KQ168-KO168,"")</f>
        <v>0</v>
      </c>
      <c r="KQ168" s="51"/>
      <c r="KR168" s="34">
        <f>IF(AND(ISNUMBER(KS168),ISNUMBER(KQ168)),KS168-KQ168,"")</f>
        <v>0</v>
      </c>
      <c r="KS168" s="51"/>
      <c r="KT168" s="34">
        <f>IF(AND(ISNUMBER(KU168),ISNUMBER(KS168)),KU168-KS168,"")</f>
        <v>0</v>
      </c>
      <c r="KU168" s="51"/>
      <c r="KV168" s="34">
        <f>IF(AND(ISNUMBER(KW168),ISNUMBER(KU168)),KW168-KU168,"")</f>
        <v>0</v>
      </c>
      <c r="KW168" s="51"/>
      <c r="KX168" s="34">
        <f>IF(AND(ISNUMBER(KY168),ISNUMBER(KW168)),KY168-KW168,"")</f>
        <v>0</v>
      </c>
      <c r="KY168" s="51"/>
      <c r="KZ168" s="34">
        <f>IF(AND(ISNUMBER(LA168),ISNUMBER(KY168)),LA168-KY168,"")</f>
        <v>0</v>
      </c>
      <c r="LA168" s="51"/>
      <c r="LB168" s="34">
        <f>IF(AND(ISNUMBER(LC168),ISNUMBER(LA168)),LC168-LA168,"")</f>
        <v>0</v>
      </c>
      <c r="LC168" s="51"/>
      <c r="LD168" s="34">
        <f>IF(AND(ISNUMBER(LE168),ISNUMBER(LC168)),LE168-LC168,"")</f>
        <v>0</v>
      </c>
      <c r="LE168" s="51"/>
      <c r="LF168" s="34">
        <f>IF(AND(ISNUMBER(LG168),ISNUMBER(LE168)),LG168-LE168,"")</f>
        <v>0</v>
      </c>
      <c r="LG168" s="51"/>
    </row>
    <row r="169" spans="1:319">
      <c r="A169" s="37" t="s">
        <v>381</v>
      </c>
      <c r="B169" s="23"/>
      <c r="C169" s="31" t="s">
        <v>1173</v>
      </c>
      <c r="D169" s="31" t="s">
        <v>1171</v>
      </c>
      <c r="E169" s="49" t="s">
        <v>1154</v>
      </c>
      <c r="JA169" s="53">
        <f>IF(AND(ISNUMBER(JA167),ISNUMBER(JA168),N(JA167)&lt;&gt;0),JA168/JA167,"")</f>
        <v>0</v>
      </c>
      <c r="JB169" s="54">
        <f>IF(AND(ISNUMBER(JC169),ISNUMBER(JA169)),JC169-JA169,"")</f>
        <v>0</v>
      </c>
      <c r="JC169" s="53">
        <f>IF(AND(ISNUMBER(JC167),ISNUMBER(JC168),N(JC167)&lt;&gt;0),JC168/JC167,"")</f>
        <v>0</v>
      </c>
      <c r="JD169" s="54">
        <f>IF(AND(ISNUMBER(JE169),ISNUMBER(JC169)),JE169-JC169,"")</f>
        <v>0</v>
      </c>
      <c r="JE169" s="53">
        <f>IF(AND(ISNUMBER(JE167),ISNUMBER(JE168),N(JE167)&lt;&gt;0),JE168/JE167,"")</f>
        <v>0</v>
      </c>
      <c r="JF169" s="54">
        <f>IF(AND(ISNUMBER(JG169),ISNUMBER(JE169)),JG169-JE169,"")</f>
        <v>0</v>
      </c>
      <c r="JG169" s="53">
        <f>IF(AND(ISNUMBER(JG167),ISNUMBER(JG168),N(JG167)&lt;&gt;0),JG168/JG167,"")</f>
        <v>0</v>
      </c>
      <c r="JH169" s="54">
        <f>IF(AND(ISNUMBER(JI169),ISNUMBER(JG169)),JI169-JG169,"")</f>
        <v>0</v>
      </c>
      <c r="JI169" s="53">
        <f>IF(AND(ISNUMBER(JI167),ISNUMBER(JI168),N(JI167)&lt;&gt;0),JI168/JI167,"")</f>
        <v>0</v>
      </c>
      <c r="JJ169" s="54">
        <f>IF(AND(ISNUMBER(JK169),ISNUMBER(JI169)),JK169-JI169,"")</f>
        <v>0</v>
      </c>
      <c r="JK169" s="53">
        <f>IF(AND(ISNUMBER(JK167),ISNUMBER(JK168),N(JK167)&lt;&gt;0),JK168/JK167,"")</f>
        <v>0</v>
      </c>
      <c r="JL169" s="54">
        <f>IF(AND(ISNUMBER(JM169),ISNUMBER(JK169)),JM169-JK169,"")</f>
        <v>0</v>
      </c>
      <c r="JM169" s="53">
        <f>IF(AND(ISNUMBER(JM167),ISNUMBER(JM168),N(JM167)&lt;&gt;0),JM168/JM167,"")</f>
        <v>0</v>
      </c>
      <c r="JN169" s="54">
        <f>IF(AND(ISNUMBER(JO169),ISNUMBER(JM169)),JO169-JM169,"")</f>
        <v>0</v>
      </c>
      <c r="JO169" s="53">
        <f>IF(AND(ISNUMBER(JO167),ISNUMBER(JO168),N(JO167)&lt;&gt;0),JO168/JO167,"")</f>
        <v>0</v>
      </c>
      <c r="JP169" s="54">
        <f>IF(AND(ISNUMBER(JQ169),ISNUMBER(JO169)),JQ169-JO169,"")</f>
        <v>0</v>
      </c>
      <c r="JQ169" s="53">
        <f>IF(AND(ISNUMBER(JQ167),ISNUMBER(JQ168),N(JQ167)&lt;&gt;0),JQ168/JQ167,"")</f>
        <v>0</v>
      </c>
      <c r="JR169" s="54">
        <f>IF(AND(ISNUMBER(JS169),ISNUMBER(JQ169)),JS169-JQ169,"")</f>
        <v>0</v>
      </c>
      <c r="JS169" s="53">
        <f>IF(AND(ISNUMBER(JS167),ISNUMBER(JS168),N(JS167)&lt;&gt;0),JS168/JS167,"")</f>
        <v>0</v>
      </c>
      <c r="JT169" s="54">
        <f>IF(AND(ISNUMBER(JU169),ISNUMBER(JS169)),JU169-JS169,"")</f>
        <v>0</v>
      </c>
      <c r="JU169" s="53">
        <f>IF(AND(ISNUMBER(JU167),ISNUMBER(JU168),N(JU167)&lt;&gt;0),JU168/JU167,"")</f>
        <v>0</v>
      </c>
      <c r="JV169" s="54">
        <f>IF(AND(ISNUMBER(JW169),ISNUMBER(JU169)),JW169-JU169,"")</f>
        <v>0</v>
      </c>
      <c r="JW169" s="53">
        <f>IF(AND(ISNUMBER(JW167),ISNUMBER(JW168),N(JW167)&lt;&gt;0),JW168/JW167,"")</f>
        <v>0</v>
      </c>
      <c r="JX169" s="54">
        <f>IF(AND(ISNUMBER(JY169),ISNUMBER(JW169)),JY169-JW169,"")</f>
        <v>0</v>
      </c>
      <c r="JY169" s="53">
        <f>IF(AND(ISNUMBER(JY167),ISNUMBER(JY168),N(JY167)&lt;&gt;0),JY168/JY167,"")</f>
        <v>0</v>
      </c>
      <c r="JZ169" s="54">
        <f>IF(AND(ISNUMBER(KA169),ISNUMBER(JY169)),KA169-JY169,"")</f>
        <v>0</v>
      </c>
      <c r="KA169" s="53">
        <f>IF(AND(ISNUMBER(KA167),ISNUMBER(KA168),N(KA167)&lt;&gt;0),KA168/KA167,"")</f>
        <v>0</v>
      </c>
      <c r="KB169" s="54">
        <f>IF(AND(ISNUMBER(KC169),ISNUMBER(KA169)),KC169-KA169,"")</f>
        <v>0</v>
      </c>
      <c r="KC169" s="53">
        <f>IF(AND(ISNUMBER(KC167),ISNUMBER(KC168),N(KC167)&lt;&gt;0),KC168/KC167,"")</f>
        <v>0</v>
      </c>
      <c r="KD169" s="54">
        <f>IF(AND(ISNUMBER(KE169),ISNUMBER(KC169)),KE169-KC169,"")</f>
        <v>0</v>
      </c>
      <c r="KE169" s="53">
        <f>IF(AND(ISNUMBER(KE167),ISNUMBER(KE168),N(KE167)&lt;&gt;0),KE168/KE167,"")</f>
        <v>0</v>
      </c>
      <c r="KF169" s="54">
        <f>IF(AND(ISNUMBER(KG169),ISNUMBER(KE169)),KG169-KE169,"")</f>
        <v>0</v>
      </c>
      <c r="KG169" s="53">
        <f>IF(AND(ISNUMBER(KG167),ISNUMBER(KG168),N(KG167)&lt;&gt;0),KG168/KG167,"")</f>
        <v>0</v>
      </c>
      <c r="KH169" s="54">
        <f>IF(AND(ISNUMBER(KI169),ISNUMBER(KG169)),KI169-KG169,"")</f>
        <v>0</v>
      </c>
      <c r="KI169" s="53">
        <f>IF(AND(ISNUMBER(KI167),ISNUMBER(KI168),N(KI167)&lt;&gt;0),KI168/KI167,"")</f>
        <v>0</v>
      </c>
      <c r="KJ169" s="54">
        <f>IF(AND(ISNUMBER(KK169),ISNUMBER(KI169)),KK169-KI169,"")</f>
        <v>0</v>
      </c>
      <c r="KK169" s="53">
        <f>IF(AND(ISNUMBER(KK167),ISNUMBER(KK168),N(KK167)&lt;&gt;0),KK168/KK167,"")</f>
        <v>0</v>
      </c>
      <c r="KL169" s="54">
        <f>IF(AND(ISNUMBER(KM169),ISNUMBER(KK169)),KM169-KK169,"")</f>
        <v>0</v>
      </c>
      <c r="KM169" s="53">
        <f>IF(AND(ISNUMBER(KM167),ISNUMBER(KM168),N(KM167)&lt;&gt;0),KM168/KM167,"")</f>
        <v>0</v>
      </c>
      <c r="KN169" s="54">
        <f>IF(AND(ISNUMBER(KO169),ISNUMBER(KM169)),KO169-KM169,"")</f>
        <v>0</v>
      </c>
      <c r="KO169" s="53">
        <f>IF(AND(ISNUMBER(KO167),ISNUMBER(KO168),N(KO167)&lt;&gt;0),KO168/KO167,"")</f>
        <v>0</v>
      </c>
      <c r="KP169" s="54">
        <f>IF(AND(ISNUMBER(KQ169),ISNUMBER(KO169)),KQ169-KO169,"")</f>
        <v>0</v>
      </c>
      <c r="KQ169" s="53">
        <f>IF(AND(ISNUMBER(KQ167),ISNUMBER(KQ168),N(KQ167)&lt;&gt;0),KQ168/KQ167,"")</f>
        <v>0</v>
      </c>
      <c r="KR169" s="54">
        <f>IF(AND(ISNUMBER(KS169),ISNUMBER(KQ169)),KS169-KQ169,"")</f>
        <v>0</v>
      </c>
      <c r="KS169" s="53">
        <f>IF(AND(ISNUMBER(KS167),ISNUMBER(KS168),N(KS167)&lt;&gt;0),KS168/KS167,"")</f>
        <v>0</v>
      </c>
      <c r="KT169" s="54">
        <f>IF(AND(ISNUMBER(KU169),ISNUMBER(KS169)),KU169-KS169,"")</f>
        <v>0</v>
      </c>
      <c r="KU169" s="53">
        <f>IF(AND(ISNUMBER(KU167),ISNUMBER(KU168),N(KU167)&lt;&gt;0),KU168/KU167,"")</f>
        <v>0</v>
      </c>
      <c r="KV169" s="54">
        <f>IF(AND(ISNUMBER(KW169),ISNUMBER(KU169)),KW169-KU169,"")</f>
        <v>0</v>
      </c>
      <c r="KW169" s="53">
        <f>IF(AND(ISNUMBER(KW167),ISNUMBER(KW168),N(KW167)&lt;&gt;0),KW168/KW167,"")</f>
        <v>0</v>
      </c>
      <c r="KX169" s="54">
        <f>IF(AND(ISNUMBER(KY169),ISNUMBER(KW169)),KY169-KW169,"")</f>
        <v>0</v>
      </c>
      <c r="KY169" s="53">
        <f>IF(AND(ISNUMBER(KY167),ISNUMBER(KY168),N(KY167)&lt;&gt;0),KY168/KY167,"")</f>
        <v>0</v>
      </c>
      <c r="KZ169" s="54">
        <f>IF(AND(ISNUMBER(LA169),ISNUMBER(KY169)),LA169-KY169,"")</f>
        <v>0</v>
      </c>
      <c r="LA169" s="53">
        <f>IF(AND(ISNUMBER(LA167),ISNUMBER(LA168),N(LA167)&lt;&gt;0),LA168/LA167,"")</f>
        <v>0</v>
      </c>
      <c r="LB169" s="54">
        <f>IF(AND(ISNUMBER(LC169),ISNUMBER(LA169)),LC169-LA169,"")</f>
        <v>0</v>
      </c>
      <c r="LC169" s="53">
        <f>IF(AND(ISNUMBER(LC167),ISNUMBER(LC168),N(LC167)&lt;&gt;0),LC168/LC167,"")</f>
        <v>0</v>
      </c>
      <c r="LD169" s="54">
        <f>IF(AND(ISNUMBER(LE169),ISNUMBER(LC169)),LE169-LC169,"")</f>
        <v>0</v>
      </c>
      <c r="LE169" s="53">
        <f>IF(AND(ISNUMBER(LE167),ISNUMBER(LE168),N(LE167)&lt;&gt;0),LE168/LE167,"")</f>
        <v>0</v>
      </c>
      <c r="LF169" s="54">
        <f>IF(AND(ISNUMBER(LG169),ISNUMBER(LE169)),LG169-LE169,"")</f>
        <v>0</v>
      </c>
      <c r="LG169" s="53">
        <f>IF(AND(ISNUMBER(LG167),ISNUMBER(LG168),N(LG167)&lt;&gt;0),LG168/LG167,"")</f>
        <v>0</v>
      </c>
    </row>
    <row r="170" spans="1:319">
      <c r="B170" s="23"/>
      <c r="C170" s="31" t="s">
        <v>1174</v>
      </c>
      <c r="D170" s="31" t="s">
        <v>1171</v>
      </c>
      <c r="E170" s="49" t="s">
        <v>1154</v>
      </c>
      <c r="JA170" s="51"/>
      <c r="JB170" s="34">
        <f>IF(AND(ISNUMBER(JC170),ISNUMBER(JA170)),JC170-JA170,"")</f>
        <v>0</v>
      </c>
      <c r="JC170" s="51"/>
      <c r="JD170" s="34">
        <f>IF(AND(ISNUMBER(JE170),ISNUMBER(JC170)),JE170-JC170,"")</f>
        <v>0</v>
      </c>
      <c r="JE170" s="51"/>
      <c r="JF170" s="34">
        <f>IF(AND(ISNUMBER(JG170),ISNUMBER(JE170)),JG170-JE170,"")</f>
        <v>0</v>
      </c>
      <c r="JG170" s="51"/>
      <c r="JH170" s="34">
        <f>IF(AND(ISNUMBER(JI170),ISNUMBER(JG170)),JI170-JG170,"")</f>
        <v>0</v>
      </c>
      <c r="JI170" s="51"/>
      <c r="JJ170" s="34">
        <f>IF(AND(ISNUMBER(JK170),ISNUMBER(JI170)),JK170-JI170,"")</f>
        <v>0</v>
      </c>
      <c r="JK170" s="51">
        <v>0</v>
      </c>
      <c r="JL170" s="34">
        <f>IF(AND(ISNUMBER(JM170),ISNUMBER(JK170)),JM170-JK170,"")</f>
        <v>0</v>
      </c>
      <c r="JM170" s="51">
        <v>0</v>
      </c>
      <c r="JN170" s="34">
        <f>IF(AND(ISNUMBER(JO170),ISNUMBER(JM170)),JO170-JM170,"")</f>
        <v>0</v>
      </c>
      <c r="JO170" s="51">
        <v>0</v>
      </c>
      <c r="JP170" s="34">
        <f>IF(AND(ISNUMBER(JQ170),ISNUMBER(JO170)),JQ170-JO170,"")</f>
        <v>0</v>
      </c>
      <c r="JQ170" s="51">
        <v>0</v>
      </c>
      <c r="JR170" s="34">
        <f>IF(AND(ISNUMBER(JS170),ISNUMBER(JQ170)),JS170-JQ170,"")</f>
        <v>0</v>
      </c>
      <c r="JS170" s="51">
        <v>0</v>
      </c>
      <c r="JT170" s="34">
        <f>IF(AND(ISNUMBER(JU170),ISNUMBER(JS170)),JU170-JS170,"")</f>
        <v>0</v>
      </c>
      <c r="JU170" s="51">
        <v>0</v>
      </c>
      <c r="JV170" s="34">
        <f>IF(AND(ISNUMBER(JW170),ISNUMBER(JU170)),JW170-JU170,"")</f>
        <v>0</v>
      </c>
      <c r="JW170" s="51">
        <v>0</v>
      </c>
      <c r="JX170" s="34">
        <f>IF(AND(ISNUMBER(JY170),ISNUMBER(JW170)),JY170-JW170,"")</f>
        <v>0</v>
      </c>
      <c r="JY170" s="51">
        <v>0</v>
      </c>
      <c r="JZ170" s="34">
        <f>IF(AND(ISNUMBER(KA170),ISNUMBER(JY170)),KA170-JY170,"")</f>
        <v>0</v>
      </c>
      <c r="KA170" s="51">
        <v>0</v>
      </c>
      <c r="KB170" s="34">
        <f>IF(AND(ISNUMBER(KC170),ISNUMBER(KA170)),KC170-KA170,"")</f>
        <v>0</v>
      </c>
      <c r="KC170" s="51"/>
      <c r="KD170" s="34">
        <f>IF(AND(ISNUMBER(KE170),ISNUMBER(KC170)),KE170-KC170,"")</f>
        <v>0</v>
      </c>
      <c r="KE170" s="51"/>
      <c r="KF170" s="34">
        <f>IF(AND(ISNUMBER(KG170),ISNUMBER(KE170)),KG170-KE170,"")</f>
        <v>0</v>
      </c>
      <c r="KG170" s="51"/>
      <c r="KH170" s="34">
        <f>IF(AND(ISNUMBER(KI170),ISNUMBER(KG170)),KI170-KG170,"")</f>
        <v>0</v>
      </c>
      <c r="KI170" s="51"/>
      <c r="KJ170" s="34">
        <f>IF(AND(ISNUMBER(KK170),ISNUMBER(KI170)),KK170-KI170,"")</f>
        <v>0</v>
      </c>
      <c r="KK170" s="51"/>
      <c r="KL170" s="34">
        <f>IF(AND(ISNUMBER(KM170),ISNUMBER(KK170)),KM170-KK170,"")</f>
        <v>0</v>
      </c>
      <c r="KM170" s="51"/>
      <c r="KN170" s="34">
        <f>IF(AND(ISNUMBER(KO170),ISNUMBER(KM170)),KO170-KM170,"")</f>
        <v>0</v>
      </c>
      <c r="KO170" s="51"/>
      <c r="KP170" s="34">
        <f>IF(AND(ISNUMBER(KQ170),ISNUMBER(KO170)),KQ170-KO170,"")</f>
        <v>0</v>
      </c>
      <c r="KQ170" s="51"/>
      <c r="KR170" s="34">
        <f>IF(AND(ISNUMBER(KS170),ISNUMBER(KQ170)),KS170-KQ170,"")</f>
        <v>0</v>
      </c>
      <c r="KS170" s="51"/>
      <c r="KT170" s="34">
        <f>IF(AND(ISNUMBER(KU170),ISNUMBER(KS170)),KU170-KS170,"")</f>
        <v>0</v>
      </c>
      <c r="KU170" s="51"/>
      <c r="KV170" s="34">
        <f>IF(AND(ISNUMBER(KW170),ISNUMBER(KU170)),KW170-KU170,"")</f>
        <v>0</v>
      </c>
      <c r="KW170" s="51"/>
      <c r="KX170" s="34">
        <f>IF(AND(ISNUMBER(KY170),ISNUMBER(KW170)),KY170-KW170,"")</f>
        <v>0</v>
      </c>
      <c r="KY170" s="51"/>
      <c r="KZ170" s="34">
        <f>IF(AND(ISNUMBER(LA170),ISNUMBER(KY170)),LA170-KY170,"")</f>
        <v>0</v>
      </c>
      <c r="LA170" s="51"/>
      <c r="LB170" s="34">
        <f>IF(AND(ISNUMBER(LC170),ISNUMBER(LA170)),LC170-LA170,"")</f>
        <v>0</v>
      </c>
      <c r="LC170" s="51"/>
      <c r="LD170" s="34">
        <f>IF(AND(ISNUMBER(LE170),ISNUMBER(LC170)),LE170-LC170,"")</f>
        <v>0</v>
      </c>
      <c r="LE170" s="51"/>
      <c r="LF170" s="34">
        <f>IF(AND(ISNUMBER(LG170),ISNUMBER(LE170)),LG170-LE170,"")</f>
        <v>0</v>
      </c>
      <c r="LG170" s="51"/>
    </row>
    <row r="171" spans="1:319">
      <c r="B171" s="23"/>
      <c r="C171" s="31" t="s">
        <v>1175</v>
      </c>
      <c r="D171" s="31" t="s">
        <v>1171</v>
      </c>
      <c r="E171" s="49" t="s">
        <v>1154</v>
      </c>
      <c r="JA171" s="51"/>
      <c r="JB171" s="34">
        <f>IF(AND(ISNUMBER(JC171),ISNUMBER(JA171)),JC171-JA171,"")</f>
        <v>0</v>
      </c>
      <c r="JC171" s="51"/>
      <c r="JD171" s="34">
        <f>IF(AND(ISNUMBER(JE171),ISNUMBER(JC171)),JE171-JC171,"")</f>
        <v>0</v>
      </c>
      <c r="JE171" s="51"/>
      <c r="JF171" s="34">
        <f>IF(AND(ISNUMBER(JG171),ISNUMBER(JE171)),JG171-JE171,"")</f>
        <v>0</v>
      </c>
      <c r="JG171" s="51"/>
      <c r="JH171" s="34">
        <f>IF(AND(ISNUMBER(JI171),ISNUMBER(JG171)),JI171-JG171,"")</f>
        <v>0</v>
      </c>
      <c r="JI171" s="51"/>
      <c r="JJ171" s="34">
        <f>IF(AND(ISNUMBER(JK171),ISNUMBER(JI171)),JK171-JI171,"")</f>
        <v>0</v>
      </c>
      <c r="JK171" s="51">
        <v>1</v>
      </c>
      <c r="JL171" s="34">
        <f>IF(AND(ISNUMBER(JM171),ISNUMBER(JK171)),JM171-JK171,"")</f>
        <v>0</v>
      </c>
      <c r="JM171" s="51">
        <v>0</v>
      </c>
      <c r="JN171" s="34">
        <f>IF(AND(ISNUMBER(JO171),ISNUMBER(JM171)),JO171-JM171,"")</f>
        <v>0</v>
      </c>
      <c r="JO171" s="51">
        <v>1</v>
      </c>
      <c r="JP171" s="34">
        <f>IF(AND(ISNUMBER(JQ171),ISNUMBER(JO171)),JQ171-JO171,"")</f>
        <v>0</v>
      </c>
      <c r="JQ171" s="51">
        <v>0</v>
      </c>
      <c r="JR171" s="34">
        <f>IF(AND(ISNUMBER(JS171),ISNUMBER(JQ171)),JS171-JQ171,"")</f>
        <v>0</v>
      </c>
      <c r="JS171" s="51">
        <v>2</v>
      </c>
      <c r="JT171" s="34">
        <f>IF(AND(ISNUMBER(JU171),ISNUMBER(JS171)),JU171-JS171,"")</f>
        <v>0</v>
      </c>
      <c r="JU171" s="51">
        <v>2</v>
      </c>
      <c r="JV171" s="34">
        <f>IF(AND(ISNUMBER(JW171),ISNUMBER(JU171)),JW171-JU171,"")</f>
        <v>0</v>
      </c>
      <c r="JW171" s="51">
        <v>2</v>
      </c>
      <c r="JX171" s="34">
        <f>IF(AND(ISNUMBER(JY171),ISNUMBER(JW171)),JY171-JW171,"")</f>
        <v>0</v>
      </c>
      <c r="JY171" s="51">
        <v>2</v>
      </c>
      <c r="JZ171" s="34">
        <f>IF(AND(ISNUMBER(KA171),ISNUMBER(JY171)),KA171-JY171,"")</f>
        <v>0</v>
      </c>
      <c r="KA171" s="51">
        <v>10</v>
      </c>
      <c r="KB171" s="34">
        <f>IF(AND(ISNUMBER(KC171),ISNUMBER(KA171)),KC171-KA171,"")</f>
        <v>0</v>
      </c>
      <c r="KC171" s="51"/>
      <c r="KD171" s="34">
        <f>IF(AND(ISNUMBER(KE171),ISNUMBER(KC171)),KE171-KC171,"")</f>
        <v>0</v>
      </c>
      <c r="KE171" s="51"/>
      <c r="KF171" s="34">
        <f>IF(AND(ISNUMBER(KG171),ISNUMBER(KE171)),KG171-KE171,"")</f>
        <v>0</v>
      </c>
      <c r="KG171" s="51"/>
      <c r="KH171" s="34">
        <f>IF(AND(ISNUMBER(KI171),ISNUMBER(KG171)),KI171-KG171,"")</f>
        <v>0</v>
      </c>
      <c r="KI171" s="51"/>
      <c r="KJ171" s="34">
        <f>IF(AND(ISNUMBER(KK171),ISNUMBER(KI171)),KK171-KI171,"")</f>
        <v>0</v>
      </c>
      <c r="KK171" s="51"/>
      <c r="KL171" s="34">
        <f>IF(AND(ISNUMBER(KM171),ISNUMBER(KK171)),KM171-KK171,"")</f>
        <v>0</v>
      </c>
      <c r="KM171" s="51"/>
      <c r="KN171" s="34">
        <f>IF(AND(ISNUMBER(KO171),ISNUMBER(KM171)),KO171-KM171,"")</f>
        <v>0</v>
      </c>
      <c r="KO171" s="51"/>
      <c r="KP171" s="34">
        <f>IF(AND(ISNUMBER(KQ171),ISNUMBER(KO171)),KQ171-KO171,"")</f>
        <v>0</v>
      </c>
      <c r="KQ171" s="51"/>
      <c r="KR171" s="34">
        <f>IF(AND(ISNUMBER(KS171),ISNUMBER(KQ171)),KS171-KQ171,"")</f>
        <v>0</v>
      </c>
      <c r="KS171" s="51"/>
      <c r="KT171" s="34">
        <f>IF(AND(ISNUMBER(KU171),ISNUMBER(KS171)),KU171-KS171,"")</f>
        <v>0</v>
      </c>
      <c r="KU171" s="51"/>
      <c r="KV171" s="34">
        <f>IF(AND(ISNUMBER(KW171),ISNUMBER(KU171)),KW171-KU171,"")</f>
        <v>0</v>
      </c>
      <c r="KW171" s="51"/>
      <c r="KX171" s="34">
        <f>IF(AND(ISNUMBER(KY171),ISNUMBER(KW171)),KY171-KW171,"")</f>
        <v>0</v>
      </c>
      <c r="KY171" s="51"/>
      <c r="KZ171" s="34">
        <f>IF(AND(ISNUMBER(LA171),ISNUMBER(KY171)),LA171-KY171,"")</f>
        <v>0</v>
      </c>
      <c r="LA171" s="51"/>
      <c r="LB171" s="34">
        <f>IF(AND(ISNUMBER(LC171),ISNUMBER(LA171)),LC171-LA171,"")</f>
        <v>0</v>
      </c>
      <c r="LC171" s="51"/>
      <c r="LD171" s="34">
        <f>IF(AND(ISNUMBER(LE171),ISNUMBER(LC171)),LE171-LC171,"")</f>
        <v>0</v>
      </c>
      <c r="LE171" s="51"/>
      <c r="LF171" s="34">
        <f>IF(AND(ISNUMBER(LG171),ISNUMBER(LE171)),LG171-LE171,"")</f>
        <v>0</v>
      </c>
      <c r="LG171" s="51"/>
    </row>
  </sheetData>
  <mergeCells count="16">
    <mergeCell ref="B3:B21"/>
    <mergeCell ref="B23:B38"/>
    <mergeCell ref="B39:B46"/>
    <mergeCell ref="B47:B62"/>
    <mergeCell ref="B64:B66"/>
    <mergeCell ref="B67:B90"/>
    <mergeCell ref="B91:B102"/>
    <mergeCell ref="B103:B112"/>
    <mergeCell ref="E103:E111"/>
    <mergeCell ref="B117:B128"/>
    <mergeCell ref="B129:B140"/>
    <mergeCell ref="B150:B155"/>
    <mergeCell ref="B159:E159"/>
    <mergeCell ref="B161:B163"/>
    <mergeCell ref="B165:E165"/>
    <mergeCell ref="B167:B171"/>
  </mergeCells>
  <conditionalFormatting sqref="I1:LG1">
    <cfRule type="expression" dxfId="10" priority="1">
      <formula>AND(ISNUMBER(I$1),I$1=Stichtag)</formula>
    </cfRule>
  </conditionalFormatting>
  <conditionalFormatting sqref="I3:LG157">
    <cfRule type="expression" dxfId="11" priority="2">
      <formula>AND(ISNUMBER(I$1),I$1=Stichtag)</formula>
    </cfRule>
  </conditionalFormatting>
  <conditionalFormatting sqref="JA159:LG159">
    <cfRule type="expression" dxfId="10" priority="3">
      <formula>AND(ISNUMBER(JA$159),JA$159=DATE(YEAR(Berichtstag),MONTH(Berichtstag)-1,1))</formula>
    </cfRule>
  </conditionalFormatting>
  <conditionalFormatting sqref="JA161:LG163">
    <cfRule type="expression" dxfId="11" priority="4">
      <formula>AND(ISNUMBER(JA$159),JA$159=DATE(YEAR(Berichtstag),MONTH(Berichtstag)-1,1))</formula>
    </cfRule>
  </conditionalFormatting>
  <conditionalFormatting sqref="JA165:LG165">
    <cfRule type="expression" dxfId="10" priority="5">
      <formula>AND(ISNUMBER(JA$165),JA$165=DATE(YEAR(Berichtstag),MONTH(Berichtstag)-1,1))</formula>
    </cfRule>
  </conditionalFormatting>
  <conditionalFormatting sqref="JA167:LG171">
    <cfRule type="expression" dxfId="11" priority="6">
      <formula>AND(ISNUMBER(JA$165),JA$165=DATE(YEAR(Berichtstag),MONTH(Berichtstag)-1,1))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Kommentare">
    <tabColor rgb="FF0F94A7"/>
  </sheetPr>
  <dimension ref="A1:F17"/>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1177</v>
      </c>
    </row>
    <row r="2" spans="1:6">
      <c r="A2" s="8" t="s">
        <v>1178</v>
      </c>
    </row>
    <row r="4" spans="1:6" ht="28" customHeight="1">
      <c r="A4" s="9" t="s">
        <v>1022</v>
      </c>
      <c r="B4" s="9" t="s">
        <v>1179</v>
      </c>
      <c r="C4" s="9" t="s">
        <v>1180</v>
      </c>
      <c r="D4" s="9" t="s">
        <v>1181</v>
      </c>
      <c r="E4" s="9" t="s">
        <v>1182</v>
      </c>
      <c r="F4" s="9" t="s">
        <v>1183</v>
      </c>
    </row>
    <row r="5" spans="1:6" ht="184" customHeight="1">
      <c r="A5" s="55" t="s">
        <v>1028</v>
      </c>
      <c r="B5" s="55">
        <v>1</v>
      </c>
      <c r="C5" s="56" t="s">
        <v>1184</v>
      </c>
      <c r="D5" s="57" t="s">
        <v>1185</v>
      </c>
      <c r="E5" s="58" t="s">
        <v>1186</v>
      </c>
      <c r="F5" s="55" t="s">
        <v>1187</v>
      </c>
    </row>
    <row r="6" spans="1:6" ht="109" customHeight="1">
      <c r="A6" s="55" t="s">
        <v>1028</v>
      </c>
      <c r="B6" s="55">
        <v>2</v>
      </c>
      <c r="C6" s="56" t="s">
        <v>1094</v>
      </c>
      <c r="D6" s="57" t="s">
        <v>1188</v>
      </c>
      <c r="E6" s="58" t="s">
        <v>1189</v>
      </c>
      <c r="F6" s="55" t="s">
        <v>1188</v>
      </c>
    </row>
    <row r="7" spans="1:6" ht="124" customHeight="1">
      <c r="A7" s="55" t="s">
        <v>1028</v>
      </c>
      <c r="B7" s="55">
        <v>3</v>
      </c>
      <c r="C7" s="56" t="s">
        <v>128</v>
      </c>
      <c r="D7" s="57" t="s">
        <v>1153</v>
      </c>
      <c r="E7" s="58" t="s">
        <v>1190</v>
      </c>
      <c r="F7" s="55" t="s">
        <v>1153</v>
      </c>
    </row>
    <row r="8" spans="1:6" ht="19" customHeight="1">
      <c r="A8" s="55" t="s">
        <v>1028</v>
      </c>
      <c r="B8" s="55">
        <v>4</v>
      </c>
      <c r="C8" s="56" t="s">
        <v>1191</v>
      </c>
      <c r="D8" s="57" t="s">
        <v>1192</v>
      </c>
      <c r="E8" s="58" t="s">
        <v>1193</v>
      </c>
      <c r="F8" s="55" t="s">
        <v>1122</v>
      </c>
    </row>
    <row r="9" spans="1:6" ht="19" customHeight="1">
      <c r="A9" s="55" t="s">
        <v>1028</v>
      </c>
      <c r="B9" s="55">
        <v>5</v>
      </c>
      <c r="C9" s="56" t="s">
        <v>129</v>
      </c>
      <c r="D9" s="57" t="s">
        <v>1127</v>
      </c>
      <c r="E9" s="58"/>
      <c r="F9" s="55" t="s">
        <v>1127</v>
      </c>
    </row>
    <row r="10" spans="1:6" ht="94" customHeight="1">
      <c r="A10" s="55" t="s">
        <v>1028</v>
      </c>
      <c r="B10" s="55">
        <v>6</v>
      </c>
      <c r="C10" s="56" t="s">
        <v>1194</v>
      </c>
      <c r="D10" s="57" t="s">
        <v>1155</v>
      </c>
      <c r="E10" s="58" t="s">
        <v>1195</v>
      </c>
      <c r="F10" s="55" t="s">
        <v>1155</v>
      </c>
    </row>
    <row r="11" spans="1:6" ht="49" customHeight="1">
      <c r="A11" s="55" t="s">
        <v>1028</v>
      </c>
      <c r="B11" s="55">
        <v>7</v>
      </c>
      <c r="C11" s="56" t="s">
        <v>1196</v>
      </c>
      <c r="D11" s="57" t="s">
        <v>1157</v>
      </c>
      <c r="E11" s="58" t="s">
        <v>1197</v>
      </c>
      <c r="F11" s="55" t="s">
        <v>1157</v>
      </c>
    </row>
    <row r="12" spans="1:6" ht="19" customHeight="1">
      <c r="A12" s="55" t="s">
        <v>1031</v>
      </c>
      <c r="B12" s="55">
        <v>1</v>
      </c>
      <c r="C12" s="56" t="s">
        <v>1184</v>
      </c>
      <c r="D12" s="57" t="s">
        <v>1103</v>
      </c>
      <c r="E12" s="58" t="s">
        <v>1198</v>
      </c>
      <c r="F12" s="55" t="s">
        <v>1103</v>
      </c>
    </row>
    <row r="13" spans="1:6" ht="19" customHeight="1">
      <c r="A13" s="55" t="s">
        <v>1031</v>
      </c>
      <c r="B13" s="55">
        <v>2</v>
      </c>
      <c r="C13" s="56" t="s">
        <v>1094</v>
      </c>
      <c r="D13" s="57" t="s">
        <v>1144</v>
      </c>
      <c r="E13" s="58" t="s">
        <v>1199</v>
      </c>
      <c r="F13" s="55" t="s">
        <v>1144</v>
      </c>
    </row>
    <row r="14" spans="1:6" ht="19" customHeight="1">
      <c r="A14" s="55" t="s">
        <v>1031</v>
      </c>
      <c r="B14" s="55">
        <v>3</v>
      </c>
      <c r="C14" s="56" t="s">
        <v>128</v>
      </c>
      <c r="D14" s="57" t="s">
        <v>1200</v>
      </c>
      <c r="E14" s="58" t="s">
        <v>1201</v>
      </c>
      <c r="F14" s="55" t="s">
        <v>1202</v>
      </c>
    </row>
    <row r="15" spans="1:6" ht="19" customHeight="1">
      <c r="A15" s="55" t="s">
        <v>1031</v>
      </c>
      <c r="B15" s="55">
        <v>4</v>
      </c>
      <c r="C15" s="56" t="s">
        <v>1203</v>
      </c>
      <c r="D15" s="57" t="s">
        <v>1204</v>
      </c>
      <c r="E15" s="58" t="s">
        <v>1205</v>
      </c>
      <c r="F15" s="55" t="s">
        <v>1204</v>
      </c>
    </row>
    <row r="16" spans="1:6" ht="49" customHeight="1">
      <c r="A16" s="55" t="s">
        <v>1031</v>
      </c>
      <c r="B16" s="55">
        <v>5</v>
      </c>
      <c r="C16" s="56" t="s">
        <v>129</v>
      </c>
      <c r="D16" s="57" t="s">
        <v>1206</v>
      </c>
      <c r="E16" s="58" t="s">
        <v>1207</v>
      </c>
      <c r="F16" s="55" t="s">
        <v>1206</v>
      </c>
    </row>
    <row r="17" spans="1:6" ht="19" customHeight="1">
      <c r="A17" s="55" t="s">
        <v>1031</v>
      </c>
      <c r="B17" s="55">
        <v>6</v>
      </c>
      <c r="C17" s="56" t="s">
        <v>1194</v>
      </c>
      <c r="D17" s="57" t="s">
        <v>1208</v>
      </c>
      <c r="E17" s="58"/>
      <c r="F17" s="55" t="s">
        <v>1208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Zustaendigkeiten">
    <tabColor rgb="FF0F94A7"/>
    <outlinePr summaryBelow="0"/>
  </sheetPr>
  <dimension ref="A1:AO19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3.28515625" customWidth="1"/>
    <col min="8" max="8" width="12.7109375" customWidth="1"/>
    <col min="9" max="38" width="4.28515625" customWidth="1"/>
    <col min="39" max="40" width="40.7109375" hidden="1" customWidth="1"/>
    <col min="41" max="41" width="6.7109375" hidden="1" customWidth="1"/>
  </cols>
  <sheetData>
    <row r="1" spans="1:41">
      <c r="A1" s="13" t="s">
        <v>691</v>
      </c>
    </row>
    <row r="2" spans="1:41">
      <c r="A2" s="8">
        <f>IF(ZuordnungOffen=1,"Bearbeiten aktiv: Klick in ein Personenfeld setzt oder entfernt den Punkt, Klick auf ja/nein schaltet die Pflicht, Klick auf den Zyklus wechselt ihn.  „Fertig · sperren“ schließt die Bearbeitung.","Gesperrt. Zum Ändern „Zuständigkeiten bearbeiten“ klicken.  Die Gliederung (+/− links) klappt Themen auf und zu.")</f>
        <v>0</v>
      </c>
    </row>
    <row r="3" spans="1:41">
      <c r="A3" s="8" t="s">
        <v>692</v>
      </c>
    </row>
    <row r="4" spans="1:41" ht="96" customHeight="1">
      <c r="A4" s="9" t="s">
        <v>693</v>
      </c>
      <c r="B4" s="9" t="s">
        <v>694</v>
      </c>
      <c r="C4" s="9" t="s">
        <v>695</v>
      </c>
      <c r="D4" s="9" t="s">
        <v>696</v>
      </c>
      <c r="E4" s="9" t="s">
        <v>697</v>
      </c>
      <c r="F4" s="9" t="s">
        <v>698</v>
      </c>
      <c r="G4" s="9" t="s">
        <v>699</v>
      </c>
      <c r="H4" s="9" t="s">
        <v>700</v>
      </c>
      <c r="I4" s="59" t="str">
        <f>IF(Konfiguration!$B$28="","",Konfiguration!$B$28)</f>
        <v>Amend</v>
      </c>
      <c r="J4" s="59" t="str">
        <f>IF(Konfiguration!$B$29="","",Konfiguration!$B$29)</f>
        <v>Bauer</v>
      </c>
      <c r="K4" s="59" t="str">
        <f>IF(Konfiguration!$B$30="","",Konfiguration!$B$30)</f>
        <v>Beizerov</v>
      </c>
      <c r="L4" s="59" t="str">
        <f>IF(Konfiguration!$B$31="","",Konfiguration!$B$31)</f>
        <v>Brückner</v>
      </c>
      <c r="M4" s="59" t="str">
        <f>IF(Konfiguration!$B$32="","",Konfiguration!$B$32)</f>
        <v>Buchkremer</v>
      </c>
      <c r="N4" s="59" t="str">
        <f>IF(Konfiguration!$B$33="","",Konfiguration!$B$33)</f>
        <v>Burnik</v>
      </c>
      <c r="O4" s="59" t="str">
        <f>IF(Konfiguration!$B$34="","",Konfiguration!$B$34)</f>
        <v>Förster</v>
      </c>
      <c r="P4" s="59" t="str">
        <f>IF(Konfiguration!$B$35="","",Konfiguration!$B$35)</f>
        <v>Freytag</v>
      </c>
      <c r="Q4" s="59" t="str">
        <f>IF(Konfiguration!$B$36="","",Konfiguration!$B$36)</f>
        <v>Fröhlich</v>
      </c>
      <c r="R4" s="59" t="str">
        <f>IF(Konfiguration!$B$37="","",Konfiguration!$B$37)</f>
        <v>Göddertz</v>
      </c>
      <c r="S4" s="59" t="str">
        <f>IF(Konfiguration!$B$38="","",Konfiguration!$B$38)</f>
        <v>Greß</v>
      </c>
      <c r="T4" s="59" t="str">
        <f>IF(Konfiguration!$B$39="","",Konfiguration!$B$39)</f>
        <v>Gress</v>
      </c>
      <c r="U4" s="59" t="str">
        <f>IF(Konfiguration!$B$40="","",Konfiguration!$B$40)</f>
        <v>Kinnert</v>
      </c>
      <c r="V4" s="59" t="str">
        <f>IF(Konfiguration!$B$41="","",Konfiguration!$B$41)</f>
        <v>Kirsten</v>
      </c>
      <c r="W4" s="59" t="str">
        <f>IF(Konfiguration!$B$42="","",Konfiguration!$B$42)</f>
        <v>Kneissler</v>
      </c>
      <c r="X4" s="59" t="str">
        <f>IF(Konfiguration!$B$43="","",Konfiguration!$B$43)</f>
        <v>Köster</v>
      </c>
      <c r="Y4" s="59" t="str">
        <f>IF(Konfiguration!$B$44="","",Konfiguration!$B$44)</f>
        <v>Kraus</v>
      </c>
      <c r="Z4" s="59" t="str">
        <f>IF(Konfiguration!$B$45="","",Konfiguration!$B$45)</f>
        <v>Kyriakidis</v>
      </c>
      <c r="AA4" s="59" t="str">
        <f>IF(Konfiguration!$B$46="","",Konfiguration!$B$46)</f>
        <v>Lürken</v>
      </c>
      <c r="AB4" s="59" t="str">
        <f>IF(Konfiguration!$B$47="","",Konfiguration!$B$47)</f>
        <v>Mey</v>
      </c>
      <c r="AC4" s="59" t="str">
        <f>IF(Konfiguration!$B$48="","",Konfiguration!$B$48)</f>
        <v>Müßigbrodt</v>
      </c>
      <c r="AD4" s="59" t="str">
        <f>IF(Konfiguration!$B$49="","",Konfiguration!$B$49)</f>
        <v>Richartz</v>
      </c>
      <c r="AE4" s="59" t="str">
        <f>IF(Konfiguration!$B$50="","",Konfiguration!$B$50)</f>
        <v>Schneider</v>
      </c>
      <c r="AF4" s="59" t="str">
        <f>IF(Konfiguration!$B$51="","",Konfiguration!$B$51)</f>
        <v>Streich</v>
      </c>
      <c r="AG4" s="59" t="str">
        <f>IF(Konfiguration!$B$52="","",Konfiguration!$B$52)</f>
        <v>Westrich</v>
      </c>
      <c r="AH4" s="59" t="str">
        <f>IF(Konfiguration!$B$53="","",Konfiguration!$B$53)</f>
        <v>Wielpütz</v>
      </c>
      <c r="AI4" s="59" t="str">
        <f>IF(Konfiguration!$B$54="","",Konfiguration!$B$54)</f>
        <v>Zeitz</v>
      </c>
      <c r="AJ4" s="59">
        <f>IF(Konfiguration!$B$55="","",Konfiguration!$B$55)</f>
        <v/>
      </c>
      <c r="AK4" s="59">
        <f>IF(Konfiguration!$B$56="","",Konfiguration!$B$56)</f>
        <v/>
      </c>
      <c r="AL4" s="59">
        <f>IF(Konfiguration!$B$57="","",Konfiguration!$B$57)</f>
        <v/>
      </c>
      <c r="AM4" s="9" t="s">
        <v>701</v>
      </c>
      <c r="AN4" s="9" t="s">
        <v>702</v>
      </c>
      <c r="AO4" s="9" t="s">
        <v>703</v>
      </c>
    </row>
    <row r="5" spans="1:41" ht="22" customHeight="1" collapsed="1">
      <c r="A5" s="60" t="s">
        <v>704</v>
      </c>
      <c r="B5" s="60"/>
      <c r="C5" s="60"/>
      <c r="D5" s="60"/>
      <c r="E5" s="60"/>
      <c r="F5" s="60"/>
      <c r="G5" s="60"/>
      <c r="H5" s="60"/>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O5" t="s">
        <v>705</v>
      </c>
    </row>
    <row r="6" spans="1:41" ht="18" hidden="1" customHeight="1" outlineLevel="1">
      <c r="A6" s="62"/>
      <c r="B6" s="62" t="s">
        <v>707</v>
      </c>
      <c r="C6" s="63" t="s">
        <v>708</v>
      </c>
      <c r="D6" s="63"/>
      <c r="E6" s="63"/>
      <c r="F6" s="63"/>
      <c r="G6" s="63"/>
      <c r="H6" s="63"/>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O6" t="s">
        <v>706</v>
      </c>
    </row>
    <row r="7" spans="1:41" ht="18" hidden="1" customHeight="1" outlineLevel="2">
      <c r="A7" s="65">
        <f>ROW(Rohdaten!$A$4)</f>
        <v>4</v>
      </c>
      <c r="B7" s="66">
        <f>IF(Rohdaten!$A$4="","",Rohdaten!$A$4)</f>
        <v/>
      </c>
      <c r="C7" s="67" t="s">
        <v>710</v>
      </c>
      <c r="D7" s="68" t="str">
        <f>IF(Rohdaten!$E$4="","",Rohdaten!$E$4)</f>
        <v>Förster / Greß</v>
      </c>
      <c r="E7" s="69" t="str">
        <f t="array" ref="E7">_xlfn.TEXTJOIN(" / ",TRUE,IF($I7:$AL7="●",$I$4:$AL$4,""))</f>
        <v>Förster / Greß</v>
      </c>
      <c r="F7" s="70" t="s">
        <v>711</v>
      </c>
      <c r="G7" s="71" t="s">
        <v>712</v>
      </c>
      <c r="H7" s="72" t="str">
        <f>IF($F7="automatisch",IF(ISNA(MATCH(Stichtag,RD_Kopf,0)),"automatisch",IF(SUMPRODUCT((RD_Kopf&gt;=IF($G7="monatlich",DATE(YEAR(Stichtag),MONTH(Stichtag),1),IF($G7="quartalsweise",DATE(YEAR(Stichtag),INT((MONTH(Stichtag)-1)/3)*3+1,1),Stichtag)))*(RD_Kopf&lt;=Stichtag)*ISNUMBER(Rohdaten!$A$4:$LJ$4))&gt;0,"erledigt","automatisch")),IF($F7&lt;&gt;"ja","nicht berichtet",IF(ISNA(MATCH(Stichtag,RD_Kopf,0)),"keine Spalte",IF(SUMPRODUCT((RD_Kopf&gt;=IF($G7="monatlich",DATE(YEAR(Stichtag),MONTH(Stichtag),1),IF($G7="quartalsweise",DATE(YEAR(Stichtag),INT((MONTH(Stichtag)-1)/3)*3+1,1),Stichtag)))*(RD_Kopf&lt;=Stichtag)*ISNUMBER(Rohdaten!$A$4:$LJ$4))&gt;0,"erledigt","offen"))))</f>
        <v>nicht berichtet</v>
      </c>
      <c r="I7" s="73"/>
      <c r="J7" s="73"/>
      <c r="K7" s="73"/>
      <c r="L7" s="73"/>
      <c r="M7" s="73"/>
      <c r="N7" s="73"/>
      <c r="O7" s="73" t="s">
        <v>714</v>
      </c>
      <c r="P7" s="73"/>
      <c r="Q7" s="73"/>
      <c r="R7" s="73"/>
      <c r="S7" s="73" t="s">
        <v>714</v>
      </c>
      <c r="T7" s="73"/>
      <c r="U7" s="73"/>
      <c r="V7" s="73"/>
      <c r="W7" s="73"/>
      <c r="X7" s="73"/>
      <c r="Y7" s="73"/>
      <c r="Z7" s="73"/>
      <c r="AA7" s="73"/>
      <c r="AB7" s="73"/>
      <c r="AC7" s="73"/>
      <c r="AD7" s="73"/>
      <c r="AE7" s="73"/>
      <c r="AF7" s="73"/>
      <c r="AG7" s="73"/>
      <c r="AH7" s="73"/>
      <c r="AI7" s="73"/>
      <c r="AJ7" s="73"/>
      <c r="AK7" s="73"/>
      <c r="AL7" s="73"/>
      <c r="AM7" t="s">
        <v>713</v>
      </c>
      <c r="AN7" t="s">
        <v>707</v>
      </c>
      <c r="AO7" t="s">
        <v>709</v>
      </c>
    </row>
    <row r="8" spans="1:41" ht="18" hidden="1" customHeight="1" outlineLevel="2">
      <c r="A8" s="65">
        <f>ROW(Rohdaten!$A$5)</f>
        <v>5</v>
      </c>
      <c r="B8" s="66">
        <f>IF(Rohdaten!$A$5="","",Rohdaten!$A$5)</f>
        <v/>
      </c>
      <c r="C8" s="67" t="s">
        <v>715</v>
      </c>
      <c r="D8" s="68" t="str">
        <f>IF(Rohdaten!$E$5="","",Rohdaten!$E$5)</f>
        <v>Streich</v>
      </c>
      <c r="E8" s="69" t="str">
        <f t="array" ref="E8">_xlfn.TEXTJOIN(" / ",TRUE,IF($I8:$AL8="●",$I$4:$AL$4,""))</f>
        <v>Streich</v>
      </c>
      <c r="F8" s="70" t="s">
        <v>711</v>
      </c>
      <c r="G8" s="71" t="s">
        <v>712</v>
      </c>
      <c r="H8" s="72" t="str">
        <f>IF($F8="automatisch",IF(ISNA(MATCH(Stichtag,RD_Kopf,0)),"automatisch",IF(SUMPRODUCT((RD_Kopf&gt;=IF($G8="monatlich",DATE(YEAR(Stichtag),MONTH(Stichtag),1),IF($G8="quartalsweise",DATE(YEAR(Stichtag),INT((MONTH(Stichtag)-1)/3)*3+1,1),Stichtag)))*(RD_Kopf&lt;=Stichtag)*ISNUMBER(Rohdaten!$A$5:$LJ$5))&gt;0,"erledigt","automatisch")),IF($F8&lt;&gt;"ja","nicht berichtet",IF(ISNA(MATCH(Stichtag,RD_Kopf,0)),"keine Spalte",IF(SUMPRODUCT((RD_Kopf&gt;=IF($G8="monatlich",DATE(YEAR(Stichtag),MONTH(Stichtag),1),IF($G8="quartalsweise",DATE(YEAR(Stichtag),INT((MONTH(Stichtag)-1)/3)*3+1,1),Stichtag)))*(RD_Kopf&lt;=Stichtag)*ISNUMBER(Rohdaten!$A$5:$LJ$5))&gt;0,"erledigt","offen"))))</f>
        <v>nicht berichtet</v>
      </c>
      <c r="I8" s="73"/>
      <c r="J8" s="73"/>
      <c r="K8" s="73"/>
      <c r="L8" s="73"/>
      <c r="M8" s="73"/>
      <c r="N8" s="73"/>
      <c r="O8" s="73"/>
      <c r="P8" s="73"/>
      <c r="Q8" s="73"/>
      <c r="R8" s="73"/>
      <c r="S8" s="73"/>
      <c r="T8" s="73"/>
      <c r="U8" s="73"/>
      <c r="V8" s="73"/>
      <c r="W8" s="73"/>
      <c r="X8" s="73"/>
      <c r="Y8" s="73"/>
      <c r="Z8" s="73"/>
      <c r="AA8" s="73"/>
      <c r="AB8" s="73"/>
      <c r="AC8" s="73"/>
      <c r="AD8" s="73"/>
      <c r="AE8" s="73"/>
      <c r="AF8" s="73" t="s">
        <v>714</v>
      </c>
      <c r="AG8" s="73"/>
      <c r="AH8" s="73"/>
      <c r="AI8" s="73"/>
      <c r="AJ8" s="73"/>
      <c r="AK8" s="73"/>
      <c r="AL8" s="73"/>
      <c r="AM8" t="s">
        <v>716</v>
      </c>
      <c r="AN8" t="s">
        <v>707</v>
      </c>
      <c r="AO8" t="s">
        <v>709</v>
      </c>
    </row>
    <row r="9" spans="1:41" ht="18" hidden="1" customHeight="1" outlineLevel="2">
      <c r="A9" s="65">
        <f>ROW(Rohdaten!$A$6)</f>
        <v>6</v>
      </c>
      <c r="B9" s="66">
        <f>IF(Rohdaten!$A$6="","",Rohdaten!$A$6)</f>
        <v/>
      </c>
      <c r="C9" s="67" t="s">
        <v>717</v>
      </c>
      <c r="D9" s="68" t="str">
        <f>IF(Rohdaten!$E$6="","",Rohdaten!$E$6)</f>
        <v>Gress</v>
      </c>
      <c r="E9" s="69" t="str">
        <f t="array" ref="E9">_xlfn.TEXTJOIN(" / ",TRUE,IF($I9:$AL9="●",$I$4:$AL$4,""))</f>
        <v>Gress</v>
      </c>
      <c r="F9" s="70" t="s">
        <v>711</v>
      </c>
      <c r="G9" s="71" t="s">
        <v>712</v>
      </c>
      <c r="H9" s="72" t="str">
        <f>IF($F9="automatisch",IF(ISNA(MATCH(Stichtag,RD_Kopf,0)),"automatisch",IF(SUMPRODUCT((RD_Kopf&gt;=IF($G9="monatlich",DATE(YEAR(Stichtag),MONTH(Stichtag),1),IF($G9="quartalsweise",DATE(YEAR(Stichtag),INT((MONTH(Stichtag)-1)/3)*3+1,1),Stichtag)))*(RD_Kopf&lt;=Stichtag)*ISNUMBER(Rohdaten!$A$6:$LJ$6))&gt;0,"erledigt","automatisch")),IF($F9&lt;&gt;"ja","nicht berichtet",IF(ISNA(MATCH(Stichtag,RD_Kopf,0)),"keine Spalte",IF(SUMPRODUCT((RD_Kopf&gt;=IF($G9="monatlich",DATE(YEAR(Stichtag),MONTH(Stichtag),1),IF($G9="quartalsweise",DATE(YEAR(Stichtag),INT((MONTH(Stichtag)-1)/3)*3+1,1),Stichtag)))*(RD_Kopf&lt;=Stichtag)*ISNUMBER(Rohdaten!$A$6:$LJ$6))&gt;0,"erledigt","offen"))))</f>
        <v>nicht berichtet</v>
      </c>
      <c r="I9" s="73"/>
      <c r="J9" s="73"/>
      <c r="K9" s="73"/>
      <c r="L9" s="73"/>
      <c r="M9" s="73"/>
      <c r="N9" s="73"/>
      <c r="O9" s="73"/>
      <c r="P9" s="73"/>
      <c r="Q9" s="73"/>
      <c r="R9" s="73"/>
      <c r="S9" s="73"/>
      <c r="T9" s="73" t="s">
        <v>714</v>
      </c>
      <c r="U9" s="73"/>
      <c r="V9" s="73"/>
      <c r="W9" s="73"/>
      <c r="X9" s="73"/>
      <c r="Y9" s="73"/>
      <c r="Z9" s="73"/>
      <c r="AA9" s="73"/>
      <c r="AB9" s="73"/>
      <c r="AC9" s="73"/>
      <c r="AD9" s="73"/>
      <c r="AE9" s="73"/>
      <c r="AF9" s="73"/>
      <c r="AG9" s="73"/>
      <c r="AH9" s="73"/>
      <c r="AI9" s="73"/>
      <c r="AJ9" s="73"/>
      <c r="AK9" s="73"/>
      <c r="AL9" s="73"/>
      <c r="AM9" t="s">
        <v>718</v>
      </c>
      <c r="AN9" t="s">
        <v>707</v>
      </c>
      <c r="AO9" t="s">
        <v>709</v>
      </c>
    </row>
    <row r="10" spans="1:41" ht="18" hidden="1" customHeight="1" outlineLevel="2">
      <c r="A10" s="65">
        <f>ROW(Rohdaten!$A$7)</f>
        <v>7</v>
      </c>
      <c r="B10" s="66">
        <f>IF(Rohdaten!$A$7="","",Rohdaten!$A$7)</f>
        <v/>
      </c>
      <c r="C10" s="67" t="s">
        <v>719</v>
      </c>
      <c r="D10" s="68" t="str">
        <f>IF(Rohdaten!$E$7="","",Rohdaten!$E$7)</f>
        <v>Schneider</v>
      </c>
      <c r="E10" s="69" t="str">
        <f t="array" ref="E10">_xlfn.TEXTJOIN(" / ",TRUE,IF($I10:$AL10="●",$I$4:$AL$4,""))</f>
        <v>Schneider</v>
      </c>
      <c r="F10" s="70" t="s">
        <v>711</v>
      </c>
      <c r="G10" s="71" t="s">
        <v>712</v>
      </c>
      <c r="H10" s="72" t="str">
        <f>IF($F10="automatisch",IF(ISNA(MATCH(Stichtag,RD_Kopf,0)),"automatisch",IF(SUMPRODUCT((RD_Kopf&gt;=IF($G10="monatlich",DATE(YEAR(Stichtag),MONTH(Stichtag),1),IF($G10="quartalsweise",DATE(YEAR(Stichtag),INT((MONTH(Stichtag)-1)/3)*3+1,1),Stichtag)))*(RD_Kopf&lt;=Stichtag)*ISNUMBER(Rohdaten!$A$7:$LJ$7))&gt;0,"erledigt","automatisch")),IF($F10&lt;&gt;"ja","nicht berichtet",IF(ISNA(MATCH(Stichtag,RD_Kopf,0)),"keine Spalte",IF(SUMPRODUCT((RD_Kopf&gt;=IF($G10="monatlich",DATE(YEAR(Stichtag),MONTH(Stichtag),1),IF($G10="quartalsweise",DATE(YEAR(Stichtag),INT((MONTH(Stichtag)-1)/3)*3+1,1),Stichtag)))*(RD_Kopf&lt;=Stichtag)*ISNUMBER(Rohdaten!$A$7:$LJ$7))&gt;0,"erledigt","offen"))))</f>
        <v>nicht berichtet</v>
      </c>
      <c r="I10" s="73"/>
      <c r="J10" s="73"/>
      <c r="K10" s="73"/>
      <c r="L10" s="73"/>
      <c r="M10" s="73"/>
      <c r="N10" s="73"/>
      <c r="O10" s="73"/>
      <c r="P10" s="73"/>
      <c r="Q10" s="73"/>
      <c r="R10" s="73"/>
      <c r="S10" s="73"/>
      <c r="T10" s="73"/>
      <c r="U10" s="73"/>
      <c r="V10" s="73"/>
      <c r="W10" s="73"/>
      <c r="X10" s="73"/>
      <c r="Y10" s="73"/>
      <c r="Z10" s="73"/>
      <c r="AA10" s="73"/>
      <c r="AB10" s="73"/>
      <c r="AC10" s="73"/>
      <c r="AD10" s="73"/>
      <c r="AE10" s="73" t="s">
        <v>714</v>
      </c>
      <c r="AF10" s="73"/>
      <c r="AG10" s="73"/>
      <c r="AH10" s="73"/>
      <c r="AI10" s="73"/>
      <c r="AJ10" s="73"/>
      <c r="AK10" s="73"/>
      <c r="AL10" s="73"/>
      <c r="AM10" t="s">
        <v>720</v>
      </c>
      <c r="AN10" t="s">
        <v>707</v>
      </c>
      <c r="AO10" t="s">
        <v>709</v>
      </c>
    </row>
    <row r="11" spans="1:41" ht="18" hidden="1" customHeight="1" outlineLevel="2">
      <c r="A11" s="65">
        <f>ROW(Rohdaten!$A$8)</f>
        <v>8</v>
      </c>
      <c r="B11" s="66">
        <f>IF(Rohdaten!$A$8="","",Rohdaten!$A$8)</f>
        <v/>
      </c>
      <c r="C11" s="67" t="s">
        <v>721</v>
      </c>
      <c r="D11" s="68" t="str">
        <f>IF(Rohdaten!$E$8="","",Rohdaten!$E$8)</f>
        <v>Lürken</v>
      </c>
      <c r="E11" s="69" t="str">
        <f t="array" ref="E11">_xlfn.TEXTJOIN(" / ",TRUE,IF($I11:$AL11="●",$I$4:$AL$4,""))</f>
        <v>Lürken</v>
      </c>
      <c r="F11" s="70" t="s">
        <v>711</v>
      </c>
      <c r="G11" s="71" t="s">
        <v>712</v>
      </c>
      <c r="H11" s="72" t="str">
        <f>IF($F11="automatisch",IF(ISNA(MATCH(Stichtag,RD_Kopf,0)),"automatisch",IF(SUMPRODUCT((RD_Kopf&gt;=IF($G11="monatlich",DATE(YEAR(Stichtag),MONTH(Stichtag),1),IF($G11="quartalsweise",DATE(YEAR(Stichtag),INT((MONTH(Stichtag)-1)/3)*3+1,1),Stichtag)))*(RD_Kopf&lt;=Stichtag)*ISNUMBER(Rohdaten!$A$8:$LJ$8))&gt;0,"erledigt","automatisch")),IF($F11&lt;&gt;"ja","nicht berichtet",IF(ISNA(MATCH(Stichtag,RD_Kopf,0)),"keine Spalte",IF(SUMPRODUCT((RD_Kopf&gt;=IF($G11="monatlich",DATE(YEAR(Stichtag),MONTH(Stichtag),1),IF($G11="quartalsweise",DATE(YEAR(Stichtag),INT((MONTH(Stichtag)-1)/3)*3+1,1),Stichtag)))*(RD_Kopf&lt;=Stichtag)*ISNUMBER(Rohdaten!$A$8:$LJ$8))&gt;0,"erledigt","offen"))))</f>
        <v>nicht berichtet</v>
      </c>
      <c r="I11" s="73"/>
      <c r="J11" s="73"/>
      <c r="K11" s="73"/>
      <c r="L11" s="73"/>
      <c r="M11" s="73"/>
      <c r="N11" s="73"/>
      <c r="O11" s="73"/>
      <c r="P11" s="73"/>
      <c r="Q11" s="73"/>
      <c r="R11" s="73"/>
      <c r="S11" s="73"/>
      <c r="T11" s="73"/>
      <c r="U11" s="73"/>
      <c r="V11" s="73"/>
      <c r="W11" s="73"/>
      <c r="X11" s="73"/>
      <c r="Y11" s="73"/>
      <c r="Z11" s="73"/>
      <c r="AA11" s="73" t="s">
        <v>714</v>
      </c>
      <c r="AB11" s="73"/>
      <c r="AC11" s="73"/>
      <c r="AD11" s="73"/>
      <c r="AE11" s="73"/>
      <c r="AF11" s="73"/>
      <c r="AG11" s="73"/>
      <c r="AH11" s="73"/>
      <c r="AI11" s="73"/>
      <c r="AJ11" s="73"/>
      <c r="AK11" s="73"/>
      <c r="AL11" s="73"/>
      <c r="AM11" t="s">
        <v>722</v>
      </c>
      <c r="AN11" t="s">
        <v>707</v>
      </c>
      <c r="AO11" t="s">
        <v>709</v>
      </c>
    </row>
    <row r="12" spans="1:41" ht="18" hidden="1" customHeight="1" outlineLevel="2">
      <c r="A12" s="65">
        <f>ROW(Rohdaten!$A$9)</f>
        <v>9</v>
      </c>
      <c r="B12" s="66">
        <f>IF(Rohdaten!$A$9="","",Rohdaten!$A$9)</f>
        <v/>
      </c>
      <c r="C12" s="67" t="s">
        <v>723</v>
      </c>
      <c r="D12" s="68" t="str">
        <f>IF(Rohdaten!$E$9="","",Rohdaten!$E$9)</f>
        <v>Kraus</v>
      </c>
      <c r="E12" s="69" t="str">
        <f t="array" ref="E12">_xlfn.TEXTJOIN(" / ",TRUE,IF($I12:$AL12="●",$I$4:$AL$4,""))</f>
        <v>Kraus</v>
      </c>
      <c r="F12" s="70" t="s">
        <v>711</v>
      </c>
      <c r="G12" s="71" t="s">
        <v>712</v>
      </c>
      <c r="H12" s="72" t="str">
        <f>IF($F12="automatisch",IF(ISNA(MATCH(Stichtag,RD_Kopf,0)),"automatisch",IF(SUMPRODUCT((RD_Kopf&gt;=IF($G12="monatlich",DATE(YEAR(Stichtag),MONTH(Stichtag),1),IF($G12="quartalsweise",DATE(YEAR(Stichtag),INT((MONTH(Stichtag)-1)/3)*3+1,1),Stichtag)))*(RD_Kopf&lt;=Stichtag)*ISNUMBER(Rohdaten!$A$9:$LJ$9))&gt;0,"erledigt","automatisch")),IF($F12&lt;&gt;"ja","nicht berichtet",IF(ISNA(MATCH(Stichtag,RD_Kopf,0)),"keine Spalte",IF(SUMPRODUCT((RD_Kopf&gt;=IF($G12="monatlich",DATE(YEAR(Stichtag),MONTH(Stichtag),1),IF($G12="quartalsweise",DATE(YEAR(Stichtag),INT((MONTH(Stichtag)-1)/3)*3+1,1),Stichtag)))*(RD_Kopf&lt;=Stichtag)*ISNUMBER(Rohdaten!$A$9:$LJ$9))&gt;0,"erledigt","offen"))))</f>
        <v>nicht berichtet</v>
      </c>
      <c r="I12" s="73"/>
      <c r="J12" s="73"/>
      <c r="K12" s="73"/>
      <c r="L12" s="73"/>
      <c r="M12" s="73"/>
      <c r="N12" s="73"/>
      <c r="O12" s="73"/>
      <c r="P12" s="73"/>
      <c r="Q12" s="73"/>
      <c r="R12" s="73"/>
      <c r="S12" s="73"/>
      <c r="T12" s="73"/>
      <c r="U12" s="73"/>
      <c r="V12" s="73"/>
      <c r="W12" s="73"/>
      <c r="X12" s="73"/>
      <c r="Y12" s="73" t="s">
        <v>714</v>
      </c>
      <c r="Z12" s="73"/>
      <c r="AA12" s="73"/>
      <c r="AB12" s="73"/>
      <c r="AC12" s="73"/>
      <c r="AD12" s="73"/>
      <c r="AE12" s="73"/>
      <c r="AF12" s="73"/>
      <c r="AG12" s="73"/>
      <c r="AH12" s="73"/>
      <c r="AI12" s="73"/>
      <c r="AJ12" s="73"/>
      <c r="AK12" s="73"/>
      <c r="AL12" s="73"/>
      <c r="AM12" t="s">
        <v>724</v>
      </c>
      <c r="AN12" t="s">
        <v>707</v>
      </c>
      <c r="AO12" t="s">
        <v>709</v>
      </c>
    </row>
    <row r="13" spans="1:41" ht="18" hidden="1" customHeight="1" outlineLevel="2">
      <c r="A13" s="65">
        <f>ROW(Rohdaten!$A$10)</f>
        <v>10</v>
      </c>
      <c r="B13" s="66">
        <f>IF(Rohdaten!$A$10="","",Rohdaten!$A$10)</f>
        <v/>
      </c>
      <c r="C13" s="67" t="s">
        <v>725</v>
      </c>
      <c r="D13" s="68" t="str">
        <f>IF(Rohdaten!$E$10="","",Rohdaten!$E$10)</f>
        <v>Westrich</v>
      </c>
      <c r="E13" s="69" t="str">
        <f t="array" ref="E13">_xlfn.TEXTJOIN(" / ",TRUE,IF($I13:$AL13="●",$I$4:$AL$4,""))</f>
        <v>Westrich</v>
      </c>
      <c r="F13" s="70" t="s">
        <v>711</v>
      </c>
      <c r="G13" s="71" t="s">
        <v>712</v>
      </c>
      <c r="H13" s="72" t="str">
        <f>IF($F13="automatisch",IF(ISNA(MATCH(Stichtag,RD_Kopf,0)),"automatisch",IF(SUMPRODUCT((RD_Kopf&gt;=IF($G13="monatlich",DATE(YEAR(Stichtag),MONTH(Stichtag),1),IF($G13="quartalsweise",DATE(YEAR(Stichtag),INT((MONTH(Stichtag)-1)/3)*3+1,1),Stichtag)))*(RD_Kopf&lt;=Stichtag)*ISNUMBER(Rohdaten!$A$10:$LJ$10))&gt;0,"erledigt","automatisch")),IF($F13&lt;&gt;"ja","nicht berichtet",IF(ISNA(MATCH(Stichtag,RD_Kopf,0)),"keine Spalte",IF(SUMPRODUCT((RD_Kopf&gt;=IF($G13="monatlich",DATE(YEAR(Stichtag),MONTH(Stichtag),1),IF($G13="quartalsweise",DATE(YEAR(Stichtag),INT((MONTH(Stichtag)-1)/3)*3+1,1),Stichtag)))*(RD_Kopf&lt;=Stichtag)*ISNUMBER(Rohdaten!$A$10:$LJ$10))&gt;0,"erledigt","offen"))))</f>
        <v>nicht berichtet</v>
      </c>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t="s">
        <v>714</v>
      </c>
      <c r="AH13" s="73"/>
      <c r="AI13" s="73"/>
      <c r="AJ13" s="73"/>
      <c r="AK13" s="73"/>
      <c r="AL13" s="73"/>
      <c r="AM13" t="s">
        <v>726</v>
      </c>
      <c r="AN13" t="s">
        <v>707</v>
      </c>
      <c r="AO13" t="s">
        <v>709</v>
      </c>
    </row>
    <row r="14" spans="1:41" ht="18" hidden="1" customHeight="1" outlineLevel="1">
      <c r="A14" s="62"/>
      <c r="B14" s="62" t="s">
        <v>727</v>
      </c>
      <c r="C14" s="63" t="s">
        <v>728</v>
      </c>
      <c r="D14" s="63"/>
      <c r="E14" s="63"/>
      <c r="F14" s="63"/>
      <c r="G14" s="63"/>
      <c r="H14" s="63"/>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O14" t="s">
        <v>706</v>
      </c>
    </row>
    <row r="15" spans="1:41" ht="18" hidden="1" customHeight="1" outlineLevel="2">
      <c r="A15" s="65">
        <f>ROW(Rohdaten!$A$15)</f>
        <v>15</v>
      </c>
      <c r="B15" s="66">
        <f>IF(Rohdaten!$A$15="","",Rohdaten!$A$15)</f>
        <v/>
      </c>
      <c r="C15" s="67" t="s">
        <v>710</v>
      </c>
      <c r="D15" s="68" t="str">
        <f>IF(Rohdaten!$E$15="","",Rohdaten!$E$15)</f>
        <v>Förster / Greß</v>
      </c>
      <c r="E15" s="69" t="str">
        <f t="array" ref="E15">_xlfn.TEXTJOIN(" / ",TRUE,IF($I15:$AL15="●",$I$4:$AL$4,""))</f>
        <v>Förster / Greß</v>
      </c>
      <c r="F15" s="70" t="s">
        <v>711</v>
      </c>
      <c r="G15" s="71" t="s">
        <v>712</v>
      </c>
      <c r="H15" s="72" t="str">
        <f>IF($F15="automatisch",IF(ISNA(MATCH(Stichtag,RD_Kopf,0)),"automatisch",IF(SUMPRODUCT((RD_Kopf&gt;=IF($G15="monatlich",DATE(YEAR(Stichtag),MONTH(Stichtag),1),IF($G15="quartalsweise",DATE(YEAR(Stichtag),INT((MONTH(Stichtag)-1)/3)*3+1,1),Stichtag)))*(RD_Kopf&lt;=Stichtag)*ISNUMBER(Rohdaten!$A$15:$LJ$15))&gt;0,"erledigt","automatisch")),IF($F15&lt;&gt;"ja","nicht berichtet",IF(ISNA(MATCH(Stichtag,RD_Kopf,0)),"keine Spalte",IF(SUMPRODUCT((RD_Kopf&gt;=IF($G15="monatlich",DATE(YEAR(Stichtag),MONTH(Stichtag),1),IF($G15="quartalsweise",DATE(YEAR(Stichtag),INT((MONTH(Stichtag)-1)/3)*3+1,1),Stichtag)))*(RD_Kopf&lt;=Stichtag)*ISNUMBER(Rohdaten!$A$15:$LJ$15))&gt;0,"erledigt","offen"))))</f>
        <v>nicht berichtet</v>
      </c>
      <c r="I15" s="73"/>
      <c r="J15" s="73"/>
      <c r="K15" s="73"/>
      <c r="L15" s="73"/>
      <c r="M15" s="73"/>
      <c r="N15" s="73"/>
      <c r="O15" s="73" t="s">
        <v>714</v>
      </c>
      <c r="P15" s="73"/>
      <c r="Q15" s="73"/>
      <c r="R15" s="73"/>
      <c r="S15" s="73" t="s">
        <v>714</v>
      </c>
      <c r="T15" s="73"/>
      <c r="U15" s="73"/>
      <c r="V15" s="73"/>
      <c r="W15" s="73"/>
      <c r="X15" s="73"/>
      <c r="Y15" s="73"/>
      <c r="Z15" s="73"/>
      <c r="AA15" s="73"/>
      <c r="AB15" s="73"/>
      <c r="AC15" s="73"/>
      <c r="AD15" s="73"/>
      <c r="AE15" s="73"/>
      <c r="AF15" s="73"/>
      <c r="AG15" s="73"/>
      <c r="AH15" s="73"/>
      <c r="AI15" s="73"/>
      <c r="AJ15" s="73"/>
      <c r="AK15" s="73"/>
      <c r="AL15" s="73"/>
      <c r="AM15" t="s">
        <v>729</v>
      </c>
      <c r="AN15" t="s">
        <v>727</v>
      </c>
      <c r="AO15" t="s">
        <v>709</v>
      </c>
    </row>
    <row r="16" spans="1:41" ht="18" hidden="1" customHeight="1" outlineLevel="2">
      <c r="A16" s="65">
        <f>ROW(Rohdaten!$A$16)</f>
        <v>16</v>
      </c>
      <c r="B16" s="66">
        <f>IF(Rohdaten!$A$16="","",Rohdaten!$A$16)</f>
        <v/>
      </c>
      <c r="C16" s="67" t="s">
        <v>715</v>
      </c>
      <c r="D16" s="68" t="str">
        <f>IF(Rohdaten!$E$16="","",Rohdaten!$E$16)</f>
        <v>Streich</v>
      </c>
      <c r="E16" s="69" t="str">
        <f t="array" ref="E16">_xlfn.TEXTJOIN(" / ",TRUE,IF($I16:$AL16="●",$I$4:$AL$4,""))</f>
        <v>Streich</v>
      </c>
      <c r="F16" s="70" t="s">
        <v>711</v>
      </c>
      <c r="G16" s="71" t="s">
        <v>712</v>
      </c>
      <c r="H16" s="72" t="str">
        <f>IF($F16="automatisch",IF(ISNA(MATCH(Stichtag,RD_Kopf,0)),"automatisch",IF(SUMPRODUCT((RD_Kopf&gt;=IF($G16="monatlich",DATE(YEAR(Stichtag),MONTH(Stichtag),1),IF($G16="quartalsweise",DATE(YEAR(Stichtag),INT((MONTH(Stichtag)-1)/3)*3+1,1),Stichtag)))*(RD_Kopf&lt;=Stichtag)*ISNUMBER(Rohdaten!$A$16:$LJ$16))&gt;0,"erledigt","automatisch")),IF($F16&lt;&gt;"ja","nicht berichtet",IF(ISNA(MATCH(Stichtag,RD_Kopf,0)),"keine Spalte",IF(SUMPRODUCT((RD_Kopf&gt;=IF($G16="monatlich",DATE(YEAR(Stichtag),MONTH(Stichtag),1),IF($G16="quartalsweise",DATE(YEAR(Stichtag),INT((MONTH(Stichtag)-1)/3)*3+1,1),Stichtag)))*(RD_Kopf&lt;=Stichtag)*ISNUMBER(Rohdaten!$A$16:$LJ$16))&gt;0,"erledigt","offen"))))</f>
        <v>nicht berichtet</v>
      </c>
      <c r="I16" s="73"/>
      <c r="J16" s="73"/>
      <c r="K16" s="73"/>
      <c r="L16" s="73"/>
      <c r="M16" s="73"/>
      <c r="N16" s="73"/>
      <c r="O16" s="73"/>
      <c r="P16" s="73"/>
      <c r="Q16" s="73"/>
      <c r="R16" s="73"/>
      <c r="S16" s="73"/>
      <c r="T16" s="73"/>
      <c r="U16" s="73"/>
      <c r="V16" s="73"/>
      <c r="W16" s="73"/>
      <c r="X16" s="73"/>
      <c r="Y16" s="73"/>
      <c r="Z16" s="73"/>
      <c r="AA16" s="73"/>
      <c r="AB16" s="73"/>
      <c r="AC16" s="73"/>
      <c r="AD16" s="73"/>
      <c r="AE16" s="73"/>
      <c r="AF16" s="73" t="s">
        <v>714</v>
      </c>
      <c r="AG16" s="73"/>
      <c r="AH16" s="73"/>
      <c r="AI16" s="73"/>
      <c r="AJ16" s="73"/>
      <c r="AK16" s="73"/>
      <c r="AL16" s="73"/>
      <c r="AM16" t="s">
        <v>730</v>
      </c>
      <c r="AN16" t="s">
        <v>727</v>
      </c>
      <c r="AO16" t="s">
        <v>709</v>
      </c>
    </row>
    <row r="17" spans="1:41" ht="18" hidden="1" customHeight="1" outlineLevel="2">
      <c r="A17" s="65">
        <f>ROW(Rohdaten!$A$17)</f>
        <v>17</v>
      </c>
      <c r="B17" s="66">
        <f>IF(Rohdaten!$A$17="","",Rohdaten!$A$17)</f>
        <v/>
      </c>
      <c r="C17" s="67" t="s">
        <v>717</v>
      </c>
      <c r="D17" s="68" t="str">
        <f>IF(Rohdaten!$E$17="","",Rohdaten!$E$17)</f>
        <v>Gress</v>
      </c>
      <c r="E17" s="69" t="str">
        <f t="array" ref="E17">_xlfn.TEXTJOIN(" / ",TRUE,IF($I17:$AL17="●",$I$4:$AL$4,""))</f>
        <v>Gress</v>
      </c>
      <c r="F17" s="70" t="s">
        <v>711</v>
      </c>
      <c r="G17" s="71" t="s">
        <v>712</v>
      </c>
      <c r="H17" s="72" t="str">
        <f>IF($F17="automatisch",IF(ISNA(MATCH(Stichtag,RD_Kopf,0)),"automatisch",IF(SUMPRODUCT((RD_Kopf&gt;=IF($G17="monatlich",DATE(YEAR(Stichtag),MONTH(Stichtag),1),IF($G17="quartalsweise",DATE(YEAR(Stichtag),INT((MONTH(Stichtag)-1)/3)*3+1,1),Stichtag)))*(RD_Kopf&lt;=Stichtag)*ISNUMBER(Rohdaten!$A$17:$LJ$17))&gt;0,"erledigt","automatisch")),IF($F17&lt;&gt;"ja","nicht berichtet",IF(ISNA(MATCH(Stichtag,RD_Kopf,0)),"keine Spalte",IF(SUMPRODUCT((RD_Kopf&gt;=IF($G17="monatlich",DATE(YEAR(Stichtag),MONTH(Stichtag),1),IF($G17="quartalsweise",DATE(YEAR(Stichtag),INT((MONTH(Stichtag)-1)/3)*3+1,1),Stichtag)))*(RD_Kopf&lt;=Stichtag)*ISNUMBER(Rohdaten!$A$17:$LJ$17))&gt;0,"erledigt","offen"))))</f>
        <v>nicht berichtet</v>
      </c>
      <c r="I17" s="73"/>
      <c r="J17" s="73"/>
      <c r="K17" s="73"/>
      <c r="L17" s="73"/>
      <c r="M17" s="73"/>
      <c r="N17" s="73"/>
      <c r="O17" s="73"/>
      <c r="P17" s="73"/>
      <c r="Q17" s="73"/>
      <c r="R17" s="73"/>
      <c r="S17" s="73"/>
      <c r="T17" s="73" t="s">
        <v>714</v>
      </c>
      <c r="U17" s="73"/>
      <c r="V17" s="73"/>
      <c r="W17" s="73"/>
      <c r="X17" s="73"/>
      <c r="Y17" s="73"/>
      <c r="Z17" s="73"/>
      <c r="AA17" s="73"/>
      <c r="AB17" s="73"/>
      <c r="AC17" s="73"/>
      <c r="AD17" s="73"/>
      <c r="AE17" s="73"/>
      <c r="AF17" s="73"/>
      <c r="AG17" s="73"/>
      <c r="AH17" s="73"/>
      <c r="AI17" s="73"/>
      <c r="AJ17" s="73"/>
      <c r="AK17" s="73"/>
      <c r="AL17" s="73"/>
      <c r="AM17" t="s">
        <v>731</v>
      </c>
      <c r="AN17" t="s">
        <v>727</v>
      </c>
      <c r="AO17" t="s">
        <v>709</v>
      </c>
    </row>
    <row r="18" spans="1:41" ht="18" hidden="1" customHeight="1" outlineLevel="2">
      <c r="A18" s="65">
        <f>ROW(Rohdaten!$A$18)</f>
        <v>18</v>
      </c>
      <c r="B18" s="66">
        <f>IF(Rohdaten!$A$18="","",Rohdaten!$A$18)</f>
        <v/>
      </c>
      <c r="C18" s="67" t="s">
        <v>719</v>
      </c>
      <c r="D18" s="68" t="str">
        <f>IF(Rohdaten!$E$18="","",Rohdaten!$E$18)</f>
        <v>Schneider</v>
      </c>
      <c r="E18" s="69" t="str">
        <f t="array" ref="E18">_xlfn.TEXTJOIN(" / ",TRUE,IF($I18:$AL18="●",$I$4:$AL$4,""))</f>
        <v>Schneider</v>
      </c>
      <c r="F18" s="70" t="s">
        <v>711</v>
      </c>
      <c r="G18" s="71" t="s">
        <v>712</v>
      </c>
      <c r="H18" s="72" t="str">
        <f>IF($F18="automatisch",IF(ISNA(MATCH(Stichtag,RD_Kopf,0)),"automatisch",IF(SUMPRODUCT((RD_Kopf&gt;=IF($G18="monatlich",DATE(YEAR(Stichtag),MONTH(Stichtag),1),IF($G18="quartalsweise",DATE(YEAR(Stichtag),INT((MONTH(Stichtag)-1)/3)*3+1,1),Stichtag)))*(RD_Kopf&lt;=Stichtag)*ISNUMBER(Rohdaten!$A$18:$LJ$18))&gt;0,"erledigt","automatisch")),IF($F18&lt;&gt;"ja","nicht berichtet",IF(ISNA(MATCH(Stichtag,RD_Kopf,0)),"keine Spalte",IF(SUMPRODUCT((RD_Kopf&gt;=IF($G18="monatlich",DATE(YEAR(Stichtag),MONTH(Stichtag),1),IF($G18="quartalsweise",DATE(YEAR(Stichtag),INT((MONTH(Stichtag)-1)/3)*3+1,1),Stichtag)))*(RD_Kopf&lt;=Stichtag)*ISNUMBER(Rohdaten!$A$18:$LJ$18))&gt;0,"erledigt","offen"))))</f>
        <v>nicht berichtet</v>
      </c>
      <c r="I18" s="73"/>
      <c r="J18" s="73"/>
      <c r="K18" s="73"/>
      <c r="L18" s="73"/>
      <c r="M18" s="73"/>
      <c r="N18" s="73"/>
      <c r="O18" s="73"/>
      <c r="P18" s="73"/>
      <c r="Q18" s="73"/>
      <c r="R18" s="73"/>
      <c r="S18" s="73"/>
      <c r="T18" s="73"/>
      <c r="U18" s="73"/>
      <c r="V18" s="73"/>
      <c r="W18" s="73"/>
      <c r="X18" s="73"/>
      <c r="Y18" s="73"/>
      <c r="Z18" s="73"/>
      <c r="AA18" s="73"/>
      <c r="AB18" s="73"/>
      <c r="AC18" s="73"/>
      <c r="AD18" s="73"/>
      <c r="AE18" s="73" t="s">
        <v>714</v>
      </c>
      <c r="AF18" s="73"/>
      <c r="AG18" s="73"/>
      <c r="AH18" s="73"/>
      <c r="AI18" s="73"/>
      <c r="AJ18" s="73"/>
      <c r="AK18" s="73"/>
      <c r="AL18" s="73"/>
      <c r="AM18" t="s">
        <v>732</v>
      </c>
      <c r="AN18" t="s">
        <v>727</v>
      </c>
      <c r="AO18" t="s">
        <v>709</v>
      </c>
    </row>
    <row r="19" spans="1:41" ht="18" hidden="1" customHeight="1" outlineLevel="2">
      <c r="A19" s="65">
        <f>ROW(Rohdaten!$A$19)</f>
        <v>19</v>
      </c>
      <c r="B19" s="66">
        <f>IF(Rohdaten!$A$19="","",Rohdaten!$A$19)</f>
        <v/>
      </c>
      <c r="C19" s="67" t="s">
        <v>721</v>
      </c>
      <c r="D19" s="68" t="str">
        <f>IF(Rohdaten!$E$19="","",Rohdaten!$E$19)</f>
        <v>Lürken</v>
      </c>
      <c r="E19" s="69" t="str">
        <f t="array" ref="E19">_xlfn.TEXTJOIN(" / ",TRUE,IF($I19:$AL19="●",$I$4:$AL$4,""))</f>
        <v>Lürken</v>
      </c>
      <c r="F19" s="70" t="s">
        <v>711</v>
      </c>
      <c r="G19" s="71" t="s">
        <v>712</v>
      </c>
      <c r="H19" s="72" t="str">
        <f>IF($F19="automatisch",IF(ISNA(MATCH(Stichtag,RD_Kopf,0)),"automatisch",IF(SUMPRODUCT((RD_Kopf&gt;=IF($G19="monatlich",DATE(YEAR(Stichtag),MONTH(Stichtag),1),IF($G19="quartalsweise",DATE(YEAR(Stichtag),INT((MONTH(Stichtag)-1)/3)*3+1,1),Stichtag)))*(RD_Kopf&lt;=Stichtag)*ISNUMBER(Rohdaten!$A$19:$LJ$19))&gt;0,"erledigt","automatisch")),IF($F19&lt;&gt;"ja","nicht berichtet",IF(ISNA(MATCH(Stichtag,RD_Kopf,0)),"keine Spalte",IF(SUMPRODUCT((RD_Kopf&gt;=IF($G19="monatlich",DATE(YEAR(Stichtag),MONTH(Stichtag),1),IF($G19="quartalsweise",DATE(YEAR(Stichtag),INT((MONTH(Stichtag)-1)/3)*3+1,1),Stichtag)))*(RD_Kopf&lt;=Stichtag)*ISNUMBER(Rohdaten!$A$19:$LJ$19))&gt;0,"erledigt","offen"))))</f>
        <v>nicht berichtet</v>
      </c>
      <c r="I19" s="73"/>
      <c r="J19" s="73"/>
      <c r="K19" s="73"/>
      <c r="L19" s="73"/>
      <c r="M19" s="73"/>
      <c r="N19" s="73"/>
      <c r="O19" s="73"/>
      <c r="P19" s="73"/>
      <c r="Q19" s="73"/>
      <c r="R19" s="73"/>
      <c r="S19" s="73"/>
      <c r="T19" s="73"/>
      <c r="U19" s="73"/>
      <c r="V19" s="73"/>
      <c r="W19" s="73"/>
      <c r="X19" s="73"/>
      <c r="Y19" s="73"/>
      <c r="Z19" s="73"/>
      <c r="AA19" s="73" t="s">
        <v>714</v>
      </c>
      <c r="AB19" s="73"/>
      <c r="AC19" s="73"/>
      <c r="AD19" s="73"/>
      <c r="AE19" s="73"/>
      <c r="AF19" s="73"/>
      <c r="AG19" s="73"/>
      <c r="AH19" s="73"/>
      <c r="AI19" s="73"/>
      <c r="AJ19" s="73"/>
      <c r="AK19" s="73"/>
      <c r="AL19" s="73"/>
      <c r="AM19" t="s">
        <v>733</v>
      </c>
      <c r="AN19" t="s">
        <v>727</v>
      </c>
      <c r="AO19" t="s">
        <v>709</v>
      </c>
    </row>
    <row r="20" spans="1:41" ht="18" hidden="1" customHeight="1" outlineLevel="2">
      <c r="A20" s="65">
        <f>ROW(Rohdaten!$A$20)</f>
        <v>20</v>
      </c>
      <c r="B20" s="66">
        <f>IF(Rohdaten!$A$20="","",Rohdaten!$A$20)</f>
        <v/>
      </c>
      <c r="C20" s="67" t="s">
        <v>723</v>
      </c>
      <c r="D20" s="68" t="str">
        <f>IF(Rohdaten!$E$20="","",Rohdaten!$E$20)</f>
        <v>Kraus</v>
      </c>
      <c r="E20" s="69" t="str">
        <f t="array" ref="E20">_xlfn.TEXTJOIN(" / ",TRUE,IF($I20:$AL20="●",$I$4:$AL$4,""))</f>
        <v>Kraus</v>
      </c>
      <c r="F20" s="70" t="s">
        <v>711</v>
      </c>
      <c r="G20" s="71" t="s">
        <v>712</v>
      </c>
      <c r="H20" s="72" t="str">
        <f>IF($F20="automatisch",IF(ISNA(MATCH(Stichtag,RD_Kopf,0)),"automatisch",IF(SUMPRODUCT((RD_Kopf&gt;=IF($G20="monatlich",DATE(YEAR(Stichtag),MONTH(Stichtag),1),IF($G20="quartalsweise",DATE(YEAR(Stichtag),INT((MONTH(Stichtag)-1)/3)*3+1,1),Stichtag)))*(RD_Kopf&lt;=Stichtag)*ISNUMBER(Rohdaten!$A$20:$LJ$20))&gt;0,"erledigt","automatisch")),IF($F20&lt;&gt;"ja","nicht berichtet",IF(ISNA(MATCH(Stichtag,RD_Kopf,0)),"keine Spalte",IF(SUMPRODUCT((RD_Kopf&gt;=IF($G20="monatlich",DATE(YEAR(Stichtag),MONTH(Stichtag),1),IF($G20="quartalsweise",DATE(YEAR(Stichtag),INT((MONTH(Stichtag)-1)/3)*3+1,1),Stichtag)))*(RD_Kopf&lt;=Stichtag)*ISNUMBER(Rohdaten!$A$20:$LJ$20))&gt;0,"erledigt","offen"))))</f>
        <v>nicht berichtet</v>
      </c>
      <c r="I20" s="73"/>
      <c r="J20" s="73"/>
      <c r="K20" s="73"/>
      <c r="L20" s="73"/>
      <c r="M20" s="73"/>
      <c r="N20" s="73"/>
      <c r="O20" s="73"/>
      <c r="P20" s="73"/>
      <c r="Q20" s="73"/>
      <c r="R20" s="73"/>
      <c r="S20" s="73"/>
      <c r="T20" s="73"/>
      <c r="U20" s="73"/>
      <c r="V20" s="73"/>
      <c r="W20" s="73"/>
      <c r="X20" s="73"/>
      <c r="Y20" s="73" t="s">
        <v>714</v>
      </c>
      <c r="Z20" s="73"/>
      <c r="AA20" s="73"/>
      <c r="AB20" s="73"/>
      <c r="AC20" s="73"/>
      <c r="AD20" s="73"/>
      <c r="AE20" s="73"/>
      <c r="AF20" s="73"/>
      <c r="AG20" s="73"/>
      <c r="AH20" s="73"/>
      <c r="AI20" s="73"/>
      <c r="AJ20" s="73"/>
      <c r="AK20" s="73"/>
      <c r="AL20" s="73"/>
      <c r="AM20" t="s">
        <v>734</v>
      </c>
      <c r="AN20" t="s">
        <v>727</v>
      </c>
      <c r="AO20" t="s">
        <v>709</v>
      </c>
    </row>
    <row r="21" spans="1:41" ht="18" hidden="1" customHeight="1" outlineLevel="2">
      <c r="A21" s="65">
        <f>ROW(Rohdaten!$A$21)</f>
        <v>21</v>
      </c>
      <c r="B21" s="66">
        <f>IF(Rohdaten!$A$21="","",Rohdaten!$A$21)</f>
        <v/>
      </c>
      <c r="C21" s="67" t="s">
        <v>725</v>
      </c>
      <c r="D21" s="68" t="str">
        <f>IF(Rohdaten!$E$21="","",Rohdaten!$E$21)</f>
        <v>Westrich</v>
      </c>
      <c r="E21" s="69" t="str">
        <f t="array" ref="E21">_xlfn.TEXTJOIN(" / ",TRUE,IF($I21:$AL21="●",$I$4:$AL$4,""))</f>
        <v>Westrich</v>
      </c>
      <c r="F21" s="70" t="s">
        <v>711</v>
      </c>
      <c r="G21" s="71" t="s">
        <v>712</v>
      </c>
      <c r="H21" s="72" t="str">
        <f>IF($F21="automatisch",IF(ISNA(MATCH(Stichtag,RD_Kopf,0)),"automatisch",IF(SUMPRODUCT((RD_Kopf&gt;=IF($G21="monatlich",DATE(YEAR(Stichtag),MONTH(Stichtag),1),IF($G21="quartalsweise",DATE(YEAR(Stichtag),INT((MONTH(Stichtag)-1)/3)*3+1,1),Stichtag)))*(RD_Kopf&lt;=Stichtag)*ISNUMBER(Rohdaten!$A$21:$LJ$21))&gt;0,"erledigt","automatisch")),IF($F21&lt;&gt;"ja","nicht berichtet",IF(ISNA(MATCH(Stichtag,RD_Kopf,0)),"keine Spalte",IF(SUMPRODUCT((RD_Kopf&gt;=IF($G21="monatlich",DATE(YEAR(Stichtag),MONTH(Stichtag),1),IF($G21="quartalsweise",DATE(YEAR(Stichtag),INT((MONTH(Stichtag)-1)/3)*3+1,1),Stichtag)))*(RD_Kopf&lt;=Stichtag)*ISNUMBER(Rohdaten!$A$21:$LJ$21))&gt;0,"erledigt","offen"))))</f>
        <v>nicht berichtet</v>
      </c>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t="s">
        <v>714</v>
      </c>
      <c r="AH21" s="73"/>
      <c r="AI21" s="73"/>
      <c r="AJ21" s="73"/>
      <c r="AK21" s="73"/>
      <c r="AL21" s="73"/>
      <c r="AM21" t="s">
        <v>735</v>
      </c>
      <c r="AN21" t="s">
        <v>727</v>
      </c>
      <c r="AO21" t="s">
        <v>709</v>
      </c>
    </row>
    <row r="22" spans="1:41" ht="22" customHeight="1" collapsed="1">
      <c r="A22" s="60" t="s">
        <v>736</v>
      </c>
      <c r="B22" s="60"/>
      <c r="C22" s="60"/>
      <c r="D22" s="60"/>
      <c r="E22" s="60"/>
      <c r="F22" s="60"/>
      <c r="G22" s="60"/>
      <c r="H22" s="60"/>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O22" t="s">
        <v>705</v>
      </c>
    </row>
    <row r="23" spans="1:41" ht="18" hidden="1" customHeight="1" outlineLevel="1">
      <c r="A23" s="62"/>
      <c r="B23" s="62" t="s">
        <v>737</v>
      </c>
      <c r="C23" s="63" t="s">
        <v>708</v>
      </c>
      <c r="D23" s="63"/>
      <c r="E23" s="63"/>
      <c r="F23" s="63"/>
      <c r="G23" s="63"/>
      <c r="H23" s="63"/>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O23" t="s">
        <v>706</v>
      </c>
    </row>
    <row r="24" spans="1:41" ht="18" hidden="1" customHeight="1" outlineLevel="2">
      <c r="A24" s="65">
        <f>ROW(Rohdaten!$A$24)</f>
        <v>24</v>
      </c>
      <c r="B24" s="66">
        <f>IF(Rohdaten!$A$24="","",Rohdaten!$A$24)</f>
        <v/>
      </c>
      <c r="C24" s="67" t="s">
        <v>710</v>
      </c>
      <c r="D24" s="68" t="str">
        <f>IF(Rohdaten!$E$24="","",Rohdaten!$E$24)</f>
        <v>Förster / Greß</v>
      </c>
      <c r="E24" s="69" t="str">
        <f t="array" ref="E24">_xlfn.TEXTJOIN(" / ",TRUE,IF($I24:$AL24="●",$I$4:$AL$4,""))</f>
        <v>Förster / Greß</v>
      </c>
      <c r="F24" s="70" t="s">
        <v>711</v>
      </c>
      <c r="G24" s="71" t="s">
        <v>712</v>
      </c>
      <c r="H24" s="72" t="str">
        <f>IF($F24="automatisch",IF(ISNA(MATCH(Stichtag,RD_Kopf,0)),"automatisch",IF(SUMPRODUCT((RD_Kopf&gt;=IF($G24="monatlich",DATE(YEAR(Stichtag),MONTH(Stichtag),1),IF($G24="quartalsweise",DATE(YEAR(Stichtag),INT((MONTH(Stichtag)-1)/3)*3+1,1),Stichtag)))*(RD_Kopf&lt;=Stichtag)*ISNUMBER(Rohdaten!$A$24:$LJ$24))&gt;0,"erledigt","automatisch")),IF($F24&lt;&gt;"ja","nicht berichtet",IF(ISNA(MATCH(Stichtag,RD_Kopf,0)),"keine Spalte",IF(SUMPRODUCT((RD_Kopf&gt;=IF($G24="monatlich",DATE(YEAR(Stichtag),MONTH(Stichtag),1),IF($G24="quartalsweise",DATE(YEAR(Stichtag),INT((MONTH(Stichtag)-1)/3)*3+1,1),Stichtag)))*(RD_Kopf&lt;=Stichtag)*ISNUMBER(Rohdaten!$A$24:$LJ$24))&gt;0,"erledigt","offen"))))</f>
        <v>nicht berichtet</v>
      </c>
      <c r="I24" s="73"/>
      <c r="J24" s="73"/>
      <c r="K24" s="73"/>
      <c r="L24" s="73"/>
      <c r="M24" s="73"/>
      <c r="N24" s="73"/>
      <c r="O24" s="73" t="s">
        <v>714</v>
      </c>
      <c r="P24" s="73"/>
      <c r="Q24" s="73"/>
      <c r="R24" s="73"/>
      <c r="S24" s="73" t="s">
        <v>714</v>
      </c>
      <c r="T24" s="73"/>
      <c r="U24" s="73"/>
      <c r="V24" s="73"/>
      <c r="W24" s="73"/>
      <c r="X24" s="73"/>
      <c r="Y24" s="73"/>
      <c r="Z24" s="73"/>
      <c r="AA24" s="73"/>
      <c r="AB24" s="73"/>
      <c r="AC24" s="73"/>
      <c r="AD24" s="73"/>
      <c r="AE24" s="73"/>
      <c r="AF24" s="73"/>
      <c r="AG24" s="73"/>
      <c r="AH24" s="73"/>
      <c r="AI24" s="73"/>
      <c r="AJ24" s="73"/>
      <c r="AK24" s="73"/>
      <c r="AL24" s="73"/>
      <c r="AM24" t="s">
        <v>738</v>
      </c>
      <c r="AN24" t="s">
        <v>737</v>
      </c>
      <c r="AO24" t="s">
        <v>709</v>
      </c>
    </row>
    <row r="25" spans="1:41" ht="18" hidden="1" customHeight="1" outlineLevel="2">
      <c r="A25" s="65">
        <f>ROW(Rohdaten!$A$25)</f>
        <v>25</v>
      </c>
      <c r="B25" s="66">
        <f>IF(Rohdaten!$A$25="","",Rohdaten!$A$25)</f>
        <v/>
      </c>
      <c r="C25" s="67" t="s">
        <v>715</v>
      </c>
      <c r="D25" s="68" t="str">
        <f>IF(Rohdaten!$E$25="","",Rohdaten!$E$25)</f>
        <v>Streich</v>
      </c>
      <c r="E25" s="69" t="str">
        <f t="array" ref="E25">_xlfn.TEXTJOIN(" / ",TRUE,IF($I25:$AL25="●",$I$4:$AL$4,""))</f>
        <v>Streich</v>
      </c>
      <c r="F25" s="70" t="s">
        <v>711</v>
      </c>
      <c r="G25" s="71" t="s">
        <v>712</v>
      </c>
      <c r="H25" s="72" t="str">
        <f>IF($F25="automatisch",IF(ISNA(MATCH(Stichtag,RD_Kopf,0)),"automatisch",IF(SUMPRODUCT((RD_Kopf&gt;=IF($G25="monatlich",DATE(YEAR(Stichtag),MONTH(Stichtag),1),IF($G25="quartalsweise",DATE(YEAR(Stichtag),INT((MONTH(Stichtag)-1)/3)*3+1,1),Stichtag)))*(RD_Kopf&lt;=Stichtag)*ISNUMBER(Rohdaten!$A$25:$LJ$25))&gt;0,"erledigt","automatisch")),IF($F25&lt;&gt;"ja","nicht berichtet",IF(ISNA(MATCH(Stichtag,RD_Kopf,0)),"keine Spalte",IF(SUMPRODUCT((RD_Kopf&gt;=IF($G25="monatlich",DATE(YEAR(Stichtag),MONTH(Stichtag),1),IF($G25="quartalsweise",DATE(YEAR(Stichtag),INT((MONTH(Stichtag)-1)/3)*3+1,1),Stichtag)))*(RD_Kopf&lt;=Stichtag)*ISNUMBER(Rohdaten!$A$25:$LJ$25))&gt;0,"erledigt","offen"))))</f>
        <v>nicht berichtet</v>
      </c>
      <c r="I25" s="73"/>
      <c r="J25" s="73"/>
      <c r="K25" s="73"/>
      <c r="L25" s="73"/>
      <c r="M25" s="73"/>
      <c r="N25" s="73"/>
      <c r="O25" s="73"/>
      <c r="P25" s="73"/>
      <c r="Q25" s="73"/>
      <c r="R25" s="73"/>
      <c r="S25" s="73"/>
      <c r="T25" s="73"/>
      <c r="U25" s="73"/>
      <c r="V25" s="73"/>
      <c r="W25" s="73"/>
      <c r="X25" s="73"/>
      <c r="Y25" s="73"/>
      <c r="Z25" s="73"/>
      <c r="AA25" s="73"/>
      <c r="AB25" s="73"/>
      <c r="AC25" s="73"/>
      <c r="AD25" s="73"/>
      <c r="AE25" s="73"/>
      <c r="AF25" s="73" t="s">
        <v>714</v>
      </c>
      <c r="AG25" s="73"/>
      <c r="AH25" s="73"/>
      <c r="AI25" s="73"/>
      <c r="AJ25" s="73"/>
      <c r="AK25" s="73"/>
      <c r="AL25" s="73"/>
      <c r="AM25" t="s">
        <v>739</v>
      </c>
      <c r="AN25" t="s">
        <v>737</v>
      </c>
      <c r="AO25" t="s">
        <v>709</v>
      </c>
    </row>
    <row r="26" spans="1:41" ht="18" hidden="1" customHeight="1" outlineLevel="2">
      <c r="A26" s="65">
        <f>ROW(Rohdaten!$A$26)</f>
        <v>26</v>
      </c>
      <c r="B26" s="66">
        <f>IF(Rohdaten!$A$26="","",Rohdaten!$A$26)</f>
        <v/>
      </c>
      <c r="C26" s="67" t="s">
        <v>717</v>
      </c>
      <c r="D26" s="68" t="str">
        <f>IF(Rohdaten!$E$26="","",Rohdaten!$E$26)</f>
        <v>Gress</v>
      </c>
      <c r="E26" s="69" t="str">
        <f t="array" ref="E26">_xlfn.TEXTJOIN(" / ",TRUE,IF($I26:$AL26="●",$I$4:$AL$4,""))</f>
        <v>Gress</v>
      </c>
      <c r="F26" s="70" t="s">
        <v>711</v>
      </c>
      <c r="G26" s="71" t="s">
        <v>712</v>
      </c>
      <c r="H26" s="72" t="str">
        <f>IF($F26="automatisch",IF(ISNA(MATCH(Stichtag,RD_Kopf,0)),"automatisch",IF(SUMPRODUCT((RD_Kopf&gt;=IF($G26="monatlich",DATE(YEAR(Stichtag),MONTH(Stichtag),1),IF($G26="quartalsweise",DATE(YEAR(Stichtag),INT((MONTH(Stichtag)-1)/3)*3+1,1),Stichtag)))*(RD_Kopf&lt;=Stichtag)*ISNUMBER(Rohdaten!$A$26:$LJ$26))&gt;0,"erledigt","automatisch")),IF($F26&lt;&gt;"ja","nicht berichtet",IF(ISNA(MATCH(Stichtag,RD_Kopf,0)),"keine Spalte",IF(SUMPRODUCT((RD_Kopf&gt;=IF($G26="monatlich",DATE(YEAR(Stichtag),MONTH(Stichtag),1),IF($G26="quartalsweise",DATE(YEAR(Stichtag),INT((MONTH(Stichtag)-1)/3)*3+1,1),Stichtag)))*(RD_Kopf&lt;=Stichtag)*ISNUMBER(Rohdaten!$A$26:$LJ$26))&gt;0,"erledigt","offen"))))</f>
        <v>nicht berichtet</v>
      </c>
      <c r="I26" s="73"/>
      <c r="J26" s="73"/>
      <c r="K26" s="73"/>
      <c r="L26" s="73"/>
      <c r="M26" s="73"/>
      <c r="N26" s="73"/>
      <c r="O26" s="73"/>
      <c r="P26" s="73"/>
      <c r="Q26" s="73"/>
      <c r="R26" s="73"/>
      <c r="S26" s="73"/>
      <c r="T26" s="73" t="s">
        <v>714</v>
      </c>
      <c r="U26" s="73"/>
      <c r="V26" s="73"/>
      <c r="W26" s="73"/>
      <c r="X26" s="73"/>
      <c r="Y26" s="73"/>
      <c r="Z26" s="73"/>
      <c r="AA26" s="73"/>
      <c r="AB26" s="73"/>
      <c r="AC26" s="73"/>
      <c r="AD26" s="73"/>
      <c r="AE26" s="73"/>
      <c r="AF26" s="73"/>
      <c r="AG26" s="73"/>
      <c r="AH26" s="73"/>
      <c r="AI26" s="73"/>
      <c r="AJ26" s="73"/>
      <c r="AK26" s="73"/>
      <c r="AL26" s="73"/>
      <c r="AM26" t="s">
        <v>740</v>
      </c>
      <c r="AN26" t="s">
        <v>737</v>
      </c>
      <c r="AO26" t="s">
        <v>709</v>
      </c>
    </row>
    <row r="27" spans="1:41" ht="18" hidden="1" customHeight="1" outlineLevel="2">
      <c r="A27" s="65">
        <f>ROW(Rohdaten!$A$27)</f>
        <v>27</v>
      </c>
      <c r="B27" s="66">
        <f>IF(Rohdaten!$A$27="","",Rohdaten!$A$27)</f>
        <v/>
      </c>
      <c r="C27" s="67" t="s">
        <v>719</v>
      </c>
      <c r="D27" s="68" t="str">
        <f>IF(Rohdaten!$E$27="","",Rohdaten!$E$27)</f>
        <v>Schneider</v>
      </c>
      <c r="E27" s="69" t="str">
        <f t="array" ref="E27">_xlfn.TEXTJOIN(" / ",TRUE,IF($I27:$AL27="●",$I$4:$AL$4,""))</f>
        <v>Schneider</v>
      </c>
      <c r="F27" s="70" t="s">
        <v>711</v>
      </c>
      <c r="G27" s="71" t="s">
        <v>712</v>
      </c>
      <c r="H27" s="72" t="str">
        <f>IF($F27="automatisch",IF(ISNA(MATCH(Stichtag,RD_Kopf,0)),"automatisch",IF(SUMPRODUCT((RD_Kopf&gt;=IF($G27="monatlich",DATE(YEAR(Stichtag),MONTH(Stichtag),1),IF($G27="quartalsweise",DATE(YEAR(Stichtag),INT((MONTH(Stichtag)-1)/3)*3+1,1),Stichtag)))*(RD_Kopf&lt;=Stichtag)*ISNUMBER(Rohdaten!$A$27:$LJ$27))&gt;0,"erledigt","automatisch")),IF($F27&lt;&gt;"ja","nicht berichtet",IF(ISNA(MATCH(Stichtag,RD_Kopf,0)),"keine Spalte",IF(SUMPRODUCT((RD_Kopf&gt;=IF($G27="monatlich",DATE(YEAR(Stichtag),MONTH(Stichtag),1),IF($G27="quartalsweise",DATE(YEAR(Stichtag),INT((MONTH(Stichtag)-1)/3)*3+1,1),Stichtag)))*(RD_Kopf&lt;=Stichtag)*ISNUMBER(Rohdaten!$A$27:$LJ$27))&gt;0,"erledigt","offen"))))</f>
        <v>nicht berichtet</v>
      </c>
      <c r="I27" s="73"/>
      <c r="J27" s="73"/>
      <c r="K27" s="73"/>
      <c r="L27" s="73"/>
      <c r="M27" s="73"/>
      <c r="N27" s="73"/>
      <c r="O27" s="73"/>
      <c r="P27" s="73"/>
      <c r="Q27" s="73"/>
      <c r="R27" s="73"/>
      <c r="S27" s="73"/>
      <c r="T27" s="73"/>
      <c r="U27" s="73"/>
      <c r="V27" s="73"/>
      <c r="W27" s="73"/>
      <c r="X27" s="73"/>
      <c r="Y27" s="73"/>
      <c r="Z27" s="73"/>
      <c r="AA27" s="73"/>
      <c r="AB27" s="73"/>
      <c r="AC27" s="73"/>
      <c r="AD27" s="73"/>
      <c r="AE27" s="73" t="s">
        <v>714</v>
      </c>
      <c r="AF27" s="73"/>
      <c r="AG27" s="73"/>
      <c r="AH27" s="73"/>
      <c r="AI27" s="73"/>
      <c r="AJ27" s="73"/>
      <c r="AK27" s="73"/>
      <c r="AL27" s="73"/>
      <c r="AM27" t="s">
        <v>741</v>
      </c>
      <c r="AN27" t="s">
        <v>737</v>
      </c>
      <c r="AO27" t="s">
        <v>709</v>
      </c>
    </row>
    <row r="28" spans="1:41" ht="18" hidden="1" customHeight="1" outlineLevel="2">
      <c r="A28" s="65">
        <f>ROW(Rohdaten!$A$28)</f>
        <v>28</v>
      </c>
      <c r="B28" s="66">
        <f>IF(Rohdaten!$A$28="","",Rohdaten!$A$28)</f>
        <v/>
      </c>
      <c r="C28" s="67" t="s">
        <v>721</v>
      </c>
      <c r="D28" s="68" t="str">
        <f>IF(Rohdaten!$E$28="","",Rohdaten!$E$28)</f>
        <v>Lürken</v>
      </c>
      <c r="E28" s="69" t="str">
        <f t="array" ref="E28">_xlfn.TEXTJOIN(" / ",TRUE,IF($I28:$AL28="●",$I$4:$AL$4,""))</f>
        <v>Lürken</v>
      </c>
      <c r="F28" s="70" t="s">
        <v>711</v>
      </c>
      <c r="G28" s="71" t="s">
        <v>712</v>
      </c>
      <c r="H28" s="72" t="str">
        <f>IF($F28="automatisch",IF(ISNA(MATCH(Stichtag,RD_Kopf,0)),"automatisch",IF(SUMPRODUCT((RD_Kopf&gt;=IF($G28="monatlich",DATE(YEAR(Stichtag),MONTH(Stichtag),1),IF($G28="quartalsweise",DATE(YEAR(Stichtag),INT((MONTH(Stichtag)-1)/3)*3+1,1),Stichtag)))*(RD_Kopf&lt;=Stichtag)*ISNUMBER(Rohdaten!$A$28:$LJ$28))&gt;0,"erledigt","automatisch")),IF($F28&lt;&gt;"ja","nicht berichtet",IF(ISNA(MATCH(Stichtag,RD_Kopf,0)),"keine Spalte",IF(SUMPRODUCT((RD_Kopf&gt;=IF($G28="monatlich",DATE(YEAR(Stichtag),MONTH(Stichtag),1),IF($G28="quartalsweise",DATE(YEAR(Stichtag),INT((MONTH(Stichtag)-1)/3)*3+1,1),Stichtag)))*(RD_Kopf&lt;=Stichtag)*ISNUMBER(Rohdaten!$A$28:$LJ$28))&gt;0,"erledigt","offen"))))</f>
        <v>nicht berichtet</v>
      </c>
      <c r="I28" s="73"/>
      <c r="J28" s="73"/>
      <c r="K28" s="73"/>
      <c r="L28" s="73"/>
      <c r="M28" s="73"/>
      <c r="N28" s="73"/>
      <c r="O28" s="73"/>
      <c r="P28" s="73"/>
      <c r="Q28" s="73"/>
      <c r="R28" s="73"/>
      <c r="S28" s="73"/>
      <c r="T28" s="73"/>
      <c r="U28" s="73"/>
      <c r="V28" s="73"/>
      <c r="W28" s="73"/>
      <c r="X28" s="73"/>
      <c r="Y28" s="73"/>
      <c r="Z28" s="73"/>
      <c r="AA28" s="73" t="s">
        <v>714</v>
      </c>
      <c r="AB28" s="73"/>
      <c r="AC28" s="73"/>
      <c r="AD28" s="73"/>
      <c r="AE28" s="73"/>
      <c r="AF28" s="73"/>
      <c r="AG28" s="73"/>
      <c r="AH28" s="73"/>
      <c r="AI28" s="73"/>
      <c r="AJ28" s="73"/>
      <c r="AK28" s="73"/>
      <c r="AL28" s="73"/>
      <c r="AM28" t="s">
        <v>742</v>
      </c>
      <c r="AN28" t="s">
        <v>737</v>
      </c>
      <c r="AO28" t="s">
        <v>709</v>
      </c>
    </row>
    <row r="29" spans="1:41" ht="18" hidden="1" customHeight="1" outlineLevel="2">
      <c r="A29" s="65">
        <f>ROW(Rohdaten!$A$29)</f>
        <v>29</v>
      </c>
      <c r="B29" s="66">
        <f>IF(Rohdaten!$A$29="","",Rohdaten!$A$29)</f>
        <v/>
      </c>
      <c r="C29" s="67" t="s">
        <v>723</v>
      </c>
      <c r="D29" s="68" t="str">
        <f>IF(Rohdaten!$E$29="","",Rohdaten!$E$29)</f>
        <v>Kraus</v>
      </c>
      <c r="E29" s="69" t="str">
        <f t="array" ref="E29">_xlfn.TEXTJOIN(" / ",TRUE,IF($I29:$AL29="●",$I$4:$AL$4,""))</f>
        <v>Kraus</v>
      </c>
      <c r="F29" s="70" t="s">
        <v>711</v>
      </c>
      <c r="G29" s="71" t="s">
        <v>712</v>
      </c>
      <c r="H29" s="72" t="str">
        <f>IF($F29="automatisch",IF(ISNA(MATCH(Stichtag,RD_Kopf,0)),"automatisch",IF(SUMPRODUCT((RD_Kopf&gt;=IF($G29="monatlich",DATE(YEAR(Stichtag),MONTH(Stichtag),1),IF($G29="quartalsweise",DATE(YEAR(Stichtag),INT((MONTH(Stichtag)-1)/3)*3+1,1),Stichtag)))*(RD_Kopf&lt;=Stichtag)*ISNUMBER(Rohdaten!$A$29:$LJ$29))&gt;0,"erledigt","automatisch")),IF($F29&lt;&gt;"ja","nicht berichtet",IF(ISNA(MATCH(Stichtag,RD_Kopf,0)),"keine Spalte",IF(SUMPRODUCT((RD_Kopf&gt;=IF($G29="monatlich",DATE(YEAR(Stichtag),MONTH(Stichtag),1),IF($G29="quartalsweise",DATE(YEAR(Stichtag),INT((MONTH(Stichtag)-1)/3)*3+1,1),Stichtag)))*(RD_Kopf&lt;=Stichtag)*ISNUMBER(Rohdaten!$A$29:$LJ$29))&gt;0,"erledigt","offen"))))</f>
        <v>nicht berichtet</v>
      </c>
      <c r="I29" s="73"/>
      <c r="J29" s="73"/>
      <c r="K29" s="73"/>
      <c r="L29" s="73"/>
      <c r="M29" s="73"/>
      <c r="N29" s="73"/>
      <c r="O29" s="73"/>
      <c r="P29" s="73"/>
      <c r="Q29" s="73"/>
      <c r="R29" s="73"/>
      <c r="S29" s="73"/>
      <c r="T29" s="73"/>
      <c r="U29" s="73"/>
      <c r="V29" s="73"/>
      <c r="W29" s="73"/>
      <c r="X29" s="73"/>
      <c r="Y29" s="73" t="s">
        <v>714</v>
      </c>
      <c r="Z29" s="73"/>
      <c r="AA29" s="73"/>
      <c r="AB29" s="73"/>
      <c r="AC29" s="73"/>
      <c r="AD29" s="73"/>
      <c r="AE29" s="73"/>
      <c r="AF29" s="73"/>
      <c r="AG29" s="73"/>
      <c r="AH29" s="73"/>
      <c r="AI29" s="73"/>
      <c r="AJ29" s="73"/>
      <c r="AK29" s="73"/>
      <c r="AL29" s="73"/>
      <c r="AM29" t="s">
        <v>743</v>
      </c>
      <c r="AN29" t="s">
        <v>737</v>
      </c>
      <c r="AO29" t="s">
        <v>709</v>
      </c>
    </row>
    <row r="30" spans="1:41" ht="18" hidden="1" customHeight="1" outlineLevel="2">
      <c r="A30" s="65">
        <f>ROW(Rohdaten!$A$30)</f>
        <v>30</v>
      </c>
      <c r="B30" s="66">
        <f>IF(Rohdaten!$A$30="","",Rohdaten!$A$30)</f>
        <v/>
      </c>
      <c r="C30" s="67" t="s">
        <v>725</v>
      </c>
      <c r="D30" s="68" t="str">
        <f>IF(Rohdaten!$E$30="","",Rohdaten!$E$30)</f>
        <v>Westrich</v>
      </c>
      <c r="E30" s="69" t="str">
        <f t="array" ref="E30">_xlfn.TEXTJOIN(" / ",TRUE,IF($I30:$AL30="●",$I$4:$AL$4,""))</f>
        <v>Westrich</v>
      </c>
      <c r="F30" s="70" t="s">
        <v>711</v>
      </c>
      <c r="G30" s="71" t="s">
        <v>712</v>
      </c>
      <c r="H30" s="72" t="str">
        <f>IF($F30="automatisch",IF(ISNA(MATCH(Stichtag,RD_Kopf,0)),"automatisch",IF(SUMPRODUCT((RD_Kopf&gt;=IF($G30="monatlich",DATE(YEAR(Stichtag),MONTH(Stichtag),1),IF($G30="quartalsweise",DATE(YEAR(Stichtag),INT((MONTH(Stichtag)-1)/3)*3+1,1),Stichtag)))*(RD_Kopf&lt;=Stichtag)*ISNUMBER(Rohdaten!$A$30:$LJ$30))&gt;0,"erledigt","automatisch")),IF($F30&lt;&gt;"ja","nicht berichtet",IF(ISNA(MATCH(Stichtag,RD_Kopf,0)),"keine Spalte",IF(SUMPRODUCT((RD_Kopf&gt;=IF($G30="monatlich",DATE(YEAR(Stichtag),MONTH(Stichtag),1),IF($G30="quartalsweise",DATE(YEAR(Stichtag),INT((MONTH(Stichtag)-1)/3)*3+1,1),Stichtag)))*(RD_Kopf&lt;=Stichtag)*ISNUMBER(Rohdaten!$A$30:$LJ$30))&gt;0,"erledigt","offen"))))</f>
        <v>nicht berichtet</v>
      </c>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t="s">
        <v>714</v>
      </c>
      <c r="AH30" s="73"/>
      <c r="AI30" s="73"/>
      <c r="AJ30" s="73"/>
      <c r="AK30" s="73"/>
      <c r="AL30" s="73"/>
      <c r="AM30" t="s">
        <v>744</v>
      </c>
      <c r="AN30" t="s">
        <v>737</v>
      </c>
      <c r="AO30" t="s">
        <v>709</v>
      </c>
    </row>
    <row r="31" spans="1:41" ht="18" hidden="1" customHeight="1" outlineLevel="1">
      <c r="A31" s="62"/>
      <c r="B31" s="62" t="s">
        <v>745</v>
      </c>
      <c r="C31" s="63" t="s">
        <v>728</v>
      </c>
      <c r="D31" s="63"/>
      <c r="E31" s="63"/>
      <c r="F31" s="63"/>
      <c r="G31" s="63"/>
      <c r="H31" s="6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O31" t="s">
        <v>706</v>
      </c>
    </row>
    <row r="32" spans="1:41" ht="18" hidden="1" customHeight="1" outlineLevel="2">
      <c r="A32" s="65">
        <f>ROW(Rohdaten!$A$32)</f>
        <v>32</v>
      </c>
      <c r="B32" s="66">
        <f>IF(Rohdaten!$A$32="","",Rohdaten!$A$32)</f>
        <v/>
      </c>
      <c r="C32" s="67" t="s">
        <v>710</v>
      </c>
      <c r="D32" s="68" t="str">
        <f>IF(Rohdaten!$E$32="","",Rohdaten!$E$32)</f>
        <v>Förster / Greß</v>
      </c>
      <c r="E32" s="69" t="str">
        <f t="array" ref="E32">_xlfn.TEXTJOIN(" / ",TRUE,IF($I32:$AL32="●",$I$4:$AL$4,""))</f>
        <v>Förster / Greß</v>
      </c>
      <c r="F32" s="70" t="s">
        <v>711</v>
      </c>
      <c r="G32" s="71" t="s">
        <v>712</v>
      </c>
      <c r="H32" s="72" t="str">
        <f>IF($F32="automatisch",IF(ISNA(MATCH(Stichtag,RD_Kopf,0)),"automatisch",IF(SUMPRODUCT((RD_Kopf&gt;=IF($G32="monatlich",DATE(YEAR(Stichtag),MONTH(Stichtag),1),IF($G32="quartalsweise",DATE(YEAR(Stichtag),INT((MONTH(Stichtag)-1)/3)*3+1,1),Stichtag)))*(RD_Kopf&lt;=Stichtag)*ISNUMBER(Rohdaten!$A$32:$LJ$32))&gt;0,"erledigt","automatisch")),IF($F32&lt;&gt;"ja","nicht berichtet",IF(ISNA(MATCH(Stichtag,RD_Kopf,0)),"keine Spalte",IF(SUMPRODUCT((RD_Kopf&gt;=IF($G32="monatlich",DATE(YEAR(Stichtag),MONTH(Stichtag),1),IF($G32="quartalsweise",DATE(YEAR(Stichtag),INT((MONTH(Stichtag)-1)/3)*3+1,1),Stichtag)))*(RD_Kopf&lt;=Stichtag)*ISNUMBER(Rohdaten!$A$32:$LJ$32))&gt;0,"erledigt","offen"))))</f>
        <v>nicht berichtet</v>
      </c>
      <c r="I32" s="73"/>
      <c r="J32" s="73"/>
      <c r="K32" s="73"/>
      <c r="L32" s="73"/>
      <c r="M32" s="73"/>
      <c r="N32" s="73"/>
      <c r="O32" s="73" t="s">
        <v>714</v>
      </c>
      <c r="P32" s="73"/>
      <c r="Q32" s="73"/>
      <c r="R32" s="73"/>
      <c r="S32" s="73" t="s">
        <v>714</v>
      </c>
      <c r="T32" s="73"/>
      <c r="U32" s="73"/>
      <c r="V32" s="73"/>
      <c r="W32" s="73"/>
      <c r="X32" s="73"/>
      <c r="Y32" s="73"/>
      <c r="Z32" s="73"/>
      <c r="AA32" s="73"/>
      <c r="AB32" s="73"/>
      <c r="AC32" s="73"/>
      <c r="AD32" s="73"/>
      <c r="AE32" s="73"/>
      <c r="AF32" s="73"/>
      <c r="AG32" s="73"/>
      <c r="AH32" s="73"/>
      <c r="AI32" s="73"/>
      <c r="AJ32" s="73"/>
      <c r="AK32" s="73"/>
      <c r="AL32" s="73"/>
      <c r="AM32" t="s">
        <v>746</v>
      </c>
      <c r="AN32" t="s">
        <v>745</v>
      </c>
      <c r="AO32" t="s">
        <v>709</v>
      </c>
    </row>
    <row r="33" spans="1:41" ht="18" hidden="1" customHeight="1" outlineLevel="2">
      <c r="A33" s="65">
        <f>ROW(Rohdaten!$A$33)</f>
        <v>33</v>
      </c>
      <c r="B33" s="66">
        <f>IF(Rohdaten!$A$33="","",Rohdaten!$A$33)</f>
        <v/>
      </c>
      <c r="C33" s="67" t="s">
        <v>715</v>
      </c>
      <c r="D33" s="68" t="str">
        <f>IF(Rohdaten!$E$33="","",Rohdaten!$E$33)</f>
        <v>Streich</v>
      </c>
      <c r="E33" s="69" t="str">
        <f t="array" ref="E33">_xlfn.TEXTJOIN(" / ",TRUE,IF($I33:$AL33="●",$I$4:$AL$4,""))</f>
        <v>Streich</v>
      </c>
      <c r="F33" s="70" t="s">
        <v>711</v>
      </c>
      <c r="G33" s="71" t="s">
        <v>712</v>
      </c>
      <c r="H33" s="72" t="str">
        <f>IF($F33="automatisch",IF(ISNA(MATCH(Stichtag,RD_Kopf,0)),"automatisch",IF(SUMPRODUCT((RD_Kopf&gt;=IF($G33="monatlich",DATE(YEAR(Stichtag),MONTH(Stichtag),1),IF($G33="quartalsweise",DATE(YEAR(Stichtag),INT((MONTH(Stichtag)-1)/3)*3+1,1),Stichtag)))*(RD_Kopf&lt;=Stichtag)*ISNUMBER(Rohdaten!$A$33:$LJ$33))&gt;0,"erledigt","automatisch")),IF($F33&lt;&gt;"ja","nicht berichtet",IF(ISNA(MATCH(Stichtag,RD_Kopf,0)),"keine Spalte",IF(SUMPRODUCT((RD_Kopf&gt;=IF($G33="monatlich",DATE(YEAR(Stichtag),MONTH(Stichtag),1),IF($G33="quartalsweise",DATE(YEAR(Stichtag),INT((MONTH(Stichtag)-1)/3)*3+1,1),Stichtag)))*(RD_Kopf&lt;=Stichtag)*ISNUMBER(Rohdaten!$A$33:$LJ$33))&gt;0,"erledigt","offen"))))</f>
        <v>nicht berichtet</v>
      </c>
      <c r="I33" s="73"/>
      <c r="J33" s="73"/>
      <c r="K33" s="73"/>
      <c r="L33" s="73"/>
      <c r="M33" s="73"/>
      <c r="N33" s="73"/>
      <c r="O33" s="73"/>
      <c r="P33" s="73"/>
      <c r="Q33" s="73"/>
      <c r="R33" s="73"/>
      <c r="S33" s="73"/>
      <c r="T33" s="73"/>
      <c r="U33" s="73"/>
      <c r="V33" s="73"/>
      <c r="W33" s="73"/>
      <c r="X33" s="73"/>
      <c r="Y33" s="73"/>
      <c r="Z33" s="73"/>
      <c r="AA33" s="73"/>
      <c r="AB33" s="73"/>
      <c r="AC33" s="73"/>
      <c r="AD33" s="73"/>
      <c r="AE33" s="73"/>
      <c r="AF33" s="73" t="s">
        <v>714</v>
      </c>
      <c r="AG33" s="73"/>
      <c r="AH33" s="73"/>
      <c r="AI33" s="73"/>
      <c r="AJ33" s="73"/>
      <c r="AK33" s="73"/>
      <c r="AL33" s="73"/>
      <c r="AM33" t="s">
        <v>747</v>
      </c>
      <c r="AN33" t="s">
        <v>745</v>
      </c>
      <c r="AO33" t="s">
        <v>709</v>
      </c>
    </row>
    <row r="34" spans="1:41" ht="18" hidden="1" customHeight="1" outlineLevel="2">
      <c r="A34" s="65">
        <f>ROW(Rohdaten!$A$34)</f>
        <v>34</v>
      </c>
      <c r="B34" s="66">
        <f>IF(Rohdaten!$A$34="","",Rohdaten!$A$34)</f>
        <v/>
      </c>
      <c r="C34" s="67" t="s">
        <v>717</v>
      </c>
      <c r="D34" s="68" t="str">
        <f>IF(Rohdaten!$E$34="","",Rohdaten!$E$34)</f>
        <v>Gress</v>
      </c>
      <c r="E34" s="69" t="str">
        <f t="array" ref="E34">_xlfn.TEXTJOIN(" / ",TRUE,IF($I34:$AL34="●",$I$4:$AL$4,""))</f>
        <v>Gress</v>
      </c>
      <c r="F34" s="70" t="s">
        <v>711</v>
      </c>
      <c r="G34" s="71" t="s">
        <v>712</v>
      </c>
      <c r="H34" s="72" t="str">
        <f>IF($F34="automatisch",IF(ISNA(MATCH(Stichtag,RD_Kopf,0)),"automatisch",IF(SUMPRODUCT((RD_Kopf&gt;=IF($G34="monatlich",DATE(YEAR(Stichtag),MONTH(Stichtag),1),IF($G34="quartalsweise",DATE(YEAR(Stichtag),INT((MONTH(Stichtag)-1)/3)*3+1,1),Stichtag)))*(RD_Kopf&lt;=Stichtag)*ISNUMBER(Rohdaten!$A$34:$LJ$34))&gt;0,"erledigt","automatisch")),IF($F34&lt;&gt;"ja","nicht berichtet",IF(ISNA(MATCH(Stichtag,RD_Kopf,0)),"keine Spalte",IF(SUMPRODUCT((RD_Kopf&gt;=IF($G34="monatlich",DATE(YEAR(Stichtag),MONTH(Stichtag),1),IF($G34="quartalsweise",DATE(YEAR(Stichtag),INT((MONTH(Stichtag)-1)/3)*3+1,1),Stichtag)))*(RD_Kopf&lt;=Stichtag)*ISNUMBER(Rohdaten!$A$34:$LJ$34))&gt;0,"erledigt","offen"))))</f>
        <v>nicht berichtet</v>
      </c>
      <c r="I34" s="73"/>
      <c r="J34" s="73"/>
      <c r="K34" s="73"/>
      <c r="L34" s="73"/>
      <c r="M34" s="73"/>
      <c r="N34" s="73"/>
      <c r="O34" s="73"/>
      <c r="P34" s="73"/>
      <c r="Q34" s="73"/>
      <c r="R34" s="73"/>
      <c r="S34" s="73"/>
      <c r="T34" s="73" t="s">
        <v>714</v>
      </c>
      <c r="U34" s="73"/>
      <c r="V34" s="73"/>
      <c r="W34" s="73"/>
      <c r="X34" s="73"/>
      <c r="Y34" s="73"/>
      <c r="Z34" s="73"/>
      <c r="AA34" s="73"/>
      <c r="AB34" s="73"/>
      <c r="AC34" s="73"/>
      <c r="AD34" s="73"/>
      <c r="AE34" s="73"/>
      <c r="AF34" s="73"/>
      <c r="AG34" s="73"/>
      <c r="AH34" s="73"/>
      <c r="AI34" s="73"/>
      <c r="AJ34" s="73"/>
      <c r="AK34" s="73"/>
      <c r="AL34" s="73"/>
      <c r="AM34" t="s">
        <v>748</v>
      </c>
      <c r="AN34" t="s">
        <v>745</v>
      </c>
      <c r="AO34" t="s">
        <v>709</v>
      </c>
    </row>
    <row r="35" spans="1:41" ht="18" hidden="1" customHeight="1" outlineLevel="2">
      <c r="A35" s="65">
        <f>ROW(Rohdaten!$A$35)</f>
        <v>35</v>
      </c>
      <c r="B35" s="66">
        <f>IF(Rohdaten!$A$35="","",Rohdaten!$A$35)</f>
        <v/>
      </c>
      <c r="C35" s="67" t="s">
        <v>719</v>
      </c>
      <c r="D35" s="68" t="str">
        <f>IF(Rohdaten!$E$35="","",Rohdaten!$E$35)</f>
        <v>Schneider</v>
      </c>
      <c r="E35" s="69" t="str">
        <f t="array" ref="E35">_xlfn.TEXTJOIN(" / ",TRUE,IF($I35:$AL35="●",$I$4:$AL$4,""))</f>
        <v>Schneider</v>
      </c>
      <c r="F35" s="70" t="s">
        <v>711</v>
      </c>
      <c r="G35" s="71" t="s">
        <v>712</v>
      </c>
      <c r="H35" s="72" t="str">
        <f>IF($F35="automatisch",IF(ISNA(MATCH(Stichtag,RD_Kopf,0)),"automatisch",IF(SUMPRODUCT((RD_Kopf&gt;=IF($G35="monatlich",DATE(YEAR(Stichtag),MONTH(Stichtag),1),IF($G35="quartalsweise",DATE(YEAR(Stichtag),INT((MONTH(Stichtag)-1)/3)*3+1,1),Stichtag)))*(RD_Kopf&lt;=Stichtag)*ISNUMBER(Rohdaten!$A$35:$LJ$35))&gt;0,"erledigt","automatisch")),IF($F35&lt;&gt;"ja","nicht berichtet",IF(ISNA(MATCH(Stichtag,RD_Kopf,0)),"keine Spalte",IF(SUMPRODUCT((RD_Kopf&gt;=IF($G35="monatlich",DATE(YEAR(Stichtag),MONTH(Stichtag),1),IF($G35="quartalsweise",DATE(YEAR(Stichtag),INT((MONTH(Stichtag)-1)/3)*3+1,1),Stichtag)))*(RD_Kopf&lt;=Stichtag)*ISNUMBER(Rohdaten!$A$35:$LJ$35))&gt;0,"erledigt","offen"))))</f>
        <v>nicht berichtet</v>
      </c>
      <c r="I35" s="73"/>
      <c r="J35" s="73"/>
      <c r="K35" s="73"/>
      <c r="L35" s="73"/>
      <c r="M35" s="73"/>
      <c r="N35" s="73"/>
      <c r="O35" s="73"/>
      <c r="P35" s="73"/>
      <c r="Q35" s="73"/>
      <c r="R35" s="73"/>
      <c r="S35" s="73"/>
      <c r="T35" s="73"/>
      <c r="U35" s="73"/>
      <c r="V35" s="73"/>
      <c r="W35" s="73"/>
      <c r="X35" s="73"/>
      <c r="Y35" s="73"/>
      <c r="Z35" s="73"/>
      <c r="AA35" s="73"/>
      <c r="AB35" s="73"/>
      <c r="AC35" s="73"/>
      <c r="AD35" s="73"/>
      <c r="AE35" s="73" t="s">
        <v>714</v>
      </c>
      <c r="AF35" s="73"/>
      <c r="AG35" s="73"/>
      <c r="AH35" s="73"/>
      <c r="AI35" s="73"/>
      <c r="AJ35" s="73"/>
      <c r="AK35" s="73"/>
      <c r="AL35" s="73"/>
      <c r="AM35" t="s">
        <v>749</v>
      </c>
      <c r="AN35" t="s">
        <v>745</v>
      </c>
      <c r="AO35" t="s">
        <v>709</v>
      </c>
    </row>
    <row r="36" spans="1:41" ht="18" hidden="1" customHeight="1" outlineLevel="2">
      <c r="A36" s="65">
        <f>ROW(Rohdaten!$A$36)</f>
        <v>36</v>
      </c>
      <c r="B36" s="66">
        <f>IF(Rohdaten!$A$36="","",Rohdaten!$A$36)</f>
        <v/>
      </c>
      <c r="C36" s="67" t="s">
        <v>721</v>
      </c>
      <c r="D36" s="68" t="str">
        <f>IF(Rohdaten!$E$36="","",Rohdaten!$E$36)</f>
        <v>Lürken</v>
      </c>
      <c r="E36" s="69" t="str">
        <f t="array" ref="E36">_xlfn.TEXTJOIN(" / ",TRUE,IF($I36:$AL36="●",$I$4:$AL$4,""))</f>
        <v>Lürken</v>
      </c>
      <c r="F36" s="70" t="s">
        <v>711</v>
      </c>
      <c r="G36" s="71" t="s">
        <v>712</v>
      </c>
      <c r="H36" s="72" t="str">
        <f>IF($F36="automatisch",IF(ISNA(MATCH(Stichtag,RD_Kopf,0)),"automatisch",IF(SUMPRODUCT((RD_Kopf&gt;=IF($G36="monatlich",DATE(YEAR(Stichtag),MONTH(Stichtag),1),IF($G36="quartalsweise",DATE(YEAR(Stichtag),INT((MONTH(Stichtag)-1)/3)*3+1,1),Stichtag)))*(RD_Kopf&lt;=Stichtag)*ISNUMBER(Rohdaten!$A$36:$LJ$36))&gt;0,"erledigt","automatisch")),IF($F36&lt;&gt;"ja","nicht berichtet",IF(ISNA(MATCH(Stichtag,RD_Kopf,0)),"keine Spalte",IF(SUMPRODUCT((RD_Kopf&gt;=IF($G36="monatlich",DATE(YEAR(Stichtag),MONTH(Stichtag),1),IF($G36="quartalsweise",DATE(YEAR(Stichtag),INT((MONTH(Stichtag)-1)/3)*3+1,1),Stichtag)))*(RD_Kopf&lt;=Stichtag)*ISNUMBER(Rohdaten!$A$36:$LJ$36))&gt;0,"erledigt","offen"))))</f>
        <v>nicht berichtet</v>
      </c>
      <c r="I36" s="73"/>
      <c r="J36" s="73"/>
      <c r="K36" s="73"/>
      <c r="L36" s="73"/>
      <c r="M36" s="73"/>
      <c r="N36" s="73"/>
      <c r="O36" s="73"/>
      <c r="P36" s="73"/>
      <c r="Q36" s="73"/>
      <c r="R36" s="73"/>
      <c r="S36" s="73"/>
      <c r="T36" s="73"/>
      <c r="U36" s="73"/>
      <c r="V36" s="73"/>
      <c r="W36" s="73"/>
      <c r="X36" s="73"/>
      <c r="Y36" s="73"/>
      <c r="Z36" s="73"/>
      <c r="AA36" s="73" t="s">
        <v>714</v>
      </c>
      <c r="AB36" s="73"/>
      <c r="AC36" s="73"/>
      <c r="AD36" s="73"/>
      <c r="AE36" s="73"/>
      <c r="AF36" s="73"/>
      <c r="AG36" s="73"/>
      <c r="AH36" s="73"/>
      <c r="AI36" s="73"/>
      <c r="AJ36" s="73"/>
      <c r="AK36" s="73"/>
      <c r="AL36" s="73"/>
      <c r="AM36" t="s">
        <v>750</v>
      </c>
      <c r="AN36" t="s">
        <v>745</v>
      </c>
      <c r="AO36" t="s">
        <v>709</v>
      </c>
    </row>
    <row r="37" spans="1:41" ht="18" hidden="1" customHeight="1" outlineLevel="2">
      <c r="A37" s="65">
        <f>ROW(Rohdaten!$A$37)</f>
        <v>37</v>
      </c>
      <c r="B37" s="66">
        <f>IF(Rohdaten!$A$37="","",Rohdaten!$A$37)</f>
        <v/>
      </c>
      <c r="C37" s="67" t="s">
        <v>723</v>
      </c>
      <c r="D37" s="68" t="str">
        <f>IF(Rohdaten!$E$37="","",Rohdaten!$E$37)</f>
        <v>Kraus</v>
      </c>
      <c r="E37" s="69" t="str">
        <f t="array" ref="E37">_xlfn.TEXTJOIN(" / ",TRUE,IF($I37:$AL37="●",$I$4:$AL$4,""))</f>
        <v>Kraus</v>
      </c>
      <c r="F37" s="70" t="s">
        <v>711</v>
      </c>
      <c r="G37" s="71" t="s">
        <v>712</v>
      </c>
      <c r="H37" s="72" t="str">
        <f>IF($F37="automatisch",IF(ISNA(MATCH(Stichtag,RD_Kopf,0)),"automatisch",IF(SUMPRODUCT((RD_Kopf&gt;=IF($G37="monatlich",DATE(YEAR(Stichtag),MONTH(Stichtag),1),IF($G37="quartalsweise",DATE(YEAR(Stichtag),INT((MONTH(Stichtag)-1)/3)*3+1,1),Stichtag)))*(RD_Kopf&lt;=Stichtag)*ISNUMBER(Rohdaten!$A$37:$LJ$37))&gt;0,"erledigt","automatisch")),IF($F37&lt;&gt;"ja","nicht berichtet",IF(ISNA(MATCH(Stichtag,RD_Kopf,0)),"keine Spalte",IF(SUMPRODUCT((RD_Kopf&gt;=IF($G37="monatlich",DATE(YEAR(Stichtag),MONTH(Stichtag),1),IF($G37="quartalsweise",DATE(YEAR(Stichtag),INT((MONTH(Stichtag)-1)/3)*3+1,1),Stichtag)))*(RD_Kopf&lt;=Stichtag)*ISNUMBER(Rohdaten!$A$37:$LJ$37))&gt;0,"erledigt","offen"))))</f>
        <v>nicht berichtet</v>
      </c>
      <c r="I37" s="73"/>
      <c r="J37" s="73"/>
      <c r="K37" s="73"/>
      <c r="L37" s="73"/>
      <c r="M37" s="73"/>
      <c r="N37" s="73"/>
      <c r="O37" s="73"/>
      <c r="P37" s="73"/>
      <c r="Q37" s="73"/>
      <c r="R37" s="73"/>
      <c r="S37" s="73"/>
      <c r="T37" s="73"/>
      <c r="U37" s="73"/>
      <c r="V37" s="73"/>
      <c r="W37" s="73"/>
      <c r="X37" s="73"/>
      <c r="Y37" s="73" t="s">
        <v>714</v>
      </c>
      <c r="Z37" s="73"/>
      <c r="AA37" s="73"/>
      <c r="AB37" s="73"/>
      <c r="AC37" s="73"/>
      <c r="AD37" s="73"/>
      <c r="AE37" s="73"/>
      <c r="AF37" s="73"/>
      <c r="AG37" s="73"/>
      <c r="AH37" s="73"/>
      <c r="AI37" s="73"/>
      <c r="AJ37" s="73"/>
      <c r="AK37" s="73"/>
      <c r="AL37" s="73"/>
      <c r="AM37" t="s">
        <v>751</v>
      </c>
      <c r="AN37" t="s">
        <v>745</v>
      </c>
      <c r="AO37" t="s">
        <v>709</v>
      </c>
    </row>
    <row r="38" spans="1:41" ht="18" hidden="1" customHeight="1" outlineLevel="2">
      <c r="A38" s="65">
        <f>ROW(Rohdaten!$A$38)</f>
        <v>38</v>
      </c>
      <c r="B38" s="66">
        <f>IF(Rohdaten!$A$38="","",Rohdaten!$A$38)</f>
        <v/>
      </c>
      <c r="C38" s="67" t="s">
        <v>725</v>
      </c>
      <c r="D38" s="68" t="str">
        <f>IF(Rohdaten!$E$38="","",Rohdaten!$E$38)</f>
        <v>Westrich</v>
      </c>
      <c r="E38" s="69" t="str">
        <f t="array" ref="E38">_xlfn.TEXTJOIN(" / ",TRUE,IF($I38:$AL38="●",$I$4:$AL$4,""))</f>
        <v>Westrich</v>
      </c>
      <c r="F38" s="70" t="s">
        <v>711</v>
      </c>
      <c r="G38" s="71" t="s">
        <v>712</v>
      </c>
      <c r="H38" s="72" t="str">
        <f>IF($F38="automatisch",IF(ISNA(MATCH(Stichtag,RD_Kopf,0)),"automatisch",IF(SUMPRODUCT((RD_Kopf&gt;=IF($G38="monatlich",DATE(YEAR(Stichtag),MONTH(Stichtag),1),IF($G38="quartalsweise",DATE(YEAR(Stichtag),INT((MONTH(Stichtag)-1)/3)*3+1,1),Stichtag)))*(RD_Kopf&lt;=Stichtag)*ISNUMBER(Rohdaten!$A$38:$LJ$38))&gt;0,"erledigt","automatisch")),IF($F38&lt;&gt;"ja","nicht berichtet",IF(ISNA(MATCH(Stichtag,RD_Kopf,0)),"keine Spalte",IF(SUMPRODUCT((RD_Kopf&gt;=IF($G38="monatlich",DATE(YEAR(Stichtag),MONTH(Stichtag),1),IF($G38="quartalsweise",DATE(YEAR(Stichtag),INT((MONTH(Stichtag)-1)/3)*3+1,1),Stichtag)))*(RD_Kopf&lt;=Stichtag)*ISNUMBER(Rohdaten!$A$38:$LJ$38))&gt;0,"erledigt","offen"))))</f>
        <v>nicht berichtet</v>
      </c>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t="s">
        <v>714</v>
      </c>
      <c r="AH38" s="73"/>
      <c r="AI38" s="73"/>
      <c r="AJ38" s="73"/>
      <c r="AK38" s="73"/>
      <c r="AL38" s="73"/>
      <c r="AM38" t="s">
        <v>752</v>
      </c>
      <c r="AN38" t="s">
        <v>745</v>
      </c>
      <c r="AO38" t="s">
        <v>709</v>
      </c>
    </row>
    <row r="39" spans="1:41" ht="22" customHeight="1" collapsed="1">
      <c r="A39" s="60" t="s">
        <v>753</v>
      </c>
      <c r="B39" s="60"/>
      <c r="C39" s="60"/>
      <c r="D39" s="60"/>
      <c r="E39" s="60"/>
      <c r="F39" s="60"/>
      <c r="G39" s="60"/>
      <c r="H39" s="60"/>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O39" t="s">
        <v>705</v>
      </c>
    </row>
    <row r="40" spans="1:41" ht="18" hidden="1" customHeight="1" outlineLevel="1">
      <c r="A40" s="62"/>
      <c r="B40" s="62" t="s">
        <v>128</v>
      </c>
      <c r="C40" s="63" t="s">
        <v>728</v>
      </c>
      <c r="D40" s="63"/>
      <c r="E40" s="63"/>
      <c r="F40" s="63"/>
      <c r="G40" s="63"/>
      <c r="H40" s="63"/>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O40" t="s">
        <v>706</v>
      </c>
    </row>
    <row r="41" spans="1:41" ht="18" hidden="1" customHeight="1" outlineLevel="2">
      <c r="A41" s="65">
        <f>ROW(Rohdaten!$A$40)</f>
        <v>40</v>
      </c>
      <c r="B41" s="66">
        <f>IF(Rohdaten!$A$40="","",Rohdaten!$A$40)</f>
        <v/>
      </c>
      <c r="C41" s="67" t="s">
        <v>710</v>
      </c>
      <c r="D41" s="68" t="str">
        <f>IF(Rohdaten!$E$40="","",Rohdaten!$E$40)</f>
        <v>Förster / Greß</v>
      </c>
      <c r="E41" s="69" t="str">
        <f t="array" ref="E41">_xlfn.TEXTJOIN(" / ",TRUE,IF($I41:$AL41="●",$I$4:$AL$4,""))</f>
        <v>Förster / Greß</v>
      </c>
      <c r="F41" s="70" t="s">
        <v>711</v>
      </c>
      <c r="G41" s="71" t="s">
        <v>712</v>
      </c>
      <c r="H41" s="72" t="str">
        <f>IF($F41="automatisch",IF(ISNA(MATCH(Stichtag,RD_Kopf,0)),"automatisch",IF(SUMPRODUCT((RD_Kopf&gt;=IF($G41="monatlich",DATE(YEAR(Stichtag),MONTH(Stichtag),1),IF($G41="quartalsweise",DATE(YEAR(Stichtag),INT((MONTH(Stichtag)-1)/3)*3+1,1),Stichtag)))*(RD_Kopf&lt;=Stichtag)*ISNUMBER(Rohdaten!$A$40:$LJ$40))&gt;0,"erledigt","automatisch")),IF($F41&lt;&gt;"ja","nicht berichtet",IF(ISNA(MATCH(Stichtag,RD_Kopf,0)),"keine Spalte",IF(SUMPRODUCT((RD_Kopf&gt;=IF($G41="monatlich",DATE(YEAR(Stichtag),MONTH(Stichtag),1),IF($G41="quartalsweise",DATE(YEAR(Stichtag),INT((MONTH(Stichtag)-1)/3)*3+1,1),Stichtag)))*(RD_Kopf&lt;=Stichtag)*ISNUMBER(Rohdaten!$A$40:$LJ$40))&gt;0,"erledigt","offen"))))</f>
        <v>nicht berichtet</v>
      </c>
      <c r="I41" s="73"/>
      <c r="J41" s="73"/>
      <c r="K41" s="73"/>
      <c r="L41" s="73"/>
      <c r="M41" s="73"/>
      <c r="N41" s="73"/>
      <c r="O41" s="73" t="s">
        <v>714</v>
      </c>
      <c r="P41" s="73"/>
      <c r="Q41" s="73"/>
      <c r="R41" s="73"/>
      <c r="S41" s="73" t="s">
        <v>714</v>
      </c>
      <c r="T41" s="73"/>
      <c r="U41" s="73"/>
      <c r="V41" s="73"/>
      <c r="W41" s="73"/>
      <c r="X41" s="73"/>
      <c r="Y41" s="73"/>
      <c r="Z41" s="73"/>
      <c r="AA41" s="73"/>
      <c r="AB41" s="73"/>
      <c r="AC41" s="73"/>
      <c r="AD41" s="73"/>
      <c r="AE41" s="73"/>
      <c r="AF41" s="73"/>
      <c r="AG41" s="73"/>
      <c r="AH41" s="73"/>
      <c r="AI41" s="73"/>
      <c r="AJ41" s="73"/>
      <c r="AK41" s="73"/>
      <c r="AL41" s="73"/>
      <c r="AM41" t="s">
        <v>754</v>
      </c>
      <c r="AN41" t="s">
        <v>128</v>
      </c>
      <c r="AO41" t="s">
        <v>709</v>
      </c>
    </row>
    <row r="42" spans="1:41" ht="18" hidden="1" customHeight="1" outlineLevel="2">
      <c r="A42" s="65">
        <f>ROW(Rohdaten!$A$41)</f>
        <v>41</v>
      </c>
      <c r="B42" s="66">
        <f>IF(Rohdaten!$A$41="","",Rohdaten!$A$41)</f>
        <v/>
      </c>
      <c r="C42" s="67" t="s">
        <v>715</v>
      </c>
      <c r="D42" s="68" t="str">
        <f>IF(Rohdaten!$E$41="","",Rohdaten!$E$41)</f>
        <v>Streich</v>
      </c>
      <c r="E42" s="69" t="str">
        <f t="array" ref="E42">_xlfn.TEXTJOIN(" / ",TRUE,IF($I42:$AL42="●",$I$4:$AL$4,""))</f>
        <v>Streich</v>
      </c>
      <c r="F42" s="70" t="s">
        <v>711</v>
      </c>
      <c r="G42" s="71" t="s">
        <v>712</v>
      </c>
      <c r="H42" s="72" t="str">
        <f>IF($F42="automatisch",IF(ISNA(MATCH(Stichtag,RD_Kopf,0)),"automatisch",IF(SUMPRODUCT((RD_Kopf&gt;=IF($G42="monatlich",DATE(YEAR(Stichtag),MONTH(Stichtag),1),IF($G42="quartalsweise",DATE(YEAR(Stichtag),INT((MONTH(Stichtag)-1)/3)*3+1,1),Stichtag)))*(RD_Kopf&lt;=Stichtag)*ISNUMBER(Rohdaten!$A$41:$LJ$41))&gt;0,"erledigt","automatisch")),IF($F42&lt;&gt;"ja","nicht berichtet",IF(ISNA(MATCH(Stichtag,RD_Kopf,0)),"keine Spalte",IF(SUMPRODUCT((RD_Kopf&gt;=IF($G42="monatlich",DATE(YEAR(Stichtag),MONTH(Stichtag),1),IF($G42="quartalsweise",DATE(YEAR(Stichtag),INT((MONTH(Stichtag)-1)/3)*3+1,1),Stichtag)))*(RD_Kopf&lt;=Stichtag)*ISNUMBER(Rohdaten!$A$41:$LJ$41))&gt;0,"erledigt","offen"))))</f>
        <v>nicht berichtet</v>
      </c>
      <c r="I42" s="73"/>
      <c r="J42" s="73"/>
      <c r="K42" s="73"/>
      <c r="L42" s="73"/>
      <c r="M42" s="73"/>
      <c r="N42" s="73"/>
      <c r="O42" s="73"/>
      <c r="P42" s="73"/>
      <c r="Q42" s="73"/>
      <c r="R42" s="73"/>
      <c r="S42" s="73"/>
      <c r="T42" s="73"/>
      <c r="U42" s="73"/>
      <c r="V42" s="73"/>
      <c r="W42" s="73"/>
      <c r="X42" s="73"/>
      <c r="Y42" s="73"/>
      <c r="Z42" s="73"/>
      <c r="AA42" s="73"/>
      <c r="AB42" s="73"/>
      <c r="AC42" s="73"/>
      <c r="AD42" s="73"/>
      <c r="AE42" s="73"/>
      <c r="AF42" s="73" t="s">
        <v>714</v>
      </c>
      <c r="AG42" s="73"/>
      <c r="AH42" s="73"/>
      <c r="AI42" s="73"/>
      <c r="AJ42" s="73"/>
      <c r="AK42" s="73"/>
      <c r="AL42" s="73"/>
      <c r="AM42" t="s">
        <v>755</v>
      </c>
      <c r="AN42" t="s">
        <v>128</v>
      </c>
      <c r="AO42" t="s">
        <v>709</v>
      </c>
    </row>
    <row r="43" spans="1:41" ht="18" hidden="1" customHeight="1" outlineLevel="2">
      <c r="A43" s="65">
        <f>ROW(Rohdaten!$A$42)</f>
        <v>42</v>
      </c>
      <c r="B43" s="66">
        <f>IF(Rohdaten!$A$42="","",Rohdaten!$A$42)</f>
        <v/>
      </c>
      <c r="C43" s="67" t="s">
        <v>717</v>
      </c>
      <c r="D43" s="68" t="str">
        <f>IF(Rohdaten!$E$42="","",Rohdaten!$E$42)</f>
        <v>Gress</v>
      </c>
      <c r="E43" s="69" t="str">
        <f t="array" ref="E43">_xlfn.TEXTJOIN(" / ",TRUE,IF($I43:$AL43="●",$I$4:$AL$4,""))</f>
        <v>Gress</v>
      </c>
      <c r="F43" s="70" t="s">
        <v>711</v>
      </c>
      <c r="G43" s="71" t="s">
        <v>712</v>
      </c>
      <c r="H43" s="72" t="str">
        <f>IF($F43="automatisch",IF(ISNA(MATCH(Stichtag,RD_Kopf,0)),"automatisch",IF(SUMPRODUCT((RD_Kopf&gt;=IF($G43="monatlich",DATE(YEAR(Stichtag),MONTH(Stichtag),1),IF($G43="quartalsweise",DATE(YEAR(Stichtag),INT((MONTH(Stichtag)-1)/3)*3+1,1),Stichtag)))*(RD_Kopf&lt;=Stichtag)*ISNUMBER(Rohdaten!$A$42:$LJ$42))&gt;0,"erledigt","automatisch")),IF($F43&lt;&gt;"ja","nicht berichtet",IF(ISNA(MATCH(Stichtag,RD_Kopf,0)),"keine Spalte",IF(SUMPRODUCT((RD_Kopf&gt;=IF($G43="monatlich",DATE(YEAR(Stichtag),MONTH(Stichtag),1),IF($G43="quartalsweise",DATE(YEAR(Stichtag),INT((MONTH(Stichtag)-1)/3)*3+1,1),Stichtag)))*(RD_Kopf&lt;=Stichtag)*ISNUMBER(Rohdaten!$A$42:$LJ$42))&gt;0,"erledigt","offen"))))</f>
        <v>nicht berichtet</v>
      </c>
      <c r="I43" s="73"/>
      <c r="J43" s="73"/>
      <c r="K43" s="73"/>
      <c r="L43" s="73"/>
      <c r="M43" s="73"/>
      <c r="N43" s="73"/>
      <c r="O43" s="73"/>
      <c r="P43" s="73"/>
      <c r="Q43" s="73"/>
      <c r="R43" s="73"/>
      <c r="S43" s="73"/>
      <c r="T43" s="73" t="s">
        <v>714</v>
      </c>
      <c r="U43" s="73"/>
      <c r="V43" s="73"/>
      <c r="W43" s="73"/>
      <c r="X43" s="73"/>
      <c r="Y43" s="73"/>
      <c r="Z43" s="73"/>
      <c r="AA43" s="73"/>
      <c r="AB43" s="73"/>
      <c r="AC43" s="73"/>
      <c r="AD43" s="73"/>
      <c r="AE43" s="73"/>
      <c r="AF43" s="73"/>
      <c r="AG43" s="73"/>
      <c r="AH43" s="73"/>
      <c r="AI43" s="73"/>
      <c r="AJ43" s="73"/>
      <c r="AK43" s="73"/>
      <c r="AL43" s="73"/>
      <c r="AM43" t="s">
        <v>756</v>
      </c>
      <c r="AN43" t="s">
        <v>128</v>
      </c>
      <c r="AO43" t="s">
        <v>709</v>
      </c>
    </row>
    <row r="44" spans="1:41" ht="18" hidden="1" customHeight="1" outlineLevel="2">
      <c r="A44" s="65">
        <f>ROW(Rohdaten!$A$43)</f>
        <v>43</v>
      </c>
      <c r="B44" s="66">
        <f>IF(Rohdaten!$A$43="","",Rohdaten!$A$43)</f>
        <v/>
      </c>
      <c r="C44" s="67" t="s">
        <v>719</v>
      </c>
      <c r="D44" s="68" t="str">
        <f>IF(Rohdaten!$E$43="","",Rohdaten!$E$43)</f>
        <v>Schneider</v>
      </c>
      <c r="E44" s="69" t="str">
        <f t="array" ref="E44">_xlfn.TEXTJOIN(" / ",TRUE,IF($I44:$AL44="●",$I$4:$AL$4,""))</f>
        <v>Schneider</v>
      </c>
      <c r="F44" s="70" t="s">
        <v>711</v>
      </c>
      <c r="G44" s="71" t="s">
        <v>712</v>
      </c>
      <c r="H44" s="72" t="str">
        <f>IF($F44="automatisch",IF(ISNA(MATCH(Stichtag,RD_Kopf,0)),"automatisch",IF(SUMPRODUCT((RD_Kopf&gt;=IF($G44="monatlich",DATE(YEAR(Stichtag),MONTH(Stichtag),1),IF($G44="quartalsweise",DATE(YEAR(Stichtag),INT((MONTH(Stichtag)-1)/3)*3+1,1),Stichtag)))*(RD_Kopf&lt;=Stichtag)*ISNUMBER(Rohdaten!$A$43:$LJ$43))&gt;0,"erledigt","automatisch")),IF($F44&lt;&gt;"ja","nicht berichtet",IF(ISNA(MATCH(Stichtag,RD_Kopf,0)),"keine Spalte",IF(SUMPRODUCT((RD_Kopf&gt;=IF($G44="monatlich",DATE(YEAR(Stichtag),MONTH(Stichtag),1),IF($G44="quartalsweise",DATE(YEAR(Stichtag),INT((MONTH(Stichtag)-1)/3)*3+1,1),Stichtag)))*(RD_Kopf&lt;=Stichtag)*ISNUMBER(Rohdaten!$A$43:$LJ$43))&gt;0,"erledigt","offen"))))</f>
        <v>nicht berichtet</v>
      </c>
      <c r="I44" s="73"/>
      <c r="J44" s="73"/>
      <c r="K44" s="73"/>
      <c r="L44" s="73"/>
      <c r="M44" s="73"/>
      <c r="N44" s="73"/>
      <c r="O44" s="73"/>
      <c r="P44" s="73"/>
      <c r="Q44" s="73"/>
      <c r="R44" s="73"/>
      <c r="S44" s="73"/>
      <c r="T44" s="73"/>
      <c r="U44" s="73"/>
      <c r="V44" s="73"/>
      <c r="W44" s="73"/>
      <c r="X44" s="73"/>
      <c r="Y44" s="73"/>
      <c r="Z44" s="73"/>
      <c r="AA44" s="73"/>
      <c r="AB44" s="73"/>
      <c r="AC44" s="73"/>
      <c r="AD44" s="73"/>
      <c r="AE44" s="73" t="s">
        <v>714</v>
      </c>
      <c r="AF44" s="73"/>
      <c r="AG44" s="73"/>
      <c r="AH44" s="73"/>
      <c r="AI44" s="73"/>
      <c r="AJ44" s="73"/>
      <c r="AK44" s="73"/>
      <c r="AL44" s="73"/>
      <c r="AM44" t="s">
        <v>757</v>
      </c>
      <c r="AN44" t="s">
        <v>128</v>
      </c>
      <c r="AO44" t="s">
        <v>709</v>
      </c>
    </row>
    <row r="45" spans="1:41" ht="18" hidden="1" customHeight="1" outlineLevel="2">
      <c r="A45" s="65">
        <f>ROW(Rohdaten!$A$44)</f>
        <v>44</v>
      </c>
      <c r="B45" s="66">
        <f>IF(Rohdaten!$A$44="","",Rohdaten!$A$44)</f>
        <v/>
      </c>
      <c r="C45" s="67" t="s">
        <v>721</v>
      </c>
      <c r="D45" s="68" t="str">
        <f>IF(Rohdaten!$E$44="","",Rohdaten!$E$44)</f>
        <v>Lürken</v>
      </c>
      <c r="E45" s="69" t="str">
        <f t="array" ref="E45">_xlfn.TEXTJOIN(" / ",TRUE,IF($I45:$AL45="●",$I$4:$AL$4,""))</f>
        <v>Lürken</v>
      </c>
      <c r="F45" s="70" t="s">
        <v>711</v>
      </c>
      <c r="G45" s="71" t="s">
        <v>712</v>
      </c>
      <c r="H45" s="72" t="str">
        <f>IF($F45="automatisch",IF(ISNA(MATCH(Stichtag,RD_Kopf,0)),"automatisch",IF(SUMPRODUCT((RD_Kopf&gt;=IF($G45="monatlich",DATE(YEAR(Stichtag),MONTH(Stichtag),1),IF($G45="quartalsweise",DATE(YEAR(Stichtag),INT((MONTH(Stichtag)-1)/3)*3+1,1),Stichtag)))*(RD_Kopf&lt;=Stichtag)*ISNUMBER(Rohdaten!$A$44:$LJ$44))&gt;0,"erledigt","automatisch")),IF($F45&lt;&gt;"ja","nicht berichtet",IF(ISNA(MATCH(Stichtag,RD_Kopf,0)),"keine Spalte",IF(SUMPRODUCT((RD_Kopf&gt;=IF($G45="monatlich",DATE(YEAR(Stichtag),MONTH(Stichtag),1),IF($G45="quartalsweise",DATE(YEAR(Stichtag),INT((MONTH(Stichtag)-1)/3)*3+1,1),Stichtag)))*(RD_Kopf&lt;=Stichtag)*ISNUMBER(Rohdaten!$A$44:$LJ$44))&gt;0,"erledigt","offen"))))</f>
        <v>nicht berichtet</v>
      </c>
      <c r="I45" s="73"/>
      <c r="J45" s="73"/>
      <c r="K45" s="73"/>
      <c r="L45" s="73"/>
      <c r="M45" s="73"/>
      <c r="N45" s="73"/>
      <c r="O45" s="73"/>
      <c r="P45" s="73"/>
      <c r="Q45" s="73"/>
      <c r="R45" s="73"/>
      <c r="S45" s="73"/>
      <c r="T45" s="73"/>
      <c r="U45" s="73"/>
      <c r="V45" s="73"/>
      <c r="W45" s="73"/>
      <c r="X45" s="73"/>
      <c r="Y45" s="73"/>
      <c r="Z45" s="73"/>
      <c r="AA45" s="73" t="s">
        <v>714</v>
      </c>
      <c r="AB45" s="73"/>
      <c r="AC45" s="73"/>
      <c r="AD45" s="73"/>
      <c r="AE45" s="73"/>
      <c r="AF45" s="73"/>
      <c r="AG45" s="73"/>
      <c r="AH45" s="73"/>
      <c r="AI45" s="73"/>
      <c r="AJ45" s="73"/>
      <c r="AK45" s="73"/>
      <c r="AL45" s="73"/>
      <c r="AM45" t="s">
        <v>758</v>
      </c>
      <c r="AN45" t="s">
        <v>128</v>
      </c>
      <c r="AO45" t="s">
        <v>709</v>
      </c>
    </row>
    <row r="46" spans="1:41" ht="18" hidden="1" customHeight="1" outlineLevel="2">
      <c r="A46" s="65">
        <f>ROW(Rohdaten!$A$45)</f>
        <v>45</v>
      </c>
      <c r="B46" s="66">
        <f>IF(Rohdaten!$A$45="","",Rohdaten!$A$45)</f>
        <v/>
      </c>
      <c r="C46" s="67" t="s">
        <v>723</v>
      </c>
      <c r="D46" s="68" t="str">
        <f>IF(Rohdaten!$E$45="","",Rohdaten!$E$45)</f>
        <v>Kraus</v>
      </c>
      <c r="E46" s="69" t="str">
        <f t="array" ref="E46">_xlfn.TEXTJOIN(" / ",TRUE,IF($I46:$AL46="●",$I$4:$AL$4,""))</f>
        <v>Kraus</v>
      </c>
      <c r="F46" s="70" t="s">
        <v>711</v>
      </c>
      <c r="G46" s="71" t="s">
        <v>712</v>
      </c>
      <c r="H46" s="72" t="str">
        <f>IF($F46="automatisch",IF(ISNA(MATCH(Stichtag,RD_Kopf,0)),"automatisch",IF(SUMPRODUCT((RD_Kopf&gt;=IF($G46="monatlich",DATE(YEAR(Stichtag),MONTH(Stichtag),1),IF($G46="quartalsweise",DATE(YEAR(Stichtag),INT((MONTH(Stichtag)-1)/3)*3+1,1),Stichtag)))*(RD_Kopf&lt;=Stichtag)*ISNUMBER(Rohdaten!$A$45:$LJ$45))&gt;0,"erledigt","automatisch")),IF($F46&lt;&gt;"ja","nicht berichtet",IF(ISNA(MATCH(Stichtag,RD_Kopf,0)),"keine Spalte",IF(SUMPRODUCT((RD_Kopf&gt;=IF($G46="monatlich",DATE(YEAR(Stichtag),MONTH(Stichtag),1),IF($G46="quartalsweise",DATE(YEAR(Stichtag),INT((MONTH(Stichtag)-1)/3)*3+1,1),Stichtag)))*(RD_Kopf&lt;=Stichtag)*ISNUMBER(Rohdaten!$A$45:$LJ$45))&gt;0,"erledigt","offen"))))</f>
        <v>nicht berichtet</v>
      </c>
      <c r="I46" s="73"/>
      <c r="J46" s="73"/>
      <c r="K46" s="73"/>
      <c r="L46" s="73"/>
      <c r="M46" s="73"/>
      <c r="N46" s="73"/>
      <c r="O46" s="73"/>
      <c r="P46" s="73"/>
      <c r="Q46" s="73"/>
      <c r="R46" s="73"/>
      <c r="S46" s="73"/>
      <c r="T46" s="73"/>
      <c r="U46" s="73"/>
      <c r="V46" s="73"/>
      <c r="W46" s="73"/>
      <c r="X46" s="73"/>
      <c r="Y46" s="73" t="s">
        <v>714</v>
      </c>
      <c r="Z46" s="73"/>
      <c r="AA46" s="73"/>
      <c r="AB46" s="73"/>
      <c r="AC46" s="73"/>
      <c r="AD46" s="73"/>
      <c r="AE46" s="73"/>
      <c r="AF46" s="73"/>
      <c r="AG46" s="73"/>
      <c r="AH46" s="73"/>
      <c r="AI46" s="73"/>
      <c r="AJ46" s="73"/>
      <c r="AK46" s="73"/>
      <c r="AL46" s="73"/>
      <c r="AM46" t="s">
        <v>759</v>
      </c>
      <c r="AN46" t="s">
        <v>128</v>
      </c>
      <c r="AO46" t="s">
        <v>709</v>
      </c>
    </row>
    <row r="47" spans="1:41" ht="18" hidden="1" customHeight="1" outlineLevel="2">
      <c r="A47" s="65">
        <f>ROW(Rohdaten!$A$46)</f>
        <v>46</v>
      </c>
      <c r="B47" s="66">
        <f>IF(Rohdaten!$A$46="","",Rohdaten!$A$46)</f>
        <v/>
      </c>
      <c r="C47" s="67" t="s">
        <v>725</v>
      </c>
      <c r="D47" s="68" t="str">
        <f>IF(Rohdaten!$E$46="","",Rohdaten!$E$46)</f>
        <v>Westrich</v>
      </c>
      <c r="E47" s="69" t="str">
        <f t="array" ref="E47">_xlfn.TEXTJOIN(" / ",TRUE,IF($I47:$AL47="●",$I$4:$AL$4,""))</f>
        <v>Westrich</v>
      </c>
      <c r="F47" s="70" t="s">
        <v>711</v>
      </c>
      <c r="G47" s="71" t="s">
        <v>712</v>
      </c>
      <c r="H47" s="72" t="str">
        <f>IF($F47="automatisch",IF(ISNA(MATCH(Stichtag,RD_Kopf,0)),"automatisch",IF(SUMPRODUCT((RD_Kopf&gt;=IF($G47="monatlich",DATE(YEAR(Stichtag),MONTH(Stichtag),1),IF($G47="quartalsweise",DATE(YEAR(Stichtag),INT((MONTH(Stichtag)-1)/3)*3+1,1),Stichtag)))*(RD_Kopf&lt;=Stichtag)*ISNUMBER(Rohdaten!$A$46:$LJ$46))&gt;0,"erledigt","automatisch")),IF($F47&lt;&gt;"ja","nicht berichtet",IF(ISNA(MATCH(Stichtag,RD_Kopf,0)),"keine Spalte",IF(SUMPRODUCT((RD_Kopf&gt;=IF($G47="monatlich",DATE(YEAR(Stichtag),MONTH(Stichtag),1),IF($G47="quartalsweise",DATE(YEAR(Stichtag),INT((MONTH(Stichtag)-1)/3)*3+1,1),Stichtag)))*(RD_Kopf&lt;=Stichtag)*ISNUMBER(Rohdaten!$A$46:$LJ$46))&gt;0,"erledigt","offen"))))</f>
        <v>nicht berichtet</v>
      </c>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t="s">
        <v>714</v>
      </c>
      <c r="AH47" s="73"/>
      <c r="AI47" s="73"/>
      <c r="AJ47" s="73"/>
      <c r="AK47" s="73"/>
      <c r="AL47" s="73"/>
      <c r="AM47" t="s">
        <v>760</v>
      </c>
      <c r="AN47" t="s">
        <v>128</v>
      </c>
      <c r="AO47" t="s">
        <v>709</v>
      </c>
    </row>
    <row r="48" spans="1:41" ht="22" customHeight="1" collapsed="1">
      <c r="A48" s="60" t="s">
        <v>761</v>
      </c>
      <c r="B48" s="60"/>
      <c r="C48" s="60"/>
      <c r="D48" s="60"/>
      <c r="E48" s="60"/>
      <c r="F48" s="60"/>
      <c r="G48" s="60"/>
      <c r="H48" s="60"/>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O48" t="s">
        <v>705</v>
      </c>
    </row>
    <row r="49" spans="1:41" ht="18" hidden="1" customHeight="1" outlineLevel="1">
      <c r="A49" s="62"/>
      <c r="B49" s="62" t="s">
        <v>762</v>
      </c>
      <c r="C49" s="63" t="s">
        <v>708</v>
      </c>
      <c r="D49" s="63"/>
      <c r="E49" s="63"/>
      <c r="F49" s="63"/>
      <c r="G49" s="63"/>
      <c r="H49" s="63"/>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O49" t="s">
        <v>706</v>
      </c>
    </row>
    <row r="50" spans="1:41" ht="18" hidden="1" customHeight="1" outlineLevel="2">
      <c r="A50" s="65">
        <f>ROW(Rohdaten!$A$48)</f>
        <v>48</v>
      </c>
      <c r="B50" s="66">
        <f>IF(Rohdaten!$A$48="","",Rohdaten!$A$48)</f>
        <v/>
      </c>
      <c r="C50" s="67" t="s">
        <v>710</v>
      </c>
      <c r="D50" s="68" t="str">
        <f>IF(Rohdaten!$E$48="","",Rohdaten!$E$48)</f>
        <v>Förster / Kyriakidis</v>
      </c>
      <c r="E50" s="69" t="str">
        <f t="array" ref="E50">_xlfn.TEXTJOIN(" / ",TRUE,IF($I50:$AL50="●",$I$4:$AL$4,""))</f>
        <v>Förster / Kyriakidis</v>
      </c>
      <c r="F50" s="70" t="s">
        <v>711</v>
      </c>
      <c r="G50" s="71" t="s">
        <v>712</v>
      </c>
      <c r="H50" s="72" t="str">
        <f>IF($F50="automatisch",IF(ISNA(MATCH(Stichtag,RD_Kopf,0)),"automatisch",IF(SUMPRODUCT((RD_Kopf&gt;=IF($G50="monatlich",DATE(YEAR(Stichtag),MONTH(Stichtag),1),IF($G50="quartalsweise",DATE(YEAR(Stichtag),INT((MONTH(Stichtag)-1)/3)*3+1,1),Stichtag)))*(RD_Kopf&lt;=Stichtag)*ISNUMBER(Rohdaten!$A$48:$LJ$48))&gt;0,"erledigt","automatisch")),IF($F50&lt;&gt;"ja","nicht berichtet",IF(ISNA(MATCH(Stichtag,RD_Kopf,0)),"keine Spalte",IF(SUMPRODUCT((RD_Kopf&gt;=IF($G50="monatlich",DATE(YEAR(Stichtag),MONTH(Stichtag),1),IF($G50="quartalsweise",DATE(YEAR(Stichtag),INT((MONTH(Stichtag)-1)/3)*3+1,1),Stichtag)))*(RD_Kopf&lt;=Stichtag)*ISNUMBER(Rohdaten!$A$48:$LJ$48))&gt;0,"erledigt","offen"))))</f>
        <v>nicht berichtet</v>
      </c>
      <c r="I50" s="73"/>
      <c r="J50" s="73"/>
      <c r="K50" s="73"/>
      <c r="L50" s="73"/>
      <c r="M50" s="73"/>
      <c r="N50" s="73"/>
      <c r="O50" s="73" t="s">
        <v>714</v>
      </c>
      <c r="P50" s="73"/>
      <c r="Q50" s="73"/>
      <c r="R50" s="73"/>
      <c r="S50" s="73"/>
      <c r="T50" s="73"/>
      <c r="U50" s="73"/>
      <c r="V50" s="73"/>
      <c r="W50" s="73"/>
      <c r="X50" s="73"/>
      <c r="Y50" s="73"/>
      <c r="Z50" s="73" t="s">
        <v>714</v>
      </c>
      <c r="AA50" s="73"/>
      <c r="AB50" s="73"/>
      <c r="AC50" s="73"/>
      <c r="AD50" s="73"/>
      <c r="AE50" s="73"/>
      <c r="AF50" s="73"/>
      <c r="AG50" s="73"/>
      <c r="AH50" s="73"/>
      <c r="AI50" s="73"/>
      <c r="AJ50" s="73"/>
      <c r="AK50" s="73"/>
      <c r="AL50" s="73"/>
      <c r="AM50" t="s">
        <v>763</v>
      </c>
      <c r="AN50" t="s">
        <v>762</v>
      </c>
      <c r="AO50" t="s">
        <v>709</v>
      </c>
    </row>
    <row r="51" spans="1:41" ht="18" hidden="1" customHeight="1" outlineLevel="2">
      <c r="A51" s="65">
        <f>ROW(Rohdaten!$A$49)</f>
        <v>49</v>
      </c>
      <c r="B51" s="66">
        <f>IF(Rohdaten!$A$49="","",Rohdaten!$A$49)</f>
        <v/>
      </c>
      <c r="C51" s="67" t="s">
        <v>715</v>
      </c>
      <c r="D51" s="68" t="str">
        <f>IF(Rohdaten!$E$49="","",Rohdaten!$E$49)</f>
        <v>Streich</v>
      </c>
      <c r="E51" s="69" t="str">
        <f t="array" ref="E51">_xlfn.TEXTJOIN(" / ",TRUE,IF($I51:$AL51="●",$I$4:$AL$4,""))</f>
        <v>Streich</v>
      </c>
      <c r="F51" s="70" t="s">
        <v>711</v>
      </c>
      <c r="G51" s="71" t="s">
        <v>712</v>
      </c>
      <c r="H51" s="72" t="str">
        <f>IF($F51="automatisch",IF(ISNA(MATCH(Stichtag,RD_Kopf,0)),"automatisch",IF(SUMPRODUCT((RD_Kopf&gt;=IF($G51="monatlich",DATE(YEAR(Stichtag),MONTH(Stichtag),1),IF($G51="quartalsweise",DATE(YEAR(Stichtag),INT((MONTH(Stichtag)-1)/3)*3+1,1),Stichtag)))*(RD_Kopf&lt;=Stichtag)*ISNUMBER(Rohdaten!$A$49:$LJ$49))&gt;0,"erledigt","automatisch")),IF($F51&lt;&gt;"ja","nicht berichtet",IF(ISNA(MATCH(Stichtag,RD_Kopf,0)),"keine Spalte",IF(SUMPRODUCT((RD_Kopf&gt;=IF($G51="monatlich",DATE(YEAR(Stichtag),MONTH(Stichtag),1),IF($G51="quartalsweise",DATE(YEAR(Stichtag),INT((MONTH(Stichtag)-1)/3)*3+1,1),Stichtag)))*(RD_Kopf&lt;=Stichtag)*ISNUMBER(Rohdaten!$A$49:$LJ$49))&gt;0,"erledigt","offen"))))</f>
        <v>nicht berichtet</v>
      </c>
      <c r="I51" s="73"/>
      <c r="J51" s="73"/>
      <c r="K51" s="73"/>
      <c r="L51" s="73"/>
      <c r="M51" s="73"/>
      <c r="N51" s="73"/>
      <c r="O51" s="73"/>
      <c r="P51" s="73"/>
      <c r="Q51" s="73"/>
      <c r="R51" s="73"/>
      <c r="S51" s="73"/>
      <c r="T51" s="73"/>
      <c r="U51" s="73"/>
      <c r="V51" s="73"/>
      <c r="W51" s="73"/>
      <c r="X51" s="73"/>
      <c r="Y51" s="73"/>
      <c r="Z51" s="73"/>
      <c r="AA51" s="73"/>
      <c r="AB51" s="73"/>
      <c r="AC51" s="73"/>
      <c r="AD51" s="73"/>
      <c r="AE51" s="73"/>
      <c r="AF51" s="73" t="s">
        <v>714</v>
      </c>
      <c r="AG51" s="73"/>
      <c r="AH51" s="73"/>
      <c r="AI51" s="73"/>
      <c r="AJ51" s="73"/>
      <c r="AK51" s="73"/>
      <c r="AL51" s="73"/>
      <c r="AM51" t="s">
        <v>764</v>
      </c>
      <c r="AN51" t="s">
        <v>762</v>
      </c>
      <c r="AO51" t="s">
        <v>709</v>
      </c>
    </row>
    <row r="52" spans="1:41" ht="18" hidden="1" customHeight="1" outlineLevel="2">
      <c r="A52" s="65">
        <f>ROW(Rohdaten!$A$50)</f>
        <v>50</v>
      </c>
      <c r="B52" s="66">
        <f>IF(Rohdaten!$A$50="","",Rohdaten!$A$50)</f>
        <v/>
      </c>
      <c r="C52" s="67" t="s">
        <v>717</v>
      </c>
      <c r="D52" s="68" t="str">
        <f>IF(Rohdaten!$E$50="","",Rohdaten!$E$50)</f>
        <v>Gress</v>
      </c>
      <c r="E52" s="69" t="str">
        <f t="array" ref="E52">_xlfn.TEXTJOIN(" / ",TRUE,IF($I52:$AL52="●",$I$4:$AL$4,""))</f>
        <v>Gress</v>
      </c>
      <c r="F52" s="70" t="s">
        <v>711</v>
      </c>
      <c r="G52" s="71" t="s">
        <v>712</v>
      </c>
      <c r="H52" s="72" t="str">
        <f>IF($F52="automatisch",IF(ISNA(MATCH(Stichtag,RD_Kopf,0)),"automatisch",IF(SUMPRODUCT((RD_Kopf&gt;=IF($G52="monatlich",DATE(YEAR(Stichtag),MONTH(Stichtag),1),IF($G52="quartalsweise",DATE(YEAR(Stichtag),INT((MONTH(Stichtag)-1)/3)*3+1,1),Stichtag)))*(RD_Kopf&lt;=Stichtag)*ISNUMBER(Rohdaten!$A$50:$LJ$50))&gt;0,"erledigt","automatisch")),IF($F52&lt;&gt;"ja","nicht berichtet",IF(ISNA(MATCH(Stichtag,RD_Kopf,0)),"keine Spalte",IF(SUMPRODUCT((RD_Kopf&gt;=IF($G52="monatlich",DATE(YEAR(Stichtag),MONTH(Stichtag),1),IF($G52="quartalsweise",DATE(YEAR(Stichtag),INT((MONTH(Stichtag)-1)/3)*3+1,1),Stichtag)))*(RD_Kopf&lt;=Stichtag)*ISNUMBER(Rohdaten!$A$50:$LJ$50))&gt;0,"erledigt","offen"))))</f>
        <v>nicht berichtet</v>
      </c>
      <c r="I52" s="73"/>
      <c r="J52" s="73"/>
      <c r="K52" s="73"/>
      <c r="L52" s="73"/>
      <c r="M52" s="73"/>
      <c r="N52" s="73"/>
      <c r="O52" s="73"/>
      <c r="P52" s="73"/>
      <c r="Q52" s="73"/>
      <c r="R52" s="73"/>
      <c r="S52" s="73"/>
      <c r="T52" s="73" t="s">
        <v>714</v>
      </c>
      <c r="U52" s="73"/>
      <c r="V52" s="73"/>
      <c r="W52" s="73"/>
      <c r="X52" s="73"/>
      <c r="Y52" s="73"/>
      <c r="Z52" s="73"/>
      <c r="AA52" s="73"/>
      <c r="AB52" s="73"/>
      <c r="AC52" s="73"/>
      <c r="AD52" s="73"/>
      <c r="AE52" s="73"/>
      <c r="AF52" s="73"/>
      <c r="AG52" s="73"/>
      <c r="AH52" s="73"/>
      <c r="AI52" s="73"/>
      <c r="AJ52" s="73"/>
      <c r="AK52" s="73"/>
      <c r="AL52" s="73"/>
      <c r="AM52" t="s">
        <v>765</v>
      </c>
      <c r="AN52" t="s">
        <v>762</v>
      </c>
      <c r="AO52" t="s">
        <v>709</v>
      </c>
    </row>
    <row r="53" spans="1:41" ht="18" hidden="1" customHeight="1" outlineLevel="2">
      <c r="A53" s="65">
        <f>ROW(Rohdaten!$A$51)</f>
        <v>51</v>
      </c>
      <c r="B53" s="66">
        <f>IF(Rohdaten!$A$51="","",Rohdaten!$A$51)</f>
        <v/>
      </c>
      <c r="C53" s="67" t="s">
        <v>719</v>
      </c>
      <c r="D53" s="68" t="str">
        <f>IF(Rohdaten!$E$51="","",Rohdaten!$E$51)</f>
        <v>Schneider</v>
      </c>
      <c r="E53" s="69" t="str">
        <f t="array" ref="E53">_xlfn.TEXTJOIN(" / ",TRUE,IF($I53:$AL53="●",$I$4:$AL$4,""))</f>
        <v>Schneider</v>
      </c>
      <c r="F53" s="70" t="s">
        <v>711</v>
      </c>
      <c r="G53" s="71" t="s">
        <v>712</v>
      </c>
      <c r="H53" s="72" t="str">
        <f>IF($F53="automatisch",IF(ISNA(MATCH(Stichtag,RD_Kopf,0)),"automatisch",IF(SUMPRODUCT((RD_Kopf&gt;=IF($G53="monatlich",DATE(YEAR(Stichtag),MONTH(Stichtag),1),IF($G53="quartalsweise",DATE(YEAR(Stichtag),INT((MONTH(Stichtag)-1)/3)*3+1,1),Stichtag)))*(RD_Kopf&lt;=Stichtag)*ISNUMBER(Rohdaten!$A$51:$LJ$51))&gt;0,"erledigt","automatisch")),IF($F53&lt;&gt;"ja","nicht berichtet",IF(ISNA(MATCH(Stichtag,RD_Kopf,0)),"keine Spalte",IF(SUMPRODUCT((RD_Kopf&gt;=IF($G53="monatlich",DATE(YEAR(Stichtag),MONTH(Stichtag),1),IF($G53="quartalsweise",DATE(YEAR(Stichtag),INT((MONTH(Stichtag)-1)/3)*3+1,1),Stichtag)))*(RD_Kopf&lt;=Stichtag)*ISNUMBER(Rohdaten!$A$51:$LJ$51))&gt;0,"erledigt","offen"))))</f>
        <v>nicht berichtet</v>
      </c>
      <c r="I53" s="73"/>
      <c r="J53" s="73"/>
      <c r="K53" s="73"/>
      <c r="L53" s="73"/>
      <c r="M53" s="73"/>
      <c r="N53" s="73"/>
      <c r="O53" s="73"/>
      <c r="P53" s="73"/>
      <c r="Q53" s="73"/>
      <c r="R53" s="73"/>
      <c r="S53" s="73"/>
      <c r="T53" s="73"/>
      <c r="U53" s="73"/>
      <c r="V53" s="73"/>
      <c r="W53" s="73"/>
      <c r="X53" s="73"/>
      <c r="Y53" s="73"/>
      <c r="Z53" s="73"/>
      <c r="AA53" s="73"/>
      <c r="AB53" s="73"/>
      <c r="AC53" s="73"/>
      <c r="AD53" s="73"/>
      <c r="AE53" s="73" t="s">
        <v>714</v>
      </c>
      <c r="AF53" s="73"/>
      <c r="AG53" s="73"/>
      <c r="AH53" s="73"/>
      <c r="AI53" s="73"/>
      <c r="AJ53" s="73"/>
      <c r="AK53" s="73"/>
      <c r="AL53" s="73"/>
      <c r="AM53" t="s">
        <v>766</v>
      </c>
      <c r="AN53" t="s">
        <v>762</v>
      </c>
      <c r="AO53" t="s">
        <v>709</v>
      </c>
    </row>
    <row r="54" spans="1:41" ht="18" hidden="1" customHeight="1" outlineLevel="2">
      <c r="A54" s="65">
        <f>ROW(Rohdaten!$A$52)</f>
        <v>52</v>
      </c>
      <c r="B54" s="66">
        <f>IF(Rohdaten!$A$52="","",Rohdaten!$A$52)</f>
        <v/>
      </c>
      <c r="C54" s="67" t="s">
        <v>721</v>
      </c>
      <c r="D54" s="68" t="str">
        <f>IF(Rohdaten!$E$52="","",Rohdaten!$E$52)</f>
        <v>Lürken</v>
      </c>
      <c r="E54" s="69" t="str">
        <f t="array" ref="E54">_xlfn.TEXTJOIN(" / ",TRUE,IF($I54:$AL54="●",$I$4:$AL$4,""))</f>
        <v>Lürken</v>
      </c>
      <c r="F54" s="70" t="s">
        <v>711</v>
      </c>
      <c r="G54" s="71" t="s">
        <v>712</v>
      </c>
      <c r="H54" s="72" t="str">
        <f>IF($F54="automatisch",IF(ISNA(MATCH(Stichtag,RD_Kopf,0)),"automatisch",IF(SUMPRODUCT((RD_Kopf&gt;=IF($G54="monatlich",DATE(YEAR(Stichtag),MONTH(Stichtag),1),IF($G54="quartalsweise",DATE(YEAR(Stichtag),INT((MONTH(Stichtag)-1)/3)*3+1,1),Stichtag)))*(RD_Kopf&lt;=Stichtag)*ISNUMBER(Rohdaten!$A$52:$LJ$52))&gt;0,"erledigt","automatisch")),IF($F54&lt;&gt;"ja","nicht berichtet",IF(ISNA(MATCH(Stichtag,RD_Kopf,0)),"keine Spalte",IF(SUMPRODUCT((RD_Kopf&gt;=IF($G54="monatlich",DATE(YEAR(Stichtag),MONTH(Stichtag),1),IF($G54="quartalsweise",DATE(YEAR(Stichtag),INT((MONTH(Stichtag)-1)/3)*3+1,1),Stichtag)))*(RD_Kopf&lt;=Stichtag)*ISNUMBER(Rohdaten!$A$52:$LJ$52))&gt;0,"erledigt","offen"))))</f>
        <v>nicht berichtet</v>
      </c>
      <c r="I54" s="73"/>
      <c r="J54" s="73"/>
      <c r="K54" s="73"/>
      <c r="L54" s="73"/>
      <c r="M54" s="73"/>
      <c r="N54" s="73"/>
      <c r="O54" s="73"/>
      <c r="P54" s="73"/>
      <c r="Q54" s="73"/>
      <c r="R54" s="73"/>
      <c r="S54" s="73"/>
      <c r="T54" s="73"/>
      <c r="U54" s="73"/>
      <c r="V54" s="73"/>
      <c r="W54" s="73"/>
      <c r="X54" s="73"/>
      <c r="Y54" s="73"/>
      <c r="Z54" s="73"/>
      <c r="AA54" s="73" t="s">
        <v>714</v>
      </c>
      <c r="AB54" s="73"/>
      <c r="AC54" s="73"/>
      <c r="AD54" s="73"/>
      <c r="AE54" s="73"/>
      <c r="AF54" s="73"/>
      <c r="AG54" s="73"/>
      <c r="AH54" s="73"/>
      <c r="AI54" s="73"/>
      <c r="AJ54" s="73"/>
      <c r="AK54" s="73"/>
      <c r="AL54" s="73"/>
      <c r="AM54" t="s">
        <v>767</v>
      </c>
      <c r="AN54" t="s">
        <v>762</v>
      </c>
      <c r="AO54" t="s">
        <v>709</v>
      </c>
    </row>
    <row r="55" spans="1:41" ht="18" hidden="1" customHeight="1" outlineLevel="2">
      <c r="A55" s="65">
        <f>ROW(Rohdaten!$A$53)</f>
        <v>53</v>
      </c>
      <c r="B55" s="66">
        <f>IF(Rohdaten!$A$53="","",Rohdaten!$A$53)</f>
        <v/>
      </c>
      <c r="C55" s="67" t="s">
        <v>723</v>
      </c>
      <c r="D55" s="68" t="str">
        <f>IF(Rohdaten!$E$53="","",Rohdaten!$E$53)</f>
        <v>Kraus</v>
      </c>
      <c r="E55" s="69" t="str">
        <f t="array" ref="E55">_xlfn.TEXTJOIN(" / ",TRUE,IF($I55:$AL55="●",$I$4:$AL$4,""))</f>
        <v>Kraus</v>
      </c>
      <c r="F55" s="70" t="s">
        <v>711</v>
      </c>
      <c r="G55" s="71" t="s">
        <v>712</v>
      </c>
      <c r="H55" s="72" t="str">
        <f>IF($F55="automatisch",IF(ISNA(MATCH(Stichtag,RD_Kopf,0)),"automatisch",IF(SUMPRODUCT((RD_Kopf&gt;=IF($G55="monatlich",DATE(YEAR(Stichtag),MONTH(Stichtag),1),IF($G55="quartalsweise",DATE(YEAR(Stichtag),INT((MONTH(Stichtag)-1)/3)*3+1,1),Stichtag)))*(RD_Kopf&lt;=Stichtag)*ISNUMBER(Rohdaten!$A$53:$LJ$53))&gt;0,"erledigt","automatisch")),IF($F55&lt;&gt;"ja","nicht berichtet",IF(ISNA(MATCH(Stichtag,RD_Kopf,0)),"keine Spalte",IF(SUMPRODUCT((RD_Kopf&gt;=IF($G55="monatlich",DATE(YEAR(Stichtag),MONTH(Stichtag),1),IF($G55="quartalsweise",DATE(YEAR(Stichtag),INT((MONTH(Stichtag)-1)/3)*3+1,1),Stichtag)))*(RD_Kopf&lt;=Stichtag)*ISNUMBER(Rohdaten!$A$53:$LJ$53))&gt;0,"erledigt","offen"))))</f>
        <v>nicht berichtet</v>
      </c>
      <c r="I55" s="73"/>
      <c r="J55" s="73"/>
      <c r="K55" s="73"/>
      <c r="L55" s="73"/>
      <c r="M55" s="73"/>
      <c r="N55" s="73"/>
      <c r="O55" s="73"/>
      <c r="P55" s="73"/>
      <c r="Q55" s="73"/>
      <c r="R55" s="73"/>
      <c r="S55" s="73"/>
      <c r="T55" s="73"/>
      <c r="U55" s="73"/>
      <c r="V55" s="73"/>
      <c r="W55" s="73"/>
      <c r="X55" s="73"/>
      <c r="Y55" s="73" t="s">
        <v>714</v>
      </c>
      <c r="Z55" s="73"/>
      <c r="AA55" s="73"/>
      <c r="AB55" s="73"/>
      <c r="AC55" s="73"/>
      <c r="AD55" s="73"/>
      <c r="AE55" s="73"/>
      <c r="AF55" s="73"/>
      <c r="AG55" s="73"/>
      <c r="AH55" s="73"/>
      <c r="AI55" s="73"/>
      <c r="AJ55" s="73"/>
      <c r="AK55" s="73"/>
      <c r="AL55" s="73"/>
      <c r="AM55" t="s">
        <v>768</v>
      </c>
      <c r="AN55" t="s">
        <v>762</v>
      </c>
      <c r="AO55" t="s">
        <v>709</v>
      </c>
    </row>
    <row r="56" spans="1:41" ht="18" hidden="1" customHeight="1" outlineLevel="2">
      <c r="A56" s="65">
        <f>ROW(Rohdaten!$A$54)</f>
        <v>54</v>
      </c>
      <c r="B56" s="66">
        <f>IF(Rohdaten!$A$54="","",Rohdaten!$A$54)</f>
        <v/>
      </c>
      <c r="C56" s="67" t="s">
        <v>725</v>
      </c>
      <c r="D56" s="68" t="str">
        <f>IF(Rohdaten!$E$54="","",Rohdaten!$E$54)</f>
        <v>Westrich</v>
      </c>
      <c r="E56" s="69" t="str">
        <f t="array" ref="E56">_xlfn.TEXTJOIN(" / ",TRUE,IF($I56:$AL56="●",$I$4:$AL$4,""))</f>
        <v>Westrich</v>
      </c>
      <c r="F56" s="70" t="s">
        <v>711</v>
      </c>
      <c r="G56" s="71" t="s">
        <v>712</v>
      </c>
      <c r="H56" s="72" t="str">
        <f>IF($F56="automatisch",IF(ISNA(MATCH(Stichtag,RD_Kopf,0)),"automatisch",IF(SUMPRODUCT((RD_Kopf&gt;=IF($G56="monatlich",DATE(YEAR(Stichtag),MONTH(Stichtag),1),IF($G56="quartalsweise",DATE(YEAR(Stichtag),INT((MONTH(Stichtag)-1)/3)*3+1,1),Stichtag)))*(RD_Kopf&lt;=Stichtag)*ISNUMBER(Rohdaten!$A$54:$LJ$54))&gt;0,"erledigt","automatisch")),IF($F56&lt;&gt;"ja","nicht berichtet",IF(ISNA(MATCH(Stichtag,RD_Kopf,0)),"keine Spalte",IF(SUMPRODUCT((RD_Kopf&gt;=IF($G56="monatlich",DATE(YEAR(Stichtag),MONTH(Stichtag),1),IF($G56="quartalsweise",DATE(YEAR(Stichtag),INT((MONTH(Stichtag)-1)/3)*3+1,1),Stichtag)))*(RD_Kopf&lt;=Stichtag)*ISNUMBER(Rohdaten!$A$54:$LJ$54))&gt;0,"erledigt","offen"))))</f>
        <v>nicht berichtet</v>
      </c>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t="s">
        <v>714</v>
      </c>
      <c r="AH56" s="73"/>
      <c r="AI56" s="73"/>
      <c r="AJ56" s="73"/>
      <c r="AK56" s="73"/>
      <c r="AL56" s="73"/>
      <c r="AM56" t="s">
        <v>769</v>
      </c>
      <c r="AN56" t="s">
        <v>762</v>
      </c>
      <c r="AO56" t="s">
        <v>709</v>
      </c>
    </row>
    <row r="57" spans="1:41" ht="18" hidden="1" customHeight="1" outlineLevel="1">
      <c r="A57" s="62"/>
      <c r="B57" s="62" t="s">
        <v>770</v>
      </c>
      <c r="C57" s="63" t="s">
        <v>728</v>
      </c>
      <c r="D57" s="63"/>
      <c r="E57" s="63"/>
      <c r="F57" s="63"/>
      <c r="G57" s="63"/>
      <c r="H57" s="63"/>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O57" t="s">
        <v>706</v>
      </c>
    </row>
    <row r="58" spans="1:41" ht="18" hidden="1" customHeight="1" outlineLevel="2">
      <c r="A58" s="65">
        <f>ROW(Rohdaten!$A$56)</f>
        <v>56</v>
      </c>
      <c r="B58" s="66">
        <f>IF(Rohdaten!$A$56="","",Rohdaten!$A$56)</f>
        <v/>
      </c>
      <c r="C58" s="67" t="s">
        <v>710</v>
      </c>
      <c r="D58" s="68" t="str">
        <f>IF(Rohdaten!$E$56="","",Rohdaten!$E$56)</f>
        <v>Förster / Greß</v>
      </c>
      <c r="E58" s="69" t="str">
        <f t="array" ref="E58">_xlfn.TEXTJOIN(" / ",TRUE,IF($I58:$AL58="●",$I$4:$AL$4,""))</f>
        <v>Förster / Greß</v>
      </c>
      <c r="F58" s="70" t="s">
        <v>711</v>
      </c>
      <c r="G58" s="71" t="s">
        <v>712</v>
      </c>
      <c r="H58" s="72" t="str">
        <f>IF($F58="automatisch",IF(ISNA(MATCH(Stichtag,RD_Kopf,0)),"automatisch",IF(SUMPRODUCT((RD_Kopf&gt;=IF($G58="monatlich",DATE(YEAR(Stichtag),MONTH(Stichtag),1),IF($G58="quartalsweise",DATE(YEAR(Stichtag),INT((MONTH(Stichtag)-1)/3)*3+1,1),Stichtag)))*(RD_Kopf&lt;=Stichtag)*ISNUMBER(Rohdaten!$A$56:$LJ$56))&gt;0,"erledigt","automatisch")),IF($F58&lt;&gt;"ja","nicht berichtet",IF(ISNA(MATCH(Stichtag,RD_Kopf,0)),"keine Spalte",IF(SUMPRODUCT((RD_Kopf&gt;=IF($G58="monatlich",DATE(YEAR(Stichtag),MONTH(Stichtag),1),IF($G58="quartalsweise",DATE(YEAR(Stichtag),INT((MONTH(Stichtag)-1)/3)*3+1,1),Stichtag)))*(RD_Kopf&lt;=Stichtag)*ISNUMBER(Rohdaten!$A$56:$LJ$56))&gt;0,"erledigt","offen"))))</f>
        <v>nicht berichtet</v>
      </c>
      <c r="I58" s="73"/>
      <c r="J58" s="73"/>
      <c r="K58" s="73"/>
      <c r="L58" s="73"/>
      <c r="M58" s="73"/>
      <c r="N58" s="73"/>
      <c r="O58" s="73" t="s">
        <v>714</v>
      </c>
      <c r="P58" s="73"/>
      <c r="Q58" s="73"/>
      <c r="R58" s="73"/>
      <c r="S58" s="73" t="s">
        <v>714</v>
      </c>
      <c r="T58" s="73"/>
      <c r="U58" s="73"/>
      <c r="V58" s="73"/>
      <c r="W58" s="73"/>
      <c r="X58" s="73"/>
      <c r="Y58" s="73"/>
      <c r="Z58" s="73"/>
      <c r="AA58" s="73"/>
      <c r="AB58" s="73"/>
      <c r="AC58" s="73"/>
      <c r="AD58" s="73"/>
      <c r="AE58" s="73"/>
      <c r="AF58" s="73"/>
      <c r="AG58" s="73"/>
      <c r="AH58" s="73"/>
      <c r="AI58" s="73"/>
      <c r="AJ58" s="73"/>
      <c r="AK58" s="73"/>
      <c r="AL58" s="73"/>
      <c r="AM58" t="s">
        <v>771</v>
      </c>
      <c r="AN58" t="s">
        <v>770</v>
      </c>
      <c r="AO58" t="s">
        <v>709</v>
      </c>
    </row>
    <row r="59" spans="1:41" ht="18" hidden="1" customHeight="1" outlineLevel="2">
      <c r="A59" s="65">
        <f>ROW(Rohdaten!$A$57)</f>
        <v>57</v>
      </c>
      <c r="B59" s="66">
        <f>IF(Rohdaten!$A$57="","",Rohdaten!$A$57)</f>
        <v/>
      </c>
      <c r="C59" s="67" t="s">
        <v>715</v>
      </c>
      <c r="D59" s="68" t="str">
        <f>IF(Rohdaten!$E$57="","",Rohdaten!$E$57)</f>
        <v>Streich</v>
      </c>
      <c r="E59" s="69" t="str">
        <f t="array" ref="E59">_xlfn.TEXTJOIN(" / ",TRUE,IF($I59:$AL59="●",$I$4:$AL$4,""))</f>
        <v>Streich</v>
      </c>
      <c r="F59" s="70" t="s">
        <v>711</v>
      </c>
      <c r="G59" s="71" t="s">
        <v>712</v>
      </c>
      <c r="H59" s="72" t="str">
        <f>IF($F59="automatisch",IF(ISNA(MATCH(Stichtag,RD_Kopf,0)),"automatisch",IF(SUMPRODUCT((RD_Kopf&gt;=IF($G59="monatlich",DATE(YEAR(Stichtag),MONTH(Stichtag),1),IF($G59="quartalsweise",DATE(YEAR(Stichtag),INT((MONTH(Stichtag)-1)/3)*3+1,1),Stichtag)))*(RD_Kopf&lt;=Stichtag)*ISNUMBER(Rohdaten!$A$57:$LJ$57))&gt;0,"erledigt","automatisch")),IF($F59&lt;&gt;"ja","nicht berichtet",IF(ISNA(MATCH(Stichtag,RD_Kopf,0)),"keine Spalte",IF(SUMPRODUCT((RD_Kopf&gt;=IF($G59="monatlich",DATE(YEAR(Stichtag),MONTH(Stichtag),1),IF($G59="quartalsweise",DATE(YEAR(Stichtag),INT((MONTH(Stichtag)-1)/3)*3+1,1),Stichtag)))*(RD_Kopf&lt;=Stichtag)*ISNUMBER(Rohdaten!$A$57:$LJ$57))&gt;0,"erledigt","offen"))))</f>
        <v>nicht berichtet</v>
      </c>
      <c r="I59" s="73"/>
      <c r="J59" s="73"/>
      <c r="K59" s="73"/>
      <c r="L59" s="73"/>
      <c r="M59" s="73"/>
      <c r="N59" s="73"/>
      <c r="O59" s="73"/>
      <c r="P59" s="73"/>
      <c r="Q59" s="73"/>
      <c r="R59" s="73"/>
      <c r="S59" s="73"/>
      <c r="T59" s="73"/>
      <c r="U59" s="73"/>
      <c r="V59" s="73"/>
      <c r="W59" s="73"/>
      <c r="X59" s="73"/>
      <c r="Y59" s="73"/>
      <c r="Z59" s="73"/>
      <c r="AA59" s="73"/>
      <c r="AB59" s="73"/>
      <c r="AC59" s="73"/>
      <c r="AD59" s="73"/>
      <c r="AE59" s="73"/>
      <c r="AF59" s="73" t="s">
        <v>714</v>
      </c>
      <c r="AG59" s="73"/>
      <c r="AH59" s="73"/>
      <c r="AI59" s="73"/>
      <c r="AJ59" s="73"/>
      <c r="AK59" s="73"/>
      <c r="AL59" s="73"/>
      <c r="AM59" t="s">
        <v>772</v>
      </c>
      <c r="AN59" t="s">
        <v>770</v>
      </c>
      <c r="AO59" t="s">
        <v>709</v>
      </c>
    </row>
    <row r="60" spans="1:41" ht="18" hidden="1" customHeight="1" outlineLevel="2">
      <c r="A60" s="65">
        <f>ROW(Rohdaten!$A$58)</f>
        <v>58</v>
      </c>
      <c r="B60" s="66">
        <f>IF(Rohdaten!$A$58="","",Rohdaten!$A$58)</f>
        <v/>
      </c>
      <c r="C60" s="67" t="s">
        <v>717</v>
      </c>
      <c r="D60" s="68" t="str">
        <f>IF(Rohdaten!$E$58="","",Rohdaten!$E$58)</f>
        <v>Gress</v>
      </c>
      <c r="E60" s="69" t="str">
        <f t="array" ref="E60">_xlfn.TEXTJOIN(" / ",TRUE,IF($I60:$AL60="●",$I$4:$AL$4,""))</f>
        <v>Gress</v>
      </c>
      <c r="F60" s="70" t="s">
        <v>711</v>
      </c>
      <c r="G60" s="71" t="s">
        <v>712</v>
      </c>
      <c r="H60" s="72" t="str">
        <f>IF($F60="automatisch",IF(ISNA(MATCH(Stichtag,RD_Kopf,0)),"automatisch",IF(SUMPRODUCT((RD_Kopf&gt;=IF($G60="monatlich",DATE(YEAR(Stichtag),MONTH(Stichtag),1),IF($G60="quartalsweise",DATE(YEAR(Stichtag),INT((MONTH(Stichtag)-1)/3)*3+1,1),Stichtag)))*(RD_Kopf&lt;=Stichtag)*ISNUMBER(Rohdaten!$A$58:$LJ$58))&gt;0,"erledigt","automatisch")),IF($F60&lt;&gt;"ja","nicht berichtet",IF(ISNA(MATCH(Stichtag,RD_Kopf,0)),"keine Spalte",IF(SUMPRODUCT((RD_Kopf&gt;=IF($G60="monatlich",DATE(YEAR(Stichtag),MONTH(Stichtag),1),IF($G60="quartalsweise",DATE(YEAR(Stichtag),INT((MONTH(Stichtag)-1)/3)*3+1,1),Stichtag)))*(RD_Kopf&lt;=Stichtag)*ISNUMBER(Rohdaten!$A$58:$LJ$58))&gt;0,"erledigt","offen"))))</f>
        <v>nicht berichtet</v>
      </c>
      <c r="I60" s="73"/>
      <c r="J60" s="73"/>
      <c r="K60" s="73"/>
      <c r="L60" s="73"/>
      <c r="M60" s="73"/>
      <c r="N60" s="73"/>
      <c r="O60" s="73"/>
      <c r="P60" s="73"/>
      <c r="Q60" s="73"/>
      <c r="R60" s="73"/>
      <c r="S60" s="73"/>
      <c r="T60" s="73" t="s">
        <v>714</v>
      </c>
      <c r="U60" s="73"/>
      <c r="V60" s="73"/>
      <c r="W60" s="73"/>
      <c r="X60" s="73"/>
      <c r="Y60" s="73"/>
      <c r="Z60" s="73"/>
      <c r="AA60" s="73"/>
      <c r="AB60" s="73"/>
      <c r="AC60" s="73"/>
      <c r="AD60" s="73"/>
      <c r="AE60" s="73"/>
      <c r="AF60" s="73"/>
      <c r="AG60" s="73"/>
      <c r="AH60" s="73"/>
      <c r="AI60" s="73"/>
      <c r="AJ60" s="73"/>
      <c r="AK60" s="73"/>
      <c r="AL60" s="73"/>
      <c r="AM60" t="s">
        <v>773</v>
      </c>
      <c r="AN60" t="s">
        <v>770</v>
      </c>
      <c r="AO60" t="s">
        <v>709</v>
      </c>
    </row>
    <row r="61" spans="1:41" ht="18" hidden="1" customHeight="1" outlineLevel="2">
      <c r="A61" s="65">
        <f>ROW(Rohdaten!$A$59)</f>
        <v>59</v>
      </c>
      <c r="B61" s="66">
        <f>IF(Rohdaten!$A$59="","",Rohdaten!$A$59)</f>
        <v/>
      </c>
      <c r="C61" s="67" t="s">
        <v>719</v>
      </c>
      <c r="D61" s="68" t="str">
        <f>IF(Rohdaten!$E$59="","",Rohdaten!$E$59)</f>
        <v>Schneider</v>
      </c>
      <c r="E61" s="69" t="str">
        <f t="array" ref="E61">_xlfn.TEXTJOIN(" / ",TRUE,IF($I61:$AL61="●",$I$4:$AL$4,""))</f>
        <v>Schneider</v>
      </c>
      <c r="F61" s="70" t="s">
        <v>711</v>
      </c>
      <c r="G61" s="71" t="s">
        <v>712</v>
      </c>
      <c r="H61" s="72" t="str">
        <f>IF($F61="automatisch",IF(ISNA(MATCH(Stichtag,RD_Kopf,0)),"automatisch",IF(SUMPRODUCT((RD_Kopf&gt;=IF($G61="monatlich",DATE(YEAR(Stichtag),MONTH(Stichtag),1),IF($G61="quartalsweise",DATE(YEAR(Stichtag),INT((MONTH(Stichtag)-1)/3)*3+1,1),Stichtag)))*(RD_Kopf&lt;=Stichtag)*ISNUMBER(Rohdaten!$A$59:$LJ$59))&gt;0,"erledigt","automatisch")),IF($F61&lt;&gt;"ja","nicht berichtet",IF(ISNA(MATCH(Stichtag,RD_Kopf,0)),"keine Spalte",IF(SUMPRODUCT((RD_Kopf&gt;=IF($G61="monatlich",DATE(YEAR(Stichtag),MONTH(Stichtag),1),IF($G61="quartalsweise",DATE(YEAR(Stichtag),INT((MONTH(Stichtag)-1)/3)*3+1,1),Stichtag)))*(RD_Kopf&lt;=Stichtag)*ISNUMBER(Rohdaten!$A$59:$LJ$59))&gt;0,"erledigt","offen"))))</f>
        <v>nicht berichtet</v>
      </c>
      <c r="I61" s="73"/>
      <c r="J61" s="73"/>
      <c r="K61" s="73"/>
      <c r="L61" s="73"/>
      <c r="M61" s="73"/>
      <c r="N61" s="73"/>
      <c r="O61" s="73"/>
      <c r="P61" s="73"/>
      <c r="Q61" s="73"/>
      <c r="R61" s="73"/>
      <c r="S61" s="73"/>
      <c r="T61" s="73"/>
      <c r="U61" s="73"/>
      <c r="V61" s="73"/>
      <c r="W61" s="73"/>
      <c r="X61" s="73"/>
      <c r="Y61" s="73"/>
      <c r="Z61" s="73"/>
      <c r="AA61" s="73"/>
      <c r="AB61" s="73"/>
      <c r="AC61" s="73"/>
      <c r="AD61" s="73"/>
      <c r="AE61" s="73" t="s">
        <v>714</v>
      </c>
      <c r="AF61" s="73"/>
      <c r="AG61" s="73"/>
      <c r="AH61" s="73"/>
      <c r="AI61" s="73"/>
      <c r="AJ61" s="73"/>
      <c r="AK61" s="73"/>
      <c r="AL61" s="73"/>
      <c r="AM61" t="s">
        <v>774</v>
      </c>
      <c r="AN61" t="s">
        <v>770</v>
      </c>
      <c r="AO61" t="s">
        <v>709</v>
      </c>
    </row>
    <row r="62" spans="1:41" ht="18" hidden="1" customHeight="1" outlineLevel="2">
      <c r="A62" s="65">
        <f>ROW(Rohdaten!$A$60)</f>
        <v>60</v>
      </c>
      <c r="B62" s="66">
        <f>IF(Rohdaten!$A$60="","",Rohdaten!$A$60)</f>
        <v/>
      </c>
      <c r="C62" s="67" t="s">
        <v>721</v>
      </c>
      <c r="D62" s="68" t="str">
        <f>IF(Rohdaten!$E$60="","",Rohdaten!$E$60)</f>
        <v>Lürken</v>
      </c>
      <c r="E62" s="69" t="str">
        <f t="array" ref="E62">_xlfn.TEXTJOIN(" / ",TRUE,IF($I62:$AL62="●",$I$4:$AL$4,""))</f>
        <v>Lürken</v>
      </c>
      <c r="F62" s="70" t="s">
        <v>711</v>
      </c>
      <c r="G62" s="71" t="s">
        <v>712</v>
      </c>
      <c r="H62" s="72" t="str">
        <f>IF($F62="automatisch",IF(ISNA(MATCH(Stichtag,RD_Kopf,0)),"automatisch",IF(SUMPRODUCT((RD_Kopf&gt;=IF($G62="monatlich",DATE(YEAR(Stichtag),MONTH(Stichtag),1),IF($G62="quartalsweise",DATE(YEAR(Stichtag),INT((MONTH(Stichtag)-1)/3)*3+1,1),Stichtag)))*(RD_Kopf&lt;=Stichtag)*ISNUMBER(Rohdaten!$A$60:$LJ$60))&gt;0,"erledigt","automatisch")),IF($F62&lt;&gt;"ja","nicht berichtet",IF(ISNA(MATCH(Stichtag,RD_Kopf,0)),"keine Spalte",IF(SUMPRODUCT((RD_Kopf&gt;=IF($G62="monatlich",DATE(YEAR(Stichtag),MONTH(Stichtag),1),IF($G62="quartalsweise",DATE(YEAR(Stichtag),INT((MONTH(Stichtag)-1)/3)*3+1,1),Stichtag)))*(RD_Kopf&lt;=Stichtag)*ISNUMBER(Rohdaten!$A$60:$LJ$60))&gt;0,"erledigt","offen"))))</f>
        <v>nicht berichtet</v>
      </c>
      <c r="I62" s="73"/>
      <c r="J62" s="73"/>
      <c r="K62" s="73"/>
      <c r="L62" s="73"/>
      <c r="M62" s="73"/>
      <c r="N62" s="73"/>
      <c r="O62" s="73"/>
      <c r="P62" s="73"/>
      <c r="Q62" s="73"/>
      <c r="R62" s="73"/>
      <c r="S62" s="73"/>
      <c r="T62" s="73"/>
      <c r="U62" s="73"/>
      <c r="V62" s="73"/>
      <c r="W62" s="73"/>
      <c r="X62" s="73"/>
      <c r="Y62" s="73"/>
      <c r="Z62" s="73"/>
      <c r="AA62" s="73" t="s">
        <v>714</v>
      </c>
      <c r="AB62" s="73"/>
      <c r="AC62" s="73"/>
      <c r="AD62" s="73"/>
      <c r="AE62" s="73"/>
      <c r="AF62" s="73"/>
      <c r="AG62" s="73"/>
      <c r="AH62" s="73"/>
      <c r="AI62" s="73"/>
      <c r="AJ62" s="73"/>
      <c r="AK62" s="73"/>
      <c r="AL62" s="73"/>
      <c r="AM62" t="s">
        <v>775</v>
      </c>
      <c r="AN62" t="s">
        <v>770</v>
      </c>
      <c r="AO62" t="s">
        <v>709</v>
      </c>
    </row>
    <row r="63" spans="1:41" ht="18" hidden="1" customHeight="1" outlineLevel="2">
      <c r="A63" s="65">
        <f>ROW(Rohdaten!$A$61)</f>
        <v>61</v>
      </c>
      <c r="B63" s="66">
        <f>IF(Rohdaten!$A$61="","",Rohdaten!$A$61)</f>
        <v/>
      </c>
      <c r="C63" s="67" t="s">
        <v>723</v>
      </c>
      <c r="D63" s="68" t="str">
        <f>IF(Rohdaten!$E$61="","",Rohdaten!$E$61)</f>
        <v>Kraus</v>
      </c>
      <c r="E63" s="69" t="str">
        <f t="array" ref="E63">_xlfn.TEXTJOIN(" / ",TRUE,IF($I63:$AL63="●",$I$4:$AL$4,""))</f>
        <v>Kraus</v>
      </c>
      <c r="F63" s="70" t="s">
        <v>711</v>
      </c>
      <c r="G63" s="71" t="s">
        <v>712</v>
      </c>
      <c r="H63" s="72" t="str">
        <f>IF($F63="automatisch",IF(ISNA(MATCH(Stichtag,RD_Kopf,0)),"automatisch",IF(SUMPRODUCT((RD_Kopf&gt;=IF($G63="monatlich",DATE(YEAR(Stichtag),MONTH(Stichtag),1),IF($G63="quartalsweise",DATE(YEAR(Stichtag),INT((MONTH(Stichtag)-1)/3)*3+1,1),Stichtag)))*(RD_Kopf&lt;=Stichtag)*ISNUMBER(Rohdaten!$A$61:$LJ$61))&gt;0,"erledigt","automatisch")),IF($F63&lt;&gt;"ja","nicht berichtet",IF(ISNA(MATCH(Stichtag,RD_Kopf,0)),"keine Spalte",IF(SUMPRODUCT((RD_Kopf&gt;=IF($G63="monatlich",DATE(YEAR(Stichtag),MONTH(Stichtag),1),IF($G63="quartalsweise",DATE(YEAR(Stichtag),INT((MONTH(Stichtag)-1)/3)*3+1,1),Stichtag)))*(RD_Kopf&lt;=Stichtag)*ISNUMBER(Rohdaten!$A$61:$LJ$61))&gt;0,"erledigt","offen"))))</f>
        <v>nicht berichtet</v>
      </c>
      <c r="I63" s="73"/>
      <c r="J63" s="73"/>
      <c r="K63" s="73"/>
      <c r="L63" s="73"/>
      <c r="M63" s="73"/>
      <c r="N63" s="73"/>
      <c r="O63" s="73"/>
      <c r="P63" s="73"/>
      <c r="Q63" s="73"/>
      <c r="R63" s="73"/>
      <c r="S63" s="73"/>
      <c r="T63" s="73"/>
      <c r="U63" s="73"/>
      <c r="V63" s="73"/>
      <c r="W63" s="73"/>
      <c r="X63" s="73"/>
      <c r="Y63" s="73" t="s">
        <v>714</v>
      </c>
      <c r="Z63" s="73"/>
      <c r="AA63" s="73"/>
      <c r="AB63" s="73"/>
      <c r="AC63" s="73"/>
      <c r="AD63" s="73"/>
      <c r="AE63" s="73"/>
      <c r="AF63" s="73"/>
      <c r="AG63" s="73"/>
      <c r="AH63" s="73"/>
      <c r="AI63" s="73"/>
      <c r="AJ63" s="73"/>
      <c r="AK63" s="73"/>
      <c r="AL63" s="73"/>
      <c r="AM63" t="s">
        <v>776</v>
      </c>
      <c r="AN63" t="s">
        <v>770</v>
      </c>
      <c r="AO63" t="s">
        <v>709</v>
      </c>
    </row>
    <row r="64" spans="1:41" ht="18" hidden="1" customHeight="1" outlineLevel="2">
      <c r="A64" s="65">
        <f>ROW(Rohdaten!$A$62)</f>
        <v>62</v>
      </c>
      <c r="B64" s="66">
        <f>IF(Rohdaten!$A$62="","",Rohdaten!$A$62)</f>
        <v/>
      </c>
      <c r="C64" s="67" t="s">
        <v>725</v>
      </c>
      <c r="D64" s="68" t="str">
        <f>IF(Rohdaten!$E$62="","",Rohdaten!$E$62)</f>
        <v>Westrich</v>
      </c>
      <c r="E64" s="69" t="str">
        <f t="array" ref="E64">_xlfn.TEXTJOIN(" / ",TRUE,IF($I64:$AL64="●",$I$4:$AL$4,""))</f>
        <v>Westrich</v>
      </c>
      <c r="F64" s="70" t="s">
        <v>711</v>
      </c>
      <c r="G64" s="71" t="s">
        <v>712</v>
      </c>
      <c r="H64" s="72" t="str">
        <f>IF($F64="automatisch",IF(ISNA(MATCH(Stichtag,RD_Kopf,0)),"automatisch",IF(SUMPRODUCT((RD_Kopf&gt;=IF($G64="monatlich",DATE(YEAR(Stichtag),MONTH(Stichtag),1),IF($G64="quartalsweise",DATE(YEAR(Stichtag),INT((MONTH(Stichtag)-1)/3)*3+1,1),Stichtag)))*(RD_Kopf&lt;=Stichtag)*ISNUMBER(Rohdaten!$A$62:$LJ$62))&gt;0,"erledigt","automatisch")),IF($F64&lt;&gt;"ja","nicht berichtet",IF(ISNA(MATCH(Stichtag,RD_Kopf,0)),"keine Spalte",IF(SUMPRODUCT((RD_Kopf&gt;=IF($G64="monatlich",DATE(YEAR(Stichtag),MONTH(Stichtag),1),IF($G64="quartalsweise",DATE(YEAR(Stichtag),INT((MONTH(Stichtag)-1)/3)*3+1,1),Stichtag)))*(RD_Kopf&lt;=Stichtag)*ISNUMBER(Rohdaten!$A$62:$LJ$62))&gt;0,"erledigt","offen"))))</f>
        <v>nicht berichtet</v>
      </c>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t="s">
        <v>714</v>
      </c>
      <c r="AH64" s="73"/>
      <c r="AI64" s="73"/>
      <c r="AJ64" s="73"/>
      <c r="AK64" s="73"/>
      <c r="AL64" s="73"/>
      <c r="AM64" t="s">
        <v>777</v>
      </c>
      <c r="AN64" t="s">
        <v>770</v>
      </c>
      <c r="AO64" t="s">
        <v>709</v>
      </c>
    </row>
    <row r="65" spans="1:41" ht="22" customHeight="1" collapsed="1">
      <c r="A65" s="60" t="s">
        <v>778</v>
      </c>
      <c r="B65" s="60"/>
      <c r="C65" s="60"/>
      <c r="D65" s="60"/>
      <c r="E65" s="60"/>
      <c r="F65" s="60"/>
      <c r="G65" s="60"/>
      <c r="H65" s="60"/>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O65" t="s">
        <v>705</v>
      </c>
    </row>
    <row r="66" spans="1:41" ht="18" hidden="1" customHeight="1" outlineLevel="1">
      <c r="A66" s="65">
        <f>ROW(Rohdaten!$A$63)</f>
        <v>63</v>
      </c>
      <c r="B66" s="66">
        <f>IF(Rohdaten!$A$63="","",Rohdaten!$A$63)</f>
        <v>5</v>
      </c>
      <c r="C66" s="74" t="s">
        <v>728</v>
      </c>
      <c r="D66" s="68" t="str">
        <f>IF(Rohdaten!$E$63="","",Rohdaten!$E$63)</f>
        <v>Burnik</v>
      </c>
      <c r="E66" s="69" t="str">
        <f t="array" ref="E66">_xlfn.TEXTJOIN(" / ",TRUE,IF($I66:$AL66="●",$I$4:$AL$4,""))</f>
        <v>Burnik</v>
      </c>
      <c r="F66" s="70" t="s">
        <v>711</v>
      </c>
      <c r="G66" s="71" t="s">
        <v>712</v>
      </c>
      <c r="H66" s="72" t="str">
        <f>IF($F66="automatisch",IF(ISNA(MATCH(Stichtag,RD_Kopf,0)),"automatisch",IF(SUMPRODUCT((RD_Kopf&gt;=IF($G66="monatlich",DATE(YEAR(Stichtag),MONTH(Stichtag),1),IF($G66="quartalsweise",DATE(YEAR(Stichtag),INT((MONTH(Stichtag)-1)/3)*3+1,1),Stichtag)))*(RD_Kopf&lt;=Stichtag)*ISNUMBER(Rohdaten!$A$63:$LJ$63))&gt;0,"erledigt","automatisch")),IF($F66&lt;&gt;"ja","nicht berichtet",IF(ISNA(MATCH(Stichtag,RD_Kopf,0)),"keine Spalte",IF(SUMPRODUCT((RD_Kopf&gt;=IF($G66="monatlich",DATE(YEAR(Stichtag),MONTH(Stichtag),1),IF($G66="quartalsweise",DATE(YEAR(Stichtag),INT((MONTH(Stichtag)-1)/3)*3+1,1),Stichtag)))*(RD_Kopf&lt;=Stichtag)*ISNUMBER(Rohdaten!$A$63:$LJ$63))&gt;0,"erledigt","offen"))))</f>
        <v>nicht berichtet</v>
      </c>
      <c r="I66" s="73"/>
      <c r="J66" s="73"/>
      <c r="K66" s="73"/>
      <c r="L66" s="73"/>
      <c r="M66" s="73"/>
      <c r="N66" s="73" t="s">
        <v>714</v>
      </c>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t="s">
        <v>779</v>
      </c>
      <c r="AN66" t="s">
        <v>129</v>
      </c>
      <c r="AO66" t="s">
        <v>709</v>
      </c>
    </row>
    <row r="67" spans="1:41" ht="22" customHeight="1">
      <c r="A67" s="60" t="s">
        <v>780</v>
      </c>
      <c r="B67" s="60"/>
      <c r="C67" s="60"/>
      <c r="D67" s="60"/>
      <c r="E67" s="60"/>
      <c r="F67" s="60"/>
      <c r="G67" s="60"/>
      <c r="H67" s="60"/>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c r="AL67" s="61"/>
      <c r="AO67" t="s">
        <v>705</v>
      </c>
    </row>
    <row r="68" spans="1:41" ht="18" customHeight="1" outlineLevel="1">
      <c r="A68" s="65">
        <f>ROW(Rohdaten!$A$64)</f>
        <v>64</v>
      </c>
      <c r="B68" s="66" t="str">
        <f>IF(Rohdaten!$A$64="","",Rohdaten!$A$64)</f>
        <v>6a</v>
      </c>
      <c r="C68" s="74" t="s">
        <v>728</v>
      </c>
      <c r="D68" s="68" t="str">
        <f>IF(Rohdaten!$E$64="","",Rohdaten!$E$64)</f>
        <v>Isa Kinnert /Olaf Göddertz
COMMAS-REPORT</v>
      </c>
      <c r="E68" s="69" t="str">
        <f t="array" ref="E68">_xlfn.TEXTJOIN(" / ",TRUE,IF($I68:$AL68="●",$I$4:$AL$4,""))</f>
        <v>Göddertz / Kinnert</v>
      </c>
      <c r="F68" s="70" t="s">
        <v>781</v>
      </c>
      <c r="G68" s="71" t="s">
        <v>712</v>
      </c>
      <c r="H68" s="72">
        <f>IF($F68="automatisch",IF(ISNA(MATCH(Stichtag,RD_Kopf,0)),"automatisch",IF(SUMPRODUCT((RD_Kopf&gt;=IF($G68="monatlich",DATE(YEAR(Stichtag),MONTH(Stichtag),1),IF($G68="quartalsweise",DATE(YEAR(Stichtag),INT((MONTH(Stichtag)-1)/3)*3+1,1),Stichtag)))*(RD_Kopf&lt;=Stichtag)*ISNUMBER(Rohdaten!$A$64:$LJ$64))&gt;0,"erledigt","automatisch")),IF($F68&lt;&gt;"ja","",IF(ISNA(MATCH(Stichtag,RD_Kopf,0)),"keine Spalte",IF(SUMPRODUCT((RD_Kopf&gt;=IF($G68="monatlich",DATE(YEAR(Stichtag),MONTH(Stichtag),1),IF($G68="quartalsweise",DATE(YEAR(Stichtag),INT((MONTH(Stichtag)-1)/3)*3+1,1),Stichtag)))*(RD_Kopf&lt;=Stichtag)*ISNUMBER(Rohdaten!$A$64:$LJ$64))&gt;0,"erledigt","offen"))))</f>
        <v/>
      </c>
      <c r="I68" s="73"/>
      <c r="J68" s="73"/>
      <c r="K68" s="73"/>
      <c r="L68" s="73"/>
      <c r="M68" s="73"/>
      <c r="N68" s="73"/>
      <c r="O68" s="73"/>
      <c r="P68" s="73"/>
      <c r="Q68" s="73"/>
      <c r="R68" s="73" t="s">
        <v>714</v>
      </c>
      <c r="S68" s="73"/>
      <c r="T68" s="73"/>
      <c r="U68" s="73" t="s">
        <v>714</v>
      </c>
      <c r="V68" s="73"/>
      <c r="W68" s="73"/>
      <c r="X68" s="73"/>
      <c r="Y68" s="73"/>
      <c r="Z68" s="73"/>
      <c r="AA68" s="73"/>
      <c r="AB68" s="73"/>
      <c r="AC68" s="73"/>
      <c r="AD68" s="73"/>
      <c r="AE68" s="73"/>
      <c r="AF68" s="73"/>
      <c r="AG68" s="73"/>
      <c r="AH68" s="73"/>
      <c r="AI68" s="73"/>
      <c r="AJ68" s="73"/>
      <c r="AK68" s="73"/>
      <c r="AL68" s="73"/>
      <c r="AM68" t="s">
        <v>782</v>
      </c>
      <c r="AN68" t="s">
        <v>102</v>
      </c>
      <c r="AO68" t="s">
        <v>709</v>
      </c>
    </row>
    <row r="69" spans="1:41" ht="18" customHeight="1" outlineLevel="1">
      <c r="A69" s="65">
        <f>ROW(Rohdaten!$A$65)</f>
        <v>65</v>
      </c>
      <c r="B69" s="66" t="str">
        <f>IF(Rohdaten!$A$65="","",Rohdaten!$A$65)</f>
        <v>6b</v>
      </c>
      <c r="C69" s="74" t="s">
        <v>783</v>
      </c>
      <c r="D69" s="68">
        <f>IF(Rohdaten!$E$65="","",Rohdaten!$E$65)</f>
        <v/>
      </c>
      <c r="E69" s="69" t="str">
        <f t="array" ref="E69">_xlfn.TEXTJOIN(" / ",TRUE,IF($I69:$AL69="●",$I$4:$AL$4,""))</f>
        <v/>
      </c>
      <c r="F69" s="70" t="s">
        <v>711</v>
      </c>
      <c r="G69" s="71" t="s">
        <v>712</v>
      </c>
      <c r="H69" s="72">
        <f>IF($F69="automatisch",IF(ISNA(MATCH(Stichtag,RD_Kopf,0)),"automatisch",IF(SUMPRODUCT((RD_Kopf&gt;=IF($G69="monatlich",DATE(YEAR(Stichtag),MONTH(Stichtag),1),IF($G69="quartalsweise",DATE(YEAR(Stichtag),INT((MONTH(Stichtag)-1)/3)*3+1,1),Stichtag)))*(RD_Kopf&lt;=Stichtag)*ISNUMBER(Rohdaten!$A$65:$LJ$65))&gt;0,"erledigt","automatisch")),IF($F69&lt;&gt;"ja","",IF(ISNA(MATCH(Stichtag,RD_Kopf,0)),"keine Spalte",IF(SUMPRODUCT((RD_Kopf&gt;=IF($G69="monatlich",DATE(YEAR(Stichtag),MONTH(Stichtag),1),IF($G69="quartalsweise",DATE(YEAR(Stichtag),INT((MONTH(Stichtag)-1)/3)*3+1,1),Stichtag)))*(RD_Kopf&lt;=Stichtag)*ISNUMBER(Rohdaten!$A$65:$LJ$65))&gt;0,"erledigt","offen"))))</f>
        <v/>
      </c>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t="s">
        <v>784</v>
      </c>
      <c r="AN69" t="s">
        <v>785</v>
      </c>
      <c r="AO69" t="s">
        <v>709</v>
      </c>
    </row>
    <row r="70" spans="1:41" ht="18" customHeight="1" outlineLevel="1">
      <c r="A70" s="65">
        <f>ROW(Rohdaten!$A$66)</f>
        <v>66</v>
      </c>
      <c r="B70" s="66" t="str">
        <f>IF(Rohdaten!$A$66="","",Rohdaten!$A$66)</f>
        <v>6c</v>
      </c>
      <c r="C70" s="74" t="s">
        <v>786</v>
      </c>
      <c r="D70" s="68" t="str">
        <f>IF(Rohdaten!$E$66="","",Rohdaten!$E$66)</f>
        <v>Isa Kinnert /Olaf Göddertz
COMMAS-REPORT</v>
      </c>
      <c r="E70" s="69" t="str">
        <f t="array" ref="E70">_xlfn.TEXTJOIN(" / ",TRUE,IF($I70:$AL70="●",$I$4:$AL$4,""))</f>
        <v/>
      </c>
      <c r="F70" s="70" t="s">
        <v>711</v>
      </c>
      <c r="G70" s="71" t="s">
        <v>712</v>
      </c>
      <c r="H70" s="72">
        <f>IF($F70="automatisch",IF(ISNA(MATCH(Stichtag,RD_Kopf,0)),"automatisch",IF(SUMPRODUCT((RD_Kopf&gt;=IF($G70="monatlich",DATE(YEAR(Stichtag),MONTH(Stichtag),1),IF($G70="quartalsweise",DATE(YEAR(Stichtag),INT((MONTH(Stichtag)-1)/3)*3+1,1),Stichtag)))*(RD_Kopf&lt;=Stichtag)*ISNUMBER(Rohdaten!$A$66:$LJ$66))&gt;0,"erledigt","automatisch")),IF($F70&lt;&gt;"ja","",IF(ISNA(MATCH(Stichtag,RD_Kopf,0)),"keine Spalte",IF(SUMPRODUCT((RD_Kopf&gt;=IF($G70="monatlich",DATE(YEAR(Stichtag),MONTH(Stichtag),1),IF($G70="quartalsweise",DATE(YEAR(Stichtag),INT((MONTH(Stichtag)-1)/3)*3+1,1),Stichtag)))*(RD_Kopf&lt;=Stichtag)*ISNUMBER(Rohdaten!$A$66:$LJ$66))&gt;0,"erledigt","offen"))))</f>
        <v/>
      </c>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t="s">
        <v>787</v>
      </c>
      <c r="AN70" t="s">
        <v>788</v>
      </c>
      <c r="AO70" t="s">
        <v>709</v>
      </c>
    </row>
    <row r="71" spans="1:41" ht="22" customHeight="1">
      <c r="A71" s="60" t="s">
        <v>789</v>
      </c>
      <c r="B71" s="60"/>
      <c r="C71" s="60"/>
      <c r="D71" s="60"/>
      <c r="E71" s="60"/>
      <c r="F71" s="60"/>
      <c r="G71" s="60"/>
      <c r="H71" s="60"/>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O71" t="s">
        <v>705</v>
      </c>
    </row>
    <row r="72" spans="1:41" ht="18" customHeight="1" outlineLevel="1">
      <c r="A72" s="65">
        <f>ROW(Rohdaten!$A$67)</f>
        <v>67</v>
      </c>
      <c r="B72" s="66" t="str">
        <f>IF(Rohdaten!$A$67="","",Rohdaten!$A$67)</f>
        <v>7VA</v>
      </c>
      <c r="C72" s="74" t="s">
        <v>790</v>
      </c>
      <c r="D72" s="68">
        <f>IF(Rohdaten!$E$67="","",Rohdaten!$E$67)</f>
        <v/>
      </c>
      <c r="E72" s="69" t="str">
        <f t="array" ref="E72">_xlfn.TEXTJOIN(" / ",TRUE,IF($I72:$AL72="●",$I$4:$AL$4,""))</f>
        <v/>
      </c>
      <c r="F72" s="70" t="s">
        <v>791</v>
      </c>
      <c r="G72" s="71" t="s">
        <v>712</v>
      </c>
      <c r="H72" s="72">
        <f>IF($F72="automatisch",IF(ISNA(MATCH(Stichtag,RD_Kopf,0)),"automatisch",IF(SUMPRODUCT((RD_Kopf&gt;=IF($G72="monatlich",DATE(YEAR(Stichtag),MONTH(Stichtag),1),IF($G72="quartalsweise",DATE(YEAR(Stichtag),INT((MONTH(Stichtag)-1)/3)*3+1,1),Stichtag)))*(RD_Kopf&lt;=Stichtag)*ISNUMBER(Rohdaten!$A$67:$LJ$67))&gt;0,"erledigt","automatisch")),IF($F72&lt;&gt;"ja","",IF(ISNA(MATCH(Stichtag,RD_Kopf,0)),"keine Spalte",IF(SUMPRODUCT((RD_Kopf&gt;=IF($G72="monatlich",DATE(YEAR(Stichtag),MONTH(Stichtag),1),IF($G72="quartalsweise",DATE(YEAR(Stichtag),INT((MONTH(Stichtag)-1)/3)*3+1,1),Stichtag)))*(RD_Kopf&lt;=Stichtag)*ISNUMBER(Rohdaten!$A$67:$LJ$67))&gt;0,"erledigt","offen"))))</f>
        <v/>
      </c>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t="s">
        <v>792</v>
      </c>
      <c r="AN72" t="s">
        <v>145</v>
      </c>
      <c r="AO72" t="s">
        <v>709</v>
      </c>
    </row>
    <row r="73" spans="1:41" ht="18" customHeight="1" outlineLevel="1">
      <c r="A73" s="62"/>
      <c r="B73" s="62"/>
      <c r="C73" s="63" t="s">
        <v>728</v>
      </c>
      <c r="D73" s="63"/>
      <c r="E73" s="63"/>
      <c r="F73" s="63"/>
      <c r="G73" s="63"/>
      <c r="H73" s="63"/>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O73" t="s">
        <v>706</v>
      </c>
    </row>
    <row r="74" spans="1:41" ht="18" customHeight="1" outlineLevel="2">
      <c r="A74" s="65">
        <f>ROW(Rohdaten!$A$68)</f>
        <v>68</v>
      </c>
      <c r="B74" s="66" t="str">
        <f>IF(Rohdaten!$A$68="","",Rohdaten!$A$68)</f>
        <v>7VB</v>
      </c>
      <c r="C74" s="67" t="s">
        <v>793</v>
      </c>
      <c r="D74" s="68" t="str">
        <f>IF(Rohdaten!$E$68="","",Rohdaten!$E$68)</f>
        <v>Amend</v>
      </c>
      <c r="E74" s="69" t="str">
        <f t="array" ref="E74">_xlfn.TEXTJOIN(" / ",TRUE,IF($I74:$AL74="●",$I$4:$AL$4,""))</f>
        <v>Amend</v>
      </c>
      <c r="F74" s="70" t="s">
        <v>791</v>
      </c>
      <c r="G74" s="71" t="s">
        <v>712</v>
      </c>
      <c r="H74" s="72">
        <f>IF($F74="automatisch",IF(ISNA(MATCH(Stichtag,RD_Kopf,0)),"automatisch",IF(SUMPRODUCT((RD_Kopf&gt;=IF($G74="monatlich",DATE(YEAR(Stichtag),MONTH(Stichtag),1),IF($G74="quartalsweise",DATE(YEAR(Stichtag),INT((MONTH(Stichtag)-1)/3)*3+1,1),Stichtag)))*(RD_Kopf&lt;=Stichtag)*ISNUMBER(Rohdaten!$A$68:$LJ$68))&gt;0,"erledigt","automatisch")),IF($F74&lt;&gt;"ja","",IF(ISNA(MATCH(Stichtag,RD_Kopf,0)),"keine Spalte",IF(SUMPRODUCT((RD_Kopf&gt;=IF($G74="monatlich",DATE(YEAR(Stichtag),MONTH(Stichtag),1),IF($G74="quartalsweise",DATE(YEAR(Stichtag),INT((MONTH(Stichtag)-1)/3)*3+1,1),Stichtag)))*(RD_Kopf&lt;=Stichtag)*ISNUMBER(Rohdaten!$A$68:$LJ$68))&gt;0,"erledigt","offen"))))</f>
        <v/>
      </c>
      <c r="I74" s="73" t="s">
        <v>714</v>
      </c>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t="s">
        <v>794</v>
      </c>
      <c r="AN74" t="s">
        <v>147</v>
      </c>
      <c r="AO74" t="s">
        <v>709</v>
      </c>
    </row>
    <row r="75" spans="1:41" ht="18" customHeight="1" outlineLevel="2">
      <c r="A75" s="65">
        <f>ROW(Rohdaten!$A$69)</f>
        <v>69</v>
      </c>
      <c r="B75" s="66" t="str">
        <f>IF(Rohdaten!$A$69="","",Rohdaten!$A$69)</f>
        <v>7VC</v>
      </c>
      <c r="C75" s="67" t="s">
        <v>795</v>
      </c>
      <c r="D75" s="68" t="str">
        <f>IF(Rohdaten!$E$69="","",Rohdaten!$E$69)</f>
        <v>Amend</v>
      </c>
      <c r="E75" s="69" t="str">
        <f t="array" ref="E75">_xlfn.TEXTJOIN(" / ",TRUE,IF($I75:$AL75="●",$I$4:$AL$4,""))</f>
        <v>Amend</v>
      </c>
      <c r="F75" s="70" t="s">
        <v>791</v>
      </c>
      <c r="G75" s="71" t="s">
        <v>712</v>
      </c>
      <c r="H75" s="72">
        <f>IF($F75="automatisch",IF(ISNA(MATCH(Stichtag,RD_Kopf,0)),"automatisch",IF(SUMPRODUCT((RD_Kopf&gt;=IF($G75="monatlich",DATE(YEAR(Stichtag),MONTH(Stichtag),1),IF($G75="quartalsweise",DATE(YEAR(Stichtag),INT((MONTH(Stichtag)-1)/3)*3+1,1),Stichtag)))*(RD_Kopf&lt;=Stichtag)*ISNUMBER(Rohdaten!$A$69:$LJ$69))&gt;0,"erledigt","automatisch")),IF($F75&lt;&gt;"ja","",IF(ISNA(MATCH(Stichtag,RD_Kopf,0)),"keine Spalte",IF(SUMPRODUCT((RD_Kopf&gt;=IF($G75="monatlich",DATE(YEAR(Stichtag),MONTH(Stichtag),1),IF($G75="quartalsweise",DATE(YEAR(Stichtag),INT((MONTH(Stichtag)-1)/3)*3+1,1),Stichtag)))*(RD_Kopf&lt;=Stichtag)*ISNUMBER(Rohdaten!$A$69:$LJ$69))&gt;0,"erledigt","offen"))))</f>
        <v/>
      </c>
      <c r="I75" s="73" t="s">
        <v>714</v>
      </c>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t="s">
        <v>796</v>
      </c>
      <c r="AN75" t="s">
        <v>149</v>
      </c>
      <c r="AO75" t="s">
        <v>709</v>
      </c>
    </row>
    <row r="76" spans="1:41" ht="18" customHeight="1" outlineLevel="2">
      <c r="A76" s="65">
        <f>ROW(Rohdaten!$A$70)</f>
        <v>70</v>
      </c>
      <c r="B76" s="66" t="str">
        <f>IF(Rohdaten!$A$70="","",Rohdaten!$A$70)</f>
        <v>7VD</v>
      </c>
      <c r="C76" s="67" t="s">
        <v>797</v>
      </c>
      <c r="D76" s="68" t="str">
        <f>IF(Rohdaten!$E$70="","",Rohdaten!$E$70)</f>
        <v>Amend</v>
      </c>
      <c r="E76" s="69" t="str">
        <f t="array" ref="E76">_xlfn.TEXTJOIN(" / ",TRUE,IF($I76:$AL76="●",$I$4:$AL$4,""))</f>
        <v>Amend</v>
      </c>
      <c r="F76" s="70" t="s">
        <v>791</v>
      </c>
      <c r="G76" s="71" t="s">
        <v>712</v>
      </c>
      <c r="H76" s="72">
        <f>IF($F76="automatisch",IF(ISNA(MATCH(Stichtag,RD_Kopf,0)),"automatisch",IF(SUMPRODUCT((RD_Kopf&gt;=IF($G76="monatlich",DATE(YEAR(Stichtag),MONTH(Stichtag),1),IF($G76="quartalsweise",DATE(YEAR(Stichtag),INT((MONTH(Stichtag)-1)/3)*3+1,1),Stichtag)))*(RD_Kopf&lt;=Stichtag)*ISNUMBER(Rohdaten!$A$70:$LJ$70))&gt;0,"erledigt","automatisch")),IF($F76&lt;&gt;"ja","",IF(ISNA(MATCH(Stichtag,RD_Kopf,0)),"keine Spalte",IF(SUMPRODUCT((RD_Kopf&gt;=IF($G76="monatlich",DATE(YEAR(Stichtag),MONTH(Stichtag),1),IF($G76="quartalsweise",DATE(YEAR(Stichtag),INT((MONTH(Stichtag)-1)/3)*3+1,1),Stichtag)))*(RD_Kopf&lt;=Stichtag)*ISNUMBER(Rohdaten!$A$70:$LJ$70))&gt;0,"erledigt","offen"))))</f>
        <v/>
      </c>
      <c r="I76" s="73" t="s">
        <v>714</v>
      </c>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t="s">
        <v>798</v>
      </c>
      <c r="AN76" t="s">
        <v>151</v>
      </c>
      <c r="AO76" t="s">
        <v>709</v>
      </c>
    </row>
    <row r="77" spans="1:41" ht="18" customHeight="1" outlineLevel="1">
      <c r="A77" s="65">
        <f>ROW(Rohdaten!$A$71)</f>
        <v>71</v>
      </c>
      <c r="B77" s="66" t="str">
        <f>IF(Rohdaten!$A$71="","",Rohdaten!$A$71)</f>
        <v>7VE</v>
      </c>
      <c r="C77" s="74" t="s">
        <v>799</v>
      </c>
      <c r="D77" s="68">
        <f>IF(Rohdaten!$E$71="","",Rohdaten!$E$71)</f>
        <v/>
      </c>
      <c r="E77" s="69" t="str">
        <f t="array" ref="E77">_xlfn.TEXTJOIN(" / ",TRUE,IF($I77:$AL77="●",$I$4:$AL$4,""))</f>
        <v/>
      </c>
      <c r="F77" s="70" t="s">
        <v>791</v>
      </c>
      <c r="G77" s="71" t="s">
        <v>712</v>
      </c>
      <c r="H77" s="72">
        <f>IF($F77="automatisch",IF(ISNA(MATCH(Stichtag,RD_Kopf,0)),"automatisch",IF(SUMPRODUCT((RD_Kopf&gt;=IF($G77="monatlich",DATE(YEAR(Stichtag),MONTH(Stichtag),1),IF($G77="quartalsweise",DATE(YEAR(Stichtag),INT((MONTH(Stichtag)-1)/3)*3+1,1),Stichtag)))*(RD_Kopf&lt;=Stichtag)*ISNUMBER(Rohdaten!$A$71:$LJ$71))&gt;0,"erledigt","automatisch")),IF($F77&lt;&gt;"ja","",IF(ISNA(MATCH(Stichtag,RD_Kopf,0)),"keine Spalte",IF(SUMPRODUCT((RD_Kopf&gt;=IF($G77="monatlich",DATE(YEAR(Stichtag),MONTH(Stichtag),1),IF($G77="quartalsweise",DATE(YEAR(Stichtag),INT((MONTH(Stichtag)-1)/3)*3+1,1),Stichtag)))*(RD_Kopf&lt;=Stichtag)*ISNUMBER(Rohdaten!$A$71:$LJ$71))&gt;0,"erledigt","offen"))))</f>
        <v/>
      </c>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t="s">
        <v>800</v>
      </c>
      <c r="AN77" t="s">
        <v>801</v>
      </c>
      <c r="AO77" t="s">
        <v>709</v>
      </c>
    </row>
    <row r="78" spans="1:41" ht="18" customHeight="1" outlineLevel="1">
      <c r="A78" s="62"/>
      <c r="B78" s="62"/>
      <c r="C78" s="63" t="s">
        <v>783</v>
      </c>
      <c r="D78" s="63"/>
      <c r="E78" s="63"/>
      <c r="F78" s="63"/>
      <c r="G78" s="63"/>
      <c r="H78" s="63"/>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O78" t="s">
        <v>706</v>
      </c>
    </row>
    <row r="79" spans="1:41" ht="18" customHeight="1" outlineLevel="2">
      <c r="A79" s="65">
        <f>ROW(Rohdaten!$A$72)</f>
        <v>72</v>
      </c>
      <c r="B79" s="66" t="str">
        <f>IF(Rohdaten!$A$72="","",Rohdaten!$A$72)</f>
        <v>7VF</v>
      </c>
      <c r="C79" s="67" t="s">
        <v>793</v>
      </c>
      <c r="D79" s="68" t="str">
        <f>IF(Rohdaten!$E$72="","",Rohdaten!$E$72)</f>
        <v>Amend</v>
      </c>
      <c r="E79" s="69" t="str">
        <f t="array" ref="E79">_xlfn.TEXTJOIN(" / ",TRUE,IF($I79:$AL79="●",$I$4:$AL$4,""))</f>
        <v>Amend</v>
      </c>
      <c r="F79" s="70" t="s">
        <v>791</v>
      </c>
      <c r="G79" s="71" t="s">
        <v>712</v>
      </c>
      <c r="H79" s="72">
        <f>IF($F79="automatisch",IF(ISNA(MATCH(Stichtag,RD_Kopf,0)),"automatisch",IF(SUMPRODUCT((RD_Kopf&gt;=IF($G79="monatlich",DATE(YEAR(Stichtag),MONTH(Stichtag),1),IF($G79="quartalsweise",DATE(YEAR(Stichtag),INT((MONTH(Stichtag)-1)/3)*3+1,1),Stichtag)))*(RD_Kopf&lt;=Stichtag)*ISNUMBER(Rohdaten!$A$72:$LJ$72))&gt;0,"erledigt","automatisch")),IF($F79&lt;&gt;"ja","",IF(ISNA(MATCH(Stichtag,RD_Kopf,0)),"keine Spalte",IF(SUMPRODUCT((RD_Kopf&gt;=IF($G79="monatlich",DATE(YEAR(Stichtag),MONTH(Stichtag),1),IF($G79="quartalsweise",DATE(YEAR(Stichtag),INT((MONTH(Stichtag)-1)/3)*3+1,1),Stichtag)))*(RD_Kopf&lt;=Stichtag)*ISNUMBER(Rohdaten!$A$72:$LJ$72))&gt;0,"erledigt","offen"))))</f>
        <v/>
      </c>
      <c r="I79" s="73" t="s">
        <v>714</v>
      </c>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t="s">
        <v>802</v>
      </c>
      <c r="AN79" t="s">
        <v>153</v>
      </c>
      <c r="AO79" t="s">
        <v>709</v>
      </c>
    </row>
    <row r="80" spans="1:41" ht="18" customHeight="1" outlineLevel="2">
      <c r="A80" s="65">
        <f>ROW(Rohdaten!$A$73)</f>
        <v>73</v>
      </c>
      <c r="B80" s="66" t="str">
        <f>IF(Rohdaten!$A$73="","",Rohdaten!$A$73)</f>
        <v>7VG</v>
      </c>
      <c r="C80" s="67" t="s">
        <v>795</v>
      </c>
      <c r="D80" s="68" t="str">
        <f>IF(Rohdaten!$E$73="","",Rohdaten!$E$73)</f>
        <v>Amend</v>
      </c>
      <c r="E80" s="69" t="str">
        <f t="array" ref="E80">_xlfn.TEXTJOIN(" / ",TRUE,IF($I80:$AL80="●",$I$4:$AL$4,""))</f>
        <v>Amend</v>
      </c>
      <c r="F80" s="70" t="s">
        <v>791</v>
      </c>
      <c r="G80" s="71" t="s">
        <v>712</v>
      </c>
      <c r="H80" s="72">
        <f>IF($F80="automatisch",IF(ISNA(MATCH(Stichtag,RD_Kopf,0)),"automatisch",IF(SUMPRODUCT((RD_Kopf&gt;=IF($G80="monatlich",DATE(YEAR(Stichtag),MONTH(Stichtag),1),IF($G80="quartalsweise",DATE(YEAR(Stichtag),INT((MONTH(Stichtag)-1)/3)*3+1,1),Stichtag)))*(RD_Kopf&lt;=Stichtag)*ISNUMBER(Rohdaten!$A$73:$LJ$73))&gt;0,"erledigt","automatisch")),IF($F80&lt;&gt;"ja","",IF(ISNA(MATCH(Stichtag,RD_Kopf,0)),"keine Spalte",IF(SUMPRODUCT((RD_Kopf&gt;=IF($G80="monatlich",DATE(YEAR(Stichtag),MONTH(Stichtag),1),IF($G80="quartalsweise",DATE(YEAR(Stichtag),INT((MONTH(Stichtag)-1)/3)*3+1,1),Stichtag)))*(RD_Kopf&lt;=Stichtag)*ISNUMBER(Rohdaten!$A$73:$LJ$73))&gt;0,"erledigt","offen"))))</f>
        <v/>
      </c>
      <c r="I80" s="73" t="s">
        <v>714</v>
      </c>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t="s">
        <v>803</v>
      </c>
      <c r="AN80" t="s">
        <v>157</v>
      </c>
      <c r="AO80" t="s">
        <v>709</v>
      </c>
    </row>
    <row r="81" spans="1:41" ht="18" customHeight="1" outlineLevel="2">
      <c r="A81" s="65">
        <f>ROW(Rohdaten!$A$74)</f>
        <v>74</v>
      </c>
      <c r="B81" s="66" t="str">
        <f>IF(Rohdaten!$A$74="","",Rohdaten!$A$74)</f>
        <v>7VH</v>
      </c>
      <c r="C81" s="67" t="s">
        <v>797</v>
      </c>
      <c r="D81" s="68" t="str">
        <f>IF(Rohdaten!$E$74="","",Rohdaten!$E$74)</f>
        <v>Amend</v>
      </c>
      <c r="E81" s="69" t="str">
        <f t="array" ref="E81">_xlfn.TEXTJOIN(" / ",TRUE,IF($I81:$AL81="●",$I$4:$AL$4,""))</f>
        <v>Amend</v>
      </c>
      <c r="F81" s="70" t="s">
        <v>791</v>
      </c>
      <c r="G81" s="71" t="s">
        <v>712</v>
      </c>
      <c r="H81" s="72">
        <f>IF($F81="automatisch",IF(ISNA(MATCH(Stichtag,RD_Kopf,0)),"automatisch",IF(SUMPRODUCT((RD_Kopf&gt;=IF($G81="monatlich",DATE(YEAR(Stichtag),MONTH(Stichtag),1),IF($G81="quartalsweise",DATE(YEAR(Stichtag),INT((MONTH(Stichtag)-1)/3)*3+1,1),Stichtag)))*(RD_Kopf&lt;=Stichtag)*ISNUMBER(Rohdaten!$A$74:$LJ$74))&gt;0,"erledigt","automatisch")),IF($F81&lt;&gt;"ja","",IF(ISNA(MATCH(Stichtag,RD_Kopf,0)),"keine Spalte",IF(SUMPRODUCT((RD_Kopf&gt;=IF($G81="monatlich",DATE(YEAR(Stichtag),MONTH(Stichtag),1),IF($G81="quartalsweise",DATE(YEAR(Stichtag),INT((MONTH(Stichtag)-1)/3)*3+1,1),Stichtag)))*(RD_Kopf&lt;=Stichtag)*ISNUMBER(Rohdaten!$A$74:$LJ$74))&gt;0,"erledigt","offen"))))</f>
        <v/>
      </c>
      <c r="I81" s="73" t="s">
        <v>714</v>
      </c>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t="s">
        <v>804</v>
      </c>
      <c r="AN81" t="s">
        <v>161</v>
      </c>
      <c r="AO81" t="s">
        <v>709</v>
      </c>
    </row>
    <row r="82" spans="1:41" ht="18" customHeight="1" outlineLevel="1">
      <c r="A82" s="65">
        <f>ROW(Rohdaten!$A$75)</f>
        <v>75</v>
      </c>
      <c r="B82" s="66" t="str">
        <f>IF(Rohdaten!$A$75="","",Rohdaten!$A$75)</f>
        <v>7VI</v>
      </c>
      <c r="C82" s="74" t="s">
        <v>805</v>
      </c>
      <c r="D82" s="68">
        <f>IF(Rohdaten!$E$75="","",Rohdaten!$E$75)</f>
        <v/>
      </c>
      <c r="E82" s="69" t="str">
        <f t="array" ref="E82">_xlfn.TEXTJOIN(" / ",TRUE,IF($I82:$AL82="●",$I$4:$AL$4,""))</f>
        <v/>
      </c>
      <c r="F82" s="70" t="s">
        <v>791</v>
      </c>
      <c r="G82" s="71" t="s">
        <v>712</v>
      </c>
      <c r="H82" s="72">
        <f>IF($F82="automatisch",IF(ISNA(MATCH(Stichtag,RD_Kopf,0)),"automatisch",IF(SUMPRODUCT((RD_Kopf&gt;=IF($G82="monatlich",DATE(YEAR(Stichtag),MONTH(Stichtag),1),IF($G82="quartalsweise",DATE(YEAR(Stichtag),INT((MONTH(Stichtag)-1)/3)*3+1,1),Stichtag)))*(RD_Kopf&lt;=Stichtag)*ISNUMBER(Rohdaten!$A$75:$LJ$75))&gt;0,"erledigt","automatisch")),IF($F82&lt;&gt;"ja","",IF(ISNA(MATCH(Stichtag,RD_Kopf,0)),"keine Spalte",IF(SUMPRODUCT((RD_Kopf&gt;=IF($G82="monatlich",DATE(YEAR(Stichtag),MONTH(Stichtag),1),IF($G82="quartalsweise",DATE(YEAR(Stichtag),INT((MONTH(Stichtag)-1)/3)*3+1,1),Stichtag)))*(RD_Kopf&lt;=Stichtag)*ISNUMBER(Rohdaten!$A$75:$LJ$75))&gt;0,"erledigt","offen"))))</f>
        <v/>
      </c>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t="s">
        <v>806</v>
      </c>
      <c r="AN82" t="s">
        <v>807</v>
      </c>
      <c r="AO82" t="s">
        <v>709</v>
      </c>
    </row>
    <row r="83" spans="1:41" ht="18" customHeight="1" outlineLevel="1">
      <c r="A83" s="62"/>
      <c r="B83" s="62"/>
      <c r="C83" s="63" t="s">
        <v>786</v>
      </c>
      <c r="D83" s="63"/>
      <c r="E83" s="63"/>
      <c r="F83" s="63"/>
      <c r="G83" s="63"/>
      <c r="H83" s="63"/>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O83" t="s">
        <v>706</v>
      </c>
    </row>
    <row r="84" spans="1:41" ht="18" customHeight="1" outlineLevel="2">
      <c r="A84" s="65">
        <f>ROW(Rohdaten!$A$76)</f>
        <v>76</v>
      </c>
      <c r="B84" s="66" t="str">
        <f>IF(Rohdaten!$A$76="","",Rohdaten!$A$76)</f>
        <v>7VJ</v>
      </c>
      <c r="C84" s="67" t="s">
        <v>793</v>
      </c>
      <c r="D84" s="68" t="str">
        <f>IF(Rohdaten!$E$76="","",Rohdaten!$E$76)</f>
        <v>Amend</v>
      </c>
      <c r="E84" s="69" t="str">
        <f t="array" ref="E84">_xlfn.TEXTJOIN(" / ",TRUE,IF($I84:$AL84="●",$I$4:$AL$4,""))</f>
        <v>Amend</v>
      </c>
      <c r="F84" s="70" t="s">
        <v>791</v>
      </c>
      <c r="G84" s="71" t="s">
        <v>712</v>
      </c>
      <c r="H84" s="72">
        <f>IF($F84="automatisch",IF(ISNA(MATCH(Stichtag,RD_Kopf,0)),"automatisch",IF(SUMPRODUCT((RD_Kopf&gt;=IF($G84="monatlich",DATE(YEAR(Stichtag),MONTH(Stichtag),1),IF($G84="quartalsweise",DATE(YEAR(Stichtag),INT((MONTH(Stichtag)-1)/3)*3+1,1),Stichtag)))*(RD_Kopf&lt;=Stichtag)*ISNUMBER(Rohdaten!$A$76:$LJ$76))&gt;0,"erledigt","automatisch")),IF($F84&lt;&gt;"ja","",IF(ISNA(MATCH(Stichtag,RD_Kopf,0)),"keine Spalte",IF(SUMPRODUCT((RD_Kopf&gt;=IF($G84="monatlich",DATE(YEAR(Stichtag),MONTH(Stichtag),1),IF($G84="quartalsweise",DATE(YEAR(Stichtag),INT((MONTH(Stichtag)-1)/3)*3+1,1),Stichtag)))*(RD_Kopf&lt;=Stichtag)*ISNUMBER(Rohdaten!$A$76:$LJ$76))&gt;0,"erledigt","offen"))))</f>
        <v/>
      </c>
      <c r="I84" s="73" t="s">
        <v>714</v>
      </c>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t="s">
        <v>808</v>
      </c>
      <c r="AN84" t="s">
        <v>155</v>
      </c>
      <c r="AO84" t="s">
        <v>709</v>
      </c>
    </row>
    <row r="85" spans="1:41" ht="18" customHeight="1" outlineLevel="2">
      <c r="A85" s="65">
        <f>ROW(Rohdaten!$A$77)</f>
        <v>77</v>
      </c>
      <c r="B85" s="66" t="str">
        <f>IF(Rohdaten!$A$77="","",Rohdaten!$A$77)</f>
        <v>7VK</v>
      </c>
      <c r="C85" s="67" t="s">
        <v>795</v>
      </c>
      <c r="D85" s="68" t="str">
        <f>IF(Rohdaten!$E$77="","",Rohdaten!$E$77)</f>
        <v>Amend</v>
      </c>
      <c r="E85" s="69" t="str">
        <f t="array" ref="E85">_xlfn.TEXTJOIN(" / ",TRUE,IF($I85:$AL85="●",$I$4:$AL$4,""))</f>
        <v>Amend</v>
      </c>
      <c r="F85" s="70" t="s">
        <v>791</v>
      </c>
      <c r="G85" s="71" t="s">
        <v>712</v>
      </c>
      <c r="H85" s="72">
        <f>IF($F85="automatisch",IF(ISNA(MATCH(Stichtag,RD_Kopf,0)),"automatisch",IF(SUMPRODUCT((RD_Kopf&gt;=IF($G85="monatlich",DATE(YEAR(Stichtag),MONTH(Stichtag),1),IF($G85="quartalsweise",DATE(YEAR(Stichtag),INT((MONTH(Stichtag)-1)/3)*3+1,1),Stichtag)))*(RD_Kopf&lt;=Stichtag)*ISNUMBER(Rohdaten!$A$77:$LJ$77))&gt;0,"erledigt","automatisch")),IF($F85&lt;&gt;"ja","",IF(ISNA(MATCH(Stichtag,RD_Kopf,0)),"keine Spalte",IF(SUMPRODUCT((RD_Kopf&gt;=IF($G85="monatlich",DATE(YEAR(Stichtag),MONTH(Stichtag),1),IF($G85="quartalsweise",DATE(YEAR(Stichtag),INT((MONTH(Stichtag)-1)/3)*3+1,1),Stichtag)))*(RD_Kopf&lt;=Stichtag)*ISNUMBER(Rohdaten!$A$77:$LJ$77))&gt;0,"erledigt","offen"))))</f>
        <v/>
      </c>
      <c r="I85" s="73" t="s">
        <v>714</v>
      </c>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t="s">
        <v>809</v>
      </c>
      <c r="AN85" t="s">
        <v>159</v>
      </c>
      <c r="AO85" t="s">
        <v>709</v>
      </c>
    </row>
    <row r="86" spans="1:41" ht="18" customHeight="1" outlineLevel="2">
      <c r="A86" s="65">
        <f>ROW(Rohdaten!$A$78)</f>
        <v>78</v>
      </c>
      <c r="B86" s="66" t="str">
        <f>IF(Rohdaten!$A$78="","",Rohdaten!$A$78)</f>
        <v>7VL</v>
      </c>
      <c r="C86" s="67" t="s">
        <v>797</v>
      </c>
      <c r="D86" s="68" t="str">
        <f>IF(Rohdaten!$E$78="","",Rohdaten!$E$78)</f>
        <v>Amend</v>
      </c>
      <c r="E86" s="69" t="str">
        <f t="array" ref="E86">_xlfn.TEXTJOIN(" / ",TRUE,IF($I86:$AL86="●",$I$4:$AL$4,""))</f>
        <v>Amend</v>
      </c>
      <c r="F86" s="70" t="s">
        <v>791</v>
      </c>
      <c r="G86" s="71" t="s">
        <v>712</v>
      </c>
      <c r="H86" s="72">
        <f>IF($F86="automatisch",IF(ISNA(MATCH(Stichtag,RD_Kopf,0)),"automatisch",IF(SUMPRODUCT((RD_Kopf&gt;=IF($G86="monatlich",DATE(YEAR(Stichtag),MONTH(Stichtag),1),IF($G86="quartalsweise",DATE(YEAR(Stichtag),INT((MONTH(Stichtag)-1)/3)*3+1,1),Stichtag)))*(RD_Kopf&lt;=Stichtag)*ISNUMBER(Rohdaten!$A$78:$LJ$78))&gt;0,"erledigt","automatisch")),IF($F86&lt;&gt;"ja","",IF(ISNA(MATCH(Stichtag,RD_Kopf,0)),"keine Spalte",IF(SUMPRODUCT((RD_Kopf&gt;=IF($G86="monatlich",DATE(YEAR(Stichtag),MONTH(Stichtag),1),IF($G86="quartalsweise",DATE(YEAR(Stichtag),INT((MONTH(Stichtag)-1)/3)*3+1,1),Stichtag)))*(RD_Kopf&lt;=Stichtag)*ISNUMBER(Rohdaten!$A$78:$LJ$78))&gt;0,"erledigt","offen"))))</f>
        <v/>
      </c>
      <c r="I86" s="73" t="s">
        <v>714</v>
      </c>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t="s">
        <v>810</v>
      </c>
      <c r="AN86" t="s">
        <v>163</v>
      </c>
      <c r="AO86" t="s">
        <v>709</v>
      </c>
    </row>
    <row r="87" spans="1:41" ht="18" customHeight="1" outlineLevel="1">
      <c r="A87" s="65">
        <f>ROW(Rohdaten!$A$79)</f>
        <v>79</v>
      </c>
      <c r="B87" s="66" t="str">
        <f>IF(Rohdaten!$A$79="","",Rohdaten!$A$79)</f>
        <v>7OA</v>
      </c>
      <c r="C87" s="74" t="s">
        <v>811</v>
      </c>
      <c r="D87" s="68">
        <f>IF(Rohdaten!$E$79="","",Rohdaten!$E$79)</f>
        <v/>
      </c>
      <c r="E87" s="69" t="str">
        <f t="array" ref="E87">_xlfn.TEXTJOIN(" / ",TRUE,IF($I87:$AL87="●",$I$4:$AL$4,""))</f>
        <v/>
      </c>
      <c r="F87" s="70" t="s">
        <v>791</v>
      </c>
      <c r="G87" s="71" t="s">
        <v>712</v>
      </c>
      <c r="H87" s="72">
        <f>IF($F87="automatisch",IF(ISNA(MATCH(Stichtag,RD_Kopf,0)),"automatisch",IF(SUMPRODUCT((RD_Kopf&gt;=IF($G87="monatlich",DATE(YEAR(Stichtag),MONTH(Stichtag),1),IF($G87="quartalsweise",DATE(YEAR(Stichtag),INT((MONTH(Stichtag)-1)/3)*3+1,1),Stichtag)))*(RD_Kopf&lt;=Stichtag)*ISNUMBER(Rohdaten!$A$79:$LJ$79))&gt;0,"erledigt","automatisch")),IF($F87&lt;&gt;"ja","",IF(ISNA(MATCH(Stichtag,RD_Kopf,0)),"keine Spalte",IF(SUMPRODUCT((RD_Kopf&gt;=IF($G87="monatlich",DATE(YEAR(Stichtag),MONTH(Stichtag),1),IF($G87="quartalsweise",DATE(YEAR(Stichtag),INT((MONTH(Stichtag)-1)/3)*3+1,1),Stichtag)))*(RD_Kopf&lt;=Stichtag)*ISNUMBER(Rohdaten!$A$79:$LJ$79))&gt;0,"erledigt","offen"))))</f>
        <v/>
      </c>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t="s">
        <v>812</v>
      </c>
      <c r="AN87" t="s">
        <v>253</v>
      </c>
      <c r="AO87" t="s">
        <v>709</v>
      </c>
    </row>
    <row r="88" spans="1:41" ht="18" customHeight="1" outlineLevel="1">
      <c r="A88" s="62"/>
      <c r="B88" s="62"/>
      <c r="C88" s="63" t="s">
        <v>813</v>
      </c>
      <c r="D88" s="63"/>
      <c r="E88" s="63"/>
      <c r="F88" s="63"/>
      <c r="G88" s="63"/>
      <c r="H88" s="63"/>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O88" t="s">
        <v>706</v>
      </c>
    </row>
    <row r="89" spans="1:41" ht="18" customHeight="1" outlineLevel="2">
      <c r="A89" s="65">
        <f>ROW(Rohdaten!$A$80)</f>
        <v>80</v>
      </c>
      <c r="B89" s="66" t="str">
        <f>IF(Rohdaten!$A$80="","",Rohdaten!$A$80)</f>
        <v>7OB</v>
      </c>
      <c r="C89" s="67" t="s">
        <v>814</v>
      </c>
      <c r="D89" s="68" t="str">
        <f>IF(Rohdaten!$E$80="","",Rohdaten!$E$80)</f>
        <v>Amend</v>
      </c>
      <c r="E89" s="69" t="str">
        <f t="array" ref="E89">_xlfn.TEXTJOIN(" / ",TRUE,IF($I89:$AL89="●",$I$4:$AL$4,""))</f>
        <v>Amend</v>
      </c>
      <c r="F89" s="70" t="s">
        <v>791</v>
      </c>
      <c r="G89" s="71" t="s">
        <v>712</v>
      </c>
      <c r="H89" s="72">
        <f>IF($F89="automatisch",IF(ISNA(MATCH(Stichtag,RD_Kopf,0)),"automatisch",IF(SUMPRODUCT((RD_Kopf&gt;=IF($G89="monatlich",DATE(YEAR(Stichtag),MONTH(Stichtag),1),IF($G89="quartalsweise",DATE(YEAR(Stichtag),INT((MONTH(Stichtag)-1)/3)*3+1,1),Stichtag)))*(RD_Kopf&lt;=Stichtag)*ISNUMBER(Rohdaten!$A$80:$LJ$80))&gt;0,"erledigt","automatisch")),IF($F89&lt;&gt;"ja","",IF(ISNA(MATCH(Stichtag,RD_Kopf,0)),"keine Spalte",IF(SUMPRODUCT((RD_Kopf&gt;=IF($G89="monatlich",DATE(YEAR(Stichtag),MONTH(Stichtag),1),IF($G89="quartalsweise",DATE(YEAR(Stichtag),INT((MONTH(Stichtag)-1)/3)*3+1,1),Stichtag)))*(RD_Kopf&lt;=Stichtag)*ISNUMBER(Rohdaten!$A$80:$LJ$80))&gt;0,"erledigt","offen"))))</f>
        <v/>
      </c>
      <c r="I89" s="73" t="s">
        <v>714</v>
      </c>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t="s">
        <v>815</v>
      </c>
      <c r="AN89" t="s">
        <v>255</v>
      </c>
      <c r="AO89" t="s">
        <v>709</v>
      </c>
    </row>
    <row r="90" spans="1:41" ht="18" customHeight="1" outlineLevel="2">
      <c r="A90" s="65">
        <f>ROW(Rohdaten!$A$81)</f>
        <v>81</v>
      </c>
      <c r="B90" s="66" t="str">
        <f>IF(Rohdaten!$A$81="","",Rohdaten!$A$81)</f>
        <v>7OC</v>
      </c>
      <c r="C90" s="67" t="s">
        <v>816</v>
      </c>
      <c r="D90" s="68" t="str">
        <f>IF(Rohdaten!$E$81="","",Rohdaten!$E$81)</f>
        <v>Amend</v>
      </c>
      <c r="E90" s="69" t="str">
        <f t="array" ref="E90">_xlfn.TEXTJOIN(" / ",TRUE,IF($I90:$AL90="●",$I$4:$AL$4,""))</f>
        <v>Amend</v>
      </c>
      <c r="F90" s="70" t="s">
        <v>791</v>
      </c>
      <c r="G90" s="71" t="s">
        <v>712</v>
      </c>
      <c r="H90" s="72">
        <f>IF($F90="automatisch",IF(ISNA(MATCH(Stichtag,RD_Kopf,0)),"automatisch",IF(SUMPRODUCT((RD_Kopf&gt;=IF($G90="monatlich",DATE(YEAR(Stichtag),MONTH(Stichtag),1),IF($G90="quartalsweise",DATE(YEAR(Stichtag),INT((MONTH(Stichtag)-1)/3)*3+1,1),Stichtag)))*(RD_Kopf&lt;=Stichtag)*ISNUMBER(Rohdaten!$A$81:$LJ$81))&gt;0,"erledigt","automatisch")),IF($F90&lt;&gt;"ja","",IF(ISNA(MATCH(Stichtag,RD_Kopf,0)),"keine Spalte",IF(SUMPRODUCT((RD_Kopf&gt;=IF($G90="monatlich",DATE(YEAR(Stichtag),MONTH(Stichtag),1),IF($G90="quartalsweise",DATE(YEAR(Stichtag),INT((MONTH(Stichtag)-1)/3)*3+1,1),Stichtag)))*(RD_Kopf&lt;=Stichtag)*ISNUMBER(Rohdaten!$A$81:$LJ$81))&gt;0,"erledigt","offen"))))</f>
        <v/>
      </c>
      <c r="I90" s="73" t="s">
        <v>714</v>
      </c>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t="s">
        <v>817</v>
      </c>
      <c r="AN90" t="s">
        <v>257</v>
      </c>
      <c r="AO90" t="s">
        <v>709</v>
      </c>
    </row>
    <row r="91" spans="1:41" ht="18" customHeight="1" outlineLevel="2">
      <c r="A91" s="65">
        <f>ROW(Rohdaten!$A$82)</f>
        <v>82</v>
      </c>
      <c r="B91" s="66" t="str">
        <f>IF(Rohdaten!$A$82="","",Rohdaten!$A$82)</f>
        <v>7OD</v>
      </c>
      <c r="C91" s="67" t="s">
        <v>818</v>
      </c>
      <c r="D91" s="68" t="str">
        <f>IF(Rohdaten!$E$82="","",Rohdaten!$E$82)</f>
        <v>Amend</v>
      </c>
      <c r="E91" s="69" t="str">
        <f t="array" ref="E91">_xlfn.TEXTJOIN(" / ",TRUE,IF($I91:$AL91="●",$I$4:$AL$4,""))</f>
        <v>Amend</v>
      </c>
      <c r="F91" s="70" t="s">
        <v>791</v>
      </c>
      <c r="G91" s="71" t="s">
        <v>712</v>
      </c>
      <c r="H91" s="72">
        <f>IF($F91="automatisch",IF(ISNA(MATCH(Stichtag,RD_Kopf,0)),"automatisch",IF(SUMPRODUCT((RD_Kopf&gt;=IF($G91="monatlich",DATE(YEAR(Stichtag),MONTH(Stichtag),1),IF($G91="quartalsweise",DATE(YEAR(Stichtag),INT((MONTH(Stichtag)-1)/3)*3+1,1),Stichtag)))*(RD_Kopf&lt;=Stichtag)*ISNUMBER(Rohdaten!$A$82:$LJ$82))&gt;0,"erledigt","automatisch")),IF($F91&lt;&gt;"ja","",IF(ISNA(MATCH(Stichtag,RD_Kopf,0)),"keine Spalte",IF(SUMPRODUCT((RD_Kopf&gt;=IF($G91="monatlich",DATE(YEAR(Stichtag),MONTH(Stichtag),1),IF($G91="quartalsweise",DATE(YEAR(Stichtag),INT((MONTH(Stichtag)-1)/3)*3+1,1),Stichtag)))*(RD_Kopf&lt;=Stichtag)*ISNUMBER(Rohdaten!$A$82:$LJ$82))&gt;0,"erledigt","offen"))))</f>
        <v/>
      </c>
      <c r="I91" s="73" t="s">
        <v>714</v>
      </c>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t="s">
        <v>819</v>
      </c>
      <c r="AN91" t="s">
        <v>259</v>
      </c>
      <c r="AO91" t="s">
        <v>709</v>
      </c>
    </row>
    <row r="92" spans="1:41" ht="18" customHeight="1" outlineLevel="1">
      <c r="A92" s="65">
        <f>ROW(Rohdaten!$A$83)</f>
        <v>83</v>
      </c>
      <c r="B92" s="66" t="str">
        <f>IF(Rohdaten!$A$83="","",Rohdaten!$A$83)</f>
        <v>7OE</v>
      </c>
      <c r="C92" s="74" t="s">
        <v>820</v>
      </c>
      <c r="D92" s="68">
        <f>IF(Rohdaten!$E$83="","",Rohdaten!$E$83)</f>
        <v/>
      </c>
      <c r="E92" s="69" t="str">
        <f t="array" ref="E92">_xlfn.TEXTJOIN(" / ",TRUE,IF($I92:$AL92="●",$I$4:$AL$4,""))</f>
        <v/>
      </c>
      <c r="F92" s="70" t="s">
        <v>791</v>
      </c>
      <c r="G92" s="71" t="s">
        <v>712</v>
      </c>
      <c r="H92" s="72">
        <f>IF($F92="automatisch",IF(ISNA(MATCH(Stichtag,RD_Kopf,0)),"automatisch",IF(SUMPRODUCT((RD_Kopf&gt;=IF($G92="monatlich",DATE(YEAR(Stichtag),MONTH(Stichtag),1),IF($G92="quartalsweise",DATE(YEAR(Stichtag),INT((MONTH(Stichtag)-1)/3)*3+1,1),Stichtag)))*(RD_Kopf&lt;=Stichtag)*ISNUMBER(Rohdaten!$A$83:$LJ$83))&gt;0,"erledigt","automatisch")),IF($F92&lt;&gt;"ja","",IF(ISNA(MATCH(Stichtag,RD_Kopf,0)),"keine Spalte",IF(SUMPRODUCT((RD_Kopf&gt;=IF($G92="monatlich",DATE(YEAR(Stichtag),MONTH(Stichtag),1),IF($G92="quartalsweise",DATE(YEAR(Stichtag),INT((MONTH(Stichtag)-1)/3)*3+1,1),Stichtag)))*(RD_Kopf&lt;=Stichtag)*ISNUMBER(Rohdaten!$A$83:$LJ$83))&gt;0,"erledigt","offen"))))</f>
        <v/>
      </c>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t="s">
        <v>821</v>
      </c>
      <c r="AN92" t="s">
        <v>822</v>
      </c>
      <c r="AO92" t="s">
        <v>709</v>
      </c>
    </row>
    <row r="93" spans="1:41" ht="18" customHeight="1" outlineLevel="1">
      <c r="A93" s="62"/>
      <c r="B93" s="62"/>
      <c r="C93" s="63" t="s">
        <v>783</v>
      </c>
      <c r="D93" s="63"/>
      <c r="E93" s="63"/>
      <c r="F93" s="63"/>
      <c r="G93" s="63"/>
      <c r="H93" s="63"/>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O93" t="s">
        <v>706</v>
      </c>
    </row>
    <row r="94" spans="1:41" ht="18" customHeight="1" outlineLevel="2">
      <c r="A94" s="65">
        <f>ROW(Rohdaten!$A$84)</f>
        <v>84</v>
      </c>
      <c r="B94" s="66" t="str">
        <f>IF(Rohdaten!$A$84="","",Rohdaten!$A$84)</f>
        <v>7OF</v>
      </c>
      <c r="C94" s="67" t="s">
        <v>814</v>
      </c>
      <c r="D94" s="68" t="str">
        <f>IF(Rohdaten!$E$84="","",Rohdaten!$E$84)</f>
        <v>Amend</v>
      </c>
      <c r="E94" s="69" t="str">
        <f t="array" ref="E94">_xlfn.TEXTJOIN(" / ",TRUE,IF($I94:$AL94="●",$I$4:$AL$4,""))</f>
        <v>Amend</v>
      </c>
      <c r="F94" s="70" t="s">
        <v>791</v>
      </c>
      <c r="G94" s="71" t="s">
        <v>712</v>
      </c>
      <c r="H94" s="72">
        <f>IF($F94="automatisch",IF(ISNA(MATCH(Stichtag,RD_Kopf,0)),"automatisch",IF(SUMPRODUCT((RD_Kopf&gt;=IF($G94="monatlich",DATE(YEAR(Stichtag),MONTH(Stichtag),1),IF($G94="quartalsweise",DATE(YEAR(Stichtag),INT((MONTH(Stichtag)-1)/3)*3+1,1),Stichtag)))*(RD_Kopf&lt;=Stichtag)*ISNUMBER(Rohdaten!$A$84:$LJ$84))&gt;0,"erledigt","automatisch")),IF($F94&lt;&gt;"ja","",IF(ISNA(MATCH(Stichtag,RD_Kopf,0)),"keine Spalte",IF(SUMPRODUCT((RD_Kopf&gt;=IF($G94="monatlich",DATE(YEAR(Stichtag),MONTH(Stichtag),1),IF($G94="quartalsweise",DATE(YEAR(Stichtag),INT((MONTH(Stichtag)-1)/3)*3+1,1),Stichtag)))*(RD_Kopf&lt;=Stichtag)*ISNUMBER(Rohdaten!$A$84:$LJ$84))&gt;0,"erledigt","offen"))))</f>
        <v/>
      </c>
      <c r="I94" s="73" t="s">
        <v>714</v>
      </c>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t="s">
        <v>823</v>
      </c>
      <c r="AN94" t="s">
        <v>261</v>
      </c>
      <c r="AO94" t="s">
        <v>709</v>
      </c>
    </row>
    <row r="95" spans="1:41" ht="18" customHeight="1" outlineLevel="2">
      <c r="A95" s="65">
        <f>ROW(Rohdaten!$A$85)</f>
        <v>85</v>
      </c>
      <c r="B95" s="66" t="str">
        <f>IF(Rohdaten!$A$85="","",Rohdaten!$A$85)</f>
        <v>7OG</v>
      </c>
      <c r="C95" s="67" t="s">
        <v>816</v>
      </c>
      <c r="D95" s="68" t="str">
        <f>IF(Rohdaten!$E$85="","",Rohdaten!$E$85)</f>
        <v>Amend</v>
      </c>
      <c r="E95" s="69" t="str">
        <f t="array" ref="E95">_xlfn.TEXTJOIN(" / ",TRUE,IF($I95:$AL95="●",$I$4:$AL$4,""))</f>
        <v>Amend</v>
      </c>
      <c r="F95" s="70" t="s">
        <v>791</v>
      </c>
      <c r="G95" s="71" t="s">
        <v>712</v>
      </c>
      <c r="H95" s="72">
        <f>IF($F95="automatisch",IF(ISNA(MATCH(Stichtag,RD_Kopf,0)),"automatisch",IF(SUMPRODUCT((RD_Kopf&gt;=IF($G95="monatlich",DATE(YEAR(Stichtag),MONTH(Stichtag),1),IF($G95="quartalsweise",DATE(YEAR(Stichtag),INT((MONTH(Stichtag)-1)/3)*3+1,1),Stichtag)))*(RD_Kopf&lt;=Stichtag)*ISNUMBER(Rohdaten!$A$85:$LJ$85))&gt;0,"erledigt","automatisch")),IF($F95&lt;&gt;"ja","",IF(ISNA(MATCH(Stichtag,RD_Kopf,0)),"keine Spalte",IF(SUMPRODUCT((RD_Kopf&gt;=IF($G95="monatlich",DATE(YEAR(Stichtag),MONTH(Stichtag),1),IF($G95="quartalsweise",DATE(YEAR(Stichtag),INT((MONTH(Stichtag)-1)/3)*3+1,1),Stichtag)))*(RD_Kopf&lt;=Stichtag)*ISNUMBER(Rohdaten!$A$85:$LJ$85))&gt;0,"erledigt","offen"))))</f>
        <v/>
      </c>
      <c r="I95" s="73" t="s">
        <v>714</v>
      </c>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t="s">
        <v>824</v>
      </c>
      <c r="AN95" t="s">
        <v>265</v>
      </c>
      <c r="AO95" t="s">
        <v>709</v>
      </c>
    </row>
    <row r="96" spans="1:41" ht="18" customHeight="1" outlineLevel="2">
      <c r="A96" s="65">
        <f>ROW(Rohdaten!$A$86)</f>
        <v>86</v>
      </c>
      <c r="B96" s="66" t="str">
        <f>IF(Rohdaten!$A$86="","",Rohdaten!$A$86)</f>
        <v>7OH</v>
      </c>
      <c r="C96" s="67" t="s">
        <v>818</v>
      </c>
      <c r="D96" s="68" t="str">
        <f>IF(Rohdaten!$E$86="","",Rohdaten!$E$86)</f>
        <v>Amend</v>
      </c>
      <c r="E96" s="69" t="str">
        <f t="array" ref="E96">_xlfn.TEXTJOIN(" / ",TRUE,IF($I96:$AL96="●",$I$4:$AL$4,""))</f>
        <v>Amend</v>
      </c>
      <c r="F96" s="70" t="s">
        <v>791</v>
      </c>
      <c r="G96" s="71" t="s">
        <v>712</v>
      </c>
      <c r="H96" s="72">
        <f>IF($F96="automatisch",IF(ISNA(MATCH(Stichtag,RD_Kopf,0)),"automatisch",IF(SUMPRODUCT((RD_Kopf&gt;=IF($G96="monatlich",DATE(YEAR(Stichtag),MONTH(Stichtag),1),IF($G96="quartalsweise",DATE(YEAR(Stichtag),INT((MONTH(Stichtag)-1)/3)*3+1,1),Stichtag)))*(RD_Kopf&lt;=Stichtag)*ISNUMBER(Rohdaten!$A$86:$LJ$86))&gt;0,"erledigt","automatisch")),IF($F96&lt;&gt;"ja","",IF(ISNA(MATCH(Stichtag,RD_Kopf,0)),"keine Spalte",IF(SUMPRODUCT((RD_Kopf&gt;=IF($G96="monatlich",DATE(YEAR(Stichtag),MONTH(Stichtag),1),IF($G96="quartalsweise",DATE(YEAR(Stichtag),INT((MONTH(Stichtag)-1)/3)*3+1,1),Stichtag)))*(RD_Kopf&lt;=Stichtag)*ISNUMBER(Rohdaten!$A$86:$LJ$86))&gt;0,"erledigt","offen"))))</f>
        <v/>
      </c>
      <c r="I96" s="73" t="s">
        <v>714</v>
      </c>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t="s">
        <v>825</v>
      </c>
      <c r="AN96" t="s">
        <v>269</v>
      </c>
      <c r="AO96" t="s">
        <v>709</v>
      </c>
    </row>
    <row r="97" spans="1:41" ht="18" customHeight="1" outlineLevel="1">
      <c r="A97" s="65">
        <f>ROW(Rohdaten!$A$87)</f>
        <v>87</v>
      </c>
      <c r="B97" s="66" t="str">
        <f>IF(Rohdaten!$A$87="","",Rohdaten!$A$87)</f>
        <v>7OI</v>
      </c>
      <c r="C97" s="74" t="s">
        <v>826</v>
      </c>
      <c r="D97" s="68">
        <f>IF(Rohdaten!$E$87="","",Rohdaten!$E$87)</f>
        <v/>
      </c>
      <c r="E97" s="69" t="str">
        <f t="array" ref="E97">_xlfn.TEXTJOIN(" / ",TRUE,IF($I97:$AL97="●",$I$4:$AL$4,""))</f>
        <v/>
      </c>
      <c r="F97" s="70" t="s">
        <v>791</v>
      </c>
      <c r="G97" s="71" t="s">
        <v>712</v>
      </c>
      <c r="H97" s="72">
        <f>IF($F97="automatisch",IF(ISNA(MATCH(Stichtag,RD_Kopf,0)),"automatisch",IF(SUMPRODUCT((RD_Kopf&gt;=IF($G97="monatlich",DATE(YEAR(Stichtag),MONTH(Stichtag),1),IF($G97="quartalsweise",DATE(YEAR(Stichtag),INT((MONTH(Stichtag)-1)/3)*3+1,1),Stichtag)))*(RD_Kopf&lt;=Stichtag)*ISNUMBER(Rohdaten!$A$87:$LJ$87))&gt;0,"erledigt","automatisch")),IF($F97&lt;&gt;"ja","",IF(ISNA(MATCH(Stichtag,RD_Kopf,0)),"keine Spalte",IF(SUMPRODUCT((RD_Kopf&gt;=IF($G97="monatlich",DATE(YEAR(Stichtag),MONTH(Stichtag),1),IF($G97="quartalsweise",DATE(YEAR(Stichtag),INT((MONTH(Stichtag)-1)/3)*3+1,1),Stichtag)))*(RD_Kopf&lt;=Stichtag)*ISNUMBER(Rohdaten!$A$87:$LJ$87))&gt;0,"erledigt","offen"))))</f>
        <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t="s">
        <v>827</v>
      </c>
      <c r="AN97" t="s">
        <v>828</v>
      </c>
      <c r="AO97" t="s">
        <v>709</v>
      </c>
    </row>
    <row r="98" spans="1:41" ht="18" customHeight="1" outlineLevel="1">
      <c r="A98" s="62"/>
      <c r="B98" s="62"/>
      <c r="C98" s="63" t="s">
        <v>786</v>
      </c>
      <c r="D98" s="63"/>
      <c r="E98" s="63"/>
      <c r="F98" s="63"/>
      <c r="G98" s="63"/>
      <c r="H98" s="63"/>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O98" t="s">
        <v>706</v>
      </c>
    </row>
    <row r="99" spans="1:41" ht="18" customHeight="1" outlineLevel="2">
      <c r="A99" s="65">
        <f>ROW(Rohdaten!$A$88)</f>
        <v>88</v>
      </c>
      <c r="B99" s="66" t="str">
        <f>IF(Rohdaten!$A$88="","",Rohdaten!$A$88)</f>
        <v>7OJ</v>
      </c>
      <c r="C99" s="67" t="s">
        <v>814</v>
      </c>
      <c r="D99" s="68" t="str">
        <f>IF(Rohdaten!$E$88="","",Rohdaten!$E$88)</f>
        <v>Amend</v>
      </c>
      <c r="E99" s="69" t="str">
        <f t="array" ref="E99">_xlfn.TEXTJOIN(" / ",TRUE,IF($I99:$AL99="●",$I$4:$AL$4,""))</f>
        <v>Amend</v>
      </c>
      <c r="F99" s="70" t="s">
        <v>791</v>
      </c>
      <c r="G99" s="71" t="s">
        <v>712</v>
      </c>
      <c r="H99" s="72">
        <f>IF($F99="automatisch",IF(ISNA(MATCH(Stichtag,RD_Kopf,0)),"automatisch",IF(SUMPRODUCT((RD_Kopf&gt;=IF($G99="monatlich",DATE(YEAR(Stichtag),MONTH(Stichtag),1),IF($G99="quartalsweise",DATE(YEAR(Stichtag),INT((MONTH(Stichtag)-1)/3)*3+1,1),Stichtag)))*(RD_Kopf&lt;=Stichtag)*ISNUMBER(Rohdaten!$A$88:$LJ$88))&gt;0,"erledigt","automatisch")),IF($F99&lt;&gt;"ja","",IF(ISNA(MATCH(Stichtag,RD_Kopf,0)),"keine Spalte",IF(SUMPRODUCT((RD_Kopf&gt;=IF($G99="monatlich",DATE(YEAR(Stichtag),MONTH(Stichtag),1),IF($G99="quartalsweise",DATE(YEAR(Stichtag),INT((MONTH(Stichtag)-1)/3)*3+1,1),Stichtag)))*(RD_Kopf&lt;=Stichtag)*ISNUMBER(Rohdaten!$A$88:$LJ$88))&gt;0,"erledigt","offen"))))</f>
        <v/>
      </c>
      <c r="I99" s="73" t="s">
        <v>714</v>
      </c>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t="s">
        <v>829</v>
      </c>
      <c r="AN99" t="s">
        <v>263</v>
      </c>
      <c r="AO99" t="s">
        <v>709</v>
      </c>
    </row>
    <row r="100" spans="1:41" ht="18" customHeight="1" outlineLevel="2">
      <c r="A100" s="65">
        <f>ROW(Rohdaten!$A$89)</f>
        <v>89</v>
      </c>
      <c r="B100" s="66" t="str">
        <f>IF(Rohdaten!$A$89="","",Rohdaten!$A$89)</f>
        <v>7OK</v>
      </c>
      <c r="C100" s="67" t="s">
        <v>816</v>
      </c>
      <c r="D100" s="68" t="str">
        <f>IF(Rohdaten!$E$89="","",Rohdaten!$E$89)</f>
        <v>Amend</v>
      </c>
      <c r="E100" s="69" t="str">
        <f t="array" ref="E100">_xlfn.TEXTJOIN(" / ",TRUE,IF($I100:$AL100="●",$I$4:$AL$4,""))</f>
        <v>Amend</v>
      </c>
      <c r="F100" s="70" t="s">
        <v>791</v>
      </c>
      <c r="G100" s="71" t="s">
        <v>712</v>
      </c>
      <c r="H100" s="72">
        <f>IF($F100="automatisch",IF(ISNA(MATCH(Stichtag,RD_Kopf,0)),"automatisch",IF(SUMPRODUCT((RD_Kopf&gt;=IF($G100="monatlich",DATE(YEAR(Stichtag),MONTH(Stichtag),1),IF($G100="quartalsweise",DATE(YEAR(Stichtag),INT((MONTH(Stichtag)-1)/3)*3+1,1),Stichtag)))*(RD_Kopf&lt;=Stichtag)*ISNUMBER(Rohdaten!$A$89:$LJ$89))&gt;0,"erledigt","automatisch")),IF($F100&lt;&gt;"ja","",IF(ISNA(MATCH(Stichtag,RD_Kopf,0)),"keine Spalte",IF(SUMPRODUCT((RD_Kopf&gt;=IF($G100="monatlich",DATE(YEAR(Stichtag),MONTH(Stichtag),1),IF($G100="quartalsweise",DATE(YEAR(Stichtag),INT((MONTH(Stichtag)-1)/3)*3+1,1),Stichtag)))*(RD_Kopf&lt;=Stichtag)*ISNUMBER(Rohdaten!$A$89:$LJ$89))&gt;0,"erledigt","offen"))))</f>
        <v/>
      </c>
      <c r="I100" s="73" t="s">
        <v>714</v>
      </c>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t="s">
        <v>830</v>
      </c>
      <c r="AN100" t="s">
        <v>267</v>
      </c>
      <c r="AO100" t="s">
        <v>709</v>
      </c>
    </row>
    <row r="101" spans="1:41" ht="18" customHeight="1" outlineLevel="2">
      <c r="A101" s="65">
        <f>ROW(Rohdaten!$A$90)</f>
        <v>90</v>
      </c>
      <c r="B101" s="66" t="str">
        <f>IF(Rohdaten!$A$90="","",Rohdaten!$A$90)</f>
        <v>7OL</v>
      </c>
      <c r="C101" s="67" t="s">
        <v>818</v>
      </c>
      <c r="D101" s="68" t="str">
        <f>IF(Rohdaten!$E$90="","",Rohdaten!$E$90)</f>
        <v>Amend</v>
      </c>
      <c r="E101" s="69" t="str">
        <f t="array" ref="E101">_xlfn.TEXTJOIN(" / ",TRUE,IF($I101:$AL101="●",$I$4:$AL$4,""))</f>
        <v>Amend</v>
      </c>
      <c r="F101" s="70" t="s">
        <v>791</v>
      </c>
      <c r="G101" s="71" t="s">
        <v>712</v>
      </c>
      <c r="H101" s="72">
        <f>IF($F101="automatisch",IF(ISNA(MATCH(Stichtag,RD_Kopf,0)),"automatisch",IF(SUMPRODUCT((RD_Kopf&gt;=IF($G101="monatlich",DATE(YEAR(Stichtag),MONTH(Stichtag),1),IF($G101="quartalsweise",DATE(YEAR(Stichtag),INT((MONTH(Stichtag)-1)/3)*3+1,1),Stichtag)))*(RD_Kopf&lt;=Stichtag)*ISNUMBER(Rohdaten!$A$90:$LJ$90))&gt;0,"erledigt","automatisch")),IF($F101&lt;&gt;"ja","",IF(ISNA(MATCH(Stichtag,RD_Kopf,0)),"keine Spalte",IF(SUMPRODUCT((RD_Kopf&gt;=IF($G101="monatlich",DATE(YEAR(Stichtag),MONTH(Stichtag),1),IF($G101="quartalsweise",DATE(YEAR(Stichtag),INT((MONTH(Stichtag)-1)/3)*3+1,1),Stichtag)))*(RD_Kopf&lt;=Stichtag)*ISNUMBER(Rohdaten!$A$90:$LJ$90))&gt;0,"erledigt","offen"))))</f>
        <v/>
      </c>
      <c r="I101" s="73" t="s">
        <v>714</v>
      </c>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t="s">
        <v>831</v>
      </c>
      <c r="AN101" t="s">
        <v>271</v>
      </c>
      <c r="AO101" t="s">
        <v>709</v>
      </c>
    </row>
    <row r="102" spans="1:41" ht="18" customHeight="1" outlineLevel="1">
      <c r="A102" s="62"/>
      <c r="B102" s="62"/>
      <c r="C102" s="63" t="s">
        <v>728</v>
      </c>
      <c r="D102" s="63"/>
      <c r="E102" s="63"/>
      <c r="F102" s="63"/>
      <c r="G102" s="63"/>
      <c r="H102" s="63"/>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O102" t="s">
        <v>706</v>
      </c>
    </row>
    <row r="103" spans="1:41" ht="18" customHeight="1" outlineLevel="2">
      <c r="A103" s="65">
        <f>ROW(Rohdaten!$A$91)</f>
        <v>91</v>
      </c>
      <c r="B103" s="66" t="str">
        <f>IF(Rohdaten!$A$91="","",Rohdaten!$A$91)</f>
        <v>7a</v>
      </c>
      <c r="C103" s="67" t="s">
        <v>832</v>
      </c>
      <c r="D103" s="68">
        <f>IF(Rohdaten!$E$91="","",Rohdaten!$E$91)</f>
        <v/>
      </c>
      <c r="E103" s="69" t="str">
        <f t="array" ref="E103">_xlfn.TEXTJOIN(" / ",TRUE,IF($I103:$AL103="●",$I$4:$AL$4,""))</f>
        <v/>
      </c>
      <c r="F103" s="70" t="s">
        <v>711</v>
      </c>
      <c r="G103" s="71" t="s">
        <v>712</v>
      </c>
      <c r="H103" s="72">
        <f>IF($F103="automatisch",IF(ISNA(MATCH(Stichtag,RD_Kopf,0)),"automatisch",IF(SUMPRODUCT((RD_Kopf&gt;=IF($G103="monatlich",DATE(YEAR(Stichtag),MONTH(Stichtag),1),IF($G103="quartalsweise",DATE(YEAR(Stichtag),INT((MONTH(Stichtag)-1)/3)*3+1,1),Stichtag)))*(RD_Kopf&lt;=Stichtag)*ISNUMBER(Rohdaten!$A$91:$LJ$91))&gt;0,"erledigt","automatisch")),IF($F103&lt;&gt;"ja","",IF(ISNA(MATCH(Stichtag,RD_Kopf,0)),"keine Spalte",IF(SUMPRODUCT((RD_Kopf&gt;=IF($G103="monatlich",DATE(YEAR(Stichtag),MONTH(Stichtag),1),IF($G103="quartalsweise",DATE(YEAR(Stichtag),INT((MONTH(Stichtag)-1)/3)*3+1,1),Stichtag)))*(RD_Kopf&lt;=Stichtag)*ISNUMBER(Rohdaten!$A$91:$LJ$91))&gt;0,"erledigt","offen"))))</f>
        <v/>
      </c>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t="s">
        <v>833</v>
      </c>
      <c r="AN103" t="s">
        <v>834</v>
      </c>
      <c r="AO103" t="s">
        <v>709</v>
      </c>
    </row>
    <row r="104" spans="1:41" ht="18" customHeight="1" outlineLevel="2">
      <c r="A104" s="65">
        <f>ROW(Rohdaten!$A$92)</f>
        <v>92</v>
      </c>
      <c r="B104" s="66" t="str">
        <f>IF(Rohdaten!$A$92="","",Rohdaten!$A$92)</f>
        <v>7b</v>
      </c>
      <c r="C104" s="67" t="s">
        <v>835</v>
      </c>
      <c r="D104" s="68" t="str">
        <f>IF(Rohdaten!$E$92="","",Rohdaten!$E$92)</f>
        <v>Amend</v>
      </c>
      <c r="E104" s="69" t="str">
        <f t="array" ref="E104">_xlfn.TEXTJOIN(" / ",TRUE,IF($I104:$AL104="●",$I$4:$AL$4,""))</f>
        <v>Amend</v>
      </c>
      <c r="F104" s="70" t="s">
        <v>711</v>
      </c>
      <c r="G104" s="71" t="s">
        <v>712</v>
      </c>
      <c r="H104" s="72" t="str">
        <f>IF($F104="automatisch",IF(ISNA(MATCH(Stichtag,RD_Kopf,0)),"automatisch",IF(SUMPRODUCT((RD_Kopf&gt;=IF($G104="monatlich",DATE(YEAR(Stichtag),MONTH(Stichtag),1),IF($G104="quartalsweise",DATE(YEAR(Stichtag),INT((MONTH(Stichtag)-1)/3)*3+1,1),Stichtag)))*(RD_Kopf&lt;=Stichtag)*ISNUMBER(Rohdaten!$A$92:$LJ$92))&gt;0,"erledigt","automatisch")),IF($F104&lt;&gt;"ja","nicht berichtet",IF(ISNA(MATCH(Stichtag,RD_Kopf,0)),"keine Spalte",IF(SUMPRODUCT((RD_Kopf&gt;=IF($G104="monatlich",DATE(YEAR(Stichtag),MONTH(Stichtag),1),IF($G104="quartalsweise",DATE(YEAR(Stichtag),INT((MONTH(Stichtag)-1)/3)*3+1,1),Stichtag)))*(RD_Kopf&lt;=Stichtag)*ISNUMBER(Rohdaten!$A$92:$LJ$92))&gt;0,"erledigt","offen"))))</f>
        <v>nicht berichtet</v>
      </c>
      <c r="I104" s="73" t="s">
        <v>714</v>
      </c>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t="s">
        <v>836</v>
      </c>
      <c r="AN104" t="s">
        <v>837</v>
      </c>
      <c r="AO104" t="s">
        <v>709</v>
      </c>
    </row>
    <row r="105" spans="1:41" ht="18" customHeight="1" outlineLevel="2">
      <c r="A105" s="65">
        <f>ROW(Rohdaten!$A$93)</f>
        <v>93</v>
      </c>
      <c r="B105" s="66" t="str">
        <f>IF(Rohdaten!$A$93="","",Rohdaten!$A$93)</f>
        <v>7c</v>
      </c>
      <c r="C105" s="67" t="s">
        <v>838</v>
      </c>
      <c r="D105" s="68" t="str">
        <f>IF(Rohdaten!$E$93="","",Rohdaten!$E$93)</f>
        <v>Amend</v>
      </c>
      <c r="E105" s="69" t="str">
        <f t="array" ref="E105">_xlfn.TEXTJOIN(" / ",TRUE,IF($I105:$AL105="●",$I$4:$AL$4,""))</f>
        <v>Amend</v>
      </c>
      <c r="F105" s="70" t="s">
        <v>711</v>
      </c>
      <c r="G105" s="71" t="s">
        <v>712</v>
      </c>
      <c r="H105" s="72" t="str">
        <f>IF($F105="automatisch",IF(ISNA(MATCH(Stichtag,RD_Kopf,0)),"automatisch",IF(SUMPRODUCT((RD_Kopf&gt;=IF($G105="monatlich",DATE(YEAR(Stichtag),MONTH(Stichtag),1),IF($G105="quartalsweise",DATE(YEAR(Stichtag),INT((MONTH(Stichtag)-1)/3)*3+1,1),Stichtag)))*(RD_Kopf&lt;=Stichtag)*ISNUMBER(Rohdaten!$A$93:$LJ$93))&gt;0,"erledigt","automatisch")),IF($F105&lt;&gt;"ja","nicht berichtet",IF(ISNA(MATCH(Stichtag,RD_Kopf,0)),"keine Spalte",IF(SUMPRODUCT((RD_Kopf&gt;=IF($G105="monatlich",DATE(YEAR(Stichtag),MONTH(Stichtag),1),IF($G105="quartalsweise",DATE(YEAR(Stichtag),INT((MONTH(Stichtag)-1)/3)*3+1,1),Stichtag)))*(RD_Kopf&lt;=Stichtag)*ISNUMBER(Rohdaten!$A$93:$LJ$93))&gt;0,"erledigt","offen"))))</f>
        <v>nicht berichtet</v>
      </c>
      <c r="I105" s="73" t="s">
        <v>714</v>
      </c>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t="s">
        <v>839</v>
      </c>
      <c r="AN105" t="s">
        <v>840</v>
      </c>
      <c r="AO105" t="s">
        <v>709</v>
      </c>
    </row>
    <row r="106" spans="1:41" ht="18" customHeight="1" outlineLevel="2">
      <c r="A106" s="65">
        <f>ROW(Rohdaten!$A$94)</f>
        <v>94</v>
      </c>
      <c r="B106" s="66" t="str">
        <f>IF(Rohdaten!$A$94="","",Rohdaten!$A$94)</f>
        <v>7d</v>
      </c>
      <c r="C106" s="67" t="s">
        <v>841</v>
      </c>
      <c r="D106" s="68" t="str">
        <f>IF(Rohdaten!$E$94="","",Rohdaten!$E$94)</f>
        <v>H:\MaklerBUe</v>
      </c>
      <c r="E106" s="69" t="str">
        <f t="array" ref="E106">_xlfn.TEXTJOIN(" / ",TRUE,IF($I106:$AL106="●",$I$4:$AL$4,""))</f>
        <v/>
      </c>
      <c r="F106" s="70" t="s">
        <v>711</v>
      </c>
      <c r="G106" s="71" t="s">
        <v>712</v>
      </c>
      <c r="H106" s="72">
        <f>IF($F106="automatisch",IF(ISNA(MATCH(Stichtag,RD_Kopf,0)),"automatisch",IF(SUMPRODUCT((RD_Kopf&gt;=IF($G106="monatlich",DATE(YEAR(Stichtag),MONTH(Stichtag),1),IF($G106="quartalsweise",DATE(YEAR(Stichtag),INT((MONTH(Stichtag)-1)/3)*3+1,1),Stichtag)))*(RD_Kopf&lt;=Stichtag)*ISNUMBER(Rohdaten!$A$94:$LJ$94))&gt;0,"erledigt","automatisch")),IF($F106&lt;&gt;"ja","",IF(ISNA(MATCH(Stichtag,RD_Kopf,0)),"keine Spalte",IF(SUMPRODUCT((RD_Kopf&gt;=IF($G106="monatlich",DATE(YEAR(Stichtag),MONTH(Stichtag),1),IF($G106="quartalsweise",DATE(YEAR(Stichtag),INT((MONTH(Stichtag)-1)/3)*3+1,1),Stichtag)))*(RD_Kopf&lt;=Stichtag)*ISNUMBER(Rohdaten!$A$94:$LJ$94))&gt;0,"erledigt","offen"))))</f>
        <v/>
      </c>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t="s">
        <v>842</v>
      </c>
      <c r="AN106" t="s">
        <v>843</v>
      </c>
      <c r="AO106" t="s">
        <v>709</v>
      </c>
    </row>
    <row r="107" spans="1:41" ht="18" customHeight="1" outlineLevel="1">
      <c r="A107" s="65">
        <f>ROW(Rohdaten!$A$95)</f>
        <v>95</v>
      </c>
      <c r="B107" s="66" t="str">
        <f>IF(Rohdaten!$A$95="","",Rohdaten!$A$95)</f>
        <v>7e</v>
      </c>
      <c r="C107" s="74" t="s">
        <v>844</v>
      </c>
      <c r="D107" s="68">
        <f>IF(Rohdaten!$E$95="","",Rohdaten!$E$95)</f>
        <v/>
      </c>
      <c r="E107" s="69" t="str">
        <f t="array" ref="E107">_xlfn.TEXTJOIN(" / ",TRUE,IF($I107:$AL107="●",$I$4:$AL$4,""))</f>
        <v/>
      </c>
      <c r="F107" s="70" t="s">
        <v>711</v>
      </c>
      <c r="G107" s="71" t="s">
        <v>712</v>
      </c>
      <c r="H107" s="72">
        <f>IF($F107="automatisch",IF(ISNA(MATCH(Stichtag,RD_Kopf,0)),"automatisch",IF(SUMPRODUCT((RD_Kopf&gt;=IF($G107="monatlich",DATE(YEAR(Stichtag),MONTH(Stichtag),1),IF($G107="quartalsweise",DATE(YEAR(Stichtag),INT((MONTH(Stichtag)-1)/3)*3+1,1),Stichtag)))*(RD_Kopf&lt;=Stichtag)*ISNUMBER(Rohdaten!$A$95:$LJ$95))&gt;0,"erledigt","automatisch")),IF($F107&lt;&gt;"ja","",IF(ISNA(MATCH(Stichtag,RD_Kopf,0)),"keine Spalte",IF(SUMPRODUCT((RD_Kopf&gt;=IF($G107="monatlich",DATE(YEAR(Stichtag),MONTH(Stichtag),1),IF($G107="quartalsweise",DATE(YEAR(Stichtag),INT((MONTH(Stichtag)-1)/3)*3+1,1),Stichtag)))*(RD_Kopf&lt;=Stichtag)*ISNUMBER(Rohdaten!$A$95:$LJ$95))&gt;0,"erledigt","offen"))))</f>
        <v/>
      </c>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t="s">
        <v>845</v>
      </c>
      <c r="AN107" t="s">
        <v>846</v>
      </c>
      <c r="AO107" t="s">
        <v>709</v>
      </c>
    </row>
    <row r="108" spans="1:41" ht="18" customHeight="1" outlineLevel="1">
      <c r="A108" s="62"/>
      <c r="B108" s="62"/>
      <c r="C108" s="63" t="s">
        <v>783</v>
      </c>
      <c r="D108" s="63"/>
      <c r="E108" s="63"/>
      <c r="F108" s="63"/>
      <c r="G108" s="63"/>
      <c r="H108" s="63"/>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O108" t="s">
        <v>706</v>
      </c>
    </row>
    <row r="109" spans="1:41" ht="18" customHeight="1" outlineLevel="2">
      <c r="A109" s="65">
        <f>ROW(Rohdaten!$A$96)</f>
        <v>96</v>
      </c>
      <c r="B109" s="66">
        <f>IF(Rohdaten!$A$96="","",Rohdaten!$A$96)</f>
        <v/>
      </c>
      <c r="C109" s="67" t="s">
        <v>835</v>
      </c>
      <c r="D109" s="68" t="str">
        <f>IF(Rohdaten!$E$96="","",Rohdaten!$E$96)</f>
        <v>Amend</v>
      </c>
      <c r="E109" s="69" t="str">
        <f t="array" ref="E109">_xlfn.TEXTJOIN(" / ",TRUE,IF($I109:$AL109="●",$I$4:$AL$4,""))</f>
        <v>Amend</v>
      </c>
      <c r="F109" s="70" t="s">
        <v>711</v>
      </c>
      <c r="G109" s="71" t="s">
        <v>712</v>
      </c>
      <c r="H109" s="72" t="str">
        <f>IF($F109="automatisch",IF(ISNA(MATCH(Stichtag,RD_Kopf,0)),"automatisch",IF(SUMPRODUCT((RD_Kopf&gt;=IF($G109="monatlich",DATE(YEAR(Stichtag),MONTH(Stichtag),1),IF($G109="quartalsweise",DATE(YEAR(Stichtag),INT((MONTH(Stichtag)-1)/3)*3+1,1),Stichtag)))*(RD_Kopf&lt;=Stichtag)*ISNUMBER(Rohdaten!$A$96:$LJ$96))&gt;0,"erledigt","automatisch")),IF($F109&lt;&gt;"ja","nicht berichtet",IF(ISNA(MATCH(Stichtag,RD_Kopf,0)),"keine Spalte",IF(SUMPRODUCT((RD_Kopf&gt;=IF($G109="monatlich",DATE(YEAR(Stichtag),MONTH(Stichtag),1),IF($G109="quartalsweise",DATE(YEAR(Stichtag),INT((MONTH(Stichtag)-1)/3)*3+1,1),Stichtag)))*(RD_Kopf&lt;=Stichtag)*ISNUMBER(Rohdaten!$A$96:$LJ$96))&gt;0,"erledigt","offen"))))</f>
        <v>nicht berichtet</v>
      </c>
      <c r="I109" s="73" t="s">
        <v>714</v>
      </c>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t="s">
        <v>847</v>
      </c>
      <c r="AO109" t="s">
        <v>709</v>
      </c>
    </row>
    <row r="110" spans="1:41" ht="18" customHeight="1" outlineLevel="2">
      <c r="A110" s="65">
        <f>ROW(Rohdaten!$A$97)</f>
        <v>97</v>
      </c>
      <c r="B110" s="66">
        <f>IF(Rohdaten!$A$97="","",Rohdaten!$A$97)</f>
        <v/>
      </c>
      <c r="C110" s="67" t="s">
        <v>848</v>
      </c>
      <c r="D110" s="68" t="str">
        <f>IF(Rohdaten!$E$97="","",Rohdaten!$E$97)</f>
        <v>Amend</v>
      </c>
      <c r="E110" s="69" t="str">
        <f t="array" ref="E110">_xlfn.TEXTJOIN(" / ",TRUE,IF($I110:$AL110="●",$I$4:$AL$4,""))</f>
        <v>Amend</v>
      </c>
      <c r="F110" s="70" t="s">
        <v>711</v>
      </c>
      <c r="G110" s="71" t="s">
        <v>712</v>
      </c>
      <c r="H110" s="72" t="str">
        <f>IF($F110="automatisch",IF(ISNA(MATCH(Stichtag,RD_Kopf,0)),"automatisch",IF(SUMPRODUCT((RD_Kopf&gt;=IF($G110="monatlich",DATE(YEAR(Stichtag),MONTH(Stichtag),1),IF($G110="quartalsweise",DATE(YEAR(Stichtag),INT((MONTH(Stichtag)-1)/3)*3+1,1),Stichtag)))*(RD_Kopf&lt;=Stichtag)*ISNUMBER(Rohdaten!$A$97:$LJ$97))&gt;0,"erledigt","automatisch")),IF($F110&lt;&gt;"ja","nicht berichtet",IF(ISNA(MATCH(Stichtag,RD_Kopf,0)),"keine Spalte",IF(SUMPRODUCT((RD_Kopf&gt;=IF($G110="monatlich",DATE(YEAR(Stichtag),MONTH(Stichtag),1),IF($G110="quartalsweise",DATE(YEAR(Stichtag),INT((MONTH(Stichtag)-1)/3)*3+1,1),Stichtag)))*(RD_Kopf&lt;=Stichtag)*ISNUMBER(Rohdaten!$A$97:$LJ$97))&gt;0,"erledigt","offen"))))</f>
        <v>nicht berichtet</v>
      </c>
      <c r="I110" s="73" t="s">
        <v>714</v>
      </c>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t="s">
        <v>849</v>
      </c>
      <c r="AO110" t="s">
        <v>709</v>
      </c>
    </row>
    <row r="111" spans="1:41" ht="18" customHeight="1" outlineLevel="2">
      <c r="A111" s="65">
        <f>ROW(Rohdaten!$A$98)</f>
        <v>98</v>
      </c>
      <c r="B111" s="66">
        <f>IF(Rohdaten!$A$98="","",Rohdaten!$A$98)</f>
        <v/>
      </c>
      <c r="C111" s="67" t="s">
        <v>850</v>
      </c>
      <c r="D111" s="68" t="str">
        <f>IF(Rohdaten!$E$98="","",Rohdaten!$E$98)</f>
        <v>H:\MaklerBUe</v>
      </c>
      <c r="E111" s="69" t="str">
        <f t="array" ref="E111">_xlfn.TEXTJOIN(" / ",TRUE,IF($I111:$AL111="●",$I$4:$AL$4,""))</f>
        <v/>
      </c>
      <c r="F111" s="70" t="s">
        <v>711</v>
      </c>
      <c r="G111" s="71" t="s">
        <v>712</v>
      </c>
      <c r="H111" s="72">
        <f>IF($F111="automatisch",IF(ISNA(MATCH(Stichtag,RD_Kopf,0)),"automatisch",IF(SUMPRODUCT((RD_Kopf&gt;=IF($G111="monatlich",DATE(YEAR(Stichtag),MONTH(Stichtag),1),IF($G111="quartalsweise",DATE(YEAR(Stichtag),INT((MONTH(Stichtag)-1)/3)*3+1,1),Stichtag)))*(RD_Kopf&lt;=Stichtag)*ISNUMBER(Rohdaten!$A$98:$LJ$98))&gt;0,"erledigt","automatisch")),IF($F111&lt;&gt;"ja","",IF(ISNA(MATCH(Stichtag,RD_Kopf,0)),"keine Spalte",IF(SUMPRODUCT((RD_Kopf&gt;=IF($G111="monatlich",DATE(YEAR(Stichtag),MONTH(Stichtag),1),IF($G111="quartalsweise",DATE(YEAR(Stichtag),INT((MONTH(Stichtag)-1)/3)*3+1,1),Stichtag)))*(RD_Kopf&lt;=Stichtag)*ISNUMBER(Rohdaten!$A$98:$LJ$98))&gt;0,"erledigt","offen"))))</f>
        <v/>
      </c>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t="s">
        <v>851</v>
      </c>
      <c r="AO111" t="s">
        <v>709</v>
      </c>
    </row>
    <row r="112" spans="1:41" ht="18" customHeight="1" outlineLevel="1">
      <c r="A112" s="65">
        <f>ROW(Rohdaten!$A$99)</f>
        <v>99</v>
      </c>
      <c r="B112" s="66" t="str">
        <f>IF(Rohdaten!$A$99="","",Rohdaten!$A$99)</f>
        <v>7f</v>
      </c>
      <c r="C112" s="74" t="s">
        <v>852</v>
      </c>
      <c r="D112" s="68">
        <f>IF(Rohdaten!$E$99="","",Rohdaten!$E$99)</f>
        <v/>
      </c>
      <c r="E112" s="69" t="str">
        <f t="array" ref="E112">_xlfn.TEXTJOIN(" / ",TRUE,IF($I112:$AL112="●",$I$4:$AL$4,""))</f>
        <v/>
      </c>
      <c r="F112" s="70" t="s">
        <v>711</v>
      </c>
      <c r="G112" s="71" t="s">
        <v>712</v>
      </c>
      <c r="H112" s="72">
        <f>IF($F112="automatisch",IF(ISNA(MATCH(Stichtag,RD_Kopf,0)),"automatisch",IF(SUMPRODUCT((RD_Kopf&gt;=IF($G112="monatlich",DATE(YEAR(Stichtag),MONTH(Stichtag),1),IF($G112="quartalsweise",DATE(YEAR(Stichtag),INT((MONTH(Stichtag)-1)/3)*3+1,1),Stichtag)))*(RD_Kopf&lt;=Stichtag)*ISNUMBER(Rohdaten!$A$99:$LJ$99))&gt;0,"erledigt","automatisch")),IF($F112&lt;&gt;"ja","",IF(ISNA(MATCH(Stichtag,RD_Kopf,0)),"keine Spalte",IF(SUMPRODUCT((RD_Kopf&gt;=IF($G112="monatlich",DATE(YEAR(Stichtag),MONTH(Stichtag),1),IF($G112="quartalsweise",DATE(YEAR(Stichtag),INT((MONTH(Stichtag)-1)/3)*3+1,1),Stichtag)))*(RD_Kopf&lt;=Stichtag)*ISNUMBER(Rohdaten!$A$99:$LJ$99))&gt;0,"erledigt","offen"))))</f>
        <v/>
      </c>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t="s">
        <v>853</v>
      </c>
      <c r="AN112" t="s">
        <v>854</v>
      </c>
      <c r="AO112" t="s">
        <v>709</v>
      </c>
    </row>
    <row r="113" spans="1:41" ht="18" customHeight="1" outlineLevel="1">
      <c r="A113" s="62"/>
      <c r="B113" s="62"/>
      <c r="C113" s="63" t="s">
        <v>786</v>
      </c>
      <c r="D113" s="63"/>
      <c r="E113" s="63"/>
      <c r="F113" s="63"/>
      <c r="G113" s="63"/>
      <c r="H113" s="63"/>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O113" t="s">
        <v>706</v>
      </c>
    </row>
    <row r="114" spans="1:41" ht="18" customHeight="1" outlineLevel="2">
      <c r="A114" s="65">
        <f>ROW(Rohdaten!$A$100)</f>
        <v>100</v>
      </c>
      <c r="B114" s="66">
        <f>IF(Rohdaten!$A$100="","",Rohdaten!$A$100)</f>
        <v/>
      </c>
      <c r="C114" s="67" t="s">
        <v>835</v>
      </c>
      <c r="D114" s="68" t="str">
        <f>IF(Rohdaten!$E$100="","",Rohdaten!$E$100)</f>
        <v>Amend</v>
      </c>
      <c r="E114" s="69" t="str">
        <f t="array" ref="E114">_xlfn.TEXTJOIN(" / ",TRUE,IF($I114:$AL114="●",$I$4:$AL$4,""))</f>
        <v>Amend</v>
      </c>
      <c r="F114" s="70" t="s">
        <v>711</v>
      </c>
      <c r="G114" s="71" t="s">
        <v>712</v>
      </c>
      <c r="H114" s="72" t="str">
        <f>IF($F114="automatisch",IF(ISNA(MATCH(Stichtag,RD_Kopf,0)),"automatisch",IF(SUMPRODUCT((RD_Kopf&gt;=IF($G114="monatlich",DATE(YEAR(Stichtag),MONTH(Stichtag),1),IF($G114="quartalsweise",DATE(YEAR(Stichtag),INT((MONTH(Stichtag)-1)/3)*3+1,1),Stichtag)))*(RD_Kopf&lt;=Stichtag)*ISNUMBER(Rohdaten!$A$100:$LJ$100))&gt;0,"erledigt","automatisch")),IF($F114&lt;&gt;"ja","nicht berichtet",IF(ISNA(MATCH(Stichtag,RD_Kopf,0)),"keine Spalte",IF(SUMPRODUCT((RD_Kopf&gt;=IF($G114="monatlich",DATE(YEAR(Stichtag),MONTH(Stichtag),1),IF($G114="quartalsweise",DATE(YEAR(Stichtag),INT((MONTH(Stichtag)-1)/3)*3+1,1),Stichtag)))*(RD_Kopf&lt;=Stichtag)*ISNUMBER(Rohdaten!$A$100:$LJ$100))&gt;0,"erledigt","offen"))))</f>
        <v>nicht berichtet</v>
      </c>
      <c r="I114" s="73" t="s">
        <v>714</v>
      </c>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t="s">
        <v>855</v>
      </c>
      <c r="AO114" t="s">
        <v>709</v>
      </c>
    </row>
    <row r="115" spans="1:41" ht="18" customHeight="1" outlineLevel="2">
      <c r="A115" s="65">
        <f>ROW(Rohdaten!$A$101)</f>
        <v>101</v>
      </c>
      <c r="B115" s="66">
        <f>IF(Rohdaten!$A$101="","",Rohdaten!$A$101)</f>
        <v/>
      </c>
      <c r="C115" s="67" t="s">
        <v>848</v>
      </c>
      <c r="D115" s="68" t="str">
        <f>IF(Rohdaten!$E$101="","",Rohdaten!$E$101)</f>
        <v>Amend</v>
      </c>
      <c r="E115" s="69" t="str">
        <f t="array" ref="E115">_xlfn.TEXTJOIN(" / ",TRUE,IF($I115:$AL115="●",$I$4:$AL$4,""))</f>
        <v>Amend</v>
      </c>
      <c r="F115" s="70" t="s">
        <v>711</v>
      </c>
      <c r="G115" s="71" t="s">
        <v>712</v>
      </c>
      <c r="H115" s="72" t="str">
        <f>IF($F115="automatisch",IF(ISNA(MATCH(Stichtag,RD_Kopf,0)),"automatisch",IF(SUMPRODUCT((RD_Kopf&gt;=IF($G115="monatlich",DATE(YEAR(Stichtag),MONTH(Stichtag),1),IF($G115="quartalsweise",DATE(YEAR(Stichtag),INT((MONTH(Stichtag)-1)/3)*3+1,1),Stichtag)))*(RD_Kopf&lt;=Stichtag)*ISNUMBER(Rohdaten!$A$101:$LJ$101))&gt;0,"erledigt","automatisch")),IF($F115&lt;&gt;"ja","nicht berichtet",IF(ISNA(MATCH(Stichtag,RD_Kopf,0)),"keine Spalte",IF(SUMPRODUCT((RD_Kopf&gt;=IF($G115="monatlich",DATE(YEAR(Stichtag),MONTH(Stichtag),1),IF($G115="quartalsweise",DATE(YEAR(Stichtag),INT((MONTH(Stichtag)-1)/3)*3+1,1),Stichtag)))*(RD_Kopf&lt;=Stichtag)*ISNUMBER(Rohdaten!$A$101:$LJ$101))&gt;0,"erledigt","offen"))))</f>
        <v>nicht berichtet</v>
      </c>
      <c r="I115" s="73" t="s">
        <v>714</v>
      </c>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t="s">
        <v>856</v>
      </c>
      <c r="AO115" t="s">
        <v>709</v>
      </c>
    </row>
    <row r="116" spans="1:41" ht="18" customHeight="1" outlineLevel="2">
      <c r="A116" s="65">
        <f>ROW(Rohdaten!$A$102)</f>
        <v>102</v>
      </c>
      <c r="B116" s="66">
        <f>IF(Rohdaten!$A$102="","",Rohdaten!$A$102)</f>
        <v/>
      </c>
      <c r="C116" s="67" t="s">
        <v>850</v>
      </c>
      <c r="D116" s="68" t="str">
        <f>IF(Rohdaten!$E$102="","",Rohdaten!$E$102)</f>
        <v>H:\MaklerBUe</v>
      </c>
      <c r="E116" s="69" t="str">
        <f t="array" ref="E116">_xlfn.TEXTJOIN(" / ",TRUE,IF($I116:$AL116="●",$I$4:$AL$4,""))</f>
        <v/>
      </c>
      <c r="F116" s="70" t="s">
        <v>711</v>
      </c>
      <c r="G116" s="71" t="s">
        <v>712</v>
      </c>
      <c r="H116" s="72">
        <f>IF($F116="automatisch",IF(ISNA(MATCH(Stichtag,RD_Kopf,0)),"automatisch",IF(SUMPRODUCT((RD_Kopf&gt;=IF($G116="monatlich",DATE(YEAR(Stichtag),MONTH(Stichtag),1),IF($G116="quartalsweise",DATE(YEAR(Stichtag),INT((MONTH(Stichtag)-1)/3)*3+1,1),Stichtag)))*(RD_Kopf&lt;=Stichtag)*ISNUMBER(Rohdaten!$A$102:$LJ$102))&gt;0,"erledigt","automatisch")),IF($F116&lt;&gt;"ja","",IF(ISNA(MATCH(Stichtag,RD_Kopf,0)),"keine Spalte",IF(SUMPRODUCT((RD_Kopf&gt;=IF($G116="monatlich",DATE(YEAR(Stichtag),MONTH(Stichtag),1),IF($G116="quartalsweise",DATE(YEAR(Stichtag),INT((MONTH(Stichtag)-1)/3)*3+1,1),Stichtag)))*(RD_Kopf&lt;=Stichtag)*ISNUMBER(Rohdaten!$A$102:$LJ$102))&gt;0,"erledigt","offen"))))</f>
        <v/>
      </c>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t="s">
        <v>857</v>
      </c>
      <c r="AO116" t="s">
        <v>709</v>
      </c>
    </row>
    <row r="117" spans="1:41" ht="22" customHeight="1">
      <c r="A117" s="60" t="s">
        <v>858</v>
      </c>
      <c r="B117" s="60"/>
      <c r="C117" s="60"/>
      <c r="D117" s="60"/>
      <c r="E117" s="60"/>
      <c r="F117" s="60"/>
      <c r="G117" s="60"/>
      <c r="H117" s="60"/>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O117" t="s">
        <v>705</v>
      </c>
    </row>
    <row r="118" spans="1:41" ht="18" customHeight="1" outlineLevel="1">
      <c r="A118" s="62"/>
      <c r="B118" s="62"/>
      <c r="C118" s="63" t="s">
        <v>728</v>
      </c>
      <c r="D118" s="63"/>
      <c r="E118" s="63"/>
      <c r="F118" s="63"/>
      <c r="G118" s="63"/>
      <c r="H118" s="63"/>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O118" t="s">
        <v>706</v>
      </c>
    </row>
    <row r="119" spans="1:41" ht="18" customHeight="1" outlineLevel="2">
      <c r="A119" s="65">
        <f>ROW(Rohdaten!$A$103)</f>
        <v>103</v>
      </c>
      <c r="B119" s="66">
        <f>IF(Rohdaten!$A$103="","",Rohdaten!$A$103)</f>
        <v/>
      </c>
      <c r="C119" s="67" t="s">
        <v>859</v>
      </c>
      <c r="D119" s="68" t="str">
        <f>IF(Rohdaten!$E$103="","",Rohdaten!$E$103)</f>
        <v>Kneissler/ Freytag</v>
      </c>
      <c r="E119" s="69" t="str">
        <f t="array" ref="E119">_xlfn.TEXTJOIN(" / ",TRUE,IF($I119:$AL119="●",$I$4:$AL$4,""))</f>
        <v>Freytag / Kneissler</v>
      </c>
      <c r="F119" s="70" t="s">
        <v>781</v>
      </c>
      <c r="G119" s="71" t="s">
        <v>712</v>
      </c>
      <c r="H119" s="72">
        <f>IF($F119="automatisch",IF(ISNA(MATCH(Stichtag,RD_Kopf,0)),"automatisch",IF(SUMPRODUCT((RD_Kopf&gt;=IF($G119="monatlich",DATE(YEAR(Stichtag),MONTH(Stichtag),1),IF($G119="quartalsweise",DATE(YEAR(Stichtag),INT((MONTH(Stichtag)-1)/3)*3+1,1),Stichtag)))*(RD_Kopf&lt;=Stichtag)*ISNUMBER(Rohdaten!$A$103:$LJ$103))&gt;0,"erledigt","automatisch")),IF($F119&lt;&gt;"ja","",IF(ISNA(MATCH(Stichtag,RD_Kopf,0)),"keine Spalte",IF(SUMPRODUCT((RD_Kopf&gt;=IF($G119="monatlich",DATE(YEAR(Stichtag),MONTH(Stichtag),1),IF($G119="quartalsweise",DATE(YEAR(Stichtag),INT((MONTH(Stichtag)-1)/3)*3+1,1),Stichtag)))*(RD_Kopf&lt;=Stichtag)*ISNUMBER(Rohdaten!$A$103:$LJ$103))&gt;0,"erledigt","offen"))))</f>
        <v/>
      </c>
      <c r="I119" s="73"/>
      <c r="J119" s="73"/>
      <c r="K119" s="73"/>
      <c r="L119" s="73"/>
      <c r="M119" s="73"/>
      <c r="N119" s="73"/>
      <c r="O119" s="73"/>
      <c r="P119" s="73" t="s">
        <v>714</v>
      </c>
      <c r="Q119" s="73"/>
      <c r="R119" s="73"/>
      <c r="S119" s="73"/>
      <c r="T119" s="73"/>
      <c r="U119" s="73"/>
      <c r="V119" s="73"/>
      <c r="W119" s="73" t="s">
        <v>714</v>
      </c>
      <c r="X119" s="73"/>
      <c r="Y119" s="73"/>
      <c r="Z119" s="73"/>
      <c r="AA119" s="73"/>
      <c r="AB119" s="73"/>
      <c r="AC119" s="73"/>
      <c r="AD119" s="73"/>
      <c r="AE119" s="73"/>
      <c r="AF119" s="73"/>
      <c r="AG119" s="73"/>
      <c r="AH119" s="73"/>
      <c r="AI119" s="73"/>
      <c r="AJ119" s="73"/>
      <c r="AK119" s="73"/>
      <c r="AL119" s="73"/>
      <c r="AM119" t="s">
        <v>860</v>
      </c>
      <c r="AO119" t="s">
        <v>709</v>
      </c>
    </row>
    <row r="120" spans="1:41" ht="30" customHeight="1" outlineLevel="2">
      <c r="A120" s="65">
        <f>ROW(Rohdaten!$A$104)</f>
        <v>104</v>
      </c>
      <c r="B120" s="66">
        <f>IF(Rohdaten!$A$104="","",Rohdaten!$A$104)</f>
        <v/>
      </c>
      <c r="C120" s="75" t="s">
        <v>861</v>
      </c>
      <c r="D120" s="68" t="str">
        <f>IFERROR(INDEX(Rohdaten!$E$103:$E$104,MATCH("*",Rohdaten!$E$103:$E$104,0)),"")</f>
        <v>Kneissler/ Freytag</v>
      </c>
      <c r="E120" s="69" t="str">
        <f t="array" ref="E120">_xlfn.TEXTJOIN(" / ",TRUE,IF($I120:$AL120="●",$I$4:$AL$4,""))</f>
        <v>Freytag / Kneissler</v>
      </c>
      <c r="F120" s="70" t="s">
        <v>781</v>
      </c>
      <c r="G120" s="71" t="s">
        <v>712</v>
      </c>
      <c r="H120" s="72">
        <f>IF($F120="automatisch",IF(ISNA(MATCH(Stichtag,RD_Kopf,0)),"automatisch",IF(SUMPRODUCT((RD_Kopf&gt;=IF($G120="monatlich",DATE(YEAR(Stichtag),MONTH(Stichtag),1),IF($G120="quartalsweise",DATE(YEAR(Stichtag),INT((MONTH(Stichtag)-1)/3)*3+1,1),Stichtag)))*(RD_Kopf&lt;=Stichtag)*ISNUMBER(Rohdaten!$A$104:$LJ$104))&gt;0,"erledigt","automatisch")),IF($F120&lt;&gt;"ja","",IF(ISNA(MATCH(Stichtag,RD_Kopf,0)),"keine Spalte",IF(SUMPRODUCT((RD_Kopf&gt;=IF($G120="monatlich",DATE(YEAR(Stichtag),MONTH(Stichtag),1),IF($G120="quartalsweise",DATE(YEAR(Stichtag),INT((MONTH(Stichtag)-1)/3)*3+1,1),Stichtag)))*(RD_Kopf&lt;=Stichtag)*ISNUMBER(Rohdaten!$A$104:$LJ$104))&gt;0,"erledigt","offen"))))</f>
        <v/>
      </c>
      <c r="I120" s="73"/>
      <c r="J120" s="73"/>
      <c r="K120" s="73"/>
      <c r="L120" s="73"/>
      <c r="M120" s="73"/>
      <c r="N120" s="73"/>
      <c r="O120" s="73"/>
      <c r="P120" s="73" t="s">
        <v>714</v>
      </c>
      <c r="Q120" s="73"/>
      <c r="R120" s="73"/>
      <c r="S120" s="73"/>
      <c r="T120" s="73"/>
      <c r="U120" s="73"/>
      <c r="V120" s="73"/>
      <c r="W120" s="73" t="s">
        <v>714</v>
      </c>
      <c r="X120" s="73"/>
      <c r="Y120" s="73"/>
      <c r="Z120" s="73"/>
      <c r="AA120" s="73"/>
      <c r="AB120" s="73"/>
      <c r="AC120" s="73"/>
      <c r="AD120" s="73"/>
      <c r="AE120" s="73"/>
      <c r="AF120" s="73"/>
      <c r="AG120" s="73"/>
      <c r="AH120" s="73"/>
      <c r="AI120" s="73"/>
      <c r="AJ120" s="73"/>
      <c r="AK120" s="73"/>
      <c r="AL120" s="73"/>
      <c r="AM120" t="s">
        <v>862</v>
      </c>
      <c r="AO120" t="s">
        <v>709</v>
      </c>
    </row>
    <row r="121" spans="1:41" ht="18" customHeight="1" outlineLevel="2">
      <c r="A121" s="65">
        <f>ROW(Rohdaten!$A$105)</f>
        <v>105</v>
      </c>
      <c r="B121" s="66" t="str">
        <f>IF(Rohdaten!$A$105="","",Rohdaten!$A$105)</f>
        <v>8a</v>
      </c>
      <c r="C121" s="67" t="s">
        <v>832</v>
      </c>
      <c r="D121" s="68" t="str">
        <f>IFERROR(INDEX(Rohdaten!$E$103:$E$105,MATCH("*",Rohdaten!$E$103:$E$105,0)),"")</f>
        <v>Kneissler/ Freytag</v>
      </c>
      <c r="E121" s="69" t="str">
        <f t="array" ref="E121">_xlfn.TEXTJOIN(" / ",TRUE,IF($I121:$AL121="●",$I$4:$AL$4,""))</f>
        <v>Freytag / Kneissler</v>
      </c>
      <c r="F121" s="70" t="s">
        <v>711</v>
      </c>
      <c r="G121" s="71" t="s">
        <v>712</v>
      </c>
      <c r="H121" s="72">
        <f>IF($F121="automatisch",IF(ISNA(MATCH(Stichtag,RD_Kopf,0)),"automatisch",IF(SUMPRODUCT((RD_Kopf&gt;=IF($G121="monatlich",DATE(YEAR(Stichtag),MONTH(Stichtag),1),IF($G121="quartalsweise",DATE(YEAR(Stichtag),INT((MONTH(Stichtag)-1)/3)*3+1,1),Stichtag)))*(RD_Kopf&lt;=Stichtag)*ISNUMBER(Rohdaten!$A$105:$LJ$105))&gt;0,"erledigt","automatisch")),IF($F121&lt;&gt;"ja","",IF(ISNA(MATCH(Stichtag,RD_Kopf,0)),"keine Spalte",IF(SUMPRODUCT((RD_Kopf&gt;=IF($G121="monatlich",DATE(YEAR(Stichtag),MONTH(Stichtag),1),IF($G121="quartalsweise",DATE(YEAR(Stichtag),INT((MONTH(Stichtag)-1)/3)*3+1,1),Stichtag)))*(RD_Kopf&lt;=Stichtag)*ISNUMBER(Rohdaten!$A$105:$LJ$105))&gt;0,"erledigt","offen"))))</f>
        <v/>
      </c>
      <c r="I121" s="73"/>
      <c r="J121" s="73"/>
      <c r="K121" s="73"/>
      <c r="L121" s="73"/>
      <c r="M121" s="73"/>
      <c r="N121" s="73"/>
      <c r="O121" s="73"/>
      <c r="P121" s="73" t="s">
        <v>714</v>
      </c>
      <c r="Q121" s="73"/>
      <c r="R121" s="73"/>
      <c r="S121" s="73"/>
      <c r="T121" s="73"/>
      <c r="U121" s="73"/>
      <c r="V121" s="73"/>
      <c r="W121" s="73" t="s">
        <v>714</v>
      </c>
      <c r="X121" s="73"/>
      <c r="Y121" s="73"/>
      <c r="Z121" s="73"/>
      <c r="AA121" s="73"/>
      <c r="AB121" s="73"/>
      <c r="AC121" s="73"/>
      <c r="AD121" s="73"/>
      <c r="AE121" s="73"/>
      <c r="AF121" s="73"/>
      <c r="AG121" s="73"/>
      <c r="AH121" s="73"/>
      <c r="AI121" s="73"/>
      <c r="AJ121" s="73"/>
      <c r="AK121" s="73"/>
      <c r="AL121" s="73"/>
      <c r="AM121" t="s">
        <v>863</v>
      </c>
      <c r="AN121" t="s">
        <v>105</v>
      </c>
      <c r="AO121" t="s">
        <v>709</v>
      </c>
    </row>
    <row r="122" spans="1:41" ht="18" customHeight="1" outlineLevel="1">
      <c r="A122" s="62"/>
      <c r="B122" s="62"/>
      <c r="C122" s="63" t="s">
        <v>783</v>
      </c>
      <c r="D122" s="63"/>
      <c r="E122" s="63"/>
      <c r="F122" s="63"/>
      <c r="G122" s="63"/>
      <c r="H122" s="63"/>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O122" t="s">
        <v>706</v>
      </c>
    </row>
    <row r="123" spans="1:41" ht="18" customHeight="1" outlineLevel="2">
      <c r="A123" s="65">
        <f>ROW(Rohdaten!$A$106)</f>
        <v>106</v>
      </c>
      <c r="B123" s="66">
        <f>IF(Rohdaten!$A$106="","",Rohdaten!$A$106)</f>
        <v/>
      </c>
      <c r="C123" s="67" t="s">
        <v>859</v>
      </c>
      <c r="D123" s="68" t="str">
        <f>IFERROR(INDEX(Rohdaten!$E$103:$E$106,MATCH("*",Rohdaten!$E$103:$E$106,0)),"")</f>
        <v>Kneissler/ Freytag</v>
      </c>
      <c r="E123" s="69" t="str">
        <f t="array" ref="E123">_xlfn.TEXTJOIN(" / ",TRUE,IF($I123:$AL123="●",$I$4:$AL$4,""))</f>
        <v>Freytag / Kneissler</v>
      </c>
      <c r="F123" s="70" t="s">
        <v>781</v>
      </c>
      <c r="G123" s="71" t="s">
        <v>712</v>
      </c>
      <c r="H123" s="72">
        <f>IF($F123="automatisch",IF(ISNA(MATCH(Stichtag,RD_Kopf,0)),"automatisch",IF(SUMPRODUCT((RD_Kopf&gt;=IF($G123="monatlich",DATE(YEAR(Stichtag),MONTH(Stichtag),1),IF($G123="quartalsweise",DATE(YEAR(Stichtag),INT((MONTH(Stichtag)-1)/3)*3+1,1),Stichtag)))*(RD_Kopf&lt;=Stichtag)*ISNUMBER(Rohdaten!$A$106:$LJ$106))&gt;0,"erledigt","automatisch")),IF($F123&lt;&gt;"ja","",IF(ISNA(MATCH(Stichtag,RD_Kopf,0)),"keine Spalte",IF(SUMPRODUCT((RD_Kopf&gt;=IF($G123="monatlich",DATE(YEAR(Stichtag),MONTH(Stichtag),1),IF($G123="quartalsweise",DATE(YEAR(Stichtag),INT((MONTH(Stichtag)-1)/3)*3+1,1),Stichtag)))*(RD_Kopf&lt;=Stichtag)*ISNUMBER(Rohdaten!$A$106:$LJ$106))&gt;0,"erledigt","offen"))))</f>
        <v/>
      </c>
      <c r="I123" s="73"/>
      <c r="J123" s="73"/>
      <c r="K123" s="73"/>
      <c r="L123" s="73"/>
      <c r="M123" s="73"/>
      <c r="N123" s="73"/>
      <c r="O123" s="73"/>
      <c r="P123" s="73" t="s">
        <v>714</v>
      </c>
      <c r="Q123" s="73"/>
      <c r="R123" s="73"/>
      <c r="S123" s="73"/>
      <c r="T123" s="73"/>
      <c r="U123" s="73"/>
      <c r="V123" s="73"/>
      <c r="W123" s="73" t="s">
        <v>714</v>
      </c>
      <c r="X123" s="73"/>
      <c r="Y123" s="73"/>
      <c r="Z123" s="73"/>
      <c r="AA123" s="73"/>
      <c r="AB123" s="73"/>
      <c r="AC123" s="73"/>
      <c r="AD123" s="73"/>
      <c r="AE123" s="73"/>
      <c r="AF123" s="73"/>
      <c r="AG123" s="73"/>
      <c r="AH123" s="73"/>
      <c r="AI123" s="73"/>
      <c r="AJ123" s="73"/>
      <c r="AK123" s="73"/>
      <c r="AL123" s="73"/>
      <c r="AM123" t="s">
        <v>864</v>
      </c>
      <c r="AO123" t="s">
        <v>709</v>
      </c>
    </row>
    <row r="124" spans="1:41" ht="30" customHeight="1" outlineLevel="2">
      <c r="A124" s="65">
        <f>ROW(Rohdaten!$A$107)</f>
        <v>107</v>
      </c>
      <c r="B124" s="66">
        <f>IF(Rohdaten!$A$107="","",Rohdaten!$A$107)</f>
        <v/>
      </c>
      <c r="C124" s="75" t="s">
        <v>861</v>
      </c>
      <c r="D124" s="68" t="str">
        <f>IFERROR(INDEX(Rohdaten!$E$103:$E$107,MATCH("*",Rohdaten!$E$103:$E$107,0)),"")</f>
        <v>Kneissler/ Freytag</v>
      </c>
      <c r="E124" s="69" t="str">
        <f t="array" ref="E124">_xlfn.TEXTJOIN(" / ",TRUE,IF($I124:$AL124="●",$I$4:$AL$4,""))</f>
        <v>Freytag / Kneissler</v>
      </c>
      <c r="F124" s="70" t="s">
        <v>781</v>
      </c>
      <c r="G124" s="71" t="s">
        <v>712</v>
      </c>
      <c r="H124" s="72">
        <f>IF($F124="automatisch",IF(ISNA(MATCH(Stichtag,RD_Kopf,0)),"automatisch",IF(SUMPRODUCT((RD_Kopf&gt;=IF($G124="monatlich",DATE(YEAR(Stichtag),MONTH(Stichtag),1),IF($G124="quartalsweise",DATE(YEAR(Stichtag),INT((MONTH(Stichtag)-1)/3)*3+1,1),Stichtag)))*(RD_Kopf&lt;=Stichtag)*ISNUMBER(Rohdaten!$A$107:$LJ$107))&gt;0,"erledigt","automatisch")),IF($F124&lt;&gt;"ja","",IF(ISNA(MATCH(Stichtag,RD_Kopf,0)),"keine Spalte",IF(SUMPRODUCT((RD_Kopf&gt;=IF($G124="monatlich",DATE(YEAR(Stichtag),MONTH(Stichtag),1),IF($G124="quartalsweise",DATE(YEAR(Stichtag),INT((MONTH(Stichtag)-1)/3)*3+1,1),Stichtag)))*(RD_Kopf&lt;=Stichtag)*ISNUMBER(Rohdaten!$A$107:$LJ$107))&gt;0,"erledigt","offen"))))</f>
        <v/>
      </c>
      <c r="I124" s="73"/>
      <c r="J124" s="73"/>
      <c r="K124" s="73"/>
      <c r="L124" s="73"/>
      <c r="M124" s="73"/>
      <c r="N124" s="73"/>
      <c r="O124" s="73"/>
      <c r="P124" s="73" t="s">
        <v>714</v>
      </c>
      <c r="Q124" s="73"/>
      <c r="R124" s="73"/>
      <c r="S124" s="73"/>
      <c r="T124" s="73"/>
      <c r="U124" s="73"/>
      <c r="V124" s="73"/>
      <c r="W124" s="73" t="s">
        <v>714</v>
      </c>
      <c r="X124" s="73"/>
      <c r="Y124" s="73"/>
      <c r="Z124" s="73"/>
      <c r="AA124" s="73"/>
      <c r="AB124" s="73"/>
      <c r="AC124" s="73"/>
      <c r="AD124" s="73"/>
      <c r="AE124" s="73"/>
      <c r="AF124" s="73"/>
      <c r="AG124" s="73"/>
      <c r="AH124" s="73"/>
      <c r="AI124" s="73"/>
      <c r="AJ124" s="73"/>
      <c r="AK124" s="73"/>
      <c r="AL124" s="73"/>
      <c r="AM124" t="s">
        <v>865</v>
      </c>
      <c r="AO124" t="s">
        <v>709</v>
      </c>
    </row>
    <row r="125" spans="1:41" ht="18" customHeight="1" outlineLevel="2">
      <c r="A125" s="65">
        <f>ROW(Rohdaten!$A$108)</f>
        <v>108</v>
      </c>
      <c r="B125" s="66" t="str">
        <f>IF(Rohdaten!$A$108="","",Rohdaten!$A$108)</f>
        <v>8b</v>
      </c>
      <c r="C125" s="67" t="s">
        <v>832</v>
      </c>
      <c r="D125" s="68" t="str">
        <f>IFERROR(INDEX(Rohdaten!$E$103:$E$108,MATCH("*",Rohdaten!$E$103:$E$108,0)),"")</f>
        <v>Kneissler/ Freytag</v>
      </c>
      <c r="E125" s="69" t="str">
        <f t="array" ref="E125">_xlfn.TEXTJOIN(" / ",TRUE,IF($I125:$AL125="●",$I$4:$AL$4,""))</f>
        <v>Freytag / Kneissler</v>
      </c>
      <c r="F125" s="70" t="s">
        <v>711</v>
      </c>
      <c r="G125" s="71" t="s">
        <v>712</v>
      </c>
      <c r="H125" s="72">
        <f>IF($F125="automatisch",IF(ISNA(MATCH(Stichtag,RD_Kopf,0)),"automatisch",IF(SUMPRODUCT((RD_Kopf&gt;=IF($G125="monatlich",DATE(YEAR(Stichtag),MONTH(Stichtag),1),IF($G125="quartalsweise",DATE(YEAR(Stichtag),INT((MONTH(Stichtag)-1)/3)*3+1,1),Stichtag)))*(RD_Kopf&lt;=Stichtag)*ISNUMBER(Rohdaten!$A$108:$LJ$108))&gt;0,"erledigt","automatisch")),IF($F125&lt;&gt;"ja","",IF(ISNA(MATCH(Stichtag,RD_Kopf,0)),"keine Spalte",IF(SUMPRODUCT((RD_Kopf&gt;=IF($G125="monatlich",DATE(YEAR(Stichtag),MONTH(Stichtag),1),IF($G125="quartalsweise",DATE(YEAR(Stichtag),INT((MONTH(Stichtag)-1)/3)*3+1,1),Stichtag)))*(RD_Kopf&lt;=Stichtag)*ISNUMBER(Rohdaten!$A$108:$LJ$108))&gt;0,"erledigt","offen"))))</f>
        <v/>
      </c>
      <c r="I125" s="73"/>
      <c r="J125" s="73"/>
      <c r="K125" s="73"/>
      <c r="L125" s="73"/>
      <c r="M125" s="73"/>
      <c r="N125" s="73"/>
      <c r="O125" s="73"/>
      <c r="P125" s="73" t="s">
        <v>714</v>
      </c>
      <c r="Q125" s="73"/>
      <c r="R125" s="73"/>
      <c r="S125" s="73"/>
      <c r="T125" s="73"/>
      <c r="U125" s="73"/>
      <c r="V125" s="73"/>
      <c r="W125" s="73" t="s">
        <v>714</v>
      </c>
      <c r="X125" s="73"/>
      <c r="Y125" s="73"/>
      <c r="Z125" s="73"/>
      <c r="AA125" s="73"/>
      <c r="AB125" s="73"/>
      <c r="AC125" s="73"/>
      <c r="AD125" s="73"/>
      <c r="AE125" s="73"/>
      <c r="AF125" s="73"/>
      <c r="AG125" s="73"/>
      <c r="AH125" s="73"/>
      <c r="AI125" s="73"/>
      <c r="AJ125" s="73"/>
      <c r="AK125" s="73"/>
      <c r="AL125" s="73"/>
      <c r="AM125" t="s">
        <v>866</v>
      </c>
      <c r="AN125" t="s">
        <v>106</v>
      </c>
      <c r="AO125" t="s">
        <v>709</v>
      </c>
    </row>
    <row r="126" spans="1:41" ht="18" customHeight="1" outlineLevel="1">
      <c r="A126" s="62"/>
      <c r="B126" s="62"/>
      <c r="C126" s="63" t="s">
        <v>786</v>
      </c>
      <c r="D126" s="63"/>
      <c r="E126" s="63"/>
      <c r="F126" s="63"/>
      <c r="G126" s="63"/>
      <c r="H126" s="63"/>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O126" t="s">
        <v>706</v>
      </c>
    </row>
    <row r="127" spans="1:41" ht="18" customHeight="1" outlineLevel="2">
      <c r="A127" s="65">
        <f>ROW(Rohdaten!$A$109)</f>
        <v>109</v>
      </c>
      <c r="B127" s="66">
        <f>IF(Rohdaten!$A$109="","",Rohdaten!$A$109)</f>
        <v/>
      </c>
      <c r="C127" s="67" t="s">
        <v>859</v>
      </c>
      <c r="D127" s="68" t="str">
        <f>IFERROR(INDEX(Rohdaten!$E$103:$E$109,MATCH("*",Rohdaten!$E$103:$E$109,0)),"")</f>
        <v>Kneissler/ Freytag</v>
      </c>
      <c r="E127" s="69" t="str">
        <f t="array" ref="E127">_xlfn.TEXTJOIN(" / ",TRUE,IF($I127:$AL127="●",$I$4:$AL$4,""))</f>
        <v>Freytag / Kneissler</v>
      </c>
      <c r="F127" s="70" t="s">
        <v>781</v>
      </c>
      <c r="G127" s="71" t="s">
        <v>712</v>
      </c>
      <c r="H127" s="72">
        <f>IF($F127="automatisch",IF(ISNA(MATCH(Stichtag,RD_Kopf,0)),"automatisch",IF(SUMPRODUCT((RD_Kopf&gt;=IF($G127="monatlich",DATE(YEAR(Stichtag),MONTH(Stichtag),1),IF($G127="quartalsweise",DATE(YEAR(Stichtag),INT((MONTH(Stichtag)-1)/3)*3+1,1),Stichtag)))*(RD_Kopf&lt;=Stichtag)*ISNUMBER(Rohdaten!$A$109:$LJ$109))&gt;0,"erledigt","automatisch")),IF($F127&lt;&gt;"ja","",IF(ISNA(MATCH(Stichtag,RD_Kopf,0)),"keine Spalte",IF(SUMPRODUCT((RD_Kopf&gt;=IF($G127="monatlich",DATE(YEAR(Stichtag),MONTH(Stichtag),1),IF($G127="quartalsweise",DATE(YEAR(Stichtag),INT((MONTH(Stichtag)-1)/3)*3+1,1),Stichtag)))*(RD_Kopf&lt;=Stichtag)*ISNUMBER(Rohdaten!$A$109:$LJ$109))&gt;0,"erledigt","offen"))))</f>
        <v/>
      </c>
      <c r="I127" s="73"/>
      <c r="J127" s="73"/>
      <c r="K127" s="73"/>
      <c r="L127" s="73"/>
      <c r="M127" s="73"/>
      <c r="N127" s="73"/>
      <c r="O127" s="73"/>
      <c r="P127" s="73" t="s">
        <v>714</v>
      </c>
      <c r="Q127" s="73"/>
      <c r="R127" s="73"/>
      <c r="S127" s="73"/>
      <c r="T127" s="73"/>
      <c r="U127" s="73"/>
      <c r="V127" s="73"/>
      <c r="W127" s="73" t="s">
        <v>714</v>
      </c>
      <c r="X127" s="73"/>
      <c r="Y127" s="73"/>
      <c r="Z127" s="73"/>
      <c r="AA127" s="73"/>
      <c r="AB127" s="73"/>
      <c r="AC127" s="73"/>
      <c r="AD127" s="73"/>
      <c r="AE127" s="73"/>
      <c r="AF127" s="73"/>
      <c r="AG127" s="73"/>
      <c r="AH127" s="73"/>
      <c r="AI127" s="73"/>
      <c r="AJ127" s="73"/>
      <c r="AK127" s="73"/>
      <c r="AL127" s="73"/>
      <c r="AM127" t="s">
        <v>867</v>
      </c>
      <c r="AO127" t="s">
        <v>709</v>
      </c>
    </row>
    <row r="128" spans="1:41" ht="30" customHeight="1" outlineLevel="2">
      <c r="A128" s="65">
        <f>ROW(Rohdaten!$A$110)</f>
        <v>110</v>
      </c>
      <c r="B128" s="66">
        <f>IF(Rohdaten!$A$110="","",Rohdaten!$A$110)</f>
        <v/>
      </c>
      <c r="C128" s="75" t="s">
        <v>861</v>
      </c>
      <c r="D128" s="68" t="str">
        <f>IFERROR(INDEX(Rohdaten!$E$103:$E$110,MATCH("*",Rohdaten!$E$103:$E$110,0)),"")</f>
        <v>Kneissler/ Freytag</v>
      </c>
      <c r="E128" s="69" t="str">
        <f t="array" ref="E128">_xlfn.TEXTJOIN(" / ",TRUE,IF($I128:$AL128="●",$I$4:$AL$4,""))</f>
        <v>Freytag / Kneissler</v>
      </c>
      <c r="F128" s="70" t="s">
        <v>711</v>
      </c>
      <c r="G128" s="71" t="s">
        <v>712</v>
      </c>
      <c r="H128" s="72">
        <f>IF($F128="automatisch",IF(ISNA(MATCH(Stichtag,RD_Kopf,0)),"automatisch",IF(SUMPRODUCT((RD_Kopf&gt;=IF($G128="monatlich",DATE(YEAR(Stichtag),MONTH(Stichtag),1),IF($G128="quartalsweise",DATE(YEAR(Stichtag),INT((MONTH(Stichtag)-1)/3)*3+1,1),Stichtag)))*(RD_Kopf&lt;=Stichtag)*ISNUMBER(Rohdaten!$A$110:$LJ$110))&gt;0,"erledigt","automatisch")),IF($F128&lt;&gt;"ja","",IF(ISNA(MATCH(Stichtag,RD_Kopf,0)),"keine Spalte",IF(SUMPRODUCT((RD_Kopf&gt;=IF($G128="monatlich",DATE(YEAR(Stichtag),MONTH(Stichtag),1),IF($G128="quartalsweise",DATE(YEAR(Stichtag),INT((MONTH(Stichtag)-1)/3)*3+1,1),Stichtag)))*(RD_Kopf&lt;=Stichtag)*ISNUMBER(Rohdaten!$A$110:$LJ$110))&gt;0,"erledigt","offen"))))</f>
        <v/>
      </c>
      <c r="I128" s="73"/>
      <c r="J128" s="73"/>
      <c r="K128" s="73"/>
      <c r="L128" s="73"/>
      <c r="M128" s="73"/>
      <c r="N128" s="73"/>
      <c r="O128" s="73"/>
      <c r="P128" s="73" t="s">
        <v>714</v>
      </c>
      <c r="Q128" s="73"/>
      <c r="R128" s="73"/>
      <c r="S128" s="73"/>
      <c r="T128" s="73"/>
      <c r="U128" s="73"/>
      <c r="V128" s="73"/>
      <c r="W128" s="73" t="s">
        <v>714</v>
      </c>
      <c r="X128" s="73"/>
      <c r="Y128" s="73"/>
      <c r="Z128" s="73"/>
      <c r="AA128" s="73"/>
      <c r="AB128" s="73"/>
      <c r="AC128" s="73"/>
      <c r="AD128" s="73"/>
      <c r="AE128" s="73"/>
      <c r="AF128" s="73"/>
      <c r="AG128" s="73"/>
      <c r="AH128" s="73"/>
      <c r="AI128" s="73"/>
      <c r="AJ128" s="73"/>
      <c r="AK128" s="73"/>
      <c r="AL128" s="73"/>
      <c r="AM128" t="s">
        <v>868</v>
      </c>
      <c r="AO128" t="s">
        <v>709</v>
      </c>
    </row>
    <row r="129" spans="1:41" ht="18" customHeight="1" outlineLevel="2">
      <c r="A129" s="65">
        <f>ROW(Rohdaten!$A$111)</f>
        <v>111</v>
      </c>
      <c r="B129" s="66" t="str">
        <f>IF(Rohdaten!$A$111="","",Rohdaten!$A$111)</f>
        <v>8c</v>
      </c>
      <c r="C129" s="67" t="s">
        <v>832</v>
      </c>
      <c r="D129" s="68" t="str">
        <f>IFERROR(INDEX(Rohdaten!$E$103:$E$111,MATCH("*",Rohdaten!$E$103:$E$111,0)),"")</f>
        <v>Kneissler/ Freytag</v>
      </c>
      <c r="E129" s="69" t="str">
        <f t="array" ref="E129">_xlfn.TEXTJOIN(" / ",TRUE,IF($I129:$AL129="●",$I$4:$AL$4,""))</f>
        <v>Freytag / Kneissler</v>
      </c>
      <c r="F129" s="70" t="s">
        <v>711</v>
      </c>
      <c r="G129" s="71" t="s">
        <v>712</v>
      </c>
      <c r="H129" s="72">
        <f>IF($F129="automatisch",IF(ISNA(MATCH(Stichtag,RD_Kopf,0)),"automatisch",IF(SUMPRODUCT((RD_Kopf&gt;=IF($G129="monatlich",DATE(YEAR(Stichtag),MONTH(Stichtag),1),IF($G129="quartalsweise",DATE(YEAR(Stichtag),INT((MONTH(Stichtag)-1)/3)*3+1,1),Stichtag)))*(RD_Kopf&lt;=Stichtag)*ISNUMBER(Rohdaten!$A$111:$LJ$111))&gt;0,"erledigt","automatisch")),IF($F129&lt;&gt;"ja","",IF(ISNA(MATCH(Stichtag,RD_Kopf,0)),"keine Spalte",IF(SUMPRODUCT((RD_Kopf&gt;=IF($G129="monatlich",DATE(YEAR(Stichtag),MONTH(Stichtag),1),IF($G129="quartalsweise",DATE(YEAR(Stichtag),INT((MONTH(Stichtag)-1)/3)*3+1,1),Stichtag)))*(RD_Kopf&lt;=Stichtag)*ISNUMBER(Rohdaten!$A$111:$LJ$111))&gt;0,"erledigt","offen"))))</f>
        <v/>
      </c>
      <c r="I129" s="73"/>
      <c r="J129" s="73"/>
      <c r="K129" s="73"/>
      <c r="L129" s="73"/>
      <c r="M129" s="73"/>
      <c r="N129" s="73"/>
      <c r="O129" s="73"/>
      <c r="P129" s="73" t="s">
        <v>714</v>
      </c>
      <c r="Q129" s="73"/>
      <c r="R129" s="73"/>
      <c r="S129" s="73"/>
      <c r="T129" s="73"/>
      <c r="U129" s="73"/>
      <c r="V129" s="73"/>
      <c r="W129" s="73" t="s">
        <v>714</v>
      </c>
      <c r="X129" s="73"/>
      <c r="Y129" s="73"/>
      <c r="Z129" s="73"/>
      <c r="AA129" s="73"/>
      <c r="AB129" s="73"/>
      <c r="AC129" s="73"/>
      <c r="AD129" s="73"/>
      <c r="AE129" s="73"/>
      <c r="AF129" s="73"/>
      <c r="AG129" s="73"/>
      <c r="AH129" s="73"/>
      <c r="AI129" s="73"/>
      <c r="AJ129" s="73"/>
      <c r="AK129" s="73"/>
      <c r="AL129" s="73"/>
      <c r="AM129" t="s">
        <v>869</v>
      </c>
      <c r="AN129" t="s">
        <v>107</v>
      </c>
      <c r="AO129" t="s">
        <v>709</v>
      </c>
    </row>
    <row r="130" spans="1:41" ht="30" customHeight="1" outlineLevel="1">
      <c r="A130" s="65">
        <f>ROW(Rohdaten!$A$112)</f>
        <v>112</v>
      </c>
      <c r="B130" s="66" t="str">
        <f>IF(Rohdaten!$A$112="","",Rohdaten!$A$112)</f>
        <v>8d</v>
      </c>
      <c r="C130" s="76" t="s">
        <v>870</v>
      </c>
      <c r="D130" s="68" t="str">
        <f>IF(Rohdaten!$E$112="","",Rohdaten!$E$112)</f>
        <v>Kneissler/ Freytag</v>
      </c>
      <c r="E130" s="69" t="str">
        <f t="array" ref="E130">_xlfn.TEXTJOIN(" / ",TRUE,IF($I130:$AL130="●",$I$4:$AL$4,""))</f>
        <v>Freytag / Kneissler</v>
      </c>
      <c r="F130" s="70" t="s">
        <v>711</v>
      </c>
      <c r="G130" s="71" t="s">
        <v>712</v>
      </c>
      <c r="H130" s="72" t="str">
        <f>IF($F130="automatisch",IF(ISNA(MATCH(Stichtag,RD_Kopf,0)),"automatisch",IF(SUMPRODUCT((RD_Kopf&gt;=IF($G130="monatlich",DATE(YEAR(Stichtag),MONTH(Stichtag),1),IF($G130="quartalsweise",DATE(YEAR(Stichtag),INT((MONTH(Stichtag)-1)/3)*3+1,1),Stichtag)))*(RD_Kopf&lt;=Stichtag)*ISNUMBER(Rohdaten!$A$112:$LJ$112))&gt;0,"erledigt","automatisch")),IF($F130&lt;&gt;"ja","nicht berichtet",IF(ISNA(MATCH(Stichtag,RD_Kopf,0)),"keine Spalte",IF(SUMPRODUCT((RD_Kopf&gt;=IF($G130="monatlich",DATE(YEAR(Stichtag),MONTH(Stichtag),1),IF($G130="quartalsweise",DATE(YEAR(Stichtag),INT((MONTH(Stichtag)-1)/3)*3+1,1),Stichtag)))*(RD_Kopf&lt;=Stichtag)*ISNUMBER(Rohdaten!$A$112:$LJ$112))&gt;0,"erledigt","offen"))))</f>
        <v>nicht berichtet</v>
      </c>
      <c r="I130" s="73"/>
      <c r="J130" s="73"/>
      <c r="K130" s="73"/>
      <c r="L130" s="73"/>
      <c r="M130" s="73"/>
      <c r="N130" s="73"/>
      <c r="O130" s="73"/>
      <c r="P130" s="73" t="s">
        <v>714</v>
      </c>
      <c r="Q130" s="73"/>
      <c r="R130" s="73"/>
      <c r="S130" s="73"/>
      <c r="T130" s="73"/>
      <c r="U130" s="73"/>
      <c r="V130" s="73"/>
      <c r="W130" s="73" t="s">
        <v>714</v>
      </c>
      <c r="X130" s="73"/>
      <c r="Y130" s="73"/>
      <c r="Z130" s="73"/>
      <c r="AA130" s="73"/>
      <c r="AB130" s="73"/>
      <c r="AC130" s="73"/>
      <c r="AD130" s="73"/>
      <c r="AE130" s="73"/>
      <c r="AF130" s="73"/>
      <c r="AG130" s="73"/>
      <c r="AH130" s="73"/>
      <c r="AI130" s="73"/>
      <c r="AJ130" s="73"/>
      <c r="AK130" s="73"/>
      <c r="AL130" s="73"/>
      <c r="AM130" t="s">
        <v>871</v>
      </c>
      <c r="AN130" t="s">
        <v>872</v>
      </c>
      <c r="AO130" t="s">
        <v>709</v>
      </c>
    </row>
    <row r="131" spans="1:41" ht="22" customHeight="1">
      <c r="A131" s="60" t="s">
        <v>873</v>
      </c>
      <c r="B131" s="60"/>
      <c r="C131" s="60"/>
      <c r="D131" s="60"/>
      <c r="E131" s="60"/>
      <c r="F131" s="60"/>
      <c r="G131" s="60"/>
      <c r="H131" s="60"/>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O131" t="s">
        <v>705</v>
      </c>
    </row>
    <row r="132" spans="1:41" ht="18" customHeight="1" outlineLevel="1">
      <c r="A132" s="65">
        <f>ROW(Rohdaten!$A$113)</f>
        <v>113</v>
      </c>
      <c r="B132" s="66" t="str">
        <f>IF(Rohdaten!$A$113="","",Rohdaten!$A$113)</f>
        <v>8e</v>
      </c>
      <c r="C132" s="74" t="s">
        <v>728</v>
      </c>
      <c r="D132" s="68" t="str">
        <f>IF(Rohdaten!$E$113="","",Rohdaten!$E$113)</f>
        <v>Freytag / Kneissler</v>
      </c>
      <c r="E132" s="69" t="str">
        <f t="array" ref="E132">_xlfn.TEXTJOIN(" / ",TRUE,IF($I132:$AL132="●",$I$4:$AL$4,""))</f>
        <v>Freytag / Kneissler</v>
      </c>
      <c r="F132" s="70" t="s">
        <v>781</v>
      </c>
      <c r="G132" s="71" t="s">
        <v>712</v>
      </c>
      <c r="H132" s="72">
        <f>IF($F132="automatisch",IF(ISNA(MATCH(Stichtag,RD_Kopf,0)),"automatisch",IF(SUMPRODUCT((RD_Kopf&gt;=IF($G132="monatlich",DATE(YEAR(Stichtag),MONTH(Stichtag),1),IF($G132="quartalsweise",DATE(YEAR(Stichtag),INT((MONTH(Stichtag)-1)/3)*3+1,1),Stichtag)))*(RD_Kopf&lt;=Stichtag)*ISNUMBER(Rohdaten!$A$113:$LJ$113))&gt;0,"erledigt","automatisch")),IF($F132&lt;&gt;"ja","",IF(ISNA(MATCH(Stichtag,RD_Kopf,0)),"keine Spalte",IF(SUMPRODUCT((RD_Kopf&gt;=IF($G132="monatlich",DATE(YEAR(Stichtag),MONTH(Stichtag),1),IF($G132="quartalsweise",DATE(YEAR(Stichtag),INT((MONTH(Stichtag)-1)/3)*3+1,1),Stichtag)))*(RD_Kopf&lt;=Stichtag)*ISNUMBER(Rohdaten!$A$113:$LJ$113))&gt;0,"erledigt","offen"))))</f>
        <v/>
      </c>
      <c r="I132" s="73"/>
      <c r="J132" s="73"/>
      <c r="K132" s="73"/>
      <c r="L132" s="73"/>
      <c r="M132" s="73"/>
      <c r="N132" s="73"/>
      <c r="O132" s="73"/>
      <c r="P132" s="73" t="s">
        <v>714</v>
      </c>
      <c r="Q132" s="73"/>
      <c r="R132" s="73"/>
      <c r="S132" s="73"/>
      <c r="T132" s="73"/>
      <c r="U132" s="73"/>
      <c r="V132" s="73"/>
      <c r="W132" s="73" t="s">
        <v>714</v>
      </c>
      <c r="X132" s="73"/>
      <c r="Y132" s="73"/>
      <c r="Z132" s="73"/>
      <c r="AA132" s="73"/>
      <c r="AB132" s="73"/>
      <c r="AC132" s="73"/>
      <c r="AD132" s="73"/>
      <c r="AE132" s="73"/>
      <c r="AF132" s="73"/>
      <c r="AG132" s="73"/>
      <c r="AH132" s="73"/>
      <c r="AI132" s="73"/>
      <c r="AJ132" s="73"/>
      <c r="AK132" s="73"/>
      <c r="AL132" s="73"/>
      <c r="AM132" t="s">
        <v>874</v>
      </c>
      <c r="AN132" t="s">
        <v>108</v>
      </c>
      <c r="AO132" t="s">
        <v>709</v>
      </c>
    </row>
    <row r="133" spans="1:41" ht="22" customHeight="1" collapsed="1">
      <c r="A133" s="60" t="s">
        <v>875</v>
      </c>
      <c r="B133" s="60"/>
      <c r="C133" s="60"/>
      <c r="D133" s="60"/>
      <c r="E133" s="60"/>
      <c r="F133" s="60"/>
      <c r="G133" s="60"/>
      <c r="H133" s="60"/>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O133" t="s">
        <v>705</v>
      </c>
    </row>
    <row r="134" spans="1:41" ht="18" hidden="1" customHeight="1" outlineLevel="1">
      <c r="A134" s="65">
        <f>ROW(Rohdaten!$A$114)</f>
        <v>114</v>
      </c>
      <c r="B134" s="66">
        <f>IF(Rohdaten!$A$114="","",Rohdaten!$A$114)</f>
        <v>9</v>
      </c>
      <c r="C134" s="74" t="s">
        <v>728</v>
      </c>
      <c r="D134" s="68" t="str">
        <f>IF(Rohdaten!$E$114="","",Rohdaten!$E$114)</f>
        <v>Lürken/Kraus</v>
      </c>
      <c r="E134" s="69" t="str">
        <f t="array" ref="E134">_xlfn.TEXTJOIN(" / ",TRUE,IF($I134:$AL134="●",$I$4:$AL$4,""))</f>
        <v>Kraus / Lürken</v>
      </c>
      <c r="F134" s="70" t="s">
        <v>711</v>
      </c>
      <c r="G134" s="71" t="s">
        <v>712</v>
      </c>
      <c r="H134" s="72" t="str">
        <f>IF($F134="automatisch",IF(ISNA(MATCH(Stichtag,RD_Kopf,0)),"automatisch",IF(SUMPRODUCT((RD_Kopf&gt;=IF($G134="monatlich",DATE(YEAR(Stichtag),MONTH(Stichtag),1),IF($G134="quartalsweise",DATE(YEAR(Stichtag),INT((MONTH(Stichtag)-1)/3)*3+1,1),Stichtag)))*(RD_Kopf&lt;=Stichtag)*ISNUMBER(Rohdaten!$A$114:$LJ$114))&gt;0,"erledigt","automatisch")),IF($F134&lt;&gt;"ja","nicht berichtet",IF(ISNA(MATCH(Stichtag,RD_Kopf,0)),"keine Spalte",IF(SUMPRODUCT((RD_Kopf&gt;=IF($G134="monatlich",DATE(YEAR(Stichtag),MONTH(Stichtag),1),IF($G134="quartalsweise",DATE(YEAR(Stichtag),INT((MONTH(Stichtag)-1)/3)*3+1,1),Stichtag)))*(RD_Kopf&lt;=Stichtag)*ISNUMBER(Rohdaten!$A$114:$LJ$114))&gt;0,"erledigt","offen"))))</f>
        <v>nicht berichtet</v>
      </c>
      <c r="I134" s="73"/>
      <c r="J134" s="73"/>
      <c r="K134" s="73"/>
      <c r="L134" s="73"/>
      <c r="M134" s="73"/>
      <c r="N134" s="73"/>
      <c r="O134" s="73"/>
      <c r="P134" s="73"/>
      <c r="Q134" s="73"/>
      <c r="R134" s="73"/>
      <c r="S134" s="73"/>
      <c r="T134" s="73"/>
      <c r="U134" s="73"/>
      <c r="V134" s="73"/>
      <c r="W134" s="73"/>
      <c r="X134" s="73"/>
      <c r="Y134" s="73" t="s">
        <v>714</v>
      </c>
      <c r="Z134" s="73"/>
      <c r="AA134" s="73" t="s">
        <v>714</v>
      </c>
      <c r="AB134" s="73"/>
      <c r="AC134" s="73"/>
      <c r="AD134" s="73"/>
      <c r="AE134" s="73"/>
      <c r="AF134" s="73"/>
      <c r="AG134" s="73"/>
      <c r="AH134" s="73"/>
      <c r="AI134" s="73"/>
      <c r="AJ134" s="73"/>
      <c r="AK134" s="73"/>
      <c r="AL134" s="73"/>
      <c r="AM134" t="s">
        <v>876</v>
      </c>
      <c r="AN134" t="s">
        <v>130</v>
      </c>
      <c r="AO134" t="s">
        <v>709</v>
      </c>
    </row>
    <row r="135" spans="1:41" ht="22" customHeight="1" collapsed="1">
      <c r="A135" s="60" t="s">
        <v>877</v>
      </c>
      <c r="B135" s="60"/>
      <c r="C135" s="60"/>
      <c r="D135" s="60"/>
      <c r="E135" s="60"/>
      <c r="F135" s="60"/>
      <c r="G135" s="60"/>
      <c r="H135" s="60"/>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O135" t="s">
        <v>705</v>
      </c>
    </row>
    <row r="136" spans="1:41" ht="18" hidden="1" customHeight="1" outlineLevel="1">
      <c r="A136" s="65">
        <f>ROW(Rohdaten!$A$115)</f>
        <v>115</v>
      </c>
      <c r="B136" s="66" t="str">
        <f>IF(Rohdaten!$A$115="","",Rohdaten!$A$115)</f>
        <v>10a</v>
      </c>
      <c r="C136" s="74" t="s">
        <v>728</v>
      </c>
      <c r="D136" s="68" t="str">
        <f>IF(Rohdaten!$E$115="","",Rohdaten!$E$115)</f>
        <v>Mey/ Bauer</v>
      </c>
      <c r="E136" s="69" t="str">
        <f t="array" ref="E136">_xlfn.TEXTJOIN(" / ",TRUE,IF($I136:$AL136="●",$I$4:$AL$4,""))</f>
        <v>Bauer / Mey</v>
      </c>
      <c r="F136" s="70" t="s">
        <v>711</v>
      </c>
      <c r="G136" s="71" t="s">
        <v>712</v>
      </c>
      <c r="H136" s="72" t="str">
        <f>IF($F136="automatisch",IF(ISNA(MATCH(Stichtag,RD_Kopf,0)),"automatisch",IF(SUMPRODUCT((RD_Kopf&gt;=IF($G136="monatlich",DATE(YEAR(Stichtag),MONTH(Stichtag),1),IF($G136="quartalsweise",DATE(YEAR(Stichtag),INT((MONTH(Stichtag)-1)/3)*3+1,1),Stichtag)))*(RD_Kopf&lt;=Stichtag)*ISNUMBER(Rohdaten!$A$115:$LJ$115))&gt;0,"erledigt","automatisch")),IF($F136&lt;&gt;"ja","nicht berichtet",IF(ISNA(MATCH(Stichtag,RD_Kopf,0)),"keine Spalte",IF(SUMPRODUCT((RD_Kopf&gt;=IF($G136="monatlich",DATE(YEAR(Stichtag),MONTH(Stichtag),1),IF($G136="quartalsweise",DATE(YEAR(Stichtag),INT((MONTH(Stichtag)-1)/3)*3+1,1),Stichtag)))*(RD_Kopf&lt;=Stichtag)*ISNUMBER(Rohdaten!$A$115:$LJ$115))&gt;0,"erledigt","offen"))))</f>
        <v>nicht berichtet</v>
      </c>
      <c r="I136" s="73"/>
      <c r="J136" s="73" t="s">
        <v>714</v>
      </c>
      <c r="K136" s="73"/>
      <c r="L136" s="73"/>
      <c r="M136" s="73"/>
      <c r="N136" s="73"/>
      <c r="O136" s="73"/>
      <c r="P136" s="73"/>
      <c r="Q136" s="73"/>
      <c r="R136" s="73"/>
      <c r="S136" s="73"/>
      <c r="T136" s="73"/>
      <c r="U136" s="73"/>
      <c r="V136" s="73"/>
      <c r="W136" s="73"/>
      <c r="X136" s="73"/>
      <c r="Y136" s="73"/>
      <c r="Z136" s="73"/>
      <c r="AA136" s="73"/>
      <c r="AB136" s="73" t="s">
        <v>714</v>
      </c>
      <c r="AC136" s="73"/>
      <c r="AD136" s="73"/>
      <c r="AE136" s="73"/>
      <c r="AF136" s="73"/>
      <c r="AG136" s="73"/>
      <c r="AH136" s="73"/>
      <c r="AI136" s="73"/>
      <c r="AJ136" s="73"/>
      <c r="AK136" s="73"/>
      <c r="AL136" s="73"/>
      <c r="AM136" t="s">
        <v>878</v>
      </c>
      <c r="AN136" t="s">
        <v>879</v>
      </c>
      <c r="AO136" t="s">
        <v>709</v>
      </c>
    </row>
    <row r="137" spans="1:41" ht="22" customHeight="1">
      <c r="A137" s="60" t="s">
        <v>880</v>
      </c>
      <c r="B137" s="60"/>
      <c r="C137" s="60"/>
      <c r="D137" s="60"/>
      <c r="E137" s="60"/>
      <c r="F137" s="60"/>
      <c r="G137" s="60"/>
      <c r="H137" s="60"/>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O137" t="s">
        <v>705</v>
      </c>
    </row>
    <row r="138" spans="1:41" ht="18" customHeight="1" outlineLevel="1">
      <c r="A138" s="65">
        <f>ROW(Rohdaten!$A$116)</f>
        <v>116</v>
      </c>
      <c r="B138" s="66" t="str">
        <f>IF(Rohdaten!$A$116="","",Rohdaten!$A$116)</f>
        <v>10b</v>
      </c>
      <c r="C138" s="74" t="s">
        <v>728</v>
      </c>
      <c r="D138" s="68" t="str">
        <f>IF(Rohdaten!$E$116="","",Rohdaten!$E$116)</f>
        <v>Mey/ Bauer</v>
      </c>
      <c r="E138" s="69" t="str">
        <f t="array" ref="E138">_xlfn.TEXTJOIN(" / ",TRUE,IF($I138:$AL138="●",$I$4:$AL$4,""))</f>
        <v>Bauer / Mey</v>
      </c>
      <c r="F138" s="70" t="s">
        <v>781</v>
      </c>
      <c r="G138" s="71" t="s">
        <v>712</v>
      </c>
      <c r="H138" s="72">
        <f>IF($F138="automatisch",IF(ISNA(MATCH(Stichtag,RD_Kopf,0)),"automatisch",IF(SUMPRODUCT((RD_Kopf&gt;=IF($G138="monatlich",DATE(YEAR(Stichtag),MONTH(Stichtag),1),IF($G138="quartalsweise",DATE(YEAR(Stichtag),INT((MONTH(Stichtag)-1)/3)*3+1,1),Stichtag)))*(RD_Kopf&lt;=Stichtag)*ISNUMBER(Rohdaten!$A$116:$LJ$116))&gt;0,"erledigt","automatisch")),IF($F138&lt;&gt;"ja","",IF(ISNA(MATCH(Stichtag,RD_Kopf,0)),"keine Spalte",IF(SUMPRODUCT((RD_Kopf&gt;=IF($G138="monatlich",DATE(YEAR(Stichtag),MONTH(Stichtag),1),IF($G138="quartalsweise",DATE(YEAR(Stichtag),INT((MONTH(Stichtag)-1)/3)*3+1,1),Stichtag)))*(RD_Kopf&lt;=Stichtag)*ISNUMBER(Rohdaten!$A$116:$LJ$116))&gt;0,"erledigt","offen"))))</f>
        <v/>
      </c>
      <c r="I138" s="73"/>
      <c r="J138" s="73" t="s">
        <v>714</v>
      </c>
      <c r="K138" s="73"/>
      <c r="L138" s="73"/>
      <c r="M138" s="73"/>
      <c r="N138" s="73"/>
      <c r="O138" s="73"/>
      <c r="P138" s="73"/>
      <c r="Q138" s="73"/>
      <c r="R138" s="73"/>
      <c r="S138" s="73"/>
      <c r="T138" s="73"/>
      <c r="U138" s="73"/>
      <c r="V138" s="73"/>
      <c r="W138" s="73"/>
      <c r="X138" s="73"/>
      <c r="Y138" s="73"/>
      <c r="Z138" s="73"/>
      <c r="AA138" s="73"/>
      <c r="AB138" s="73" t="s">
        <v>714</v>
      </c>
      <c r="AC138" s="73"/>
      <c r="AD138" s="73"/>
      <c r="AE138" s="73"/>
      <c r="AF138" s="73"/>
      <c r="AG138" s="73"/>
      <c r="AH138" s="73"/>
      <c r="AI138" s="73"/>
      <c r="AJ138" s="73"/>
      <c r="AK138" s="73"/>
      <c r="AL138" s="73"/>
      <c r="AM138" t="s">
        <v>881</v>
      </c>
      <c r="AN138" t="s">
        <v>104</v>
      </c>
      <c r="AO138" t="s">
        <v>709</v>
      </c>
    </row>
    <row r="139" spans="1:41" ht="22" customHeight="1">
      <c r="A139" s="60" t="s">
        <v>882</v>
      </c>
      <c r="B139" s="60"/>
      <c r="C139" s="60"/>
      <c r="D139" s="60"/>
      <c r="E139" s="60"/>
      <c r="F139" s="60"/>
      <c r="G139" s="60"/>
      <c r="H139" s="60"/>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O139" t="s">
        <v>705</v>
      </c>
    </row>
    <row r="140" spans="1:41" ht="18" customHeight="1" outlineLevel="1">
      <c r="A140" s="65">
        <f>ROW(Rohdaten!$A$117)</f>
        <v>117</v>
      </c>
      <c r="B140" s="66" t="str">
        <f>IF(Rohdaten!$A$117="","",Rohdaten!$A$117)</f>
        <v>11a</v>
      </c>
      <c r="C140" s="74" t="s">
        <v>728</v>
      </c>
      <c r="D140" s="68" t="str">
        <f>IF(Rohdaten!$E$117="","",Rohdaten!$E$117)</f>
        <v>Richartz/ Mey</v>
      </c>
      <c r="E140" s="69" t="str">
        <f t="array" ref="E140">_xlfn.TEXTJOIN(" / ",TRUE,IF($I140:$AL140="●",$I$4:$AL$4,""))</f>
        <v>Mey / Richartz</v>
      </c>
      <c r="F140" s="70" t="s">
        <v>711</v>
      </c>
      <c r="G140" s="71" t="s">
        <v>712</v>
      </c>
      <c r="H140" s="72">
        <f>IF($F140="automatisch",IF(ISNA(MATCH(Stichtag,RD_Kopf,0)),"automatisch",IF(SUMPRODUCT((RD_Kopf&gt;=IF($G140="monatlich",DATE(YEAR(Stichtag),MONTH(Stichtag),1),IF($G140="quartalsweise",DATE(YEAR(Stichtag),INT((MONTH(Stichtag)-1)/3)*3+1,1),Stichtag)))*(RD_Kopf&lt;=Stichtag)*ISNUMBER(Rohdaten!$A$117:$LJ$117))&gt;0,"erledigt","automatisch")),IF($F140&lt;&gt;"ja","",IF(ISNA(MATCH(Stichtag,RD_Kopf,0)),"keine Spalte",IF(SUMPRODUCT((RD_Kopf&gt;=IF($G140="monatlich",DATE(YEAR(Stichtag),MONTH(Stichtag),1),IF($G140="quartalsweise",DATE(YEAR(Stichtag),INT((MONTH(Stichtag)-1)/3)*3+1,1),Stichtag)))*(RD_Kopf&lt;=Stichtag)*ISNUMBER(Rohdaten!$A$117:$LJ$117))&gt;0,"erledigt","offen"))))</f>
        <v/>
      </c>
      <c r="I140" s="73"/>
      <c r="J140" s="73"/>
      <c r="K140" s="73"/>
      <c r="L140" s="73"/>
      <c r="M140" s="73"/>
      <c r="N140" s="73"/>
      <c r="O140" s="73"/>
      <c r="P140" s="73"/>
      <c r="Q140" s="73"/>
      <c r="R140" s="73"/>
      <c r="S140" s="73"/>
      <c r="T140" s="73"/>
      <c r="U140" s="73"/>
      <c r="V140" s="73"/>
      <c r="W140" s="73"/>
      <c r="X140" s="73"/>
      <c r="Y140" s="73"/>
      <c r="Z140" s="73"/>
      <c r="AA140" s="73"/>
      <c r="AB140" s="73" t="s">
        <v>714</v>
      </c>
      <c r="AC140" s="73"/>
      <c r="AD140" s="73" t="s">
        <v>714</v>
      </c>
      <c r="AE140" s="73"/>
      <c r="AF140" s="73"/>
      <c r="AG140" s="73"/>
      <c r="AH140" s="73"/>
      <c r="AI140" s="73"/>
      <c r="AJ140" s="73"/>
      <c r="AK140" s="73"/>
      <c r="AL140" s="73"/>
      <c r="AM140" t="s">
        <v>883</v>
      </c>
      <c r="AN140" t="s">
        <v>116</v>
      </c>
      <c r="AO140" t="s">
        <v>709</v>
      </c>
    </row>
    <row r="141" spans="1:41" ht="18" customHeight="1" outlineLevel="1">
      <c r="A141" s="65">
        <f>ROW(Rohdaten!$A$118)</f>
        <v>118</v>
      </c>
      <c r="B141" s="66" t="str">
        <f>IF(Rohdaten!$A$118="","",Rohdaten!$A$118)</f>
        <v>11b</v>
      </c>
      <c r="C141" s="74" t="s">
        <v>884</v>
      </c>
      <c r="D141" s="68" t="str">
        <f>IF(Rohdaten!$E$118="","",Rohdaten!$E$118)</f>
        <v>Richartz/ Mey</v>
      </c>
      <c r="E141" s="69" t="str">
        <f t="array" ref="E141">_xlfn.TEXTJOIN(" / ",TRUE,IF($I141:$AL141="●",$I$4:$AL$4,""))</f>
        <v>Mey / Richartz</v>
      </c>
      <c r="F141" s="70" t="s">
        <v>781</v>
      </c>
      <c r="G141" s="71" t="s">
        <v>712</v>
      </c>
      <c r="H141" s="72">
        <f>IF($F141="automatisch",IF(ISNA(MATCH(Stichtag,RD_Kopf,0)),"automatisch",IF(SUMPRODUCT((RD_Kopf&gt;=IF($G141="monatlich",DATE(YEAR(Stichtag),MONTH(Stichtag),1),IF($G141="quartalsweise",DATE(YEAR(Stichtag),INT((MONTH(Stichtag)-1)/3)*3+1,1),Stichtag)))*(RD_Kopf&lt;=Stichtag)*ISNUMBER(Rohdaten!$A$118:$LJ$118))&gt;0,"erledigt","automatisch")),IF($F141&lt;&gt;"ja","",IF(ISNA(MATCH(Stichtag,RD_Kopf,0)),"keine Spalte",IF(SUMPRODUCT((RD_Kopf&gt;=IF($G141="monatlich",DATE(YEAR(Stichtag),MONTH(Stichtag),1),IF($G141="quartalsweise",DATE(YEAR(Stichtag),INT((MONTH(Stichtag)-1)/3)*3+1,1),Stichtag)))*(RD_Kopf&lt;=Stichtag)*ISNUMBER(Rohdaten!$A$118:$LJ$118))&gt;0,"erledigt","offen"))))</f>
        <v/>
      </c>
      <c r="I141" s="73"/>
      <c r="J141" s="73"/>
      <c r="K141" s="73"/>
      <c r="L141" s="73"/>
      <c r="M141" s="73"/>
      <c r="N141" s="73"/>
      <c r="O141" s="73"/>
      <c r="P141" s="73"/>
      <c r="Q141" s="73"/>
      <c r="R141" s="73"/>
      <c r="S141" s="73"/>
      <c r="T141" s="73"/>
      <c r="U141" s="73"/>
      <c r="V141" s="73"/>
      <c r="W141" s="73"/>
      <c r="X141" s="73"/>
      <c r="Y141" s="73"/>
      <c r="Z141" s="73"/>
      <c r="AA141" s="73"/>
      <c r="AB141" s="73" t="s">
        <v>714</v>
      </c>
      <c r="AC141" s="73"/>
      <c r="AD141" s="73" t="s">
        <v>714</v>
      </c>
      <c r="AE141" s="73"/>
      <c r="AF141" s="73"/>
      <c r="AG141" s="73"/>
      <c r="AH141" s="73"/>
      <c r="AI141" s="73"/>
      <c r="AJ141" s="73"/>
      <c r="AK141" s="73"/>
      <c r="AL141" s="73"/>
      <c r="AM141" t="s">
        <v>885</v>
      </c>
      <c r="AN141" t="s">
        <v>117</v>
      </c>
      <c r="AO141" t="s">
        <v>709</v>
      </c>
    </row>
    <row r="142" spans="1:41" ht="18" customHeight="1" outlineLevel="1">
      <c r="A142" s="65">
        <f>ROW(Rohdaten!$A$119)</f>
        <v>119</v>
      </c>
      <c r="B142" s="66" t="str">
        <f>IF(Rohdaten!$A$119="","",Rohdaten!$A$119)</f>
        <v>11c</v>
      </c>
      <c r="C142" s="74" t="s">
        <v>886</v>
      </c>
      <c r="D142" s="68" t="str">
        <f>IF(Rohdaten!$E$119="","",Rohdaten!$E$119)</f>
        <v>Richartz/ Mey</v>
      </c>
      <c r="E142" s="69" t="str">
        <f t="array" ref="E142">_xlfn.TEXTJOIN(" / ",TRUE,IF($I142:$AL142="●",$I$4:$AL$4,""))</f>
        <v>Mey / Richartz</v>
      </c>
      <c r="F142" s="70" t="s">
        <v>781</v>
      </c>
      <c r="G142" s="71" t="s">
        <v>712</v>
      </c>
      <c r="H142" s="72">
        <f>IF($F142="automatisch",IF(ISNA(MATCH(Stichtag,RD_Kopf,0)),"automatisch",IF(SUMPRODUCT((RD_Kopf&gt;=IF($G142="monatlich",DATE(YEAR(Stichtag),MONTH(Stichtag),1),IF($G142="quartalsweise",DATE(YEAR(Stichtag),INT((MONTH(Stichtag)-1)/3)*3+1,1),Stichtag)))*(RD_Kopf&lt;=Stichtag)*ISNUMBER(Rohdaten!$A$119:$LJ$119))&gt;0,"erledigt","automatisch")),IF($F142&lt;&gt;"ja","",IF(ISNA(MATCH(Stichtag,RD_Kopf,0)),"keine Spalte",IF(SUMPRODUCT((RD_Kopf&gt;=IF($G142="monatlich",DATE(YEAR(Stichtag),MONTH(Stichtag),1),IF($G142="quartalsweise",DATE(YEAR(Stichtag),INT((MONTH(Stichtag)-1)/3)*3+1,1),Stichtag)))*(RD_Kopf&lt;=Stichtag)*ISNUMBER(Rohdaten!$A$119:$LJ$119))&gt;0,"erledigt","offen"))))</f>
        <v/>
      </c>
      <c r="I142" s="73"/>
      <c r="J142" s="73"/>
      <c r="K142" s="73"/>
      <c r="L142" s="73"/>
      <c r="M142" s="73"/>
      <c r="N142" s="73"/>
      <c r="O142" s="73"/>
      <c r="P142" s="73"/>
      <c r="Q142" s="73"/>
      <c r="R142" s="73"/>
      <c r="S142" s="73"/>
      <c r="T142" s="73"/>
      <c r="U142" s="73"/>
      <c r="V142" s="73"/>
      <c r="W142" s="73"/>
      <c r="X142" s="73"/>
      <c r="Y142" s="73"/>
      <c r="Z142" s="73"/>
      <c r="AA142" s="73"/>
      <c r="AB142" s="73" t="s">
        <v>714</v>
      </c>
      <c r="AC142" s="73"/>
      <c r="AD142" s="73" t="s">
        <v>714</v>
      </c>
      <c r="AE142" s="73"/>
      <c r="AF142" s="73"/>
      <c r="AG142" s="73"/>
      <c r="AH142" s="73"/>
      <c r="AI142" s="73"/>
      <c r="AJ142" s="73"/>
      <c r="AK142" s="73"/>
      <c r="AL142" s="73"/>
      <c r="AM142" t="s">
        <v>887</v>
      </c>
      <c r="AN142" t="s">
        <v>118</v>
      </c>
      <c r="AO142" t="s">
        <v>709</v>
      </c>
    </row>
    <row r="143" spans="1:41" ht="18" customHeight="1" outlineLevel="1">
      <c r="A143" s="65">
        <f>ROW(Rohdaten!$A$120)</f>
        <v>120</v>
      </c>
      <c r="B143" s="66" t="str">
        <f>IF(Rohdaten!$A$120="","",Rohdaten!$A$120)</f>
        <v>11d</v>
      </c>
      <c r="C143" s="74" t="s">
        <v>888</v>
      </c>
      <c r="D143" s="68" t="str">
        <f>IF(Rohdaten!$E$120="","",Rohdaten!$E$120)</f>
        <v>Richartz/ Mey</v>
      </c>
      <c r="E143" s="69" t="str">
        <f t="array" ref="E143">_xlfn.TEXTJOIN(" / ",TRUE,IF($I143:$AL143="●",$I$4:$AL$4,""))</f>
        <v>Mey / Richartz</v>
      </c>
      <c r="F143" s="70" t="s">
        <v>781</v>
      </c>
      <c r="G143" s="71" t="s">
        <v>712</v>
      </c>
      <c r="H143" s="72">
        <f>IF($F143="automatisch",IF(ISNA(MATCH(Stichtag,RD_Kopf,0)),"automatisch",IF(SUMPRODUCT((RD_Kopf&gt;=IF($G143="monatlich",DATE(YEAR(Stichtag),MONTH(Stichtag),1),IF($G143="quartalsweise",DATE(YEAR(Stichtag),INT((MONTH(Stichtag)-1)/3)*3+1,1),Stichtag)))*(RD_Kopf&lt;=Stichtag)*ISNUMBER(Rohdaten!$A$120:$LJ$120))&gt;0,"erledigt","automatisch")),IF($F143&lt;&gt;"ja","",IF(ISNA(MATCH(Stichtag,RD_Kopf,0)),"keine Spalte",IF(SUMPRODUCT((RD_Kopf&gt;=IF($G143="monatlich",DATE(YEAR(Stichtag),MONTH(Stichtag),1),IF($G143="quartalsweise",DATE(YEAR(Stichtag),INT((MONTH(Stichtag)-1)/3)*3+1,1),Stichtag)))*(RD_Kopf&lt;=Stichtag)*ISNUMBER(Rohdaten!$A$120:$LJ$120))&gt;0,"erledigt","offen"))))</f>
        <v/>
      </c>
      <c r="I143" s="73"/>
      <c r="J143" s="73"/>
      <c r="K143" s="73"/>
      <c r="L143" s="73"/>
      <c r="M143" s="73"/>
      <c r="N143" s="73"/>
      <c r="O143" s="73"/>
      <c r="P143" s="73"/>
      <c r="Q143" s="73"/>
      <c r="R143" s="73"/>
      <c r="S143" s="73"/>
      <c r="T143" s="73"/>
      <c r="U143" s="73"/>
      <c r="V143" s="73"/>
      <c r="W143" s="73"/>
      <c r="X143" s="73"/>
      <c r="Y143" s="73"/>
      <c r="Z143" s="73"/>
      <c r="AA143" s="73"/>
      <c r="AB143" s="73" t="s">
        <v>714</v>
      </c>
      <c r="AC143" s="73"/>
      <c r="AD143" s="73" t="s">
        <v>714</v>
      </c>
      <c r="AE143" s="73"/>
      <c r="AF143" s="73"/>
      <c r="AG143" s="73"/>
      <c r="AH143" s="73"/>
      <c r="AI143" s="73"/>
      <c r="AJ143" s="73"/>
      <c r="AK143" s="73"/>
      <c r="AL143" s="73"/>
      <c r="AM143" t="s">
        <v>889</v>
      </c>
      <c r="AN143" t="s">
        <v>119</v>
      </c>
      <c r="AO143" t="s">
        <v>709</v>
      </c>
    </row>
    <row r="144" spans="1:41" ht="18" customHeight="1" outlineLevel="1">
      <c r="A144" s="65">
        <f>ROW(Rohdaten!$A$121)</f>
        <v>121</v>
      </c>
      <c r="B144" s="66" t="str">
        <f>IF(Rohdaten!$A$121="","",Rohdaten!$A$121)</f>
        <v>11e</v>
      </c>
      <c r="C144" s="74" t="s">
        <v>783</v>
      </c>
      <c r="D144" s="68" t="str">
        <f>IF(Rohdaten!$E$121="","",Rohdaten!$E$121)</f>
        <v>Richartz/ Mey</v>
      </c>
      <c r="E144" s="69" t="str">
        <f t="array" ref="E144">_xlfn.TEXTJOIN(" / ",TRUE,IF($I144:$AL144="●",$I$4:$AL$4,""))</f>
        <v>Mey / Richartz</v>
      </c>
      <c r="F144" s="70" t="s">
        <v>711</v>
      </c>
      <c r="G144" s="71" t="s">
        <v>712</v>
      </c>
      <c r="H144" s="72">
        <f>IF($F144="automatisch",IF(ISNA(MATCH(Stichtag,RD_Kopf,0)),"automatisch",IF(SUMPRODUCT((RD_Kopf&gt;=IF($G144="monatlich",DATE(YEAR(Stichtag),MONTH(Stichtag),1),IF($G144="quartalsweise",DATE(YEAR(Stichtag),INT((MONTH(Stichtag)-1)/3)*3+1,1),Stichtag)))*(RD_Kopf&lt;=Stichtag)*ISNUMBER(Rohdaten!$A$121:$LJ$121))&gt;0,"erledigt","automatisch")),IF($F144&lt;&gt;"ja","",IF(ISNA(MATCH(Stichtag,RD_Kopf,0)),"keine Spalte",IF(SUMPRODUCT((RD_Kopf&gt;=IF($G144="monatlich",DATE(YEAR(Stichtag),MONTH(Stichtag),1),IF($G144="quartalsweise",DATE(YEAR(Stichtag),INT((MONTH(Stichtag)-1)/3)*3+1,1),Stichtag)))*(RD_Kopf&lt;=Stichtag)*ISNUMBER(Rohdaten!$A$121:$LJ$121))&gt;0,"erledigt","offen"))))</f>
        <v/>
      </c>
      <c r="I144" s="73"/>
      <c r="J144" s="73"/>
      <c r="K144" s="73"/>
      <c r="L144" s="73"/>
      <c r="M144" s="73"/>
      <c r="N144" s="73"/>
      <c r="O144" s="73"/>
      <c r="P144" s="73"/>
      <c r="Q144" s="73"/>
      <c r="R144" s="73"/>
      <c r="S144" s="73"/>
      <c r="T144" s="73"/>
      <c r="U144" s="73"/>
      <c r="V144" s="73"/>
      <c r="W144" s="73"/>
      <c r="X144" s="73"/>
      <c r="Y144" s="73"/>
      <c r="Z144" s="73"/>
      <c r="AA144" s="73"/>
      <c r="AB144" s="73" t="s">
        <v>714</v>
      </c>
      <c r="AC144" s="73"/>
      <c r="AD144" s="73" t="s">
        <v>714</v>
      </c>
      <c r="AE144" s="73"/>
      <c r="AF144" s="73"/>
      <c r="AG144" s="73"/>
      <c r="AH144" s="73"/>
      <c r="AI144" s="73"/>
      <c r="AJ144" s="73"/>
      <c r="AK144" s="73"/>
      <c r="AL144" s="73"/>
      <c r="AM144" t="s">
        <v>890</v>
      </c>
      <c r="AN144" t="s">
        <v>120</v>
      </c>
      <c r="AO144" t="s">
        <v>709</v>
      </c>
    </row>
    <row r="145" spans="1:41" ht="18" customHeight="1" outlineLevel="1">
      <c r="A145" s="65">
        <f>ROW(Rohdaten!$A$122)</f>
        <v>122</v>
      </c>
      <c r="B145" s="66">
        <f>IF(Rohdaten!$A$122="","",Rohdaten!$A$122)</f>
        <v/>
      </c>
      <c r="C145" s="74" t="s">
        <v>891</v>
      </c>
      <c r="D145" s="68" t="str">
        <f>IF(Rohdaten!$E$122="","",Rohdaten!$E$122)</f>
        <v>Richartz/ Mey</v>
      </c>
      <c r="E145" s="69" t="str">
        <f t="array" ref="E145">_xlfn.TEXTJOIN(" / ",TRUE,IF($I145:$AL145="●",$I$4:$AL$4,""))</f>
        <v>Mey / Richartz</v>
      </c>
      <c r="F145" s="70" t="s">
        <v>781</v>
      </c>
      <c r="G145" s="71" t="s">
        <v>712</v>
      </c>
      <c r="H145" s="72">
        <f>IF($F145="automatisch",IF(ISNA(MATCH(Stichtag,RD_Kopf,0)),"automatisch",IF(SUMPRODUCT((RD_Kopf&gt;=IF($G145="monatlich",DATE(YEAR(Stichtag),MONTH(Stichtag),1),IF($G145="quartalsweise",DATE(YEAR(Stichtag),INT((MONTH(Stichtag)-1)/3)*3+1,1),Stichtag)))*(RD_Kopf&lt;=Stichtag)*ISNUMBER(Rohdaten!$A$122:$LJ$122))&gt;0,"erledigt","automatisch")),IF($F145&lt;&gt;"ja","",IF(ISNA(MATCH(Stichtag,RD_Kopf,0)),"keine Spalte",IF(SUMPRODUCT((RD_Kopf&gt;=IF($G145="monatlich",DATE(YEAR(Stichtag),MONTH(Stichtag),1),IF($G145="quartalsweise",DATE(YEAR(Stichtag),INT((MONTH(Stichtag)-1)/3)*3+1,1),Stichtag)))*(RD_Kopf&lt;=Stichtag)*ISNUMBER(Rohdaten!$A$122:$LJ$122))&gt;0,"erledigt","offen"))))</f>
        <v/>
      </c>
      <c r="I145" s="73"/>
      <c r="J145" s="73"/>
      <c r="K145" s="73"/>
      <c r="L145" s="73"/>
      <c r="M145" s="73"/>
      <c r="N145" s="73"/>
      <c r="O145" s="73"/>
      <c r="P145" s="73"/>
      <c r="Q145" s="73"/>
      <c r="R145" s="73"/>
      <c r="S145" s="73"/>
      <c r="T145" s="73"/>
      <c r="U145" s="73"/>
      <c r="V145" s="73"/>
      <c r="W145" s="73"/>
      <c r="X145" s="73"/>
      <c r="Y145" s="73"/>
      <c r="Z145" s="73"/>
      <c r="AA145" s="73"/>
      <c r="AB145" s="73" t="s">
        <v>714</v>
      </c>
      <c r="AC145" s="73"/>
      <c r="AD145" s="73" t="s">
        <v>714</v>
      </c>
      <c r="AE145" s="73"/>
      <c r="AF145" s="73"/>
      <c r="AG145" s="73"/>
      <c r="AH145" s="73"/>
      <c r="AI145" s="73"/>
      <c r="AJ145" s="73"/>
      <c r="AK145" s="73"/>
      <c r="AL145" s="73"/>
      <c r="AM145" t="s">
        <v>892</v>
      </c>
      <c r="AO145" t="s">
        <v>709</v>
      </c>
    </row>
    <row r="146" spans="1:41" ht="18" customHeight="1" outlineLevel="1">
      <c r="A146" s="65">
        <f>ROW(Rohdaten!$A$123)</f>
        <v>123</v>
      </c>
      <c r="B146" s="66">
        <f>IF(Rohdaten!$A$123="","",Rohdaten!$A$123)</f>
        <v/>
      </c>
      <c r="C146" s="74" t="s">
        <v>893</v>
      </c>
      <c r="D146" s="68" t="str">
        <f>IF(Rohdaten!$E$123="","",Rohdaten!$E$123)</f>
        <v>Richartz/ Mey</v>
      </c>
      <c r="E146" s="69" t="str">
        <f t="array" ref="E146">_xlfn.TEXTJOIN(" / ",TRUE,IF($I146:$AL146="●",$I$4:$AL$4,""))</f>
        <v>Mey / Richartz</v>
      </c>
      <c r="F146" s="70" t="s">
        <v>781</v>
      </c>
      <c r="G146" s="71" t="s">
        <v>712</v>
      </c>
      <c r="H146" s="72">
        <f>IF($F146="automatisch",IF(ISNA(MATCH(Stichtag,RD_Kopf,0)),"automatisch",IF(SUMPRODUCT((RD_Kopf&gt;=IF($G146="monatlich",DATE(YEAR(Stichtag),MONTH(Stichtag),1),IF($G146="quartalsweise",DATE(YEAR(Stichtag),INT((MONTH(Stichtag)-1)/3)*3+1,1),Stichtag)))*(RD_Kopf&lt;=Stichtag)*ISNUMBER(Rohdaten!$A$123:$LJ$123))&gt;0,"erledigt","automatisch")),IF($F146&lt;&gt;"ja","",IF(ISNA(MATCH(Stichtag,RD_Kopf,0)),"keine Spalte",IF(SUMPRODUCT((RD_Kopf&gt;=IF($G146="monatlich",DATE(YEAR(Stichtag),MONTH(Stichtag),1),IF($G146="quartalsweise",DATE(YEAR(Stichtag),INT((MONTH(Stichtag)-1)/3)*3+1,1),Stichtag)))*(RD_Kopf&lt;=Stichtag)*ISNUMBER(Rohdaten!$A$123:$LJ$123))&gt;0,"erledigt","offen"))))</f>
        <v/>
      </c>
      <c r="I146" s="73"/>
      <c r="J146" s="73"/>
      <c r="K146" s="73"/>
      <c r="L146" s="73"/>
      <c r="M146" s="73"/>
      <c r="N146" s="73"/>
      <c r="O146" s="73"/>
      <c r="P146" s="73"/>
      <c r="Q146" s="73"/>
      <c r="R146" s="73"/>
      <c r="S146" s="73"/>
      <c r="T146" s="73"/>
      <c r="U146" s="73"/>
      <c r="V146" s="73"/>
      <c r="W146" s="73"/>
      <c r="X146" s="73"/>
      <c r="Y146" s="73"/>
      <c r="Z146" s="73"/>
      <c r="AA146" s="73"/>
      <c r="AB146" s="73" t="s">
        <v>714</v>
      </c>
      <c r="AC146" s="73"/>
      <c r="AD146" s="73" t="s">
        <v>714</v>
      </c>
      <c r="AE146" s="73"/>
      <c r="AF146" s="73"/>
      <c r="AG146" s="73"/>
      <c r="AH146" s="73"/>
      <c r="AI146" s="73"/>
      <c r="AJ146" s="73"/>
      <c r="AK146" s="73"/>
      <c r="AL146" s="73"/>
      <c r="AM146" t="s">
        <v>894</v>
      </c>
      <c r="AO146" t="s">
        <v>709</v>
      </c>
    </row>
    <row r="147" spans="1:41" ht="18" customHeight="1" outlineLevel="1">
      <c r="A147" s="65">
        <f>ROW(Rohdaten!$A$124)</f>
        <v>124</v>
      </c>
      <c r="B147" s="66">
        <f>IF(Rohdaten!$A$124="","",Rohdaten!$A$124)</f>
        <v/>
      </c>
      <c r="C147" s="74" t="s">
        <v>895</v>
      </c>
      <c r="D147" s="68" t="str">
        <f>IF(Rohdaten!$E$124="","",Rohdaten!$E$124)</f>
        <v>Richartz/ Mey</v>
      </c>
      <c r="E147" s="69" t="str">
        <f t="array" ref="E147">_xlfn.TEXTJOIN(" / ",TRUE,IF($I147:$AL147="●",$I$4:$AL$4,""))</f>
        <v>Mey / Richartz</v>
      </c>
      <c r="F147" s="70" t="s">
        <v>781</v>
      </c>
      <c r="G147" s="71" t="s">
        <v>712</v>
      </c>
      <c r="H147" s="72">
        <f>IF($F147="automatisch",IF(ISNA(MATCH(Stichtag,RD_Kopf,0)),"automatisch",IF(SUMPRODUCT((RD_Kopf&gt;=IF($G147="monatlich",DATE(YEAR(Stichtag),MONTH(Stichtag),1),IF($G147="quartalsweise",DATE(YEAR(Stichtag),INT((MONTH(Stichtag)-1)/3)*3+1,1),Stichtag)))*(RD_Kopf&lt;=Stichtag)*ISNUMBER(Rohdaten!$A$124:$LJ$124))&gt;0,"erledigt","automatisch")),IF($F147&lt;&gt;"ja","",IF(ISNA(MATCH(Stichtag,RD_Kopf,0)),"keine Spalte",IF(SUMPRODUCT((RD_Kopf&gt;=IF($G147="monatlich",DATE(YEAR(Stichtag),MONTH(Stichtag),1),IF($G147="quartalsweise",DATE(YEAR(Stichtag),INT((MONTH(Stichtag)-1)/3)*3+1,1),Stichtag)))*(RD_Kopf&lt;=Stichtag)*ISNUMBER(Rohdaten!$A$124:$LJ$124))&gt;0,"erledigt","offen"))))</f>
        <v/>
      </c>
      <c r="I147" s="73"/>
      <c r="J147" s="73"/>
      <c r="K147" s="73"/>
      <c r="L147" s="73"/>
      <c r="M147" s="73"/>
      <c r="N147" s="73"/>
      <c r="O147" s="73"/>
      <c r="P147" s="73"/>
      <c r="Q147" s="73"/>
      <c r="R147" s="73"/>
      <c r="S147" s="73"/>
      <c r="T147" s="73"/>
      <c r="U147" s="73"/>
      <c r="V147" s="73"/>
      <c r="W147" s="73"/>
      <c r="X147" s="73"/>
      <c r="Y147" s="73"/>
      <c r="Z147" s="73"/>
      <c r="AA147" s="73"/>
      <c r="AB147" s="73" t="s">
        <v>714</v>
      </c>
      <c r="AC147" s="73"/>
      <c r="AD147" s="73" t="s">
        <v>714</v>
      </c>
      <c r="AE147" s="73"/>
      <c r="AF147" s="73"/>
      <c r="AG147" s="73"/>
      <c r="AH147" s="73"/>
      <c r="AI147" s="73"/>
      <c r="AJ147" s="73"/>
      <c r="AK147" s="73"/>
      <c r="AL147" s="73"/>
      <c r="AM147" t="s">
        <v>896</v>
      </c>
      <c r="AO147" t="s">
        <v>709</v>
      </c>
    </row>
    <row r="148" spans="1:41" ht="18" customHeight="1" outlineLevel="1">
      <c r="A148" s="65">
        <f>ROW(Rohdaten!$A$125)</f>
        <v>125</v>
      </c>
      <c r="B148" s="66" t="str">
        <f>IF(Rohdaten!$A$125="","",Rohdaten!$A$125)</f>
        <v>11f</v>
      </c>
      <c r="C148" s="74" t="s">
        <v>786</v>
      </c>
      <c r="D148" s="68" t="str">
        <f>IF(Rohdaten!$E$125="","",Rohdaten!$E$125)</f>
        <v>Richartz/ Mey</v>
      </c>
      <c r="E148" s="69" t="str">
        <f t="array" ref="E148">_xlfn.TEXTJOIN(" / ",TRUE,IF($I148:$AL148="●",$I$4:$AL$4,""))</f>
        <v>Mey / Richartz</v>
      </c>
      <c r="F148" s="70" t="s">
        <v>711</v>
      </c>
      <c r="G148" s="71" t="s">
        <v>712</v>
      </c>
      <c r="H148" s="72">
        <f>IF($F148="automatisch",IF(ISNA(MATCH(Stichtag,RD_Kopf,0)),"automatisch",IF(SUMPRODUCT((RD_Kopf&gt;=IF($G148="monatlich",DATE(YEAR(Stichtag),MONTH(Stichtag),1),IF($G148="quartalsweise",DATE(YEAR(Stichtag),INT((MONTH(Stichtag)-1)/3)*3+1,1),Stichtag)))*(RD_Kopf&lt;=Stichtag)*ISNUMBER(Rohdaten!$A$125:$LJ$125))&gt;0,"erledigt","automatisch")),IF($F148&lt;&gt;"ja","",IF(ISNA(MATCH(Stichtag,RD_Kopf,0)),"keine Spalte",IF(SUMPRODUCT((RD_Kopf&gt;=IF($G148="monatlich",DATE(YEAR(Stichtag),MONTH(Stichtag),1),IF($G148="quartalsweise",DATE(YEAR(Stichtag),INT((MONTH(Stichtag)-1)/3)*3+1,1),Stichtag)))*(RD_Kopf&lt;=Stichtag)*ISNUMBER(Rohdaten!$A$125:$LJ$125))&gt;0,"erledigt","offen"))))</f>
        <v/>
      </c>
      <c r="I148" s="73"/>
      <c r="J148" s="73"/>
      <c r="K148" s="73"/>
      <c r="L148" s="73"/>
      <c r="M148" s="73"/>
      <c r="N148" s="73"/>
      <c r="O148" s="73"/>
      <c r="P148" s="73"/>
      <c r="Q148" s="73"/>
      <c r="R148" s="73"/>
      <c r="S148" s="73"/>
      <c r="T148" s="73"/>
      <c r="U148" s="73"/>
      <c r="V148" s="73"/>
      <c r="W148" s="73"/>
      <c r="X148" s="73"/>
      <c r="Y148" s="73"/>
      <c r="Z148" s="73"/>
      <c r="AA148" s="73"/>
      <c r="AB148" s="73" t="s">
        <v>714</v>
      </c>
      <c r="AC148" s="73"/>
      <c r="AD148" s="73" t="s">
        <v>714</v>
      </c>
      <c r="AE148" s="73"/>
      <c r="AF148" s="73"/>
      <c r="AG148" s="73"/>
      <c r="AH148" s="73"/>
      <c r="AI148" s="73"/>
      <c r="AJ148" s="73"/>
      <c r="AK148" s="73"/>
      <c r="AL148" s="73"/>
      <c r="AM148" t="s">
        <v>897</v>
      </c>
      <c r="AN148" t="s">
        <v>121</v>
      </c>
      <c r="AO148" t="s">
        <v>709</v>
      </c>
    </row>
    <row r="149" spans="1:41" ht="18" customHeight="1" outlineLevel="1">
      <c r="A149" s="65">
        <f>ROW(Rohdaten!$A$126)</f>
        <v>126</v>
      </c>
      <c r="B149" s="66">
        <f>IF(Rohdaten!$A$126="","",Rohdaten!$A$126)</f>
        <v/>
      </c>
      <c r="C149" s="74" t="s">
        <v>898</v>
      </c>
      <c r="D149" s="68" t="str">
        <f>IF(Rohdaten!$E$126="","",Rohdaten!$E$126)</f>
        <v>Richartz/ Mey</v>
      </c>
      <c r="E149" s="69" t="str">
        <f t="array" ref="E149">_xlfn.TEXTJOIN(" / ",TRUE,IF($I149:$AL149="●",$I$4:$AL$4,""))</f>
        <v>Mey / Richartz</v>
      </c>
      <c r="F149" s="70" t="s">
        <v>781</v>
      </c>
      <c r="G149" s="71" t="s">
        <v>712</v>
      </c>
      <c r="H149" s="72">
        <f>IF($F149="automatisch",IF(ISNA(MATCH(Stichtag,RD_Kopf,0)),"automatisch",IF(SUMPRODUCT((RD_Kopf&gt;=IF($G149="monatlich",DATE(YEAR(Stichtag),MONTH(Stichtag),1),IF($G149="quartalsweise",DATE(YEAR(Stichtag),INT((MONTH(Stichtag)-1)/3)*3+1,1),Stichtag)))*(RD_Kopf&lt;=Stichtag)*ISNUMBER(Rohdaten!$A$126:$LJ$126))&gt;0,"erledigt","automatisch")),IF($F149&lt;&gt;"ja","",IF(ISNA(MATCH(Stichtag,RD_Kopf,0)),"keine Spalte",IF(SUMPRODUCT((RD_Kopf&gt;=IF($G149="monatlich",DATE(YEAR(Stichtag),MONTH(Stichtag),1),IF($G149="quartalsweise",DATE(YEAR(Stichtag),INT((MONTH(Stichtag)-1)/3)*3+1,1),Stichtag)))*(RD_Kopf&lt;=Stichtag)*ISNUMBER(Rohdaten!$A$126:$LJ$126))&gt;0,"erledigt","offen"))))</f>
        <v/>
      </c>
      <c r="I149" s="73"/>
      <c r="J149" s="73"/>
      <c r="K149" s="73"/>
      <c r="L149" s="73"/>
      <c r="M149" s="73"/>
      <c r="N149" s="73"/>
      <c r="O149" s="73"/>
      <c r="P149" s="73"/>
      <c r="Q149" s="73"/>
      <c r="R149" s="73"/>
      <c r="S149" s="73"/>
      <c r="T149" s="73"/>
      <c r="U149" s="73"/>
      <c r="V149" s="73"/>
      <c r="W149" s="73"/>
      <c r="X149" s="73"/>
      <c r="Y149" s="73"/>
      <c r="Z149" s="73"/>
      <c r="AA149" s="73"/>
      <c r="AB149" s="73" t="s">
        <v>714</v>
      </c>
      <c r="AC149" s="73"/>
      <c r="AD149" s="73" t="s">
        <v>714</v>
      </c>
      <c r="AE149" s="73"/>
      <c r="AF149" s="73"/>
      <c r="AG149" s="73"/>
      <c r="AH149" s="73"/>
      <c r="AI149" s="73"/>
      <c r="AJ149" s="73"/>
      <c r="AK149" s="73"/>
      <c r="AL149" s="73"/>
      <c r="AM149" t="s">
        <v>899</v>
      </c>
      <c r="AO149" t="s">
        <v>709</v>
      </c>
    </row>
    <row r="150" spans="1:41" ht="18" customHeight="1" outlineLevel="1">
      <c r="A150" s="65">
        <f>ROW(Rohdaten!$A$127)</f>
        <v>127</v>
      </c>
      <c r="B150" s="66">
        <f>IF(Rohdaten!$A$127="","",Rohdaten!$A$127)</f>
        <v/>
      </c>
      <c r="C150" s="74" t="s">
        <v>900</v>
      </c>
      <c r="D150" s="68" t="str">
        <f>IF(Rohdaten!$E$127="","",Rohdaten!$E$127)</f>
        <v>Richartz/ Mey</v>
      </c>
      <c r="E150" s="69" t="str">
        <f t="array" ref="E150">_xlfn.TEXTJOIN(" / ",TRUE,IF($I150:$AL150="●",$I$4:$AL$4,""))</f>
        <v>Mey / Richartz</v>
      </c>
      <c r="F150" s="70" t="s">
        <v>781</v>
      </c>
      <c r="G150" s="71" t="s">
        <v>712</v>
      </c>
      <c r="H150" s="72">
        <f>IF($F150="automatisch",IF(ISNA(MATCH(Stichtag,RD_Kopf,0)),"automatisch",IF(SUMPRODUCT((RD_Kopf&gt;=IF($G150="monatlich",DATE(YEAR(Stichtag),MONTH(Stichtag),1),IF($G150="quartalsweise",DATE(YEAR(Stichtag),INT((MONTH(Stichtag)-1)/3)*3+1,1),Stichtag)))*(RD_Kopf&lt;=Stichtag)*ISNUMBER(Rohdaten!$A$127:$LJ$127))&gt;0,"erledigt","automatisch")),IF($F150&lt;&gt;"ja","",IF(ISNA(MATCH(Stichtag,RD_Kopf,0)),"keine Spalte",IF(SUMPRODUCT((RD_Kopf&gt;=IF($G150="monatlich",DATE(YEAR(Stichtag),MONTH(Stichtag),1),IF($G150="quartalsweise",DATE(YEAR(Stichtag),INT((MONTH(Stichtag)-1)/3)*3+1,1),Stichtag)))*(RD_Kopf&lt;=Stichtag)*ISNUMBER(Rohdaten!$A$127:$LJ$127))&gt;0,"erledigt","offen"))))</f>
        <v/>
      </c>
      <c r="I150" s="73"/>
      <c r="J150" s="73"/>
      <c r="K150" s="73"/>
      <c r="L150" s="73"/>
      <c r="M150" s="73"/>
      <c r="N150" s="73"/>
      <c r="O150" s="73"/>
      <c r="P150" s="73"/>
      <c r="Q150" s="73"/>
      <c r="R150" s="73"/>
      <c r="S150" s="73"/>
      <c r="T150" s="73"/>
      <c r="U150" s="73"/>
      <c r="V150" s="73"/>
      <c r="W150" s="73"/>
      <c r="X150" s="73"/>
      <c r="Y150" s="73"/>
      <c r="Z150" s="73"/>
      <c r="AA150" s="73"/>
      <c r="AB150" s="73" t="s">
        <v>714</v>
      </c>
      <c r="AC150" s="73"/>
      <c r="AD150" s="73" t="s">
        <v>714</v>
      </c>
      <c r="AE150" s="73"/>
      <c r="AF150" s="73"/>
      <c r="AG150" s="73"/>
      <c r="AH150" s="73"/>
      <c r="AI150" s="73"/>
      <c r="AJ150" s="73"/>
      <c r="AK150" s="73"/>
      <c r="AL150" s="73"/>
      <c r="AM150" t="s">
        <v>901</v>
      </c>
      <c r="AO150" t="s">
        <v>709</v>
      </c>
    </row>
    <row r="151" spans="1:41" ht="18" customHeight="1" outlineLevel="1">
      <c r="A151" s="65">
        <f>ROW(Rohdaten!$A$128)</f>
        <v>128</v>
      </c>
      <c r="B151" s="66">
        <f>IF(Rohdaten!$A$128="","",Rohdaten!$A$128)</f>
        <v/>
      </c>
      <c r="C151" s="74" t="s">
        <v>902</v>
      </c>
      <c r="D151" s="68" t="str">
        <f>IF(Rohdaten!$E$128="","",Rohdaten!$E$128)</f>
        <v>Richartz/ Mey</v>
      </c>
      <c r="E151" s="69" t="str">
        <f t="array" ref="E151">_xlfn.TEXTJOIN(" / ",TRUE,IF($I151:$AL151="●",$I$4:$AL$4,""))</f>
        <v>Mey / Richartz</v>
      </c>
      <c r="F151" s="70" t="s">
        <v>781</v>
      </c>
      <c r="G151" s="71" t="s">
        <v>712</v>
      </c>
      <c r="H151" s="72">
        <f>IF($F151="automatisch",IF(ISNA(MATCH(Stichtag,RD_Kopf,0)),"automatisch",IF(SUMPRODUCT((RD_Kopf&gt;=IF($G151="monatlich",DATE(YEAR(Stichtag),MONTH(Stichtag),1),IF($G151="quartalsweise",DATE(YEAR(Stichtag),INT((MONTH(Stichtag)-1)/3)*3+1,1),Stichtag)))*(RD_Kopf&lt;=Stichtag)*ISNUMBER(Rohdaten!$A$128:$LJ$128))&gt;0,"erledigt","automatisch")),IF($F151&lt;&gt;"ja","",IF(ISNA(MATCH(Stichtag,RD_Kopf,0)),"keine Spalte",IF(SUMPRODUCT((RD_Kopf&gt;=IF($G151="monatlich",DATE(YEAR(Stichtag),MONTH(Stichtag),1),IF($G151="quartalsweise",DATE(YEAR(Stichtag),INT((MONTH(Stichtag)-1)/3)*3+1,1),Stichtag)))*(RD_Kopf&lt;=Stichtag)*ISNUMBER(Rohdaten!$A$128:$LJ$128))&gt;0,"erledigt","offen"))))</f>
        <v/>
      </c>
      <c r="I151" s="73"/>
      <c r="J151" s="73"/>
      <c r="K151" s="73"/>
      <c r="L151" s="73"/>
      <c r="M151" s="73"/>
      <c r="N151" s="73"/>
      <c r="O151" s="73"/>
      <c r="P151" s="73"/>
      <c r="Q151" s="73"/>
      <c r="R151" s="73"/>
      <c r="S151" s="73"/>
      <c r="T151" s="73"/>
      <c r="U151" s="73"/>
      <c r="V151" s="73"/>
      <c r="W151" s="73"/>
      <c r="X151" s="73"/>
      <c r="Y151" s="73"/>
      <c r="Z151" s="73"/>
      <c r="AA151" s="73"/>
      <c r="AB151" s="73" t="s">
        <v>714</v>
      </c>
      <c r="AC151" s="73"/>
      <c r="AD151" s="73" t="s">
        <v>714</v>
      </c>
      <c r="AE151" s="73"/>
      <c r="AF151" s="73"/>
      <c r="AG151" s="73"/>
      <c r="AH151" s="73"/>
      <c r="AI151" s="73"/>
      <c r="AJ151" s="73"/>
      <c r="AK151" s="73"/>
      <c r="AL151" s="73"/>
      <c r="AM151" t="s">
        <v>903</v>
      </c>
      <c r="AO151" t="s">
        <v>709</v>
      </c>
    </row>
    <row r="152" spans="1:41" ht="22" customHeight="1">
      <c r="A152" s="60" t="s">
        <v>904</v>
      </c>
      <c r="B152" s="60"/>
      <c r="C152" s="60"/>
      <c r="D152" s="60"/>
      <c r="E152" s="60"/>
      <c r="F152" s="60"/>
      <c r="G152" s="60"/>
      <c r="H152" s="60"/>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O152" t="s">
        <v>705</v>
      </c>
    </row>
    <row r="153" spans="1:41" ht="18" customHeight="1" outlineLevel="1">
      <c r="A153" s="65">
        <f>ROW(Rohdaten!$A$129)</f>
        <v>129</v>
      </c>
      <c r="B153" s="66" t="str">
        <f>IF(Rohdaten!$A$129="","",Rohdaten!$A$129)</f>
        <v>11g</v>
      </c>
      <c r="C153" s="74" t="s">
        <v>905</v>
      </c>
      <c r="D153" s="68" t="str">
        <f>IF(Rohdaten!$E$129="","",Rohdaten!$E$129)</f>
        <v>Richartz/ Mey</v>
      </c>
      <c r="E153" s="69" t="str">
        <f t="array" ref="E153">_xlfn.TEXTJOIN(" / ",TRUE,IF($I153:$AL153="●",$I$4:$AL$4,""))</f>
        <v>Mey / Richartz</v>
      </c>
      <c r="F153" s="70" t="s">
        <v>711</v>
      </c>
      <c r="G153" s="71" t="s">
        <v>712</v>
      </c>
      <c r="H153" s="72">
        <f>IF($F153="automatisch",IF(ISNA(MATCH(Stichtag,RD_Kopf,0)),"automatisch",IF(SUMPRODUCT((RD_Kopf&gt;=IF($G153="monatlich",DATE(YEAR(Stichtag),MONTH(Stichtag),1),IF($G153="quartalsweise",DATE(YEAR(Stichtag),INT((MONTH(Stichtag)-1)/3)*3+1,1),Stichtag)))*(RD_Kopf&lt;=Stichtag)*ISNUMBER(Rohdaten!$A$129:$LJ$129))&gt;0,"erledigt","automatisch")),IF($F153&lt;&gt;"ja","",IF(ISNA(MATCH(Stichtag,RD_Kopf,0)),"keine Spalte",IF(SUMPRODUCT((RD_Kopf&gt;=IF($G153="monatlich",DATE(YEAR(Stichtag),MONTH(Stichtag),1),IF($G153="quartalsweise",DATE(YEAR(Stichtag),INT((MONTH(Stichtag)-1)/3)*3+1,1),Stichtag)))*(RD_Kopf&lt;=Stichtag)*ISNUMBER(Rohdaten!$A$129:$LJ$129))&gt;0,"erledigt","offen"))))</f>
        <v/>
      </c>
      <c r="I153" s="73"/>
      <c r="J153" s="73"/>
      <c r="K153" s="73"/>
      <c r="L153" s="73"/>
      <c r="M153" s="73"/>
      <c r="N153" s="73"/>
      <c r="O153" s="73"/>
      <c r="P153" s="73"/>
      <c r="Q153" s="73"/>
      <c r="R153" s="73"/>
      <c r="S153" s="73"/>
      <c r="T153" s="73"/>
      <c r="U153" s="73"/>
      <c r="V153" s="73"/>
      <c r="W153" s="73"/>
      <c r="X153" s="73"/>
      <c r="Y153" s="73"/>
      <c r="Z153" s="73"/>
      <c r="AA153" s="73"/>
      <c r="AB153" s="73" t="s">
        <v>714</v>
      </c>
      <c r="AC153" s="73"/>
      <c r="AD153" s="73" t="s">
        <v>714</v>
      </c>
      <c r="AE153" s="73"/>
      <c r="AF153" s="73"/>
      <c r="AG153" s="73"/>
      <c r="AH153" s="73"/>
      <c r="AI153" s="73"/>
      <c r="AJ153" s="73"/>
      <c r="AK153" s="73"/>
      <c r="AL153" s="73"/>
      <c r="AM153" t="s">
        <v>906</v>
      </c>
      <c r="AN153" t="s">
        <v>122</v>
      </c>
      <c r="AO153" t="s">
        <v>709</v>
      </c>
    </row>
    <row r="154" spans="1:41" ht="18" customHeight="1" outlineLevel="1">
      <c r="A154" s="65">
        <f>ROW(Rohdaten!$A$130)</f>
        <v>130</v>
      </c>
      <c r="B154" s="66" t="str">
        <f>IF(Rohdaten!$A$130="","",Rohdaten!$A$130)</f>
        <v>11h</v>
      </c>
      <c r="C154" s="74" t="s">
        <v>907</v>
      </c>
      <c r="D154" s="68" t="str">
        <f>IF(Rohdaten!$E$130="","",Rohdaten!$E$130)</f>
        <v>Richartz/ Mey</v>
      </c>
      <c r="E154" s="69" t="str">
        <f t="array" ref="E154">_xlfn.TEXTJOIN(" / ",TRUE,IF($I154:$AL154="●",$I$4:$AL$4,""))</f>
        <v>Mey / Richartz</v>
      </c>
      <c r="F154" s="70" t="s">
        <v>781</v>
      </c>
      <c r="G154" s="71" t="s">
        <v>712</v>
      </c>
      <c r="H154" s="72">
        <f>IF($F154="automatisch",IF(ISNA(MATCH(Stichtag,RD_Kopf,0)),"automatisch",IF(SUMPRODUCT((RD_Kopf&gt;=IF($G154="monatlich",DATE(YEAR(Stichtag),MONTH(Stichtag),1),IF($G154="quartalsweise",DATE(YEAR(Stichtag),INT((MONTH(Stichtag)-1)/3)*3+1,1),Stichtag)))*(RD_Kopf&lt;=Stichtag)*ISNUMBER(Rohdaten!$A$130:$LJ$130))&gt;0,"erledigt","automatisch")),IF($F154&lt;&gt;"ja","",IF(ISNA(MATCH(Stichtag,RD_Kopf,0)),"keine Spalte",IF(SUMPRODUCT((RD_Kopf&gt;=IF($G154="monatlich",DATE(YEAR(Stichtag),MONTH(Stichtag),1),IF($G154="quartalsweise",DATE(YEAR(Stichtag),INT((MONTH(Stichtag)-1)/3)*3+1,1),Stichtag)))*(RD_Kopf&lt;=Stichtag)*ISNUMBER(Rohdaten!$A$130:$LJ$130))&gt;0,"erledigt","offen"))))</f>
        <v/>
      </c>
      <c r="I154" s="73"/>
      <c r="J154" s="73"/>
      <c r="K154" s="73"/>
      <c r="L154" s="73"/>
      <c r="M154" s="73"/>
      <c r="N154" s="73"/>
      <c r="O154" s="73"/>
      <c r="P154" s="73"/>
      <c r="Q154" s="73"/>
      <c r="R154" s="73"/>
      <c r="S154" s="73"/>
      <c r="T154" s="73"/>
      <c r="U154" s="73"/>
      <c r="V154" s="73"/>
      <c r="W154" s="73"/>
      <c r="X154" s="73"/>
      <c r="Y154" s="73"/>
      <c r="Z154" s="73"/>
      <c r="AA154" s="73"/>
      <c r="AB154" s="73" t="s">
        <v>714</v>
      </c>
      <c r="AC154" s="73"/>
      <c r="AD154" s="73" t="s">
        <v>714</v>
      </c>
      <c r="AE154" s="73"/>
      <c r="AF154" s="73"/>
      <c r="AG154" s="73"/>
      <c r="AH154" s="73"/>
      <c r="AI154" s="73"/>
      <c r="AJ154" s="73"/>
      <c r="AK154" s="73"/>
      <c r="AL154" s="73"/>
      <c r="AM154" t="s">
        <v>908</v>
      </c>
      <c r="AN154" t="s">
        <v>123</v>
      </c>
      <c r="AO154" t="s">
        <v>709</v>
      </c>
    </row>
    <row r="155" spans="1:41" ht="18" customHeight="1" outlineLevel="1">
      <c r="A155" s="65">
        <f>ROW(Rohdaten!$A$131)</f>
        <v>131</v>
      </c>
      <c r="B155" s="66" t="str">
        <f>IF(Rohdaten!$A$131="","",Rohdaten!$A$131)</f>
        <v>11i</v>
      </c>
      <c r="C155" s="74" t="s">
        <v>909</v>
      </c>
      <c r="D155" s="68" t="str">
        <f>IF(Rohdaten!$E$131="","",Rohdaten!$E$131)</f>
        <v>Richartz/ Mey</v>
      </c>
      <c r="E155" s="69" t="str">
        <f t="array" ref="E155">_xlfn.TEXTJOIN(" / ",TRUE,IF($I155:$AL155="●",$I$4:$AL$4,""))</f>
        <v>Mey / Richartz</v>
      </c>
      <c r="F155" s="70" t="s">
        <v>781</v>
      </c>
      <c r="G155" s="71" t="s">
        <v>712</v>
      </c>
      <c r="H155" s="72">
        <f>IF($F155="automatisch",IF(ISNA(MATCH(Stichtag,RD_Kopf,0)),"automatisch",IF(SUMPRODUCT((RD_Kopf&gt;=IF($G155="monatlich",DATE(YEAR(Stichtag),MONTH(Stichtag),1),IF($G155="quartalsweise",DATE(YEAR(Stichtag),INT((MONTH(Stichtag)-1)/3)*3+1,1),Stichtag)))*(RD_Kopf&lt;=Stichtag)*ISNUMBER(Rohdaten!$A$131:$LJ$131))&gt;0,"erledigt","automatisch")),IF($F155&lt;&gt;"ja","",IF(ISNA(MATCH(Stichtag,RD_Kopf,0)),"keine Spalte",IF(SUMPRODUCT((RD_Kopf&gt;=IF($G155="monatlich",DATE(YEAR(Stichtag),MONTH(Stichtag),1),IF($G155="quartalsweise",DATE(YEAR(Stichtag),INT((MONTH(Stichtag)-1)/3)*3+1,1),Stichtag)))*(RD_Kopf&lt;=Stichtag)*ISNUMBER(Rohdaten!$A$131:$LJ$131))&gt;0,"erledigt","offen"))))</f>
        <v/>
      </c>
      <c r="I155" s="73"/>
      <c r="J155" s="73"/>
      <c r="K155" s="73"/>
      <c r="L155" s="73"/>
      <c r="M155" s="73"/>
      <c r="N155" s="73"/>
      <c r="O155" s="73"/>
      <c r="P155" s="73"/>
      <c r="Q155" s="73"/>
      <c r="R155" s="73"/>
      <c r="S155" s="73"/>
      <c r="T155" s="73"/>
      <c r="U155" s="73"/>
      <c r="V155" s="73"/>
      <c r="W155" s="73"/>
      <c r="X155" s="73"/>
      <c r="Y155" s="73"/>
      <c r="Z155" s="73"/>
      <c r="AA155" s="73"/>
      <c r="AB155" s="73" t="s">
        <v>714</v>
      </c>
      <c r="AC155" s="73"/>
      <c r="AD155" s="73" t="s">
        <v>714</v>
      </c>
      <c r="AE155" s="73"/>
      <c r="AF155" s="73"/>
      <c r="AG155" s="73"/>
      <c r="AH155" s="73"/>
      <c r="AI155" s="73"/>
      <c r="AJ155" s="73"/>
      <c r="AK155" s="73"/>
      <c r="AL155" s="73"/>
      <c r="AM155" t="s">
        <v>910</v>
      </c>
      <c r="AN155" t="s">
        <v>124</v>
      </c>
      <c r="AO155" t="s">
        <v>709</v>
      </c>
    </row>
    <row r="156" spans="1:41" ht="18" customHeight="1" outlineLevel="1">
      <c r="A156" s="65">
        <f>ROW(Rohdaten!$A$132)</f>
        <v>132</v>
      </c>
      <c r="B156" s="66" t="str">
        <f>IF(Rohdaten!$A$132="","",Rohdaten!$A$132)</f>
        <v>11j</v>
      </c>
      <c r="C156" s="74" t="s">
        <v>911</v>
      </c>
      <c r="D156" s="68" t="str">
        <f>IF(Rohdaten!$E$132="","",Rohdaten!$E$132)</f>
        <v>Richartz/ Mey</v>
      </c>
      <c r="E156" s="69" t="str">
        <f t="array" ref="E156">_xlfn.TEXTJOIN(" / ",TRUE,IF($I156:$AL156="●",$I$4:$AL$4,""))</f>
        <v>Mey / Richartz</v>
      </c>
      <c r="F156" s="70" t="s">
        <v>781</v>
      </c>
      <c r="G156" s="71" t="s">
        <v>712</v>
      </c>
      <c r="H156" s="72">
        <f>IF($F156="automatisch",IF(ISNA(MATCH(Stichtag,RD_Kopf,0)),"automatisch",IF(SUMPRODUCT((RD_Kopf&gt;=IF($G156="monatlich",DATE(YEAR(Stichtag),MONTH(Stichtag),1),IF($G156="quartalsweise",DATE(YEAR(Stichtag),INT((MONTH(Stichtag)-1)/3)*3+1,1),Stichtag)))*(RD_Kopf&lt;=Stichtag)*ISNUMBER(Rohdaten!$A$132:$LJ$132))&gt;0,"erledigt","automatisch")),IF($F156&lt;&gt;"ja","",IF(ISNA(MATCH(Stichtag,RD_Kopf,0)),"keine Spalte",IF(SUMPRODUCT((RD_Kopf&gt;=IF($G156="monatlich",DATE(YEAR(Stichtag),MONTH(Stichtag),1),IF($G156="quartalsweise",DATE(YEAR(Stichtag),INT((MONTH(Stichtag)-1)/3)*3+1,1),Stichtag)))*(RD_Kopf&lt;=Stichtag)*ISNUMBER(Rohdaten!$A$132:$LJ$132))&gt;0,"erledigt","offen"))))</f>
        <v/>
      </c>
      <c r="I156" s="73"/>
      <c r="J156" s="73"/>
      <c r="K156" s="73"/>
      <c r="L156" s="73"/>
      <c r="M156" s="73"/>
      <c r="N156" s="73"/>
      <c r="O156" s="73"/>
      <c r="P156" s="73"/>
      <c r="Q156" s="73"/>
      <c r="R156" s="73"/>
      <c r="S156" s="73"/>
      <c r="T156" s="73"/>
      <c r="U156" s="73"/>
      <c r="V156" s="73"/>
      <c r="W156" s="73"/>
      <c r="X156" s="73"/>
      <c r="Y156" s="73"/>
      <c r="Z156" s="73"/>
      <c r="AA156" s="73"/>
      <c r="AB156" s="73" t="s">
        <v>714</v>
      </c>
      <c r="AC156" s="73"/>
      <c r="AD156" s="73" t="s">
        <v>714</v>
      </c>
      <c r="AE156" s="73"/>
      <c r="AF156" s="73"/>
      <c r="AG156" s="73"/>
      <c r="AH156" s="73"/>
      <c r="AI156" s="73"/>
      <c r="AJ156" s="73"/>
      <c r="AK156" s="73"/>
      <c r="AL156" s="73"/>
      <c r="AM156" t="s">
        <v>912</v>
      </c>
      <c r="AN156" t="s">
        <v>125</v>
      </c>
      <c r="AO156" t="s">
        <v>709</v>
      </c>
    </row>
    <row r="157" spans="1:41" ht="18" customHeight="1" outlineLevel="1">
      <c r="A157" s="65">
        <f>ROW(Rohdaten!$A$133)</f>
        <v>133</v>
      </c>
      <c r="B157" s="66" t="str">
        <f>IF(Rohdaten!$A$133="","",Rohdaten!$A$133)</f>
        <v>11k</v>
      </c>
      <c r="C157" s="74" t="s">
        <v>913</v>
      </c>
      <c r="D157" s="68" t="str">
        <f>IF(Rohdaten!$E$133="","",Rohdaten!$E$133)</f>
        <v>Richartz/ Mey</v>
      </c>
      <c r="E157" s="69" t="str">
        <f t="array" ref="E157">_xlfn.TEXTJOIN(" / ",TRUE,IF($I157:$AL157="●",$I$4:$AL$4,""))</f>
        <v>Mey / Richartz</v>
      </c>
      <c r="F157" s="70" t="s">
        <v>711</v>
      </c>
      <c r="G157" s="71" t="s">
        <v>712</v>
      </c>
      <c r="H157" s="72">
        <f>IF($F157="automatisch",IF(ISNA(MATCH(Stichtag,RD_Kopf,0)),"automatisch",IF(SUMPRODUCT((RD_Kopf&gt;=IF($G157="monatlich",DATE(YEAR(Stichtag),MONTH(Stichtag),1),IF($G157="quartalsweise",DATE(YEAR(Stichtag),INT((MONTH(Stichtag)-1)/3)*3+1,1),Stichtag)))*(RD_Kopf&lt;=Stichtag)*ISNUMBER(Rohdaten!$A$133:$LJ$133))&gt;0,"erledigt","automatisch")),IF($F157&lt;&gt;"ja","",IF(ISNA(MATCH(Stichtag,RD_Kopf,0)),"keine Spalte",IF(SUMPRODUCT((RD_Kopf&gt;=IF($G157="monatlich",DATE(YEAR(Stichtag),MONTH(Stichtag),1),IF($G157="quartalsweise",DATE(YEAR(Stichtag),INT((MONTH(Stichtag)-1)/3)*3+1,1),Stichtag)))*(RD_Kopf&lt;=Stichtag)*ISNUMBER(Rohdaten!$A$133:$LJ$133))&gt;0,"erledigt","offen"))))</f>
        <v/>
      </c>
      <c r="I157" s="73"/>
      <c r="J157" s="73"/>
      <c r="K157" s="73"/>
      <c r="L157" s="73"/>
      <c r="M157" s="73"/>
      <c r="N157" s="73"/>
      <c r="O157" s="73"/>
      <c r="P157" s="73"/>
      <c r="Q157" s="73"/>
      <c r="R157" s="73"/>
      <c r="S157" s="73"/>
      <c r="T157" s="73"/>
      <c r="U157" s="73"/>
      <c r="V157" s="73"/>
      <c r="W157" s="73"/>
      <c r="X157" s="73"/>
      <c r="Y157" s="73"/>
      <c r="Z157" s="73"/>
      <c r="AA157" s="73"/>
      <c r="AB157" s="73" t="s">
        <v>714</v>
      </c>
      <c r="AC157" s="73"/>
      <c r="AD157" s="73" t="s">
        <v>714</v>
      </c>
      <c r="AE157" s="73"/>
      <c r="AF157" s="73"/>
      <c r="AG157" s="73"/>
      <c r="AH157" s="73"/>
      <c r="AI157" s="73"/>
      <c r="AJ157" s="73"/>
      <c r="AK157" s="73"/>
      <c r="AL157" s="73"/>
      <c r="AM157" t="s">
        <v>914</v>
      </c>
      <c r="AN157" t="s">
        <v>126</v>
      </c>
      <c r="AO157" t="s">
        <v>709</v>
      </c>
    </row>
    <row r="158" spans="1:41" ht="18" customHeight="1" outlineLevel="1">
      <c r="A158" s="65">
        <f>ROW(Rohdaten!$A$134)</f>
        <v>134</v>
      </c>
      <c r="B158" s="66">
        <f>IF(Rohdaten!$A$134="","",Rohdaten!$A$134)</f>
        <v/>
      </c>
      <c r="C158" s="74" t="s">
        <v>915</v>
      </c>
      <c r="D158" s="68" t="str">
        <f>IF(Rohdaten!$E$134="","",Rohdaten!$E$134)</f>
        <v>Richartz/ Mey</v>
      </c>
      <c r="E158" s="69" t="str">
        <f t="array" ref="E158">_xlfn.TEXTJOIN(" / ",TRUE,IF($I158:$AL158="●",$I$4:$AL$4,""))</f>
        <v>Mey / Richartz</v>
      </c>
      <c r="F158" s="70" t="s">
        <v>781</v>
      </c>
      <c r="G158" s="71" t="s">
        <v>712</v>
      </c>
      <c r="H158" s="72">
        <f>IF($F158="automatisch",IF(ISNA(MATCH(Stichtag,RD_Kopf,0)),"automatisch",IF(SUMPRODUCT((RD_Kopf&gt;=IF($G158="monatlich",DATE(YEAR(Stichtag),MONTH(Stichtag),1),IF($G158="quartalsweise",DATE(YEAR(Stichtag),INT((MONTH(Stichtag)-1)/3)*3+1,1),Stichtag)))*(RD_Kopf&lt;=Stichtag)*ISNUMBER(Rohdaten!$A$134:$LJ$134))&gt;0,"erledigt","automatisch")),IF($F158&lt;&gt;"ja","",IF(ISNA(MATCH(Stichtag,RD_Kopf,0)),"keine Spalte",IF(SUMPRODUCT((RD_Kopf&gt;=IF($G158="monatlich",DATE(YEAR(Stichtag),MONTH(Stichtag),1),IF($G158="quartalsweise",DATE(YEAR(Stichtag),INT((MONTH(Stichtag)-1)/3)*3+1,1),Stichtag)))*(RD_Kopf&lt;=Stichtag)*ISNUMBER(Rohdaten!$A$134:$LJ$134))&gt;0,"erledigt","offen"))))</f>
        <v/>
      </c>
      <c r="I158" s="73"/>
      <c r="J158" s="73"/>
      <c r="K158" s="73"/>
      <c r="L158" s="73"/>
      <c r="M158" s="73"/>
      <c r="N158" s="73"/>
      <c r="O158" s="73"/>
      <c r="P158" s="73"/>
      <c r="Q158" s="73"/>
      <c r="R158" s="73"/>
      <c r="S158" s="73"/>
      <c r="T158" s="73"/>
      <c r="U158" s="73"/>
      <c r="V158" s="73"/>
      <c r="W158" s="73"/>
      <c r="X158" s="73"/>
      <c r="Y158" s="73"/>
      <c r="Z158" s="73"/>
      <c r="AA158" s="73"/>
      <c r="AB158" s="73" t="s">
        <v>714</v>
      </c>
      <c r="AC158" s="73"/>
      <c r="AD158" s="73" t="s">
        <v>714</v>
      </c>
      <c r="AE158" s="73"/>
      <c r="AF158" s="73"/>
      <c r="AG158" s="73"/>
      <c r="AH158" s="73"/>
      <c r="AI158" s="73"/>
      <c r="AJ158" s="73"/>
      <c r="AK158" s="73"/>
      <c r="AL158" s="73"/>
      <c r="AM158" t="s">
        <v>916</v>
      </c>
      <c r="AO158" t="s">
        <v>709</v>
      </c>
    </row>
    <row r="159" spans="1:41" ht="18" customHeight="1" outlineLevel="1">
      <c r="A159" s="65">
        <f>ROW(Rohdaten!$A$135)</f>
        <v>135</v>
      </c>
      <c r="B159" s="66">
        <f>IF(Rohdaten!$A$135="","",Rohdaten!$A$135)</f>
        <v/>
      </c>
      <c r="C159" s="74" t="s">
        <v>917</v>
      </c>
      <c r="D159" s="68" t="str">
        <f>IF(Rohdaten!$E$135="","",Rohdaten!$E$135)</f>
        <v>Richartz/ Mey</v>
      </c>
      <c r="E159" s="69" t="str">
        <f t="array" ref="E159">_xlfn.TEXTJOIN(" / ",TRUE,IF($I159:$AL159="●",$I$4:$AL$4,""))</f>
        <v>Mey / Richartz</v>
      </c>
      <c r="F159" s="70" t="s">
        <v>781</v>
      </c>
      <c r="G159" s="71" t="s">
        <v>712</v>
      </c>
      <c r="H159" s="72">
        <f>IF($F159="automatisch",IF(ISNA(MATCH(Stichtag,RD_Kopf,0)),"automatisch",IF(SUMPRODUCT((RD_Kopf&gt;=IF($G159="monatlich",DATE(YEAR(Stichtag),MONTH(Stichtag),1),IF($G159="quartalsweise",DATE(YEAR(Stichtag),INT((MONTH(Stichtag)-1)/3)*3+1,1),Stichtag)))*(RD_Kopf&lt;=Stichtag)*ISNUMBER(Rohdaten!$A$135:$LJ$135))&gt;0,"erledigt","automatisch")),IF($F159&lt;&gt;"ja","",IF(ISNA(MATCH(Stichtag,RD_Kopf,0)),"keine Spalte",IF(SUMPRODUCT((RD_Kopf&gt;=IF($G159="monatlich",DATE(YEAR(Stichtag),MONTH(Stichtag),1),IF($G159="quartalsweise",DATE(YEAR(Stichtag),INT((MONTH(Stichtag)-1)/3)*3+1,1),Stichtag)))*(RD_Kopf&lt;=Stichtag)*ISNUMBER(Rohdaten!$A$135:$LJ$135))&gt;0,"erledigt","offen"))))</f>
        <v/>
      </c>
      <c r="I159" s="73"/>
      <c r="J159" s="73"/>
      <c r="K159" s="73"/>
      <c r="L159" s="73"/>
      <c r="M159" s="73"/>
      <c r="N159" s="73"/>
      <c r="O159" s="73"/>
      <c r="P159" s="73"/>
      <c r="Q159" s="73"/>
      <c r="R159" s="73"/>
      <c r="S159" s="73"/>
      <c r="T159" s="73"/>
      <c r="U159" s="73"/>
      <c r="V159" s="73"/>
      <c r="W159" s="73"/>
      <c r="X159" s="73"/>
      <c r="Y159" s="73"/>
      <c r="Z159" s="73"/>
      <c r="AA159" s="73"/>
      <c r="AB159" s="73" t="s">
        <v>714</v>
      </c>
      <c r="AC159" s="73"/>
      <c r="AD159" s="73" t="s">
        <v>714</v>
      </c>
      <c r="AE159" s="73"/>
      <c r="AF159" s="73"/>
      <c r="AG159" s="73"/>
      <c r="AH159" s="73"/>
      <c r="AI159" s="73"/>
      <c r="AJ159" s="73"/>
      <c r="AK159" s="73"/>
      <c r="AL159" s="73"/>
      <c r="AM159" t="s">
        <v>918</v>
      </c>
      <c r="AO159" t="s">
        <v>709</v>
      </c>
    </row>
    <row r="160" spans="1:41" ht="18" customHeight="1" outlineLevel="1">
      <c r="A160" s="65">
        <f>ROW(Rohdaten!$A$136)</f>
        <v>136</v>
      </c>
      <c r="B160" s="66">
        <f>IF(Rohdaten!$A$136="","",Rohdaten!$A$136)</f>
        <v/>
      </c>
      <c r="C160" s="74" t="s">
        <v>919</v>
      </c>
      <c r="D160" s="68" t="str">
        <f>IF(Rohdaten!$E$136="","",Rohdaten!$E$136)</f>
        <v>Richartz/ Mey</v>
      </c>
      <c r="E160" s="69" t="str">
        <f t="array" ref="E160">_xlfn.TEXTJOIN(" / ",TRUE,IF($I160:$AL160="●",$I$4:$AL$4,""))</f>
        <v>Mey / Richartz</v>
      </c>
      <c r="F160" s="70" t="s">
        <v>781</v>
      </c>
      <c r="G160" s="71" t="s">
        <v>712</v>
      </c>
      <c r="H160" s="72">
        <f>IF($F160="automatisch",IF(ISNA(MATCH(Stichtag,RD_Kopf,0)),"automatisch",IF(SUMPRODUCT((RD_Kopf&gt;=IF($G160="monatlich",DATE(YEAR(Stichtag),MONTH(Stichtag),1),IF($G160="quartalsweise",DATE(YEAR(Stichtag),INT((MONTH(Stichtag)-1)/3)*3+1,1),Stichtag)))*(RD_Kopf&lt;=Stichtag)*ISNUMBER(Rohdaten!$A$136:$LJ$136))&gt;0,"erledigt","automatisch")),IF($F160&lt;&gt;"ja","",IF(ISNA(MATCH(Stichtag,RD_Kopf,0)),"keine Spalte",IF(SUMPRODUCT((RD_Kopf&gt;=IF($G160="monatlich",DATE(YEAR(Stichtag),MONTH(Stichtag),1),IF($G160="quartalsweise",DATE(YEAR(Stichtag),INT((MONTH(Stichtag)-1)/3)*3+1,1),Stichtag)))*(RD_Kopf&lt;=Stichtag)*ISNUMBER(Rohdaten!$A$136:$LJ$136))&gt;0,"erledigt","offen"))))</f>
        <v/>
      </c>
      <c r="I160" s="73"/>
      <c r="J160" s="73"/>
      <c r="K160" s="73"/>
      <c r="L160" s="73"/>
      <c r="M160" s="73"/>
      <c r="N160" s="73"/>
      <c r="O160" s="73"/>
      <c r="P160" s="73"/>
      <c r="Q160" s="73"/>
      <c r="R160" s="73"/>
      <c r="S160" s="73"/>
      <c r="T160" s="73"/>
      <c r="U160" s="73"/>
      <c r="V160" s="73"/>
      <c r="W160" s="73"/>
      <c r="X160" s="73"/>
      <c r="Y160" s="73"/>
      <c r="Z160" s="73"/>
      <c r="AA160" s="73"/>
      <c r="AB160" s="73" t="s">
        <v>714</v>
      </c>
      <c r="AC160" s="73"/>
      <c r="AD160" s="73" t="s">
        <v>714</v>
      </c>
      <c r="AE160" s="73"/>
      <c r="AF160" s="73"/>
      <c r="AG160" s="73"/>
      <c r="AH160" s="73"/>
      <c r="AI160" s="73"/>
      <c r="AJ160" s="73"/>
      <c r="AK160" s="73"/>
      <c r="AL160" s="73"/>
      <c r="AM160" t="s">
        <v>920</v>
      </c>
      <c r="AO160" t="s">
        <v>709</v>
      </c>
    </row>
    <row r="161" spans="1:41" ht="18" customHeight="1" outlineLevel="1">
      <c r="A161" s="65">
        <f>ROW(Rohdaten!$A$137)</f>
        <v>137</v>
      </c>
      <c r="B161" s="66" t="str">
        <f>IF(Rohdaten!$A$137="","",Rohdaten!$A$137)</f>
        <v>11l</v>
      </c>
      <c r="C161" s="74" t="s">
        <v>921</v>
      </c>
      <c r="D161" s="68" t="str">
        <f>IF(Rohdaten!$E$137="","",Rohdaten!$E$137)</f>
        <v>Richartz/ Mey</v>
      </c>
      <c r="E161" s="69" t="str">
        <f t="array" ref="E161">_xlfn.TEXTJOIN(" / ",TRUE,IF($I161:$AL161="●",$I$4:$AL$4,""))</f>
        <v>Mey / Richartz</v>
      </c>
      <c r="F161" s="70" t="s">
        <v>711</v>
      </c>
      <c r="G161" s="71" t="s">
        <v>712</v>
      </c>
      <c r="H161" s="72">
        <f>IF($F161="automatisch",IF(ISNA(MATCH(Stichtag,RD_Kopf,0)),"automatisch",IF(SUMPRODUCT((RD_Kopf&gt;=IF($G161="monatlich",DATE(YEAR(Stichtag),MONTH(Stichtag),1),IF($G161="quartalsweise",DATE(YEAR(Stichtag),INT((MONTH(Stichtag)-1)/3)*3+1,1),Stichtag)))*(RD_Kopf&lt;=Stichtag)*ISNUMBER(Rohdaten!$A$137:$LJ$137))&gt;0,"erledigt","automatisch")),IF($F161&lt;&gt;"ja","",IF(ISNA(MATCH(Stichtag,RD_Kopf,0)),"keine Spalte",IF(SUMPRODUCT((RD_Kopf&gt;=IF($G161="monatlich",DATE(YEAR(Stichtag),MONTH(Stichtag),1),IF($G161="quartalsweise",DATE(YEAR(Stichtag),INT((MONTH(Stichtag)-1)/3)*3+1,1),Stichtag)))*(RD_Kopf&lt;=Stichtag)*ISNUMBER(Rohdaten!$A$137:$LJ$137))&gt;0,"erledigt","offen"))))</f>
        <v/>
      </c>
      <c r="I161" s="73"/>
      <c r="J161" s="73"/>
      <c r="K161" s="73"/>
      <c r="L161" s="73"/>
      <c r="M161" s="73"/>
      <c r="N161" s="73"/>
      <c r="O161" s="73"/>
      <c r="P161" s="73"/>
      <c r="Q161" s="73"/>
      <c r="R161" s="73"/>
      <c r="S161" s="73"/>
      <c r="T161" s="73"/>
      <c r="U161" s="73"/>
      <c r="V161" s="73"/>
      <c r="W161" s="73"/>
      <c r="X161" s="73"/>
      <c r="Y161" s="73"/>
      <c r="Z161" s="73"/>
      <c r="AA161" s="73"/>
      <c r="AB161" s="73" t="s">
        <v>714</v>
      </c>
      <c r="AC161" s="73"/>
      <c r="AD161" s="73" t="s">
        <v>714</v>
      </c>
      <c r="AE161" s="73"/>
      <c r="AF161" s="73"/>
      <c r="AG161" s="73"/>
      <c r="AH161" s="73"/>
      <c r="AI161" s="73"/>
      <c r="AJ161" s="73"/>
      <c r="AK161" s="73"/>
      <c r="AL161" s="73"/>
      <c r="AM161" t="s">
        <v>922</v>
      </c>
      <c r="AN161" t="s">
        <v>127</v>
      </c>
      <c r="AO161" t="s">
        <v>709</v>
      </c>
    </row>
    <row r="162" spans="1:41" ht="18" customHeight="1" outlineLevel="1">
      <c r="A162" s="65">
        <f>ROW(Rohdaten!$A$138)</f>
        <v>138</v>
      </c>
      <c r="B162" s="66">
        <f>IF(Rohdaten!$A$138="","",Rohdaten!$A$138)</f>
        <v/>
      </c>
      <c r="C162" s="74" t="s">
        <v>923</v>
      </c>
      <c r="D162" s="68" t="str">
        <f>IF(Rohdaten!$E$138="","",Rohdaten!$E$138)</f>
        <v>Richartz/ Mey</v>
      </c>
      <c r="E162" s="69" t="str">
        <f t="array" ref="E162">_xlfn.TEXTJOIN(" / ",TRUE,IF($I162:$AL162="●",$I$4:$AL$4,""))</f>
        <v>Mey / Richartz</v>
      </c>
      <c r="F162" s="70" t="s">
        <v>781</v>
      </c>
      <c r="G162" s="71" t="s">
        <v>712</v>
      </c>
      <c r="H162" s="72">
        <f>IF($F162="automatisch",IF(ISNA(MATCH(Stichtag,RD_Kopf,0)),"automatisch",IF(SUMPRODUCT((RD_Kopf&gt;=IF($G162="monatlich",DATE(YEAR(Stichtag),MONTH(Stichtag),1),IF($G162="quartalsweise",DATE(YEAR(Stichtag),INT((MONTH(Stichtag)-1)/3)*3+1,1),Stichtag)))*(RD_Kopf&lt;=Stichtag)*ISNUMBER(Rohdaten!$A$138:$LJ$138))&gt;0,"erledigt","automatisch")),IF($F162&lt;&gt;"ja","",IF(ISNA(MATCH(Stichtag,RD_Kopf,0)),"keine Spalte",IF(SUMPRODUCT((RD_Kopf&gt;=IF($G162="monatlich",DATE(YEAR(Stichtag),MONTH(Stichtag),1),IF($G162="quartalsweise",DATE(YEAR(Stichtag),INT((MONTH(Stichtag)-1)/3)*3+1,1),Stichtag)))*(RD_Kopf&lt;=Stichtag)*ISNUMBER(Rohdaten!$A$138:$LJ$138))&gt;0,"erledigt","offen"))))</f>
        <v/>
      </c>
      <c r="I162" s="73"/>
      <c r="J162" s="73"/>
      <c r="K162" s="73"/>
      <c r="L162" s="73"/>
      <c r="M162" s="73"/>
      <c r="N162" s="73"/>
      <c r="O162" s="73"/>
      <c r="P162" s="73"/>
      <c r="Q162" s="73"/>
      <c r="R162" s="73"/>
      <c r="S162" s="73"/>
      <c r="T162" s="73"/>
      <c r="U162" s="73"/>
      <c r="V162" s="73"/>
      <c r="W162" s="73"/>
      <c r="X162" s="73"/>
      <c r="Y162" s="73"/>
      <c r="Z162" s="73"/>
      <c r="AA162" s="73"/>
      <c r="AB162" s="73" t="s">
        <v>714</v>
      </c>
      <c r="AC162" s="73"/>
      <c r="AD162" s="73" t="s">
        <v>714</v>
      </c>
      <c r="AE162" s="73"/>
      <c r="AF162" s="73"/>
      <c r="AG162" s="73"/>
      <c r="AH162" s="73"/>
      <c r="AI162" s="73"/>
      <c r="AJ162" s="73"/>
      <c r="AK162" s="73"/>
      <c r="AL162" s="73"/>
      <c r="AM162" t="s">
        <v>924</v>
      </c>
      <c r="AO162" t="s">
        <v>709</v>
      </c>
    </row>
    <row r="163" spans="1:41" ht="18" customHeight="1" outlineLevel="1">
      <c r="A163" s="65">
        <f>ROW(Rohdaten!$A$139)</f>
        <v>139</v>
      </c>
      <c r="B163" s="66">
        <f>IF(Rohdaten!$A$139="","",Rohdaten!$A$139)</f>
        <v/>
      </c>
      <c r="C163" s="74" t="s">
        <v>925</v>
      </c>
      <c r="D163" s="68" t="str">
        <f>IF(Rohdaten!$E$139="","",Rohdaten!$E$139)</f>
        <v>Richartz/ Mey</v>
      </c>
      <c r="E163" s="69" t="str">
        <f t="array" ref="E163">_xlfn.TEXTJOIN(" / ",TRUE,IF($I163:$AL163="●",$I$4:$AL$4,""))</f>
        <v>Mey / Richartz</v>
      </c>
      <c r="F163" s="70" t="s">
        <v>781</v>
      </c>
      <c r="G163" s="71" t="s">
        <v>712</v>
      </c>
      <c r="H163" s="72">
        <f>IF($F163="automatisch",IF(ISNA(MATCH(Stichtag,RD_Kopf,0)),"automatisch",IF(SUMPRODUCT((RD_Kopf&gt;=IF($G163="monatlich",DATE(YEAR(Stichtag),MONTH(Stichtag),1),IF($G163="quartalsweise",DATE(YEAR(Stichtag),INT((MONTH(Stichtag)-1)/3)*3+1,1),Stichtag)))*(RD_Kopf&lt;=Stichtag)*ISNUMBER(Rohdaten!$A$139:$LJ$139))&gt;0,"erledigt","automatisch")),IF($F163&lt;&gt;"ja","",IF(ISNA(MATCH(Stichtag,RD_Kopf,0)),"keine Spalte",IF(SUMPRODUCT((RD_Kopf&gt;=IF($G163="monatlich",DATE(YEAR(Stichtag),MONTH(Stichtag),1),IF($G163="quartalsweise",DATE(YEAR(Stichtag),INT((MONTH(Stichtag)-1)/3)*3+1,1),Stichtag)))*(RD_Kopf&lt;=Stichtag)*ISNUMBER(Rohdaten!$A$139:$LJ$139))&gt;0,"erledigt","offen"))))</f>
        <v/>
      </c>
      <c r="I163" s="73"/>
      <c r="J163" s="73"/>
      <c r="K163" s="73"/>
      <c r="L163" s="73"/>
      <c r="M163" s="73"/>
      <c r="N163" s="73"/>
      <c r="O163" s="73"/>
      <c r="P163" s="73"/>
      <c r="Q163" s="73"/>
      <c r="R163" s="73"/>
      <c r="S163" s="73"/>
      <c r="T163" s="73"/>
      <c r="U163" s="73"/>
      <c r="V163" s="73"/>
      <c r="W163" s="73"/>
      <c r="X163" s="73"/>
      <c r="Y163" s="73"/>
      <c r="Z163" s="73"/>
      <c r="AA163" s="73"/>
      <c r="AB163" s="73" t="s">
        <v>714</v>
      </c>
      <c r="AC163" s="73"/>
      <c r="AD163" s="73" t="s">
        <v>714</v>
      </c>
      <c r="AE163" s="73"/>
      <c r="AF163" s="73"/>
      <c r="AG163" s="73"/>
      <c r="AH163" s="73"/>
      <c r="AI163" s="73"/>
      <c r="AJ163" s="73"/>
      <c r="AK163" s="73"/>
      <c r="AL163" s="73"/>
      <c r="AM163" t="s">
        <v>926</v>
      </c>
      <c r="AO163" t="s">
        <v>709</v>
      </c>
    </row>
    <row r="164" spans="1:41" ht="18" customHeight="1" outlineLevel="1">
      <c r="A164" s="65">
        <f>ROW(Rohdaten!$A$140)</f>
        <v>140</v>
      </c>
      <c r="B164" s="66">
        <f>IF(Rohdaten!$A$140="","",Rohdaten!$A$140)</f>
        <v/>
      </c>
      <c r="C164" s="74" t="s">
        <v>927</v>
      </c>
      <c r="D164" s="68" t="str">
        <f>IF(Rohdaten!$E$140="","",Rohdaten!$E$140)</f>
        <v>Richartz/ Mey</v>
      </c>
      <c r="E164" s="69" t="str">
        <f t="array" ref="E164">_xlfn.TEXTJOIN(" / ",TRUE,IF($I164:$AL164="●",$I$4:$AL$4,""))</f>
        <v>Mey / Richartz</v>
      </c>
      <c r="F164" s="70" t="s">
        <v>781</v>
      </c>
      <c r="G164" s="71" t="s">
        <v>712</v>
      </c>
      <c r="H164" s="72">
        <f>IF($F164="automatisch",IF(ISNA(MATCH(Stichtag,RD_Kopf,0)),"automatisch",IF(SUMPRODUCT((RD_Kopf&gt;=IF($G164="monatlich",DATE(YEAR(Stichtag),MONTH(Stichtag),1),IF($G164="quartalsweise",DATE(YEAR(Stichtag),INT((MONTH(Stichtag)-1)/3)*3+1,1),Stichtag)))*(RD_Kopf&lt;=Stichtag)*ISNUMBER(Rohdaten!$A$140:$LJ$140))&gt;0,"erledigt","automatisch")),IF($F164&lt;&gt;"ja","",IF(ISNA(MATCH(Stichtag,RD_Kopf,0)),"keine Spalte",IF(SUMPRODUCT((RD_Kopf&gt;=IF($G164="monatlich",DATE(YEAR(Stichtag),MONTH(Stichtag),1),IF($G164="quartalsweise",DATE(YEAR(Stichtag),INT((MONTH(Stichtag)-1)/3)*3+1,1),Stichtag)))*(RD_Kopf&lt;=Stichtag)*ISNUMBER(Rohdaten!$A$140:$LJ$140))&gt;0,"erledigt","offen"))))</f>
        <v/>
      </c>
      <c r="I164" s="73"/>
      <c r="J164" s="73"/>
      <c r="K164" s="73"/>
      <c r="L164" s="73"/>
      <c r="M164" s="73"/>
      <c r="N164" s="73"/>
      <c r="O164" s="73"/>
      <c r="P164" s="73"/>
      <c r="Q164" s="73"/>
      <c r="R164" s="73"/>
      <c r="S164" s="73"/>
      <c r="T164" s="73"/>
      <c r="U164" s="73"/>
      <c r="V164" s="73"/>
      <c r="W164" s="73"/>
      <c r="X164" s="73"/>
      <c r="Y164" s="73"/>
      <c r="Z164" s="73"/>
      <c r="AA164" s="73"/>
      <c r="AB164" s="73" t="s">
        <v>714</v>
      </c>
      <c r="AC164" s="73"/>
      <c r="AD164" s="73" t="s">
        <v>714</v>
      </c>
      <c r="AE164" s="73"/>
      <c r="AF164" s="73"/>
      <c r="AG164" s="73"/>
      <c r="AH164" s="73"/>
      <c r="AI164" s="73"/>
      <c r="AJ164" s="73"/>
      <c r="AK164" s="73"/>
      <c r="AL164" s="73"/>
      <c r="AM164" t="s">
        <v>928</v>
      </c>
      <c r="AO164" t="s">
        <v>709</v>
      </c>
    </row>
    <row r="165" spans="1:41" ht="22" customHeight="1" collapsed="1">
      <c r="A165" s="60" t="s">
        <v>929</v>
      </c>
      <c r="B165" s="60"/>
      <c r="C165" s="60"/>
      <c r="D165" s="60"/>
      <c r="E165" s="60"/>
      <c r="F165" s="60"/>
      <c r="G165" s="60"/>
      <c r="H165" s="60"/>
      <c r="I165" s="61"/>
      <c r="J165" s="61"/>
      <c r="K165" s="61"/>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O165" t="s">
        <v>705</v>
      </c>
    </row>
    <row r="166" spans="1:41" ht="18" hidden="1" customHeight="1" outlineLevel="1">
      <c r="A166" s="65">
        <f>ROW(Rohdaten!$A$141)</f>
        <v>141</v>
      </c>
      <c r="B166" s="66">
        <f>IF(Rohdaten!$A$141="","",Rohdaten!$A$141)</f>
        <v>12</v>
      </c>
      <c r="C166" s="74" t="s">
        <v>930</v>
      </c>
      <c r="D166" s="68" t="str">
        <f>IF(Rohdaten!$E$141="","",Rohdaten!$E$141)</f>
        <v>Richartz/ Mey</v>
      </c>
      <c r="E166" s="69" t="str">
        <f t="array" ref="E166">_xlfn.TEXTJOIN(" / ",TRUE,IF($I166:$AL166="●",$I$4:$AL$4,""))</f>
        <v>Buchkremer / Wielpütz</v>
      </c>
      <c r="F166" s="70" t="s">
        <v>711</v>
      </c>
      <c r="G166" s="71" t="s">
        <v>712</v>
      </c>
      <c r="H166" s="72" t="str">
        <f>IF($F166="automatisch",IF(ISNA(MATCH(Stichtag,RD_Kopf,0)),"automatisch",IF(SUMPRODUCT((RD_Kopf&gt;=IF($G166="monatlich",DATE(YEAR(Stichtag),MONTH(Stichtag),1),IF($G166="quartalsweise",DATE(YEAR(Stichtag),INT((MONTH(Stichtag)-1)/3)*3+1,1),Stichtag)))*(RD_Kopf&lt;=Stichtag)*ISNUMBER(Rohdaten!$A$141:$LJ$141))&gt;0,"erledigt","automatisch")),IF($F166&lt;&gt;"ja","nicht berichtet",IF(ISNA(MATCH(Stichtag,RD_Kopf,0)),"keine Spalte",IF(SUMPRODUCT((RD_Kopf&gt;=IF($G166="monatlich",DATE(YEAR(Stichtag),MONTH(Stichtag),1),IF($G166="quartalsweise",DATE(YEAR(Stichtag),INT((MONTH(Stichtag)-1)/3)*3+1,1),Stichtag)))*(RD_Kopf&lt;=Stichtag)*ISNUMBER(Rohdaten!$A$141:$LJ$141))&gt;0,"erledigt","offen"))))</f>
        <v>nicht berichtet</v>
      </c>
      <c r="I166" s="73"/>
      <c r="J166" s="73"/>
      <c r="K166" s="73"/>
      <c r="L166" s="73"/>
      <c r="M166" s="73" t="s">
        <v>714</v>
      </c>
      <c r="N166" s="73"/>
      <c r="O166" s="73"/>
      <c r="P166" s="73"/>
      <c r="Q166" s="73"/>
      <c r="R166" s="73"/>
      <c r="S166" s="73"/>
      <c r="T166" s="73"/>
      <c r="U166" s="73"/>
      <c r="V166" s="73"/>
      <c r="W166" s="73"/>
      <c r="X166" s="73"/>
      <c r="Y166" s="73"/>
      <c r="Z166" s="73"/>
      <c r="AA166" s="73"/>
      <c r="AB166" s="73"/>
      <c r="AC166" s="73"/>
      <c r="AD166" s="73"/>
      <c r="AE166" s="73"/>
      <c r="AF166" s="73"/>
      <c r="AG166" s="73"/>
      <c r="AH166" s="73" t="s">
        <v>714</v>
      </c>
      <c r="AI166" s="73"/>
      <c r="AJ166" s="73"/>
      <c r="AK166" s="73"/>
      <c r="AL166" s="73"/>
      <c r="AM166" t="s">
        <v>931</v>
      </c>
      <c r="AN166" t="s">
        <v>932</v>
      </c>
      <c r="AO166" t="s">
        <v>709</v>
      </c>
    </row>
    <row r="167" spans="1:41" ht="22" customHeight="1">
      <c r="A167" s="60" t="s">
        <v>933</v>
      </c>
      <c r="B167" s="60"/>
      <c r="C167" s="60"/>
      <c r="D167" s="60"/>
      <c r="E167" s="60"/>
      <c r="F167" s="60"/>
      <c r="G167" s="60"/>
      <c r="H167" s="60"/>
      <c r="I167" s="61"/>
      <c r="J167" s="61"/>
      <c r="K167" s="61"/>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O167" t="s">
        <v>705</v>
      </c>
    </row>
    <row r="168" spans="1:41" ht="18" customHeight="1" outlineLevel="1">
      <c r="A168" s="65">
        <f>ROW(Rohdaten!$A$142)</f>
        <v>142</v>
      </c>
      <c r="B168" s="66" t="str">
        <f>IF(Rohdaten!$A$142="","",Rohdaten!$A$142)</f>
        <v>13a</v>
      </c>
      <c r="C168" s="74" t="s">
        <v>934</v>
      </c>
      <c r="D168" s="68" t="str">
        <f>IF(Rohdaten!$E$142="","",Rohdaten!$E$142)</f>
        <v>Richartz/ Mey</v>
      </c>
      <c r="E168" s="69" t="str">
        <f t="array" ref="E168">_xlfn.TEXTJOIN(" / ",TRUE,IF($I168:$AL168="●",$I$4:$AL$4,""))</f>
        <v>Mey / Richartz</v>
      </c>
      <c r="F168" s="70" t="s">
        <v>781</v>
      </c>
      <c r="G168" s="71" t="s">
        <v>712</v>
      </c>
      <c r="H168" s="72">
        <f>IF($F168="automatisch",IF(ISNA(MATCH(Stichtag,RD_Kopf,0)),"automatisch",IF(SUMPRODUCT((RD_Kopf&gt;=IF($G168="monatlich",DATE(YEAR(Stichtag),MONTH(Stichtag),1),IF($G168="quartalsweise",DATE(YEAR(Stichtag),INT((MONTH(Stichtag)-1)/3)*3+1,1),Stichtag)))*(RD_Kopf&lt;=Stichtag)*ISNUMBER(Rohdaten!$A$142:$LJ$142))&gt;0,"erledigt","automatisch")),IF($F168&lt;&gt;"ja","",IF(ISNA(MATCH(Stichtag,RD_Kopf,0)),"keine Spalte",IF(SUMPRODUCT((RD_Kopf&gt;=IF($G168="monatlich",DATE(YEAR(Stichtag),MONTH(Stichtag),1),IF($G168="quartalsweise",DATE(YEAR(Stichtag),INT((MONTH(Stichtag)-1)/3)*3+1,1),Stichtag)))*(RD_Kopf&lt;=Stichtag)*ISNUMBER(Rohdaten!$A$142:$LJ$142))&gt;0,"erledigt","offen"))))</f>
        <v/>
      </c>
      <c r="I168" s="73"/>
      <c r="J168" s="73"/>
      <c r="K168" s="73"/>
      <c r="L168" s="73"/>
      <c r="M168" s="73"/>
      <c r="N168" s="73"/>
      <c r="O168" s="73"/>
      <c r="P168" s="73"/>
      <c r="Q168" s="73"/>
      <c r="R168" s="73"/>
      <c r="S168" s="73"/>
      <c r="T168" s="73"/>
      <c r="U168" s="73"/>
      <c r="V168" s="73"/>
      <c r="W168" s="73"/>
      <c r="X168" s="73"/>
      <c r="Y168" s="73"/>
      <c r="Z168" s="73"/>
      <c r="AA168" s="73"/>
      <c r="AB168" s="73" t="s">
        <v>714</v>
      </c>
      <c r="AC168" s="73"/>
      <c r="AD168" s="73" t="s">
        <v>714</v>
      </c>
      <c r="AE168" s="73"/>
      <c r="AF168" s="73"/>
      <c r="AG168" s="73"/>
      <c r="AH168" s="73"/>
      <c r="AI168" s="73"/>
      <c r="AJ168" s="73"/>
      <c r="AK168" s="73"/>
      <c r="AL168" s="73"/>
      <c r="AM168" t="s">
        <v>935</v>
      </c>
      <c r="AN168" t="s">
        <v>112</v>
      </c>
      <c r="AO168" t="s">
        <v>709</v>
      </c>
    </row>
    <row r="169" spans="1:41" ht="18" customHeight="1" outlineLevel="1">
      <c r="A169" s="65">
        <f>ROW(Rohdaten!$A$143)</f>
        <v>143</v>
      </c>
      <c r="B169" s="66" t="str">
        <f>IF(Rohdaten!$A$143="","",Rohdaten!$A$143)</f>
        <v>13b</v>
      </c>
      <c r="C169" s="74" t="s">
        <v>936</v>
      </c>
      <c r="D169" s="68" t="str">
        <f>IF(Rohdaten!$E$143="","",Rohdaten!$E$143)</f>
        <v>Richartz/ Mey</v>
      </c>
      <c r="E169" s="69" t="str">
        <f t="array" ref="E169">_xlfn.TEXTJOIN(" / ",TRUE,IF($I169:$AL169="●",$I$4:$AL$4,""))</f>
        <v>Mey / Richartz</v>
      </c>
      <c r="F169" s="70" t="s">
        <v>781</v>
      </c>
      <c r="G169" s="71" t="s">
        <v>712</v>
      </c>
      <c r="H169" s="72">
        <f>IF($F169="automatisch",IF(ISNA(MATCH(Stichtag,RD_Kopf,0)),"automatisch",IF(SUMPRODUCT((RD_Kopf&gt;=IF($G169="monatlich",DATE(YEAR(Stichtag),MONTH(Stichtag),1),IF($G169="quartalsweise",DATE(YEAR(Stichtag),INT((MONTH(Stichtag)-1)/3)*3+1,1),Stichtag)))*(RD_Kopf&lt;=Stichtag)*ISNUMBER(Rohdaten!$A$143:$LJ$143))&gt;0,"erledigt","automatisch")),IF($F169&lt;&gt;"ja","",IF(ISNA(MATCH(Stichtag,RD_Kopf,0)),"keine Spalte",IF(SUMPRODUCT((RD_Kopf&gt;=IF($G169="monatlich",DATE(YEAR(Stichtag),MONTH(Stichtag),1),IF($G169="quartalsweise",DATE(YEAR(Stichtag),INT((MONTH(Stichtag)-1)/3)*3+1,1),Stichtag)))*(RD_Kopf&lt;=Stichtag)*ISNUMBER(Rohdaten!$A$143:$LJ$143))&gt;0,"erledigt","offen"))))</f>
        <v/>
      </c>
      <c r="I169" s="73"/>
      <c r="J169" s="73"/>
      <c r="K169" s="73"/>
      <c r="L169" s="73"/>
      <c r="M169" s="73"/>
      <c r="N169" s="73"/>
      <c r="O169" s="73"/>
      <c r="P169" s="73"/>
      <c r="Q169" s="73"/>
      <c r="R169" s="73"/>
      <c r="S169" s="73"/>
      <c r="T169" s="73"/>
      <c r="U169" s="73"/>
      <c r="V169" s="73"/>
      <c r="W169" s="73"/>
      <c r="X169" s="73"/>
      <c r="Y169" s="73"/>
      <c r="Z169" s="73"/>
      <c r="AA169" s="73"/>
      <c r="AB169" s="73" t="s">
        <v>714</v>
      </c>
      <c r="AC169" s="73"/>
      <c r="AD169" s="73" t="s">
        <v>714</v>
      </c>
      <c r="AE169" s="73"/>
      <c r="AF169" s="73"/>
      <c r="AG169" s="73"/>
      <c r="AH169" s="73"/>
      <c r="AI169" s="73"/>
      <c r="AJ169" s="73"/>
      <c r="AK169" s="73"/>
      <c r="AL169" s="73"/>
      <c r="AM169" t="s">
        <v>937</v>
      </c>
      <c r="AN169" t="s">
        <v>113</v>
      </c>
      <c r="AO169" t="s">
        <v>709</v>
      </c>
    </row>
    <row r="170" spans="1:41" ht="18" customHeight="1" outlineLevel="1">
      <c r="A170" s="65">
        <f>ROW(Rohdaten!$A$144)</f>
        <v>144</v>
      </c>
      <c r="B170" s="66" t="str">
        <f>IF(Rohdaten!$A$144="","",Rohdaten!$A$144)</f>
        <v>13c</v>
      </c>
      <c r="C170" s="74" t="s">
        <v>938</v>
      </c>
      <c r="D170" s="68" t="str">
        <f>IF(Rohdaten!$E$144="","",Rohdaten!$E$144)</f>
        <v>Richartz/ Mey</v>
      </c>
      <c r="E170" s="69" t="str">
        <f t="array" ref="E170">_xlfn.TEXTJOIN(" / ",TRUE,IF($I170:$AL170="●",$I$4:$AL$4,""))</f>
        <v>Mey / Richartz</v>
      </c>
      <c r="F170" s="70" t="s">
        <v>781</v>
      </c>
      <c r="G170" s="71" t="s">
        <v>712</v>
      </c>
      <c r="H170" s="72">
        <f>IF($F170="automatisch",IF(ISNA(MATCH(Stichtag,RD_Kopf,0)),"automatisch",IF(SUMPRODUCT((RD_Kopf&gt;=IF($G170="monatlich",DATE(YEAR(Stichtag),MONTH(Stichtag),1),IF($G170="quartalsweise",DATE(YEAR(Stichtag),INT((MONTH(Stichtag)-1)/3)*3+1,1),Stichtag)))*(RD_Kopf&lt;=Stichtag)*ISNUMBER(Rohdaten!$A$144:$LJ$144))&gt;0,"erledigt","automatisch")),IF($F170&lt;&gt;"ja","",IF(ISNA(MATCH(Stichtag,RD_Kopf,0)),"keine Spalte",IF(SUMPRODUCT((RD_Kopf&gt;=IF($G170="monatlich",DATE(YEAR(Stichtag),MONTH(Stichtag),1),IF($G170="quartalsweise",DATE(YEAR(Stichtag),INT((MONTH(Stichtag)-1)/3)*3+1,1),Stichtag)))*(RD_Kopf&lt;=Stichtag)*ISNUMBER(Rohdaten!$A$144:$LJ$144))&gt;0,"erledigt","offen"))))</f>
        <v/>
      </c>
      <c r="I170" s="73"/>
      <c r="J170" s="73"/>
      <c r="K170" s="73"/>
      <c r="L170" s="73"/>
      <c r="M170" s="73"/>
      <c r="N170" s="73"/>
      <c r="O170" s="73"/>
      <c r="P170" s="73"/>
      <c r="Q170" s="73"/>
      <c r="R170" s="73"/>
      <c r="S170" s="73"/>
      <c r="T170" s="73"/>
      <c r="U170" s="73"/>
      <c r="V170" s="73"/>
      <c r="W170" s="73"/>
      <c r="X170" s="73"/>
      <c r="Y170" s="73"/>
      <c r="Z170" s="73"/>
      <c r="AA170" s="73"/>
      <c r="AB170" s="73" t="s">
        <v>714</v>
      </c>
      <c r="AC170" s="73"/>
      <c r="AD170" s="73" t="s">
        <v>714</v>
      </c>
      <c r="AE170" s="73"/>
      <c r="AF170" s="73"/>
      <c r="AG170" s="73"/>
      <c r="AH170" s="73"/>
      <c r="AI170" s="73"/>
      <c r="AJ170" s="73"/>
      <c r="AK170" s="73"/>
      <c r="AL170" s="73"/>
      <c r="AM170" t="s">
        <v>939</v>
      </c>
      <c r="AN170" t="s">
        <v>114</v>
      </c>
      <c r="AO170" t="s">
        <v>709</v>
      </c>
    </row>
    <row r="171" spans="1:41" ht="18" customHeight="1" outlineLevel="1">
      <c r="A171" s="65">
        <f>ROW(Rohdaten!$A$145)</f>
        <v>145</v>
      </c>
      <c r="B171" s="66" t="str">
        <f>IF(Rohdaten!$A$145="","",Rohdaten!$A$145)</f>
        <v>13d</v>
      </c>
      <c r="C171" s="74" t="s">
        <v>940</v>
      </c>
      <c r="D171" s="68" t="str">
        <f>IF(Rohdaten!$E$145="","",Rohdaten!$E$145)</f>
        <v>Richartz/ Mey</v>
      </c>
      <c r="E171" s="69" t="str">
        <f t="array" ref="E171">_xlfn.TEXTJOIN(" / ",TRUE,IF($I171:$AL171="●",$I$4:$AL$4,""))</f>
        <v>Mey / Richartz</v>
      </c>
      <c r="F171" s="70" t="s">
        <v>781</v>
      </c>
      <c r="G171" s="71" t="s">
        <v>712</v>
      </c>
      <c r="H171" s="72">
        <f>IF($F171="automatisch",IF(ISNA(MATCH(Stichtag,RD_Kopf,0)),"automatisch",IF(SUMPRODUCT((RD_Kopf&gt;=IF($G171="monatlich",DATE(YEAR(Stichtag),MONTH(Stichtag),1),IF($G171="quartalsweise",DATE(YEAR(Stichtag),INT((MONTH(Stichtag)-1)/3)*3+1,1),Stichtag)))*(RD_Kopf&lt;=Stichtag)*ISNUMBER(Rohdaten!$A$145:$LJ$145))&gt;0,"erledigt","automatisch")),IF($F171&lt;&gt;"ja","",IF(ISNA(MATCH(Stichtag,RD_Kopf,0)),"keine Spalte",IF(SUMPRODUCT((RD_Kopf&gt;=IF($G171="monatlich",DATE(YEAR(Stichtag),MONTH(Stichtag),1),IF($G171="quartalsweise",DATE(YEAR(Stichtag),INT((MONTH(Stichtag)-1)/3)*3+1,1),Stichtag)))*(RD_Kopf&lt;=Stichtag)*ISNUMBER(Rohdaten!$A$145:$LJ$145))&gt;0,"erledigt","offen"))))</f>
        <v/>
      </c>
      <c r="I171" s="73"/>
      <c r="J171" s="73"/>
      <c r="K171" s="73"/>
      <c r="L171" s="73"/>
      <c r="M171" s="73"/>
      <c r="N171" s="73"/>
      <c r="O171" s="73"/>
      <c r="P171" s="73"/>
      <c r="Q171" s="73"/>
      <c r="R171" s="73"/>
      <c r="S171" s="73"/>
      <c r="T171" s="73"/>
      <c r="U171" s="73"/>
      <c r="V171" s="73"/>
      <c r="W171" s="73"/>
      <c r="X171" s="73"/>
      <c r="Y171" s="73"/>
      <c r="Z171" s="73"/>
      <c r="AA171" s="73"/>
      <c r="AB171" s="73" t="s">
        <v>714</v>
      </c>
      <c r="AC171" s="73"/>
      <c r="AD171" s="73" t="s">
        <v>714</v>
      </c>
      <c r="AE171" s="73"/>
      <c r="AF171" s="73"/>
      <c r="AG171" s="73"/>
      <c r="AH171" s="73"/>
      <c r="AI171" s="73"/>
      <c r="AJ171" s="73"/>
      <c r="AK171" s="73"/>
      <c r="AL171" s="73"/>
      <c r="AM171" t="s">
        <v>941</v>
      </c>
      <c r="AN171" t="s">
        <v>115</v>
      </c>
      <c r="AO171" t="s">
        <v>709</v>
      </c>
    </row>
    <row r="172" spans="1:41" ht="22" customHeight="1" collapsed="1">
      <c r="A172" s="60" t="s">
        <v>942</v>
      </c>
      <c r="B172" s="60"/>
      <c r="C172" s="60"/>
      <c r="D172" s="60"/>
      <c r="E172" s="60"/>
      <c r="F172" s="60"/>
      <c r="G172" s="60"/>
      <c r="H172" s="60"/>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O172" t="s">
        <v>705</v>
      </c>
    </row>
    <row r="173" spans="1:41" ht="18" hidden="1" customHeight="1" outlineLevel="1">
      <c r="A173" s="65">
        <f>ROW(Rohdaten!$A$146)</f>
        <v>146</v>
      </c>
      <c r="B173" s="66">
        <f>IF(Rohdaten!$A$146="","",Rohdaten!$A$146)</f>
        <v>14</v>
      </c>
      <c r="C173" s="74" t="s">
        <v>728</v>
      </c>
      <c r="D173" s="68" t="str">
        <f>IF(Rohdaten!$E$146="","",Rohdaten!$E$146)</f>
        <v>Bauer/ Richartz</v>
      </c>
      <c r="E173" s="69" t="str">
        <f t="array" ref="E173">_xlfn.TEXTJOIN(" / ",TRUE,IF($I173:$AL173="●",$I$4:$AL$4,""))</f>
        <v>Bauer / Richartz</v>
      </c>
      <c r="F173" s="70" t="s">
        <v>711</v>
      </c>
      <c r="G173" s="71" t="s">
        <v>712</v>
      </c>
      <c r="H173" s="72" t="str">
        <f>IF($F173="automatisch",IF(ISNA(MATCH(Stichtag,RD_Kopf,0)),"automatisch",IF(SUMPRODUCT((RD_Kopf&gt;=IF($G173="monatlich",DATE(YEAR(Stichtag),MONTH(Stichtag),1),IF($G173="quartalsweise",DATE(YEAR(Stichtag),INT((MONTH(Stichtag)-1)/3)*3+1,1),Stichtag)))*(RD_Kopf&lt;=Stichtag)*ISNUMBER(Rohdaten!$A$146:$LJ$146))&gt;0,"erledigt","automatisch")),IF($F173&lt;&gt;"ja","nicht berichtet",IF(ISNA(MATCH(Stichtag,RD_Kopf,0)),"keine Spalte",IF(SUMPRODUCT((RD_Kopf&gt;=IF($G173="monatlich",DATE(YEAR(Stichtag),MONTH(Stichtag),1),IF($G173="quartalsweise",DATE(YEAR(Stichtag),INT((MONTH(Stichtag)-1)/3)*3+1,1),Stichtag)))*(RD_Kopf&lt;=Stichtag)*ISNUMBER(Rohdaten!$A$146:$LJ$146))&gt;0,"erledigt","offen"))))</f>
        <v>nicht berichtet</v>
      </c>
      <c r="I173" s="73"/>
      <c r="J173" s="73" t="s">
        <v>714</v>
      </c>
      <c r="K173" s="73"/>
      <c r="L173" s="73"/>
      <c r="M173" s="73"/>
      <c r="N173" s="73"/>
      <c r="O173" s="73"/>
      <c r="P173" s="73"/>
      <c r="Q173" s="73"/>
      <c r="R173" s="73"/>
      <c r="S173" s="73"/>
      <c r="T173" s="73"/>
      <c r="U173" s="73"/>
      <c r="V173" s="73"/>
      <c r="W173" s="73"/>
      <c r="X173" s="73"/>
      <c r="Y173" s="73"/>
      <c r="Z173" s="73"/>
      <c r="AA173" s="73"/>
      <c r="AB173" s="73"/>
      <c r="AC173" s="73"/>
      <c r="AD173" s="73" t="s">
        <v>714</v>
      </c>
      <c r="AE173" s="73"/>
      <c r="AF173" s="73"/>
      <c r="AG173" s="73"/>
      <c r="AH173" s="73"/>
      <c r="AI173" s="73"/>
      <c r="AJ173" s="73"/>
      <c r="AK173" s="73"/>
      <c r="AL173" s="73"/>
      <c r="AM173" t="s">
        <v>943</v>
      </c>
      <c r="AN173" t="s">
        <v>944</v>
      </c>
      <c r="AO173" t="s">
        <v>709</v>
      </c>
    </row>
    <row r="174" spans="1:41" ht="22" customHeight="1" collapsed="1">
      <c r="A174" s="60" t="s">
        <v>945</v>
      </c>
      <c r="B174" s="60"/>
      <c r="C174" s="60"/>
      <c r="D174" s="60"/>
      <c r="E174" s="60"/>
      <c r="F174" s="60"/>
      <c r="G174" s="60"/>
      <c r="H174" s="60"/>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O174" t="s">
        <v>705</v>
      </c>
    </row>
    <row r="175" spans="1:41" ht="18" hidden="1" customHeight="1" outlineLevel="1">
      <c r="A175" s="65">
        <f>ROW(Rohdaten!$A$147)</f>
        <v>147</v>
      </c>
      <c r="B175" s="66">
        <f>IF(Rohdaten!$A$147="","",Rohdaten!$A$147)</f>
        <v>15</v>
      </c>
      <c r="C175" s="74" t="s">
        <v>728</v>
      </c>
      <c r="D175" s="68" t="str">
        <f>IF(Rohdaten!$E$147="","",Rohdaten!$E$147)</f>
        <v>Müßigbrodt</v>
      </c>
      <c r="E175" s="69" t="str">
        <f t="array" ref="E175">_xlfn.TEXTJOIN(" / ",TRUE,IF($I175:$AL175="●",$I$4:$AL$4,""))</f>
        <v>Müßigbrodt</v>
      </c>
      <c r="F175" s="70" t="s">
        <v>711</v>
      </c>
      <c r="G175" s="71" t="s">
        <v>712</v>
      </c>
      <c r="H175" s="72" t="str">
        <f>IF($F175="automatisch",IF(ISNA(MATCH(Stichtag,RD_Kopf,0)),"automatisch",IF(SUMPRODUCT((RD_Kopf&gt;=IF($G175="monatlich",DATE(YEAR(Stichtag),MONTH(Stichtag),1),IF($G175="quartalsweise",DATE(YEAR(Stichtag),INT((MONTH(Stichtag)-1)/3)*3+1,1),Stichtag)))*(RD_Kopf&lt;=Stichtag)*ISNUMBER(Rohdaten!$A$147:$LJ$147))&gt;0,"erledigt","automatisch")),IF($F175&lt;&gt;"ja","nicht berichtet",IF(ISNA(MATCH(Stichtag,RD_Kopf,0)),"keine Spalte",IF(SUMPRODUCT((RD_Kopf&gt;=IF($G175="monatlich",DATE(YEAR(Stichtag),MONTH(Stichtag),1),IF($G175="quartalsweise",DATE(YEAR(Stichtag),INT((MONTH(Stichtag)-1)/3)*3+1,1),Stichtag)))*(RD_Kopf&lt;=Stichtag)*ISNUMBER(Rohdaten!$A$147:$LJ$147))&gt;0,"erledigt","offen"))))</f>
        <v>nicht berichtet</v>
      </c>
      <c r="I175" s="73"/>
      <c r="J175" s="73"/>
      <c r="K175" s="73"/>
      <c r="L175" s="73"/>
      <c r="M175" s="73"/>
      <c r="N175" s="73"/>
      <c r="O175" s="73"/>
      <c r="P175" s="73"/>
      <c r="Q175" s="73"/>
      <c r="R175" s="73"/>
      <c r="S175" s="73"/>
      <c r="T175" s="73"/>
      <c r="U175" s="73"/>
      <c r="V175" s="73"/>
      <c r="W175" s="73"/>
      <c r="X175" s="73"/>
      <c r="Y175" s="73"/>
      <c r="Z175" s="73"/>
      <c r="AA175" s="73"/>
      <c r="AB175" s="73"/>
      <c r="AC175" s="73" t="s">
        <v>714</v>
      </c>
      <c r="AD175" s="73"/>
      <c r="AE175" s="73"/>
      <c r="AF175" s="73"/>
      <c r="AG175" s="73"/>
      <c r="AH175" s="73"/>
      <c r="AI175" s="73"/>
      <c r="AJ175" s="73"/>
      <c r="AK175" s="73"/>
      <c r="AL175" s="73"/>
      <c r="AM175" t="s">
        <v>946</v>
      </c>
      <c r="AN175" t="s">
        <v>131</v>
      </c>
      <c r="AO175" t="s">
        <v>709</v>
      </c>
    </row>
    <row r="176" spans="1:41" ht="18" hidden="1" customHeight="1" outlineLevel="1">
      <c r="A176" s="65">
        <f>ROW(Rohdaten!$A$148)</f>
        <v>148</v>
      </c>
      <c r="B176" s="66">
        <f>IF(Rohdaten!$A$148="","",Rohdaten!$A$148)</f>
        <v>16</v>
      </c>
      <c r="C176" s="74" t="s">
        <v>947</v>
      </c>
      <c r="D176" s="68">
        <f>IF(Rohdaten!$E$148="","",Rohdaten!$E$148)</f>
        <v/>
      </c>
      <c r="E176" s="69" t="str">
        <f t="array" ref="E176">_xlfn.TEXTJOIN(" / ",TRUE,IF($I176:$AL176="●",$I$4:$AL$4,""))</f>
        <v/>
      </c>
      <c r="F176" s="70" t="s">
        <v>711</v>
      </c>
      <c r="G176" s="71" t="s">
        <v>712</v>
      </c>
      <c r="H176" s="72">
        <f>IF($F176="automatisch",IF(ISNA(MATCH(Stichtag,RD_Kopf,0)),"automatisch",IF(SUMPRODUCT((RD_Kopf&gt;=IF($G176="monatlich",DATE(YEAR(Stichtag),MONTH(Stichtag),1),IF($G176="quartalsweise",DATE(YEAR(Stichtag),INT((MONTH(Stichtag)-1)/3)*3+1,1),Stichtag)))*(RD_Kopf&lt;=Stichtag)*ISNUMBER(Rohdaten!$A$148:$LJ$148))&gt;0,"erledigt","automatisch")),IF($F176&lt;&gt;"ja","",IF(ISNA(MATCH(Stichtag,RD_Kopf,0)),"keine Spalte",IF(SUMPRODUCT((RD_Kopf&gt;=IF($G176="monatlich",DATE(YEAR(Stichtag),MONTH(Stichtag),1),IF($G176="quartalsweise",DATE(YEAR(Stichtag),INT((MONTH(Stichtag)-1)/3)*3+1,1),Stichtag)))*(RD_Kopf&lt;=Stichtag)*ISNUMBER(Rohdaten!$A$148:$LJ$148))&gt;0,"erledigt","offen"))))</f>
        <v/>
      </c>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t="s">
        <v>948</v>
      </c>
      <c r="AN176" t="s">
        <v>949</v>
      </c>
      <c r="AO176" t="s">
        <v>709</v>
      </c>
    </row>
    <row r="177" spans="1:41" ht="18" hidden="1" customHeight="1" outlineLevel="1">
      <c r="A177" s="65">
        <f>ROW(Rohdaten!$A$149)</f>
        <v>149</v>
      </c>
      <c r="B177" s="66">
        <f>IF(Rohdaten!$A$149="","",Rohdaten!$A$149)</f>
        <v>17</v>
      </c>
      <c r="C177" s="74" t="s">
        <v>947</v>
      </c>
      <c r="D177" s="68">
        <f>IF(Rohdaten!$E$149="","",Rohdaten!$E$149)</f>
        <v/>
      </c>
      <c r="E177" s="69" t="str">
        <f t="array" ref="E177">_xlfn.TEXTJOIN(" / ",TRUE,IF($I177:$AL177="●",$I$4:$AL$4,""))</f>
        <v/>
      </c>
      <c r="F177" s="70" t="s">
        <v>711</v>
      </c>
      <c r="G177" s="71" t="s">
        <v>712</v>
      </c>
      <c r="H177" s="72">
        <f>IF($F177="automatisch",IF(ISNA(MATCH(Stichtag,RD_Kopf,0)),"automatisch",IF(SUMPRODUCT((RD_Kopf&gt;=IF($G177="monatlich",DATE(YEAR(Stichtag),MONTH(Stichtag),1),IF($G177="quartalsweise",DATE(YEAR(Stichtag),INT((MONTH(Stichtag)-1)/3)*3+1,1),Stichtag)))*(RD_Kopf&lt;=Stichtag)*ISNUMBER(Rohdaten!$A$149:$LJ$149))&gt;0,"erledigt","automatisch")),IF($F177&lt;&gt;"ja","",IF(ISNA(MATCH(Stichtag,RD_Kopf,0)),"keine Spalte",IF(SUMPRODUCT((RD_Kopf&gt;=IF($G177="monatlich",DATE(YEAR(Stichtag),MONTH(Stichtag),1),IF($G177="quartalsweise",DATE(YEAR(Stichtag),INT((MONTH(Stichtag)-1)/3)*3+1,1),Stichtag)))*(RD_Kopf&lt;=Stichtag)*ISNUMBER(Rohdaten!$A$149:$LJ$149))&gt;0,"erledigt","offen"))))</f>
        <v/>
      </c>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t="s">
        <v>948</v>
      </c>
      <c r="AN177" t="s">
        <v>950</v>
      </c>
      <c r="AO177" t="s">
        <v>709</v>
      </c>
    </row>
    <row r="178" spans="1:41" ht="22" customHeight="1">
      <c r="A178" s="60" t="s">
        <v>951</v>
      </c>
      <c r="B178" s="60"/>
      <c r="C178" s="60"/>
      <c r="D178" s="60"/>
      <c r="E178" s="60"/>
      <c r="F178" s="60"/>
      <c r="G178" s="60"/>
      <c r="H178" s="60"/>
      <c r="I178" s="61"/>
      <c r="J178" s="61"/>
      <c r="K178" s="61"/>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O178" t="s">
        <v>705</v>
      </c>
    </row>
    <row r="179" spans="1:41" ht="18" customHeight="1" outlineLevel="1">
      <c r="A179" s="65">
        <f>ROW(Rohdaten!$A$150)</f>
        <v>150</v>
      </c>
      <c r="B179" s="66" t="str">
        <f>IF(Rohdaten!$A$150="","",Rohdaten!$A$150)</f>
        <v>18a</v>
      </c>
      <c r="C179" s="74" t="s">
        <v>952</v>
      </c>
      <c r="D179" s="68" t="str">
        <f>IF(Rohdaten!$E$150="","",Rohdaten!$E$150)</f>
        <v>Mey/ Richartz</v>
      </c>
      <c r="E179" s="69" t="str">
        <f t="array" ref="E179">_xlfn.TEXTJOIN(" / ",TRUE,IF($I179:$AL179="●",$I$4:$AL$4,""))</f>
        <v>Mey / Richartz</v>
      </c>
      <c r="F179" s="70" t="s">
        <v>711</v>
      </c>
      <c r="G179" s="71" t="s">
        <v>712</v>
      </c>
      <c r="H179" s="72" t="str">
        <f>IF($F179="automatisch",IF(ISNA(MATCH(Stichtag,RD_Kopf,0)),"automatisch",IF(SUMPRODUCT((RD_Kopf&gt;=IF($G179="monatlich",DATE(YEAR(Stichtag),MONTH(Stichtag),1),IF($G179="quartalsweise",DATE(YEAR(Stichtag),INT((MONTH(Stichtag)-1)/3)*3+1,1),Stichtag)))*(RD_Kopf&lt;=Stichtag)*ISNUMBER(Rohdaten!$A$150:$LJ$150))&gt;0,"erledigt","automatisch")),IF($F179&lt;&gt;"ja","nicht berichtet",IF(ISNA(MATCH(Stichtag,RD_Kopf,0)),"keine Spalte",IF(SUMPRODUCT((RD_Kopf&gt;=IF($G179="monatlich",DATE(YEAR(Stichtag),MONTH(Stichtag),1),IF($G179="quartalsweise",DATE(YEAR(Stichtag),INT((MONTH(Stichtag)-1)/3)*3+1,1),Stichtag)))*(RD_Kopf&lt;=Stichtag)*ISNUMBER(Rohdaten!$A$150:$LJ$150))&gt;0,"erledigt","offen"))))</f>
        <v>nicht berichtet</v>
      </c>
      <c r="I179" s="73"/>
      <c r="J179" s="73"/>
      <c r="K179" s="73"/>
      <c r="L179" s="73"/>
      <c r="M179" s="73"/>
      <c r="N179" s="73"/>
      <c r="O179" s="73"/>
      <c r="P179" s="73"/>
      <c r="Q179" s="73"/>
      <c r="R179" s="73"/>
      <c r="S179" s="73"/>
      <c r="T179" s="73"/>
      <c r="U179" s="73"/>
      <c r="V179" s="73"/>
      <c r="W179" s="73"/>
      <c r="X179" s="73"/>
      <c r="Y179" s="73"/>
      <c r="Z179" s="73"/>
      <c r="AA179" s="73"/>
      <c r="AB179" s="73" t="s">
        <v>714</v>
      </c>
      <c r="AC179" s="73"/>
      <c r="AD179" s="73" t="s">
        <v>714</v>
      </c>
      <c r="AE179" s="73"/>
      <c r="AF179" s="73"/>
      <c r="AG179" s="73"/>
      <c r="AH179" s="73"/>
      <c r="AI179" s="73"/>
      <c r="AJ179" s="73"/>
      <c r="AK179" s="73"/>
      <c r="AL179" s="73"/>
      <c r="AM179" t="s">
        <v>953</v>
      </c>
      <c r="AN179" t="s">
        <v>954</v>
      </c>
      <c r="AO179" t="s">
        <v>709</v>
      </c>
    </row>
    <row r="180" spans="1:41" ht="18" customHeight="1" outlineLevel="1">
      <c r="A180" s="65">
        <f>ROW(Rohdaten!$A$151)</f>
        <v>151</v>
      </c>
      <c r="B180" s="66" t="str">
        <f>IF(Rohdaten!$A$151="","",Rohdaten!$A$151)</f>
        <v>18b</v>
      </c>
      <c r="C180" s="74" t="s">
        <v>728</v>
      </c>
      <c r="D180" s="68" t="str">
        <f>IF(Rohdaten!$E$151="","",Rohdaten!$E$151)</f>
        <v>Mey/ Richartz</v>
      </c>
      <c r="E180" s="69" t="str">
        <f t="array" ref="E180">_xlfn.TEXTJOIN(" / ",TRUE,IF($I180:$AL180="●",$I$4:$AL$4,""))</f>
        <v>Mey / Richartz</v>
      </c>
      <c r="F180" s="70" t="s">
        <v>711</v>
      </c>
      <c r="G180" s="71" t="s">
        <v>712</v>
      </c>
      <c r="H180" s="72" t="str">
        <f>IF($F180="automatisch",IF(ISNA(MATCH(Stichtag,RD_Kopf,0)),"automatisch",IF(SUMPRODUCT((RD_Kopf&gt;=IF($G180="monatlich",DATE(YEAR(Stichtag),MONTH(Stichtag),1),IF($G180="quartalsweise",DATE(YEAR(Stichtag),INT((MONTH(Stichtag)-1)/3)*3+1,1),Stichtag)))*(RD_Kopf&lt;=Stichtag)*ISNUMBER(Rohdaten!$A$151:$LJ$151))&gt;0,"erledigt","automatisch")),IF($F180&lt;&gt;"ja","nicht berichtet",IF(ISNA(MATCH(Stichtag,RD_Kopf,0)),"keine Spalte",IF(SUMPRODUCT((RD_Kopf&gt;=IF($G180="monatlich",DATE(YEAR(Stichtag),MONTH(Stichtag),1),IF($G180="quartalsweise",DATE(YEAR(Stichtag),INT((MONTH(Stichtag)-1)/3)*3+1,1),Stichtag)))*(RD_Kopf&lt;=Stichtag)*ISNUMBER(Rohdaten!$A$151:$LJ$151))&gt;0,"erledigt","offen"))))</f>
        <v>nicht berichtet</v>
      </c>
      <c r="I180" s="73"/>
      <c r="J180" s="73"/>
      <c r="K180" s="73"/>
      <c r="L180" s="73"/>
      <c r="M180" s="73"/>
      <c r="N180" s="73"/>
      <c r="O180" s="73"/>
      <c r="P180" s="73"/>
      <c r="Q180" s="73"/>
      <c r="R180" s="73"/>
      <c r="S180" s="73"/>
      <c r="T180" s="73"/>
      <c r="U180" s="73"/>
      <c r="V180" s="73"/>
      <c r="W180" s="73"/>
      <c r="X180" s="73"/>
      <c r="Y180" s="73"/>
      <c r="Z180" s="73"/>
      <c r="AA180" s="73"/>
      <c r="AB180" s="73" t="s">
        <v>714</v>
      </c>
      <c r="AC180" s="73"/>
      <c r="AD180" s="73" t="s">
        <v>714</v>
      </c>
      <c r="AE180" s="73"/>
      <c r="AF180" s="73"/>
      <c r="AG180" s="73"/>
      <c r="AH180" s="73"/>
      <c r="AI180" s="73"/>
      <c r="AJ180" s="73"/>
      <c r="AK180" s="73"/>
      <c r="AL180" s="73"/>
      <c r="AM180" t="s">
        <v>955</v>
      </c>
      <c r="AN180" t="s">
        <v>956</v>
      </c>
      <c r="AO180" t="s">
        <v>709</v>
      </c>
    </row>
    <row r="181" spans="1:41" ht="18" customHeight="1" outlineLevel="1">
      <c r="A181" s="65">
        <f>ROW(Rohdaten!$A$152)</f>
        <v>152</v>
      </c>
      <c r="B181" s="66" t="str">
        <f>IF(Rohdaten!$A$152="","",Rohdaten!$A$152)</f>
        <v>18c</v>
      </c>
      <c r="C181" s="74" t="s">
        <v>957</v>
      </c>
      <c r="D181" s="68" t="str">
        <f>IF(Rohdaten!$E$152="","",Rohdaten!$E$152)</f>
        <v>Mey/ Richartz</v>
      </c>
      <c r="E181" s="69" t="str">
        <f t="array" ref="E181">_xlfn.TEXTJOIN(" / ",TRUE,IF($I181:$AL181="●",$I$4:$AL$4,""))</f>
        <v>Mey / Richartz</v>
      </c>
      <c r="F181" s="70" t="s">
        <v>781</v>
      </c>
      <c r="G181" s="71" t="s">
        <v>712</v>
      </c>
      <c r="H181" s="72">
        <f>IF($F181="automatisch",IF(ISNA(MATCH(Stichtag,RD_Kopf,0)),"automatisch",IF(SUMPRODUCT((RD_Kopf&gt;=IF($G181="monatlich",DATE(YEAR(Stichtag),MONTH(Stichtag),1),IF($G181="quartalsweise",DATE(YEAR(Stichtag),INT((MONTH(Stichtag)-1)/3)*3+1,1),Stichtag)))*(RD_Kopf&lt;=Stichtag)*ISNUMBER(Rohdaten!$A$152:$LJ$152))&gt;0,"erledigt","automatisch")),IF($F181&lt;&gt;"ja","",IF(ISNA(MATCH(Stichtag,RD_Kopf,0)),"keine Spalte",IF(SUMPRODUCT((RD_Kopf&gt;=IF($G181="monatlich",DATE(YEAR(Stichtag),MONTH(Stichtag),1),IF($G181="quartalsweise",DATE(YEAR(Stichtag),INT((MONTH(Stichtag)-1)/3)*3+1,1),Stichtag)))*(RD_Kopf&lt;=Stichtag)*ISNUMBER(Rohdaten!$A$152:$LJ$152))&gt;0,"erledigt","offen"))))</f>
        <v/>
      </c>
      <c r="I181" s="73"/>
      <c r="J181" s="73"/>
      <c r="K181" s="73"/>
      <c r="L181" s="73"/>
      <c r="M181" s="73"/>
      <c r="N181" s="73"/>
      <c r="O181" s="73"/>
      <c r="P181" s="73"/>
      <c r="Q181" s="73"/>
      <c r="R181" s="73"/>
      <c r="S181" s="73"/>
      <c r="T181" s="73"/>
      <c r="U181" s="73"/>
      <c r="V181" s="73"/>
      <c r="W181" s="73"/>
      <c r="X181" s="73"/>
      <c r="Y181" s="73"/>
      <c r="Z181" s="73"/>
      <c r="AA181" s="73"/>
      <c r="AB181" s="73" t="s">
        <v>714</v>
      </c>
      <c r="AC181" s="73"/>
      <c r="AD181" s="73" t="s">
        <v>714</v>
      </c>
      <c r="AE181" s="73"/>
      <c r="AF181" s="73"/>
      <c r="AG181" s="73"/>
      <c r="AH181" s="73"/>
      <c r="AI181" s="73"/>
      <c r="AJ181" s="73"/>
      <c r="AK181" s="73"/>
      <c r="AL181" s="73"/>
      <c r="AM181" t="s">
        <v>958</v>
      </c>
      <c r="AN181" t="s">
        <v>111</v>
      </c>
      <c r="AO181" t="s">
        <v>709</v>
      </c>
    </row>
    <row r="182" spans="1:41" ht="18" customHeight="1" outlineLevel="1">
      <c r="A182" s="65">
        <f>ROW(Rohdaten!$A$153)</f>
        <v>153</v>
      </c>
      <c r="B182" s="66" t="str">
        <f>IF(Rohdaten!$A$153="","",Rohdaten!$A$153)</f>
        <v>18d</v>
      </c>
      <c r="C182" s="74" t="s">
        <v>947</v>
      </c>
      <c r="D182" s="68">
        <f>IF(Rohdaten!$E$153="","",Rohdaten!$E$153)</f>
        <v/>
      </c>
      <c r="E182" s="69" t="str">
        <f t="array" ref="E182">_xlfn.TEXTJOIN(" / ",TRUE,IF($I182:$AL182="●",$I$4:$AL$4,""))</f>
        <v/>
      </c>
      <c r="F182" s="70" t="s">
        <v>711</v>
      </c>
      <c r="G182" s="71" t="s">
        <v>712</v>
      </c>
      <c r="H182" s="72">
        <f>IF($F182="automatisch",IF(ISNA(MATCH(Stichtag,RD_Kopf,0)),"automatisch",IF(SUMPRODUCT((RD_Kopf&gt;=IF($G182="monatlich",DATE(YEAR(Stichtag),MONTH(Stichtag),1),IF($G182="quartalsweise",DATE(YEAR(Stichtag),INT((MONTH(Stichtag)-1)/3)*3+1,1),Stichtag)))*(RD_Kopf&lt;=Stichtag)*ISNUMBER(Rohdaten!$A$153:$LJ$153))&gt;0,"erledigt","automatisch")),IF($F182&lt;&gt;"ja","",IF(ISNA(MATCH(Stichtag,RD_Kopf,0)),"keine Spalte",IF(SUMPRODUCT((RD_Kopf&gt;=IF($G182="monatlich",DATE(YEAR(Stichtag),MONTH(Stichtag),1),IF($G182="quartalsweise",DATE(YEAR(Stichtag),INT((MONTH(Stichtag)-1)/3)*3+1,1),Stichtag)))*(RD_Kopf&lt;=Stichtag)*ISNUMBER(Rohdaten!$A$153:$LJ$153))&gt;0,"erledigt","offen"))))</f>
        <v/>
      </c>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t="s">
        <v>959</v>
      </c>
      <c r="AN182" t="s">
        <v>960</v>
      </c>
      <c r="AO182" t="s">
        <v>709</v>
      </c>
    </row>
    <row r="183" spans="1:41" ht="18" customHeight="1" outlineLevel="1">
      <c r="A183" s="65">
        <f>ROW(Rohdaten!$A$154)</f>
        <v>154</v>
      </c>
      <c r="B183" s="66" t="str">
        <f>IF(Rohdaten!$A$154="","",Rohdaten!$A$154)</f>
        <v>18e</v>
      </c>
      <c r="C183" s="74" t="s">
        <v>961</v>
      </c>
      <c r="D183" s="68" t="str">
        <f>IF(Rohdaten!$E$154="","",Rohdaten!$E$154)</f>
        <v>Mey/ Richartz</v>
      </c>
      <c r="E183" s="69" t="str">
        <f t="array" ref="E183">_xlfn.TEXTJOIN(" / ",TRUE,IF($I183:$AL183="●",$I$4:$AL$4,""))</f>
        <v>Mey / Richartz</v>
      </c>
      <c r="F183" s="70" t="s">
        <v>711</v>
      </c>
      <c r="G183" s="71" t="s">
        <v>712</v>
      </c>
      <c r="H183" s="72" t="str">
        <f>IF($F183="automatisch",IF(ISNA(MATCH(Stichtag,RD_Kopf,0)),"automatisch",IF(SUMPRODUCT((RD_Kopf&gt;=IF($G183="monatlich",DATE(YEAR(Stichtag),MONTH(Stichtag),1),IF($G183="quartalsweise",DATE(YEAR(Stichtag),INT((MONTH(Stichtag)-1)/3)*3+1,1),Stichtag)))*(RD_Kopf&lt;=Stichtag)*ISNUMBER(Rohdaten!$A$154:$LJ$154))&gt;0,"erledigt","automatisch")),IF($F183&lt;&gt;"ja","nicht berichtet",IF(ISNA(MATCH(Stichtag,RD_Kopf,0)),"keine Spalte",IF(SUMPRODUCT((RD_Kopf&gt;=IF($G183="monatlich",DATE(YEAR(Stichtag),MONTH(Stichtag),1),IF($G183="quartalsweise",DATE(YEAR(Stichtag),INT((MONTH(Stichtag)-1)/3)*3+1,1),Stichtag)))*(RD_Kopf&lt;=Stichtag)*ISNUMBER(Rohdaten!$A$154:$LJ$154))&gt;0,"erledigt","offen"))))</f>
        <v>nicht berichtet</v>
      </c>
      <c r="I183" s="73"/>
      <c r="J183" s="73"/>
      <c r="K183" s="73"/>
      <c r="L183" s="73"/>
      <c r="M183" s="73"/>
      <c r="N183" s="73"/>
      <c r="O183" s="73"/>
      <c r="P183" s="73"/>
      <c r="Q183" s="73"/>
      <c r="R183" s="73"/>
      <c r="S183" s="73"/>
      <c r="T183" s="73"/>
      <c r="U183" s="73"/>
      <c r="V183" s="73"/>
      <c r="W183" s="73"/>
      <c r="X183" s="73"/>
      <c r="Y183" s="73"/>
      <c r="Z183" s="73"/>
      <c r="AA183" s="73"/>
      <c r="AB183" s="73" t="s">
        <v>714</v>
      </c>
      <c r="AC183" s="73"/>
      <c r="AD183" s="73" t="s">
        <v>714</v>
      </c>
      <c r="AE183" s="73"/>
      <c r="AF183" s="73"/>
      <c r="AG183" s="73"/>
      <c r="AH183" s="73"/>
      <c r="AI183" s="73"/>
      <c r="AJ183" s="73"/>
      <c r="AK183" s="73"/>
      <c r="AL183" s="73"/>
      <c r="AM183" t="s">
        <v>962</v>
      </c>
      <c r="AN183" t="s">
        <v>963</v>
      </c>
      <c r="AO183" t="s">
        <v>709</v>
      </c>
    </row>
    <row r="184" spans="1:41" ht="18" customHeight="1" outlineLevel="1">
      <c r="A184" s="65">
        <f>ROW(Rohdaten!$A$155)</f>
        <v>155</v>
      </c>
      <c r="B184" s="66" t="str">
        <f>IF(Rohdaten!$A$155="","",Rohdaten!$A$155)</f>
        <v>18f</v>
      </c>
      <c r="C184" s="74" t="s">
        <v>964</v>
      </c>
      <c r="D184" s="68" t="str">
        <f>IF(Rohdaten!$E$155="","",Rohdaten!$E$155)</f>
        <v>Mey/ Richartz</v>
      </c>
      <c r="E184" s="69" t="str">
        <f t="array" ref="E184">_xlfn.TEXTJOIN(" / ",TRUE,IF($I184:$AL184="●",$I$4:$AL$4,""))</f>
        <v>Mey / Richartz</v>
      </c>
      <c r="F184" s="70" t="s">
        <v>711</v>
      </c>
      <c r="G184" s="71" t="s">
        <v>712</v>
      </c>
      <c r="H184" s="72" t="str">
        <f>IF($F184="automatisch",IF(ISNA(MATCH(Stichtag,RD_Kopf,0)),"automatisch",IF(SUMPRODUCT((RD_Kopf&gt;=IF($G184="monatlich",DATE(YEAR(Stichtag),MONTH(Stichtag),1),IF($G184="quartalsweise",DATE(YEAR(Stichtag),INT((MONTH(Stichtag)-1)/3)*3+1,1),Stichtag)))*(RD_Kopf&lt;=Stichtag)*ISNUMBER(Rohdaten!$A$155:$LJ$155))&gt;0,"erledigt","automatisch")),IF($F184&lt;&gt;"ja","nicht berichtet",IF(ISNA(MATCH(Stichtag,RD_Kopf,0)),"keine Spalte",IF(SUMPRODUCT((RD_Kopf&gt;=IF($G184="monatlich",DATE(YEAR(Stichtag),MONTH(Stichtag),1),IF($G184="quartalsweise",DATE(YEAR(Stichtag),INT((MONTH(Stichtag)-1)/3)*3+1,1),Stichtag)))*(RD_Kopf&lt;=Stichtag)*ISNUMBER(Rohdaten!$A$155:$LJ$155))&gt;0,"erledigt","offen"))))</f>
        <v>nicht berichtet</v>
      </c>
      <c r="I184" s="73"/>
      <c r="J184" s="73"/>
      <c r="K184" s="73"/>
      <c r="L184" s="73"/>
      <c r="M184" s="73"/>
      <c r="N184" s="73"/>
      <c r="O184" s="73"/>
      <c r="P184" s="73"/>
      <c r="Q184" s="73"/>
      <c r="R184" s="73"/>
      <c r="S184" s="73"/>
      <c r="T184" s="73"/>
      <c r="U184" s="73"/>
      <c r="V184" s="73"/>
      <c r="W184" s="73"/>
      <c r="X184" s="73"/>
      <c r="Y184" s="73"/>
      <c r="Z184" s="73"/>
      <c r="AA184" s="73"/>
      <c r="AB184" s="73" t="s">
        <v>714</v>
      </c>
      <c r="AC184" s="73"/>
      <c r="AD184" s="73" t="s">
        <v>714</v>
      </c>
      <c r="AE184" s="73"/>
      <c r="AF184" s="73"/>
      <c r="AG184" s="73"/>
      <c r="AH184" s="73"/>
      <c r="AI184" s="73"/>
      <c r="AJ184" s="73"/>
      <c r="AK184" s="73"/>
      <c r="AL184" s="73"/>
      <c r="AM184" t="s">
        <v>965</v>
      </c>
      <c r="AN184" t="s">
        <v>966</v>
      </c>
      <c r="AO184" t="s">
        <v>709</v>
      </c>
    </row>
    <row r="185" spans="1:41" ht="22" customHeight="1">
      <c r="A185" s="60" t="s">
        <v>967</v>
      </c>
      <c r="B185" s="60"/>
      <c r="C185" s="60"/>
      <c r="D185" s="60"/>
      <c r="E185" s="60"/>
      <c r="F185" s="60"/>
      <c r="G185" s="60"/>
      <c r="H185" s="60"/>
      <c r="I185" s="61"/>
      <c r="J185" s="61"/>
      <c r="K185" s="61"/>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O185" t="s">
        <v>705</v>
      </c>
    </row>
    <row r="186" spans="1:41" ht="18" customHeight="1" outlineLevel="1">
      <c r="A186" s="65">
        <f>ROW(Rohdaten!$A$156)</f>
        <v>156</v>
      </c>
      <c r="B186" s="66">
        <f>IF(Rohdaten!$A$156="","",Rohdaten!$A$156)</f>
        <v>19</v>
      </c>
      <c r="C186" s="74" t="s">
        <v>728</v>
      </c>
      <c r="D186" s="68" t="str">
        <f>IF(Rohdaten!$E$156="","",Rohdaten!$E$156)</f>
        <v>Zeitz/ Köster</v>
      </c>
      <c r="E186" s="69" t="str">
        <f t="array" ref="E186">_xlfn.TEXTJOIN(" / ",TRUE,IF($I186:$AL186="●",$I$4:$AL$4,""))</f>
        <v>Köster / Zeitz</v>
      </c>
      <c r="F186" s="70" t="s">
        <v>781</v>
      </c>
      <c r="G186" s="71" t="s">
        <v>712</v>
      </c>
      <c r="H186" s="72">
        <f>IF($F186="automatisch",IF(ISNA(MATCH(Stichtag,RD_Kopf,0)),"automatisch",IF(SUMPRODUCT((RD_Kopf&gt;=IF($G186="monatlich",DATE(YEAR(Stichtag),MONTH(Stichtag),1),IF($G186="quartalsweise",DATE(YEAR(Stichtag),INT((MONTH(Stichtag)-1)/3)*3+1,1),Stichtag)))*(RD_Kopf&lt;=Stichtag)*ISNUMBER(Rohdaten!$A$156:$LJ$156))&gt;0,"erledigt","automatisch")),IF($F186&lt;&gt;"ja","",IF(ISNA(MATCH(Stichtag,RD_Kopf,0)),"keine Spalte",IF(SUMPRODUCT((RD_Kopf&gt;=IF($G186="monatlich",DATE(YEAR(Stichtag),MONTH(Stichtag),1),IF($G186="quartalsweise",DATE(YEAR(Stichtag),INT((MONTH(Stichtag)-1)/3)*3+1,1),Stichtag)))*(RD_Kopf&lt;=Stichtag)*ISNUMBER(Rohdaten!$A$156:$LJ$156))&gt;0,"erledigt","offen"))))</f>
        <v/>
      </c>
      <c r="I186" s="73"/>
      <c r="J186" s="73"/>
      <c r="K186" s="73"/>
      <c r="L186" s="73"/>
      <c r="M186" s="73"/>
      <c r="N186" s="73"/>
      <c r="O186" s="73"/>
      <c r="P186" s="73"/>
      <c r="Q186" s="73"/>
      <c r="R186" s="73"/>
      <c r="S186" s="73"/>
      <c r="T186" s="73"/>
      <c r="U186" s="73"/>
      <c r="V186" s="73"/>
      <c r="W186" s="73"/>
      <c r="X186" s="73" t="s">
        <v>714</v>
      </c>
      <c r="Y186" s="73"/>
      <c r="Z186" s="73"/>
      <c r="AA186" s="73"/>
      <c r="AB186" s="73"/>
      <c r="AC186" s="73"/>
      <c r="AD186" s="73"/>
      <c r="AE186" s="73"/>
      <c r="AF186" s="73"/>
      <c r="AG186" s="73"/>
      <c r="AH186" s="73"/>
      <c r="AI186" s="73" t="s">
        <v>714</v>
      </c>
      <c r="AJ186" s="73"/>
      <c r="AK186" s="73"/>
      <c r="AL186" s="73"/>
      <c r="AM186" t="s">
        <v>968</v>
      </c>
      <c r="AN186" t="s">
        <v>109</v>
      </c>
      <c r="AO186" t="s">
        <v>709</v>
      </c>
    </row>
    <row r="187" spans="1:41" ht="22" customHeight="1">
      <c r="A187" s="60" t="s">
        <v>969</v>
      </c>
      <c r="B187" s="60"/>
      <c r="C187" s="60"/>
      <c r="D187" s="60"/>
      <c r="E187" s="60"/>
      <c r="F187" s="60"/>
      <c r="G187" s="60"/>
      <c r="H187" s="60"/>
      <c r="I187" s="61"/>
      <c r="J187" s="61"/>
      <c r="K187" s="61"/>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O187" t="s">
        <v>705</v>
      </c>
    </row>
    <row r="188" spans="1:41" ht="18" customHeight="1" outlineLevel="1">
      <c r="A188" s="65">
        <f>ROW(Rohdaten!$A$157)</f>
        <v>157</v>
      </c>
      <c r="B188" s="66">
        <f>IF(Rohdaten!$A$157="","",Rohdaten!$A$157)</f>
        <v>20</v>
      </c>
      <c r="C188" s="74" t="s">
        <v>728</v>
      </c>
      <c r="D188" s="68" t="str">
        <f>IF(Rohdaten!$E$157="","",Rohdaten!$E$157)</f>
        <v>Kneissler/ Kirsten</v>
      </c>
      <c r="E188" s="69" t="str">
        <f t="array" ref="E188">_xlfn.TEXTJOIN(" / ",TRUE,IF($I188:$AL188="●",$I$4:$AL$4,""))</f>
        <v>Kirsten / Kneissler</v>
      </c>
      <c r="F188" s="70" t="s">
        <v>781</v>
      </c>
      <c r="G188" s="71" t="s">
        <v>712</v>
      </c>
      <c r="H188" s="72">
        <f>IF($F188="automatisch",IF(ISNA(MATCH(Stichtag,RD_Kopf,0)),"automatisch",IF(SUMPRODUCT((RD_Kopf&gt;=IF($G188="monatlich",DATE(YEAR(Stichtag),MONTH(Stichtag),1),IF($G188="quartalsweise",DATE(YEAR(Stichtag),INT((MONTH(Stichtag)-1)/3)*3+1,1),Stichtag)))*(RD_Kopf&lt;=Stichtag)*ISNUMBER(Rohdaten!$A$157:$LJ$157))&gt;0,"erledigt","automatisch")),IF($F188&lt;&gt;"ja","",IF(ISNA(MATCH(Stichtag,RD_Kopf,0)),"keine Spalte",IF(SUMPRODUCT((RD_Kopf&gt;=IF($G188="monatlich",DATE(YEAR(Stichtag),MONTH(Stichtag),1),IF($G188="quartalsweise",DATE(YEAR(Stichtag),INT((MONTH(Stichtag)-1)/3)*3+1,1),Stichtag)))*(RD_Kopf&lt;=Stichtag)*ISNUMBER(Rohdaten!$A$157:$LJ$157))&gt;0,"erledigt","offen"))))</f>
        <v/>
      </c>
      <c r="I188" s="73"/>
      <c r="J188" s="73"/>
      <c r="K188" s="73"/>
      <c r="L188" s="73"/>
      <c r="M188" s="73"/>
      <c r="N188" s="73"/>
      <c r="O188" s="73"/>
      <c r="P188" s="73"/>
      <c r="Q188" s="73"/>
      <c r="R188" s="73"/>
      <c r="S188" s="73"/>
      <c r="T188" s="73"/>
      <c r="U188" s="73"/>
      <c r="V188" s="73" t="s">
        <v>714</v>
      </c>
      <c r="W188" s="73" t="s">
        <v>714</v>
      </c>
      <c r="X188" s="73"/>
      <c r="Y188" s="73"/>
      <c r="Z188" s="73"/>
      <c r="AA188" s="73"/>
      <c r="AB188" s="73"/>
      <c r="AC188" s="73"/>
      <c r="AD188" s="73"/>
      <c r="AE188" s="73"/>
      <c r="AF188" s="73"/>
      <c r="AG188" s="73"/>
      <c r="AH188" s="73"/>
      <c r="AI188" s="73"/>
      <c r="AJ188" s="73"/>
      <c r="AK188" s="73"/>
      <c r="AL188" s="73"/>
      <c r="AM188" t="s">
        <v>970</v>
      </c>
      <c r="AN188" t="s">
        <v>110</v>
      </c>
      <c r="AO188" t="s">
        <v>709</v>
      </c>
    </row>
    <row r="189" spans="1:41" ht="22" customHeight="1">
      <c r="A189" s="60" t="s">
        <v>971</v>
      </c>
      <c r="B189" s="60"/>
      <c r="C189" s="60"/>
      <c r="D189" s="60"/>
      <c r="E189" s="60"/>
      <c r="F189" s="60"/>
      <c r="G189" s="60"/>
      <c r="H189" s="60"/>
      <c r="I189" s="61"/>
      <c r="J189" s="61"/>
      <c r="K189" s="61"/>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O189" t="s">
        <v>705</v>
      </c>
    </row>
    <row r="190" spans="1:41" ht="18" customHeight="1" outlineLevel="1">
      <c r="A190" s="65">
        <f>ROW(Rohdaten!$A$161)</f>
        <v>161</v>
      </c>
      <c r="B190" s="66" t="str">
        <f>IF(Rohdaten!$A$161="","",Rohdaten!$A$161)</f>
        <v>21a</v>
      </c>
      <c r="C190" s="74" t="s">
        <v>972</v>
      </c>
      <c r="D190" s="68" t="str">
        <f>IF(Rohdaten!$E$161="","",Rohdaten!$E$161)</f>
        <v>Buchkremer</v>
      </c>
      <c r="E190" s="69" t="str">
        <f t="array" ref="E190">_xlfn.TEXTJOIN(" / ",TRUE,IF($I190:$AL190="●",$I$4:$AL$4,""))</f>
        <v>Buchkremer</v>
      </c>
      <c r="F190" s="70" t="s">
        <v>791</v>
      </c>
      <c r="G190" s="71" t="s">
        <v>973</v>
      </c>
      <c r="H190" s="72">
        <f>IF($F190="automatisch",IF(ISNA(MATCH(IF($G190="quartalsweise",DATE(YEAR(Berichtstag),INT((MONTH(Berichtstag)-1)/3)*3,1),DATE(YEAR(Berichtstag),MONTH(Berichtstag)-1,1)),Rohdaten!$A$159:$LJ$159,0)),"automatisch",IF(ISNUMBER(INDEX(Rohdaten!$A$161:$LJ$161,MATCH(IF($G190="quartalsweise",DATE(YEAR(Berichtstag),INT((MONTH(Berichtstag)-1)/3)*3,1),DATE(YEAR(Berichtstag),MONTH(Berichtstag)-1,1)),Rohdaten!$A$159:$LJ$159,0))),"erledigt","automatisch")),IF($F190&lt;&gt;"ja","",IF(ISNA(MATCH(IF($G190="quartalsweise",DATE(YEAR(Berichtstag),INT((MONTH(Berichtstag)-1)/3)*3,1),DATE(YEAR(Berichtstag),MONTH(Berichtstag)-1,1)),Rohdaten!$A$159:$LJ$159,0)),"keine Spalte",IF(ISNUMBER(INDEX(Rohdaten!$A$161:$LJ$161,MATCH(IF($G190="quartalsweise",DATE(YEAR(Berichtstag),INT((MONTH(Berichtstag)-1)/3)*3,1),DATE(YEAR(Berichtstag),MONTH(Berichtstag)-1,1)),Rohdaten!$A$159:$LJ$159,0))),"erledigt","offen"))))</f>
        <v/>
      </c>
      <c r="I190" s="73"/>
      <c r="J190" s="73"/>
      <c r="K190" s="73"/>
      <c r="L190" s="73"/>
      <c r="M190" s="73" t="s">
        <v>714</v>
      </c>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t="s">
        <v>974</v>
      </c>
      <c r="AN190" t="s">
        <v>975</v>
      </c>
      <c r="AO190" t="s">
        <v>709</v>
      </c>
    </row>
    <row r="191" spans="1:41" ht="18" customHeight="1" outlineLevel="1">
      <c r="A191" s="65">
        <f>ROW(Rohdaten!$A$162)</f>
        <v>162</v>
      </c>
      <c r="B191" s="66" t="str">
        <f>IF(Rohdaten!$A$162="","",Rohdaten!$A$162)</f>
        <v>21b</v>
      </c>
      <c r="C191" s="74" t="s">
        <v>976</v>
      </c>
      <c r="D191" s="68" t="str">
        <f>IF(Rohdaten!$E$162="","",Rohdaten!$E$162)</f>
        <v>Buchkremer</v>
      </c>
      <c r="E191" s="69" t="str">
        <f t="array" ref="E191">_xlfn.TEXTJOIN(" / ",TRUE,IF($I191:$AL191="●",$I$4:$AL$4,""))</f>
        <v>Buchkremer</v>
      </c>
      <c r="F191" s="70" t="s">
        <v>791</v>
      </c>
      <c r="G191" s="71" t="s">
        <v>973</v>
      </c>
      <c r="H191" s="72">
        <f>IF($F191="automatisch",IF(ISNA(MATCH(IF($G191="quartalsweise",DATE(YEAR(Berichtstag),INT((MONTH(Berichtstag)-1)/3)*3,1),DATE(YEAR(Berichtstag),MONTH(Berichtstag)-1,1)),Rohdaten!$A$159:$LJ$159,0)),"automatisch",IF(ISNUMBER(INDEX(Rohdaten!$A$162:$LJ$162,MATCH(IF($G191="quartalsweise",DATE(YEAR(Berichtstag),INT((MONTH(Berichtstag)-1)/3)*3,1),DATE(YEAR(Berichtstag),MONTH(Berichtstag)-1,1)),Rohdaten!$A$159:$LJ$159,0))),"erledigt","automatisch")),IF($F191&lt;&gt;"ja","",IF(ISNA(MATCH(IF($G191="quartalsweise",DATE(YEAR(Berichtstag),INT((MONTH(Berichtstag)-1)/3)*3,1),DATE(YEAR(Berichtstag),MONTH(Berichtstag)-1,1)),Rohdaten!$A$159:$LJ$159,0)),"keine Spalte",IF(ISNUMBER(INDEX(Rohdaten!$A$162:$LJ$162,MATCH(IF($G191="quartalsweise",DATE(YEAR(Berichtstag),INT((MONTH(Berichtstag)-1)/3)*3,1),DATE(YEAR(Berichtstag),MONTH(Berichtstag)-1,1)),Rohdaten!$A$159:$LJ$159,0))),"erledigt","offen"))))</f>
        <v/>
      </c>
      <c r="I191" s="73"/>
      <c r="J191" s="73"/>
      <c r="K191" s="73"/>
      <c r="L191" s="73"/>
      <c r="M191" s="73" t="s">
        <v>714</v>
      </c>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t="s">
        <v>977</v>
      </c>
      <c r="AN191" t="s">
        <v>385</v>
      </c>
      <c r="AO191" t="s">
        <v>709</v>
      </c>
    </row>
    <row r="192" spans="1:41" ht="18" customHeight="1" outlineLevel="1">
      <c r="A192" s="65">
        <f>ROW(Rohdaten!$A$163)</f>
        <v>163</v>
      </c>
      <c r="B192" s="66" t="str">
        <f>IF(Rohdaten!$A$163="","",Rohdaten!$A$163)</f>
        <v>21c</v>
      </c>
      <c r="C192" s="74" t="s">
        <v>978</v>
      </c>
      <c r="D192" s="68" t="str">
        <f>IF(Rohdaten!$E$163="","",Rohdaten!$E$163)</f>
        <v>Buchkremer</v>
      </c>
      <c r="E192" s="69" t="str">
        <f t="array" ref="E192">_xlfn.TEXTJOIN(" / ",TRUE,IF($I192:$AL192="●",$I$4:$AL$4,""))</f>
        <v>Buchkremer</v>
      </c>
      <c r="F192" s="70" t="s">
        <v>791</v>
      </c>
      <c r="G192" s="71" t="s">
        <v>973</v>
      </c>
      <c r="H192" s="72">
        <f>IF($F192="automatisch",IF(ISNA(MATCH(IF($G192="quartalsweise",DATE(YEAR(Berichtstag),INT((MONTH(Berichtstag)-1)/3)*3,1),DATE(YEAR(Berichtstag),MONTH(Berichtstag)-1,1)),Rohdaten!$A$159:$LJ$159,0)),"automatisch",IF(ISNUMBER(INDEX(Rohdaten!$A$163:$LJ$163,MATCH(IF($G192="quartalsweise",DATE(YEAR(Berichtstag),INT((MONTH(Berichtstag)-1)/3)*3,1),DATE(YEAR(Berichtstag),MONTH(Berichtstag)-1,1)),Rohdaten!$A$159:$LJ$159,0))),"erledigt","automatisch")),IF($F192&lt;&gt;"ja","",IF(ISNA(MATCH(IF($G192="quartalsweise",DATE(YEAR(Berichtstag),INT((MONTH(Berichtstag)-1)/3)*3,1),DATE(YEAR(Berichtstag),MONTH(Berichtstag)-1,1)),Rohdaten!$A$159:$LJ$159,0)),"keine Spalte",IF(ISNUMBER(INDEX(Rohdaten!$A$163:$LJ$163,MATCH(IF($G192="quartalsweise",DATE(YEAR(Berichtstag),INT((MONTH(Berichtstag)-1)/3)*3,1),DATE(YEAR(Berichtstag),MONTH(Berichtstag)-1,1)),Rohdaten!$A$159:$LJ$159,0))),"erledigt","offen"))))</f>
        <v/>
      </c>
      <c r="I192" s="73"/>
      <c r="J192" s="73"/>
      <c r="K192" s="73"/>
      <c r="L192" s="73"/>
      <c r="M192" s="73" t="s">
        <v>714</v>
      </c>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t="s">
        <v>979</v>
      </c>
      <c r="AN192" t="s">
        <v>387</v>
      </c>
      <c r="AO192" t="s">
        <v>709</v>
      </c>
    </row>
    <row r="193" spans="1:41" ht="22" customHeight="1">
      <c r="A193" s="60" t="s">
        <v>980</v>
      </c>
      <c r="B193" s="60"/>
      <c r="C193" s="60"/>
      <c r="D193" s="60"/>
      <c r="E193" s="60"/>
      <c r="F193" s="60"/>
      <c r="G193" s="60"/>
      <c r="H193" s="60"/>
      <c r="I193" s="61"/>
      <c r="J193" s="61"/>
      <c r="K193" s="61"/>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O193" t="s">
        <v>705</v>
      </c>
    </row>
    <row r="194" spans="1:41" ht="18" customHeight="1" outlineLevel="1">
      <c r="A194" s="65">
        <f>ROW(Rohdaten!$A$167)</f>
        <v>167</v>
      </c>
      <c r="B194" s="66" t="str">
        <f>IF(Rohdaten!$A$167="","",Rohdaten!$A$167)</f>
        <v>18D</v>
      </c>
      <c r="C194" s="74" t="s">
        <v>981</v>
      </c>
      <c r="D194" s="68" t="str">
        <f>IF(Rohdaten!$E$167="","",Rohdaten!$E$167)</f>
        <v>Mey/ Richartz</v>
      </c>
      <c r="E194" s="69" t="str">
        <f t="array" ref="E194">_xlfn.TEXTJOIN(" / ",TRUE,IF($I194:$AL194="●",$I$4:$AL$4,""))</f>
        <v>Mey / Richartz</v>
      </c>
      <c r="F194" s="70" t="s">
        <v>781</v>
      </c>
      <c r="G194" s="71" t="s">
        <v>973</v>
      </c>
      <c r="H194" s="72">
        <f>IF($F194="automatisch",IF(ISNA(MATCH(IF($G194="quartalsweise",DATE(YEAR(Berichtstag),INT((MONTH(Berichtstag)-1)/3)*3,1),DATE(YEAR(Berichtstag),MONTH(Berichtstag)-1,1)),Rohdaten!$A$165:$LJ$165,0)),"automatisch",IF(ISNUMBER(INDEX(Rohdaten!$A$167:$LJ$167,MATCH(IF($G194="quartalsweise",DATE(YEAR(Berichtstag),INT((MONTH(Berichtstag)-1)/3)*3,1),DATE(YEAR(Berichtstag),MONTH(Berichtstag)-1,1)),Rohdaten!$A$165:$LJ$165,0))),"erledigt","automatisch")),IF($F194&lt;&gt;"ja","",IF(ISNA(MATCH(IF($G194="quartalsweise",DATE(YEAR(Berichtstag),INT((MONTH(Berichtstag)-1)/3)*3,1),DATE(YEAR(Berichtstag),MONTH(Berichtstag)-1,1)),Rohdaten!$A$165:$LJ$165,0)),"keine Spalte",IF(ISNUMBER(INDEX(Rohdaten!$A$167:$LJ$167,MATCH(IF($G194="quartalsweise",DATE(YEAR(Berichtstag),INT((MONTH(Berichtstag)-1)/3)*3,1),DATE(YEAR(Berichtstag),MONTH(Berichtstag)-1,1)),Rohdaten!$A$165:$LJ$165,0))),"erledigt","offen"))))</f>
        <v/>
      </c>
      <c r="I194" s="73"/>
      <c r="J194" s="73"/>
      <c r="K194" s="73"/>
      <c r="L194" s="73"/>
      <c r="M194" s="73"/>
      <c r="N194" s="73"/>
      <c r="O194" s="73"/>
      <c r="P194" s="73"/>
      <c r="Q194" s="73"/>
      <c r="R194" s="73"/>
      <c r="S194" s="73"/>
      <c r="T194" s="73"/>
      <c r="U194" s="73"/>
      <c r="V194" s="73"/>
      <c r="W194" s="73"/>
      <c r="X194" s="73"/>
      <c r="Y194" s="73"/>
      <c r="Z194" s="73"/>
      <c r="AA194" s="73"/>
      <c r="AB194" s="73" t="s">
        <v>714</v>
      </c>
      <c r="AC194" s="73"/>
      <c r="AD194" s="73" t="s">
        <v>714</v>
      </c>
      <c r="AE194" s="73"/>
      <c r="AF194" s="73"/>
      <c r="AG194" s="73"/>
      <c r="AH194" s="73"/>
      <c r="AI194" s="73"/>
      <c r="AJ194" s="73"/>
      <c r="AK194" s="73"/>
      <c r="AL194" s="73"/>
      <c r="AM194" t="s">
        <v>982</v>
      </c>
      <c r="AN194" t="s">
        <v>373</v>
      </c>
      <c r="AO194" t="s">
        <v>709</v>
      </c>
    </row>
    <row r="195" spans="1:41" ht="18" customHeight="1" outlineLevel="1">
      <c r="A195" s="65">
        <f>ROW(Rohdaten!$A$168)</f>
        <v>168</v>
      </c>
      <c r="B195" s="66">
        <f>IF(Rohdaten!$A$168="","",Rohdaten!$A$168)</f>
        <v/>
      </c>
      <c r="C195" s="74" t="s">
        <v>983</v>
      </c>
      <c r="D195" s="68" t="str">
        <f>IF(Rohdaten!$E$168="","",Rohdaten!$E$168)</f>
        <v>Mey/ Richartz</v>
      </c>
      <c r="E195" s="69" t="str">
        <f t="array" ref="E195">_xlfn.TEXTJOIN(" / ",TRUE,IF($I195:$AL195="●",$I$4:$AL$4,""))</f>
        <v>Mey / Richartz</v>
      </c>
      <c r="F195" s="70" t="s">
        <v>781</v>
      </c>
      <c r="G195" s="71" t="s">
        <v>973</v>
      </c>
      <c r="H195" s="72">
        <f>IF($F195="automatisch",IF(ISNA(MATCH(IF($G195="quartalsweise",DATE(YEAR(Berichtstag),INT((MONTH(Berichtstag)-1)/3)*3,1),DATE(YEAR(Berichtstag),MONTH(Berichtstag)-1,1)),Rohdaten!$A$165:$LJ$165,0)),"automatisch",IF(ISNUMBER(INDEX(Rohdaten!$A$168:$LJ$168,MATCH(IF($G195="quartalsweise",DATE(YEAR(Berichtstag),INT((MONTH(Berichtstag)-1)/3)*3,1),DATE(YEAR(Berichtstag),MONTH(Berichtstag)-1,1)),Rohdaten!$A$165:$LJ$165,0))),"erledigt","automatisch")),IF($F195&lt;&gt;"ja","",IF(ISNA(MATCH(IF($G195="quartalsweise",DATE(YEAR(Berichtstag),INT((MONTH(Berichtstag)-1)/3)*3,1),DATE(YEAR(Berichtstag),MONTH(Berichtstag)-1,1)),Rohdaten!$A$165:$LJ$165,0)),"keine Spalte",IF(ISNUMBER(INDEX(Rohdaten!$A$168:$LJ$168,MATCH(IF($G195="quartalsweise",DATE(YEAR(Berichtstag),INT((MONTH(Berichtstag)-1)/3)*3,1),DATE(YEAR(Berichtstag),MONTH(Berichtstag)-1,1)),Rohdaten!$A$165:$LJ$165,0))),"erledigt","offen"))))</f>
        <v/>
      </c>
      <c r="I195" s="73"/>
      <c r="J195" s="73"/>
      <c r="K195" s="73"/>
      <c r="L195" s="73"/>
      <c r="M195" s="73"/>
      <c r="N195" s="73"/>
      <c r="O195" s="73"/>
      <c r="P195" s="73"/>
      <c r="Q195" s="73"/>
      <c r="R195" s="73"/>
      <c r="S195" s="73"/>
      <c r="T195" s="73"/>
      <c r="U195" s="73"/>
      <c r="V195" s="73"/>
      <c r="W195" s="73"/>
      <c r="X195" s="73"/>
      <c r="Y195" s="73"/>
      <c r="Z195" s="73"/>
      <c r="AA195" s="73"/>
      <c r="AB195" s="73" t="s">
        <v>714</v>
      </c>
      <c r="AC195" s="73"/>
      <c r="AD195" s="73" t="s">
        <v>714</v>
      </c>
      <c r="AE195" s="73"/>
      <c r="AF195" s="73"/>
      <c r="AG195" s="73"/>
      <c r="AH195" s="73"/>
      <c r="AI195" s="73"/>
      <c r="AJ195" s="73"/>
      <c r="AK195" s="73"/>
      <c r="AL195" s="73"/>
      <c r="AM195" t="s">
        <v>984</v>
      </c>
      <c r="AO195" t="s">
        <v>709</v>
      </c>
    </row>
    <row r="196" spans="1:41" ht="18" customHeight="1" outlineLevel="1">
      <c r="A196" s="65">
        <f>ROW(Rohdaten!$A$169)</f>
        <v>169</v>
      </c>
      <c r="B196" s="66" t="str">
        <f>IF(Rohdaten!$A$169="","",Rohdaten!$A$169)</f>
        <v>18E</v>
      </c>
      <c r="C196" s="74" t="s">
        <v>985</v>
      </c>
      <c r="D196" s="68" t="str">
        <f>IF(Rohdaten!$E$169="","",Rohdaten!$E$169)</f>
        <v>Mey/ Richartz</v>
      </c>
      <c r="E196" s="69" t="str">
        <f t="array" ref="E196">_xlfn.TEXTJOIN(" / ",TRUE,IF($I196:$AL196="●",$I$4:$AL$4,""))</f>
        <v>Mey / Richartz</v>
      </c>
      <c r="F196" s="70" t="s">
        <v>711</v>
      </c>
      <c r="G196" s="71" t="s">
        <v>973</v>
      </c>
      <c r="H196" s="72">
        <f>IF($F196="automatisch",IF(ISNA(MATCH(IF($G196="quartalsweise",DATE(YEAR(Berichtstag),INT((MONTH(Berichtstag)-1)/3)*3,1),DATE(YEAR(Berichtstag),MONTH(Berichtstag)-1,1)),Rohdaten!$A$165:$LJ$165,0)),"automatisch",IF(ISNUMBER(INDEX(Rohdaten!$A$169:$LJ$169,MATCH(IF($G196="quartalsweise",DATE(YEAR(Berichtstag),INT((MONTH(Berichtstag)-1)/3)*3,1),DATE(YEAR(Berichtstag),MONTH(Berichtstag)-1,1)),Rohdaten!$A$165:$LJ$165,0))),"erledigt","automatisch")),IF($F196&lt;&gt;"ja","",IF(ISNA(MATCH(IF($G196="quartalsweise",DATE(YEAR(Berichtstag),INT((MONTH(Berichtstag)-1)/3)*3,1),DATE(YEAR(Berichtstag),MONTH(Berichtstag)-1,1)),Rohdaten!$A$165:$LJ$165,0)),"keine Spalte",IF(ISNUMBER(INDEX(Rohdaten!$A$169:$LJ$169,MATCH(IF($G196="quartalsweise",DATE(YEAR(Berichtstag),INT((MONTH(Berichtstag)-1)/3)*3,1),DATE(YEAR(Berichtstag),MONTH(Berichtstag)-1,1)),Rohdaten!$A$165:$LJ$165,0))),"erledigt","offen"))))</f>
        <v/>
      </c>
      <c r="I196" s="73"/>
      <c r="J196" s="73"/>
      <c r="K196" s="73"/>
      <c r="L196" s="73"/>
      <c r="M196" s="73"/>
      <c r="N196" s="73"/>
      <c r="O196" s="73"/>
      <c r="P196" s="73"/>
      <c r="Q196" s="73"/>
      <c r="R196" s="73"/>
      <c r="S196" s="73"/>
      <c r="T196" s="73"/>
      <c r="U196" s="73"/>
      <c r="V196" s="73"/>
      <c r="W196" s="73"/>
      <c r="X196" s="73"/>
      <c r="Y196" s="73"/>
      <c r="Z196" s="73"/>
      <c r="AA196" s="73"/>
      <c r="AB196" s="73" t="s">
        <v>714</v>
      </c>
      <c r="AC196" s="73"/>
      <c r="AD196" s="73" t="s">
        <v>714</v>
      </c>
      <c r="AE196" s="73"/>
      <c r="AF196" s="73"/>
      <c r="AG196" s="73"/>
      <c r="AH196" s="73"/>
      <c r="AI196" s="73"/>
      <c r="AJ196" s="73"/>
      <c r="AK196" s="73"/>
      <c r="AL196" s="73"/>
      <c r="AM196" t="s">
        <v>986</v>
      </c>
      <c r="AN196" t="s">
        <v>381</v>
      </c>
      <c r="AO196" t="s">
        <v>709</v>
      </c>
    </row>
    <row r="197" spans="1:41" ht="18" customHeight="1" outlineLevel="1">
      <c r="A197" s="65">
        <f>ROW(Rohdaten!$A$170)</f>
        <v>170</v>
      </c>
      <c r="B197" s="66">
        <f>IF(Rohdaten!$A$170="","",Rohdaten!$A$170)</f>
        <v/>
      </c>
      <c r="C197" s="74" t="s">
        <v>987</v>
      </c>
      <c r="D197" s="68" t="str">
        <f>IF(Rohdaten!$E$170="","",Rohdaten!$E$170)</f>
        <v>Mey/ Richartz</v>
      </c>
      <c r="E197" s="69" t="str">
        <f t="array" ref="E197">_xlfn.TEXTJOIN(" / ",TRUE,IF($I197:$AL197="●",$I$4:$AL$4,""))</f>
        <v>Mey / Richartz</v>
      </c>
      <c r="F197" s="70" t="s">
        <v>711</v>
      </c>
      <c r="G197" s="71" t="s">
        <v>973</v>
      </c>
      <c r="H197" s="72" t="str">
        <f>IF($F197="automatisch",IF(ISNA(MATCH(IF($G197="quartalsweise",DATE(YEAR(Berichtstag),INT((MONTH(Berichtstag)-1)/3)*3,1),DATE(YEAR(Berichtstag),MONTH(Berichtstag)-1,1)),Rohdaten!$A$165:$LJ$165,0)),"automatisch",IF(ISNUMBER(INDEX(Rohdaten!$A$170:$LJ$170,MATCH(IF($G197="quartalsweise",DATE(YEAR(Berichtstag),INT((MONTH(Berichtstag)-1)/3)*3,1),DATE(YEAR(Berichtstag),MONTH(Berichtstag)-1,1)),Rohdaten!$A$165:$LJ$165,0))),"erledigt","automatisch")),IF($F197&lt;&gt;"ja","nicht berichtet",IF(ISNA(MATCH(IF($G197="quartalsweise",DATE(YEAR(Berichtstag),INT((MONTH(Berichtstag)-1)/3)*3,1),DATE(YEAR(Berichtstag),MONTH(Berichtstag)-1,1)),Rohdaten!$A$165:$LJ$165,0)),"keine Spalte",IF(ISNUMBER(INDEX(Rohdaten!$A$170:$LJ$170,MATCH(IF($G197="quartalsweise",DATE(YEAR(Berichtstag),INT((MONTH(Berichtstag)-1)/3)*3,1),DATE(YEAR(Berichtstag),MONTH(Berichtstag)-1,1)),Rohdaten!$A$165:$LJ$165,0))),"erledigt","offen"))))</f>
        <v>nicht berichtet</v>
      </c>
      <c r="I197" s="73"/>
      <c r="J197" s="73"/>
      <c r="K197" s="73"/>
      <c r="L197" s="73"/>
      <c r="M197" s="73"/>
      <c r="N197" s="73"/>
      <c r="O197" s="73"/>
      <c r="P197" s="73"/>
      <c r="Q197" s="73"/>
      <c r="R197" s="73"/>
      <c r="S197" s="73"/>
      <c r="T197" s="73"/>
      <c r="U197" s="73"/>
      <c r="V197" s="73"/>
      <c r="W197" s="73"/>
      <c r="X197" s="73"/>
      <c r="Y197" s="73"/>
      <c r="Z197" s="73"/>
      <c r="AA197" s="73"/>
      <c r="AB197" s="73" t="s">
        <v>714</v>
      </c>
      <c r="AC197" s="73"/>
      <c r="AD197" s="73" t="s">
        <v>714</v>
      </c>
      <c r="AE197" s="73"/>
      <c r="AF197" s="73"/>
      <c r="AG197" s="73"/>
      <c r="AH197" s="73"/>
      <c r="AI197" s="73"/>
      <c r="AJ197" s="73"/>
      <c r="AK197" s="73"/>
      <c r="AL197" s="73"/>
      <c r="AM197" t="s">
        <v>988</v>
      </c>
      <c r="AO197" t="s">
        <v>709</v>
      </c>
    </row>
    <row r="198" spans="1:41" ht="18" customHeight="1" outlineLevel="1">
      <c r="A198" s="65">
        <f>ROW(Rohdaten!$A$171)</f>
        <v>171</v>
      </c>
      <c r="B198" s="66">
        <f>IF(Rohdaten!$A$171="","",Rohdaten!$A$171)</f>
        <v/>
      </c>
      <c r="C198" s="74" t="s">
        <v>989</v>
      </c>
      <c r="D198" s="68" t="str">
        <f>IF(Rohdaten!$E$171="","",Rohdaten!$E$171)</f>
        <v>Mey/ Richartz</v>
      </c>
      <c r="E198" s="69" t="str">
        <f t="array" ref="E198">_xlfn.TEXTJOIN(" / ",TRUE,IF($I198:$AL198="●",$I$4:$AL$4,""))</f>
        <v>Mey / Richartz</v>
      </c>
      <c r="F198" s="70" t="s">
        <v>711</v>
      </c>
      <c r="G198" s="71" t="s">
        <v>973</v>
      </c>
      <c r="H198" s="72" t="str">
        <f>IF($F198="automatisch",IF(ISNA(MATCH(IF($G198="quartalsweise",DATE(YEAR(Berichtstag),INT((MONTH(Berichtstag)-1)/3)*3,1),DATE(YEAR(Berichtstag),MONTH(Berichtstag)-1,1)),Rohdaten!$A$165:$LJ$165,0)),"automatisch",IF(ISNUMBER(INDEX(Rohdaten!$A$171:$LJ$171,MATCH(IF($G198="quartalsweise",DATE(YEAR(Berichtstag),INT((MONTH(Berichtstag)-1)/3)*3,1),DATE(YEAR(Berichtstag),MONTH(Berichtstag)-1,1)),Rohdaten!$A$165:$LJ$165,0))),"erledigt","automatisch")),IF($F198&lt;&gt;"ja","nicht berichtet",IF(ISNA(MATCH(IF($G198="quartalsweise",DATE(YEAR(Berichtstag),INT((MONTH(Berichtstag)-1)/3)*3,1),DATE(YEAR(Berichtstag),MONTH(Berichtstag)-1,1)),Rohdaten!$A$165:$LJ$165,0)),"keine Spalte",IF(ISNUMBER(INDEX(Rohdaten!$A$171:$LJ$171,MATCH(IF($G198="quartalsweise",DATE(YEAR(Berichtstag),INT((MONTH(Berichtstag)-1)/3)*3,1),DATE(YEAR(Berichtstag),MONTH(Berichtstag)-1,1)),Rohdaten!$A$165:$LJ$165,0))),"erledigt","offen"))))</f>
        <v>nicht berichtet</v>
      </c>
      <c r="I198" s="73"/>
      <c r="J198" s="73"/>
      <c r="K198" s="73"/>
      <c r="L198" s="73"/>
      <c r="M198" s="73"/>
      <c r="N198" s="73"/>
      <c r="O198" s="73"/>
      <c r="P198" s="73"/>
      <c r="Q198" s="73"/>
      <c r="R198" s="73"/>
      <c r="S198" s="73"/>
      <c r="T198" s="73"/>
      <c r="U198" s="73"/>
      <c r="V198" s="73"/>
      <c r="W198" s="73"/>
      <c r="X198" s="73"/>
      <c r="Y198" s="73"/>
      <c r="Z198" s="73"/>
      <c r="AA198" s="73"/>
      <c r="AB198" s="73" t="s">
        <v>714</v>
      </c>
      <c r="AC198" s="73"/>
      <c r="AD198" s="73" t="s">
        <v>714</v>
      </c>
      <c r="AE198" s="73"/>
      <c r="AF198" s="73"/>
      <c r="AG198" s="73"/>
      <c r="AH198" s="73"/>
      <c r="AI198" s="73"/>
      <c r="AJ198" s="73"/>
      <c r="AK198" s="73"/>
      <c r="AL198" s="73"/>
      <c r="AM198" t="s">
        <v>990</v>
      </c>
      <c r="AO198" t="s">
        <v>709</v>
      </c>
    </row>
  </sheetData>
  <sheetProtection sheet="1" scenarios="1" formatColumns="0" formatRows="0"/>
  <mergeCells count="42">
    <mergeCell ref="A5:H5"/>
    <mergeCell ref="C6:H6"/>
    <mergeCell ref="C14:H14"/>
    <mergeCell ref="A22:H22"/>
    <mergeCell ref="C23:H23"/>
    <mergeCell ref="C31:H31"/>
    <mergeCell ref="A39:H39"/>
    <mergeCell ref="C40:H40"/>
    <mergeCell ref="A48:H48"/>
    <mergeCell ref="C49:H49"/>
    <mergeCell ref="C57:H57"/>
    <mergeCell ref="A65:H65"/>
    <mergeCell ref="A67:H67"/>
    <mergeCell ref="A71:H71"/>
    <mergeCell ref="C73:H73"/>
    <mergeCell ref="C78:H78"/>
    <mergeCell ref="C83:H83"/>
    <mergeCell ref="C88:H88"/>
    <mergeCell ref="C93:H93"/>
    <mergeCell ref="C98:H98"/>
    <mergeCell ref="C102:H102"/>
    <mergeCell ref="C108:H108"/>
    <mergeCell ref="C113:H113"/>
    <mergeCell ref="A117:H117"/>
    <mergeCell ref="C118:H118"/>
    <mergeCell ref="C122:H122"/>
    <mergeCell ref="C126:H126"/>
    <mergeCell ref="A131:H131"/>
    <mergeCell ref="A133:H133"/>
    <mergeCell ref="A135:H135"/>
    <mergeCell ref="A137:H137"/>
    <mergeCell ref="A139:H139"/>
    <mergeCell ref="A152:H152"/>
    <mergeCell ref="A165:H165"/>
    <mergeCell ref="A167:H167"/>
    <mergeCell ref="A172:H172"/>
    <mergeCell ref="A174:H174"/>
    <mergeCell ref="A178:H178"/>
    <mergeCell ref="A185:H185"/>
    <mergeCell ref="A187:H187"/>
    <mergeCell ref="A189:H189"/>
    <mergeCell ref="A193:H193"/>
  </mergeCells>
  <conditionalFormatting sqref="F5:F199">
    <cfRule type="cellIs" dxfId="2" priority="3" operator="equal">
      <formula>"ja"</formula>
    </cfRule>
    <cfRule type="cellIs" dxfId="3" priority="4" operator="equal">
      <formula>"nein"</formula>
    </cfRule>
    <cfRule type="cellIs" dxfId="5" priority="6" operator="equal">
      <formula>"automatisch"</formula>
    </cfRule>
  </conditionalFormatting>
  <conditionalFormatting sqref="F5:G199">
    <cfRule type="expression" dxfId="9" priority="11">
      <formula>AND(ZuordnungOffen=1,$A5&lt;&gt;"")</formula>
    </cfRule>
  </conditionalFormatting>
  <conditionalFormatting sqref="H5:H19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9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Konfiguration">
    <tabColor rgb="FF0F94A7"/>
  </sheetPr>
  <dimension ref="A1:I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 min="8" max="9" width="12.7109375" customWidth="1"/>
  </cols>
  <sheetData>
    <row r="1" spans="1:9">
      <c r="A1" s="13" t="s">
        <v>991</v>
      </c>
    </row>
    <row r="2" spans="1:9">
      <c r="A2" s="8" t="s">
        <v>992</v>
      </c>
    </row>
    <row r="3" spans="1:9">
      <c r="B3" s="4" t="s">
        <v>993</v>
      </c>
      <c r="H3" s="8" t="s">
        <v>995</v>
      </c>
    </row>
    <row r="4" spans="1:9">
      <c r="B4" s="11" t="s">
        <v>994</v>
      </c>
      <c r="C4" s="16">
        <f>IF($I$4&gt;=TODAY(),$I$4,IF($I$5&gt;=TODAY(),$I$5,$I$6))</f>
        <v>0</v>
      </c>
      <c r="E4" s="11" t="s">
        <v>996</v>
      </c>
      <c r="F4" s="56" t="s">
        <v>997</v>
      </c>
      <c r="H4" s="8">
        <f>MOD(IFERROR(MATCH($F$4,{"Montag","Dienstag","Mittwoch","Donnerstag","Freitag"},0),1)-5,7)</f>
        <v>0</v>
      </c>
      <c r="I4" s="16">
        <f>WORKDAY(($H$5-7)+IF(($H$5-7)+$H$4&gt;=N($F$7),$H$4,0)-1,1,FeiertageBT)</f>
        <v>0</v>
      </c>
    </row>
    <row r="5" spans="1:9">
      <c r="B5" s="11" t="s">
        <v>1002</v>
      </c>
      <c r="C5" s="77"/>
      <c r="E5" s="11" t="s">
        <v>998</v>
      </c>
      <c r="F5" s="56" t="s">
        <v>999</v>
      </c>
      <c r="H5" s="16">
        <f>TODAY()-MOD(WEEKDAY(TODAY(),2)-5,7)</f>
        <v>0</v>
      </c>
      <c r="I5" s="16">
        <f>WORKDAY(($H$5)+IF(($H$5)+$H$4&gt;=N($F$7),$H$4,0)-1,1,FeiertageBT)</f>
        <v>0</v>
      </c>
    </row>
    <row r="6" spans="1:9">
      <c r="B6" s="11" t="s">
        <v>1003</v>
      </c>
      <c r="C6" s="6">
        <f>IF(C5&lt;&gt;"",C5,C4)</f>
        <v>0</v>
      </c>
      <c r="E6" s="11" t="s">
        <v>1000</v>
      </c>
      <c r="F6" s="16">
        <f>Stichtag</f>
        <v>0</v>
      </c>
      <c r="H6" s="16">
        <f>IF($I$4&gt;=TODAY(),$H$5-7,IF($I$5&gt;=TODAY(),$H$5,$H$5+7))</f>
        <v>0</v>
      </c>
      <c r="I6" s="16">
        <f>WORKDAY(($H$5+7)+IF(($H$5+7)+$H$4&gt;=N($F$7),$H$4,0)-1,1,FeiertageBT)</f>
        <v>0</v>
      </c>
    </row>
    <row r="7" spans="1:9">
      <c r="E7" s="11" t="s">
        <v>1001</v>
      </c>
      <c r="F7" s="77">
        <v>46314</v>
      </c>
      <c r="H7" s="16">
        <f>IF(N($C$5)=0,"",$C$5-MOD(WEEKDAY($C$5,2)+2,7)-7*(($C$5-MOD(WEEKDAY($C$5,2)+2,7)+IF($C$5-MOD(WEEKDAY($C$5,2)+2,7)+$H$4&gt;=N($F$7),$H$4,0))&gt;$C$5))</f>
        <v>0</v>
      </c>
    </row>
    <row r="8" spans="1:9">
      <c r="B8" s="4" t="s">
        <v>1004</v>
      </c>
      <c r="E8" s="4" t="s">
        <v>1006</v>
      </c>
    </row>
    <row r="9" spans="1:9">
      <c r="B9" s="11" t="s">
        <v>1005</v>
      </c>
      <c r="C9" s="78">
        <v>500</v>
      </c>
      <c r="E9" s="11" t="s">
        <v>1007</v>
      </c>
      <c r="F9" s="78">
        <v>5500</v>
      </c>
      <c r="G9" s="55">
        <f>IF(N(F9)&gt;0,"SLA "&amp;FIXED(F9/1000,1),"SLA: kein Wert")</f>
        <v>0</v>
      </c>
    </row>
    <row r="10" spans="1:9">
      <c r="B10" s="11" t="s">
        <v>1010</v>
      </c>
      <c r="C10" s="55" t="s">
        <v>1011</v>
      </c>
      <c r="E10" s="11" t="s">
        <v>1008</v>
      </c>
      <c r="F10" s="78"/>
    </row>
    <row r="11" spans="1:9">
      <c r="B11" s="4" t="s">
        <v>1012</v>
      </c>
      <c r="E11" s="11" t="s">
        <v>1009</v>
      </c>
      <c r="F11" s="17">
        <f>IF(N(F10)&gt;0,F10,IFERROR(ROUND(F9*_xlfn.AGGREGATE(1,6,Dashboard_Daten!$U$139:$AD$139),-2),""))</f>
        <v>0</v>
      </c>
      <c r="G11" s="55">
        <f>IF(N(F11)&gt;0,IF(N(F10)&gt;0,"SLA "&amp;FIXED(F11/1000,1),"SLA "&amp;FIXED(F11/1000,1)&amp;" (Faktor "&amp;FIXED(_xlfn.AGGREGATE(1,6,Dashboard_Daten!$U$139:$AD$139),2)&amp;") TBC"),"SLA OPAG: noch kein Vorschlag")</f>
        <v>0</v>
      </c>
    </row>
    <row r="12" spans="1:9">
      <c r="B12" s="11" t="s">
        <v>1013</v>
      </c>
      <c r="C12" s="57"/>
    </row>
    <row r="13" spans="1:9">
      <c r="B13" s="11" t="s">
        <v>1014</v>
      </c>
      <c r="C13" s="57"/>
    </row>
    <row r="14" spans="1:9">
      <c r="B14" s="4" t="s">
        <v>1015</v>
      </c>
    </row>
    <row r="15" spans="1:9">
      <c r="B15" s="11" t="s">
        <v>1016</v>
      </c>
      <c r="C15" s="57" t="s">
        <v>1017</v>
      </c>
    </row>
    <row r="16" spans="1:9">
      <c r="B16" s="11" t="s">
        <v>1018</v>
      </c>
      <c r="C16" s="57" t="s">
        <v>1019</v>
      </c>
    </row>
    <row r="17" spans="2:7">
      <c r="B17" s="11" t="s">
        <v>1020</v>
      </c>
      <c r="C17" s="55">
        <f>"Stand  "&amp;TEXT(DAY(Berichtstag),"00")&amp;"."&amp;TEXT(MONTH(Berichtstag),"00")&amp;"."&amp;YEAR(Berichtstag)</f>
        <v>0</v>
      </c>
    </row>
    <row r="19" spans="2:7">
      <c r="B19" s="4" t="s">
        <v>1021</v>
      </c>
    </row>
    <row r="20" spans="2:7">
      <c r="B20" s="9" t="s">
        <v>1022</v>
      </c>
      <c r="C20" s="9" t="s">
        <v>1023</v>
      </c>
      <c r="E20" s="9" t="s">
        <v>1024</v>
      </c>
      <c r="F20" s="9" t="s">
        <v>1025</v>
      </c>
    </row>
    <row r="21" spans="2:7">
      <c r="B21" s="55" t="s">
        <v>1026</v>
      </c>
      <c r="C21" s="55" t="s">
        <v>1027</v>
      </c>
      <c r="E21" s="57"/>
      <c r="F21" s="56" t="s">
        <v>781</v>
      </c>
      <c r="G21" s="3">
        <f>E21&amp;IF(E21="","","  ·  ")&amp;"STAND "&amp;TEXT(DAY(Berichtstag),"00")&amp;"."&amp;TEXT(MONTH(Berichtstag),"00")&amp;"."&amp;YEAR(Berichtstag)</f>
        <v>0</v>
      </c>
    </row>
    <row r="22" spans="2:7">
      <c r="B22" s="55" t="s">
        <v>1028</v>
      </c>
      <c r="C22" s="57" t="s">
        <v>1029</v>
      </c>
      <c r="E22" s="57" t="s">
        <v>1030</v>
      </c>
      <c r="F22" s="56" t="s">
        <v>781</v>
      </c>
      <c r="G22" s="3">
        <f>E22&amp;IF(E22="","","  ·  ")&amp;"STAND "&amp;TEXT(DAY(Berichtstag),"00")&amp;"."&amp;TEXT(MONTH(Berichtstag),"00")&amp;"."&amp;YEAR(Berichtstag)</f>
        <v>0</v>
      </c>
    </row>
    <row r="23" spans="2:7">
      <c r="B23" s="55" t="s">
        <v>1031</v>
      </c>
      <c r="C23" s="57" t="s">
        <v>1032</v>
      </c>
      <c r="E23" s="57" t="s">
        <v>1030</v>
      </c>
      <c r="F23" s="56" t="s">
        <v>781</v>
      </c>
      <c r="G23" s="3">
        <f>E23&amp;IF(E23="","","  ·  ")&amp;"STAND "&amp;TEXT(DAY(Berichtstag),"00")&amp;"."&amp;TEXT(MONTH(Berichtstag),"00")&amp;"."&amp;YEAR(Berichtstag)</f>
        <v>0</v>
      </c>
    </row>
    <row r="25" spans="2:7">
      <c r="B25" s="11" t="s">
        <v>1033</v>
      </c>
      <c r="C25" s="55">
        <f>"Wochenwerte: je Kachel die letzten KW mit Daten, höchstens bis KW "&amp;_xlfn.ISOWEEKNUM(Stichtag)&amp;"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1034</v>
      </c>
    </row>
    <row r="27" spans="2:7">
      <c r="B27" s="8" t="s">
        <v>1035</v>
      </c>
    </row>
    <row r="28" spans="2:7">
      <c r="B28" s="57" t="s">
        <v>1036</v>
      </c>
    </row>
    <row r="29" spans="2:7">
      <c r="B29" s="57" t="s">
        <v>1037</v>
      </c>
    </row>
    <row r="30" spans="2:7">
      <c r="B30" s="57" t="s">
        <v>1038</v>
      </c>
    </row>
    <row r="31" spans="2:7">
      <c r="B31" s="57" t="s">
        <v>1039</v>
      </c>
    </row>
    <row r="32" spans="2:7">
      <c r="B32" s="57" t="s">
        <v>1040</v>
      </c>
    </row>
    <row r="33" spans="2:2">
      <c r="B33" s="57" t="s">
        <v>1041</v>
      </c>
    </row>
    <row r="34" spans="2:2">
      <c r="B34" s="57" t="s">
        <v>1042</v>
      </c>
    </row>
    <row r="35" spans="2:2">
      <c r="B35" s="57" t="s">
        <v>1043</v>
      </c>
    </row>
    <row r="36" spans="2:2">
      <c r="B36" s="57" t="s">
        <v>1044</v>
      </c>
    </row>
    <row r="37" spans="2:2">
      <c r="B37" s="57" t="s">
        <v>1045</v>
      </c>
    </row>
    <row r="38" spans="2:2">
      <c r="B38" s="57" t="s">
        <v>1046</v>
      </c>
    </row>
    <row r="39" spans="2:2">
      <c r="B39" s="57" t="s">
        <v>1047</v>
      </c>
    </row>
    <row r="40" spans="2:2">
      <c r="B40" s="57" t="s">
        <v>1048</v>
      </c>
    </row>
    <row r="41" spans="2:2">
      <c r="B41" s="57" t="s">
        <v>1049</v>
      </c>
    </row>
    <row r="42" spans="2:2">
      <c r="B42" s="57" t="s">
        <v>1050</v>
      </c>
    </row>
    <row r="43" spans="2:2">
      <c r="B43" s="57" t="s">
        <v>1051</v>
      </c>
    </row>
    <row r="44" spans="2:2">
      <c r="B44" s="57" t="s">
        <v>1052</v>
      </c>
    </row>
    <row r="45" spans="2:2">
      <c r="B45" s="57" t="s">
        <v>1053</v>
      </c>
    </row>
    <row r="46" spans="2:2">
      <c r="B46" s="57" t="s">
        <v>1054</v>
      </c>
    </row>
    <row r="47" spans="2:2">
      <c r="B47" s="57" t="s">
        <v>1055</v>
      </c>
    </row>
    <row r="48" spans="2:2">
      <c r="B48" s="57" t="s">
        <v>1056</v>
      </c>
    </row>
    <row r="49" spans="2:3">
      <c r="B49" s="57" t="s">
        <v>1057</v>
      </c>
    </row>
    <row r="50" spans="2:3">
      <c r="B50" s="57" t="s">
        <v>1058</v>
      </c>
    </row>
    <row r="51" spans="2:3">
      <c r="B51" s="57" t="s">
        <v>1059</v>
      </c>
    </row>
    <row r="52" spans="2:3">
      <c r="B52" s="57" t="s">
        <v>1060</v>
      </c>
    </row>
    <row r="53" spans="2:3">
      <c r="B53" s="57" t="s">
        <v>1061</v>
      </c>
    </row>
    <row r="54" spans="2:3">
      <c r="B54" s="57" t="s">
        <v>1062</v>
      </c>
    </row>
    <row r="55" spans="2:3">
      <c r="B55" s="57"/>
    </row>
    <row r="56" spans="2:3">
      <c r="B56" s="57"/>
    </row>
    <row r="57" spans="2:3">
      <c r="B57" s="57"/>
    </row>
    <row r="59" spans="2:3">
      <c r="B59" s="11" t="s">
        <v>1063</v>
      </c>
      <c r="C59" s="55">
        <v>0</v>
      </c>
    </row>
    <row r="61" spans="2:3">
      <c r="B61" s="4" t="s">
        <v>1064</v>
      </c>
    </row>
    <row r="62" spans="2:3">
      <c r="B62" s="11" t="s">
        <v>1065</v>
      </c>
      <c r="C62" s="57" t="s">
        <v>1066</v>
      </c>
    </row>
    <row r="63" spans="2:3">
      <c r="B63" s="11" t="s">
        <v>1067</v>
      </c>
      <c r="C63" s="55"/>
    </row>
    <row r="64" spans="2:3">
      <c r="B64" s="8" t="s">
        <v>1068</v>
      </c>
    </row>
  </sheetData>
  <dataValidations count="3">
    <dataValidation type="list" allowBlank="1" showInputMessage="1" showErrorMessage="1" sqref="F4">
      <formula1>"Montag,Dienstag,Mittwoch,Donnerstag,Freitag"</formula1>
    </dataValidation>
    <dataValidation type="list" allowBlank="1" showInputMessage="1" showErrorMessage="1" sqref="F5">
      <formula1>"K,D,M,HH,B,MA"</formula1>
    </dataValidation>
    <dataValidation type="list" allowBlank="1" showInputMessage="1" showErrorMessage="1" sqref="F21:F23">
      <formula1>"ja,nein"</formula1>
    </dataValidation>
  </dataValidations>
  <hyperlinks>
    <hyperlink ref="C10" r:id="rId1"/>
    <hyperlink ref="C62"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1242</v>
      </c>
    </row>
    <row r="2" spans="2:12">
      <c r="B2" s="2">
        <f>"Werte aus Rohdaten (Zeilen 7VA bis 7OL) · KW "&amp;_xlfn.ISOWEEKNUM(Stichtag)&amp;" (Stand "&amp;TEXT(DAY(Stichtag),"00")&amp;"."&amp;TEXT(MONTH(Stichtag),"00")&amp;".) · Berichtstag "&amp;TEXT(DAY(Berichtstag),"00")&amp;"."&amp;TEXT(MONTH(Berichtstag),"00")&amp;"."&amp;YEAR(Berichtstag)</f>
        <v>0</v>
      </c>
    </row>
    <row r="4" spans="2:12">
      <c r="B4" s="4" t="s">
        <v>1243</v>
      </c>
      <c r="H4" s="4" t="s">
        <v>1250</v>
      </c>
    </row>
    <row r="5" spans="2:12">
      <c r="B5" s="9" t="s">
        <v>695</v>
      </c>
      <c r="C5" s="10" t="s">
        <v>832</v>
      </c>
      <c r="D5" s="10" t="s">
        <v>1244</v>
      </c>
      <c r="E5" s="10" t="s">
        <v>1245</v>
      </c>
      <c r="F5" s="10" t="s">
        <v>1246</v>
      </c>
      <c r="H5" s="9" t="s">
        <v>695</v>
      </c>
      <c r="I5" s="10" t="s">
        <v>832</v>
      </c>
      <c r="J5" s="10" t="s">
        <v>1244</v>
      </c>
      <c r="K5" s="10" t="s">
        <v>1245</v>
      </c>
      <c r="L5" s="10" t="s">
        <v>1246</v>
      </c>
    </row>
    <row r="6" spans="2:12">
      <c r="B6" s="55" t="s">
        <v>1247</v>
      </c>
      <c r="C6" s="17">
        <f>IFERROR(IF(ISNUMBER(INDEX(Rohdaten!$A$67:$LJ$67,MATCH(Stichtag,RD_Kopf,0))),INDEX(Rohdaten!$A$67:$LJ$67,MATCH(Stichtag,RD_Kopf,0)),"–"),"–")</f>
        <v>0</v>
      </c>
      <c r="D6" s="17">
        <f>IFERROR(IF(ISNUMBER(INDEX(Rohdaten!$A$68:$LJ$68,MATCH(Stichtag,RD_Kopf,0))),INDEX(Rohdaten!$A$68:$LJ$68,MATCH(Stichtag,RD_Kopf,0)),"–"),"–")</f>
        <v>0</v>
      </c>
      <c r="E6" s="17">
        <f>IFERROR(IF(ISNUMBER(INDEX(Rohdaten!$A$69:$LJ$69,MATCH(Stichtag,RD_Kopf,0))),INDEX(Rohdaten!$A$69:$LJ$69,MATCH(Stichtag,RD_Kopf,0)),"–"),"–")</f>
        <v>0</v>
      </c>
      <c r="F6" s="17">
        <f>IFERROR(IF(ISNUMBER(INDEX(Rohdaten!$A$70:$LJ$70,MATCH(Stichtag,RD_Kopf,0))),INDEX(Rohdaten!$A$70:$LJ$70,MATCH(Stichtag,RD_Kopf,0)),"–"),"–")</f>
        <v>0</v>
      </c>
      <c r="H6" s="55" t="s">
        <v>1247</v>
      </c>
      <c r="I6" s="17">
        <f>IFERROR(IF(ISNUMBER(INDEX(Rohdaten!$A$79:$LJ$79,MATCH(Stichtag,RD_Kopf,0))),INDEX(Rohdaten!$A$79:$LJ$79,MATCH(Stichtag,RD_Kopf,0)),"–"),"–")</f>
        <v>0</v>
      </c>
      <c r="J6" s="17">
        <f>IFERROR(IF(ISNUMBER(INDEX(Rohdaten!$A$80:$LJ$80,MATCH(Stichtag,RD_Kopf,0))),INDEX(Rohdaten!$A$80:$LJ$80,MATCH(Stichtag,RD_Kopf,0)),"–"),"–")</f>
        <v>0</v>
      </c>
      <c r="K6" s="17">
        <f>IFERROR(IF(ISNUMBER(INDEX(Rohdaten!$A$81:$LJ$81,MATCH(Stichtag,RD_Kopf,0))),INDEX(Rohdaten!$A$81:$LJ$81,MATCH(Stichtag,RD_Kopf,0)),"–"),"–")</f>
        <v>0</v>
      </c>
      <c r="L6" s="17">
        <f>IFERROR(IF(ISNUMBER(INDEX(Rohdaten!$A$82:$LJ$82,MATCH(Stichtag,RD_Kopf,0))),INDEX(Rohdaten!$A$82:$LJ$82,MATCH(Stichtag,RD_Kopf,0)),"–"),"–")</f>
        <v>0</v>
      </c>
    </row>
    <row r="7" spans="2:12">
      <c r="B7" s="55" t="s">
        <v>1248</v>
      </c>
      <c r="C7" s="17">
        <f>IFERROR(IF(ISNUMBER(INDEX(Rohdaten!$A$71:$LJ$71,MATCH(Stichtag,RD_Kopf,0))),INDEX(Rohdaten!$A$71:$LJ$71,MATCH(Stichtag,RD_Kopf,0)),"–"),"–")</f>
        <v>0</v>
      </c>
      <c r="D7" s="17">
        <f>IFERROR(IF(ISNUMBER(INDEX(Rohdaten!$A$72:$LJ$72,MATCH(Stichtag,RD_Kopf,0))),INDEX(Rohdaten!$A$72:$LJ$72,MATCH(Stichtag,RD_Kopf,0)),"–"),"–")</f>
        <v>0</v>
      </c>
      <c r="E7" s="17">
        <f>IFERROR(IF(ISNUMBER(INDEX(Rohdaten!$A$73:$LJ$73,MATCH(Stichtag,RD_Kopf,0))),INDEX(Rohdaten!$A$73:$LJ$73,MATCH(Stichtag,RD_Kopf,0)),"–"),"–")</f>
        <v>0</v>
      </c>
      <c r="F7" s="17">
        <f>IFERROR(IF(ISNUMBER(INDEX(Rohdaten!$A$74:$LJ$74,MATCH(Stichtag,RD_Kopf,0))),INDEX(Rohdaten!$A$74:$LJ$74,MATCH(Stichtag,RD_Kopf,0)),"–"),"–")</f>
        <v>0</v>
      </c>
      <c r="H7" s="55" t="s">
        <v>1248</v>
      </c>
      <c r="I7" s="17">
        <f>IFERROR(IF(ISNUMBER(INDEX(Rohdaten!$A$83:$LJ$83,MATCH(Stichtag,RD_Kopf,0))),INDEX(Rohdaten!$A$83:$LJ$83,MATCH(Stichtag,RD_Kopf,0)),"–"),"–")</f>
        <v>0</v>
      </c>
      <c r="J7" s="17">
        <f>IFERROR(IF(ISNUMBER(INDEX(Rohdaten!$A$84:$LJ$84,MATCH(Stichtag,RD_Kopf,0))),INDEX(Rohdaten!$A$84:$LJ$84,MATCH(Stichtag,RD_Kopf,0)),"–"),"–")</f>
        <v>0</v>
      </c>
      <c r="K7" s="17">
        <f>IFERROR(IF(ISNUMBER(INDEX(Rohdaten!$A$85:$LJ$85,MATCH(Stichtag,RD_Kopf,0))),INDEX(Rohdaten!$A$85:$LJ$85,MATCH(Stichtag,RD_Kopf,0)),"–"),"–")</f>
        <v>0</v>
      </c>
      <c r="L7" s="17">
        <f>IFERROR(IF(ISNUMBER(INDEX(Rohdaten!$A$86:$LJ$86,MATCH(Stichtag,RD_Kopf,0))),INDEX(Rohdaten!$A$86:$LJ$86,MATCH(Stichtag,RD_Kopf,0)),"–"),"–")</f>
        <v>0</v>
      </c>
    </row>
    <row r="8" spans="2:12">
      <c r="B8" s="55" t="s">
        <v>786</v>
      </c>
      <c r="C8" s="17">
        <f>IFERROR(IF(ISNUMBER(INDEX(Rohdaten!$A$75:$LJ$75,MATCH(Stichtag,RD_Kopf,0))),INDEX(Rohdaten!$A$75:$LJ$75,MATCH(Stichtag,RD_Kopf,0)),"–"),"–")</f>
        <v>0</v>
      </c>
      <c r="D8" s="17">
        <f>IFERROR(IF(ISNUMBER(INDEX(Rohdaten!$A$76:$LJ$76,MATCH(Stichtag,RD_Kopf,0))),INDEX(Rohdaten!$A$76:$LJ$76,MATCH(Stichtag,RD_Kopf,0)),"–"),"–")</f>
        <v>0</v>
      </c>
      <c r="E8" s="17">
        <f>IFERROR(IF(ISNUMBER(INDEX(Rohdaten!$A$77:$LJ$77,MATCH(Stichtag,RD_Kopf,0))),INDEX(Rohdaten!$A$77:$LJ$77,MATCH(Stichtag,RD_Kopf,0)),"–"),"–")</f>
        <v>0</v>
      </c>
      <c r="F8" s="17">
        <f>IFERROR(IF(ISNUMBER(INDEX(Rohdaten!$A$78:$LJ$78,MATCH(Stichtag,RD_Kopf,0))),INDEX(Rohdaten!$A$78:$LJ$78,MATCH(Stichtag,RD_Kopf,0)),"–"),"–")</f>
        <v>0</v>
      </c>
      <c r="H8" s="55" t="s">
        <v>786</v>
      </c>
      <c r="I8" s="17">
        <f>IFERROR(IF(ISNUMBER(INDEX(Rohdaten!$A$87:$LJ$87,MATCH(Stichtag,RD_Kopf,0))),INDEX(Rohdaten!$A$87:$LJ$87,MATCH(Stichtag,RD_Kopf,0)),"–"),"–")</f>
        <v>0</v>
      </c>
      <c r="J8" s="17">
        <f>IFERROR(IF(ISNUMBER(INDEX(Rohdaten!$A$88:$LJ$88,MATCH(Stichtag,RD_Kopf,0))),INDEX(Rohdaten!$A$88:$LJ$88,MATCH(Stichtag,RD_Kopf,0)),"–"),"–")</f>
        <v>0</v>
      </c>
      <c r="K8" s="17">
        <f>IFERROR(IF(ISNUMBER(INDEX(Rohdaten!$A$89:$LJ$89,MATCH(Stichtag,RD_Kopf,0))),INDEX(Rohdaten!$A$89:$LJ$89,MATCH(Stichtag,RD_Kopf,0)),"–"),"–")</f>
        <v>0</v>
      </c>
      <c r="L8" s="17">
        <f>IFERROR(IF(ISNUMBER(INDEX(Rohdaten!$A$90:$LJ$90,MATCH(Stichtag,RD_Kopf,0))),INDEX(Rohdaten!$A$90:$LJ$90,MATCH(Stichtag,RD_Kopf,0)),"–"),"–")</f>
        <v>0</v>
      </c>
    </row>
    <row r="10" spans="2:12">
      <c r="B10" s="55" t="s">
        <v>1249</v>
      </c>
      <c r="C10" s="18">
        <f>IFERROR(C6-IFERROR(IF(ISNUMBER(INDEX(Rohdaten!$A$67:$LJ$67,MATCH(Stichtag-7,RD_Kopf,0))),INDEX(Rohdaten!$A$67:$LJ$67,MATCH(Stichtag-7,RD_Kopf,0)),"–"),"–"),"–")</f>
        <v>0</v>
      </c>
      <c r="H10" s="55" t="s">
        <v>1249</v>
      </c>
      <c r="I10" s="18">
        <f>IFERROR(I6-IFERROR(IF(ISNUMBER(INDEX(Rohdaten!$A$79:$LJ$79,MATCH(Stichtag-7,RD_Kopf,0))),INDEX(Rohdaten!$A$79:$LJ$79,MATCH(Stichtag-7,RD_Kopf,0)),"–"),"–"),"–")</f>
        <v>0</v>
      </c>
    </row>
    <row r="12" spans="2:12">
      <c r="B12" s="8" t="s">
        <v>1251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Dashboard_Daten">
    <tabColor rgb="FF9AA3AD"/>
  </sheetPr>
  <dimension ref="A1:DI313"/>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1351</v>
      </c>
      <c r="CY2" s="3" t="s">
        <v>1352</v>
      </c>
      <c r="CZ2" s="3" t="s">
        <v>1353</v>
      </c>
      <c r="DA2" s="3" t="s">
        <v>1354</v>
      </c>
      <c r="DB2" s="3" t="s">
        <v>1355</v>
      </c>
      <c r="DC2" s="3" t="s">
        <v>1356</v>
      </c>
      <c r="DD2" s="3" t="s">
        <v>1357</v>
      </c>
      <c r="DE2" s="3" t="s">
        <v>1358</v>
      </c>
      <c r="DF2" s="3" t="s">
        <v>1359</v>
      </c>
    </row>
    <row r="3" spans="1:110">
      <c r="A3" s="9" t="s">
        <v>4</v>
      </c>
      <c r="B3" s="5">
        <v>10</v>
      </c>
      <c r="C3" s="3" t="s">
        <v>101</v>
      </c>
      <c r="D3" s="55">
        <f>""&amp;_xlfn.ISOWEEKNUM(D4)</f>
        <v>0</v>
      </c>
      <c r="E3" s="55">
        <f>""&amp;_xlfn.ISOWEEKNUM(E4)</f>
        <v>0</v>
      </c>
      <c r="F3" s="55">
        <f>""&amp;_xlfn.ISOWEEKNUM(F4)</f>
        <v>0</v>
      </c>
      <c r="G3" s="55">
        <f>""&amp;_xlfn.ISOWEEKNUM(G4)</f>
        <v>0</v>
      </c>
      <c r="H3" s="55">
        <f>""&amp;_xlfn.ISOWEEKNUM(H4)</f>
        <v>0</v>
      </c>
      <c r="I3" s="55">
        <f>""&amp;_xlfn.ISOWEEKNUM(I4)</f>
        <v>0</v>
      </c>
      <c r="J3" s="55">
        <f>""&amp;_xlfn.ISOWEEKNUM(J4)</f>
        <v>0</v>
      </c>
      <c r="K3" s="55">
        <f>""&amp;_xlfn.ISOWEEKNUM(K4)</f>
        <v>0</v>
      </c>
      <c r="L3" s="55">
        <f>""&amp;_xlfn.ISOWEEKNUM(L4)</f>
        <v>0</v>
      </c>
      <c r="M3" s="55">
        <f>""&amp;_xlfn.ISOWEEKNUM(M4)</f>
        <v>0</v>
      </c>
      <c r="N3" s="55">
        <f>""&amp;_xlfn.ISOWEEKNUM(N4)</f>
        <v>0</v>
      </c>
      <c r="O3" s="55">
        <f>""&amp;_xlfn.ISOWEEKNUM(O4)</f>
        <v>0</v>
      </c>
      <c r="P3" s="55">
        <f>""&amp;_xlfn.ISOWEEKNUM(P4)</f>
        <v>0</v>
      </c>
      <c r="Q3" s="55">
        <f>""&amp;_xlfn.ISOWEEKNUM(Q4)</f>
        <v>0</v>
      </c>
      <c r="R3" s="55">
        <f>""&amp;_xlfn.ISOWEEKNUM(R4)</f>
        <v>0</v>
      </c>
      <c r="S3" s="55">
        <f>""&amp;_xlfn.ISOWEEKNUM(S4)</f>
        <v>0</v>
      </c>
      <c r="T3" s="55">
        <f>""&amp;_xlfn.ISOWEEKNUM(T4)</f>
        <v>0</v>
      </c>
      <c r="U3" s="55">
        <f>""&amp;_xlfn.ISOWEEKNUM(U4)</f>
        <v>0</v>
      </c>
      <c r="V3" s="55">
        <f>""&amp;_xlfn.ISOWEEKNUM(V4)</f>
        <v>0</v>
      </c>
      <c r="W3" s="55">
        <f>""&amp;_xlfn.ISOWEEKNUM(W4)</f>
        <v>0</v>
      </c>
      <c r="X3" s="55">
        <f>""&amp;_xlfn.ISOWEEKNUM(X4)</f>
        <v>0</v>
      </c>
      <c r="Y3" s="55">
        <f>""&amp;_xlfn.ISOWEEKNUM(Y4)</f>
        <v>0</v>
      </c>
      <c r="Z3" s="55">
        <f>""&amp;_xlfn.ISOWEEKNUM(Z4)</f>
        <v>0</v>
      </c>
      <c r="AA3" s="55">
        <f>""&amp;_xlfn.ISOWEEKNUM(AA4)</f>
        <v>0</v>
      </c>
      <c r="AB3" s="55">
        <f>""&amp;_xlfn.ISOWEEKNUM(AB4)</f>
        <v>0</v>
      </c>
      <c r="AC3" s="55">
        <f>""&amp;_xlfn.ISOWEEKNUM(AC4)</f>
        <v>0</v>
      </c>
      <c r="AD3" s="55">
        <f>""&amp;_xlfn.ISOWEEKNUM(AD4)</f>
        <v>0</v>
      </c>
      <c r="CX3" s="5">
        <v>70</v>
      </c>
      <c r="CY3" s="5">
        <v>95</v>
      </c>
      <c r="CZ3" s="5">
        <v>41</v>
      </c>
      <c r="DA3" s="5">
        <v>43</v>
      </c>
      <c r="DB3" s="5">
        <v>4</v>
      </c>
      <c r="DC3" s="5">
        <v>26</v>
      </c>
      <c r="DD3" s="5">
        <v>10</v>
      </c>
      <c r="DE3" s="5">
        <v>97</v>
      </c>
      <c r="DF3" s="5">
        <v>4</v>
      </c>
    </row>
    <row r="4" spans="1:110">
      <c r="A4" s="9" t="s">
        <v>2</v>
      </c>
      <c r="D4" s="16">
        <f>E4-7</f>
        <v>0</v>
      </c>
      <c r="E4" s="16">
        <f>F4-7</f>
        <v>0</v>
      </c>
      <c r="F4" s="16">
        <f>G4-7</f>
        <v>0</v>
      </c>
      <c r="G4" s="16">
        <f>H4-7</f>
        <v>0</v>
      </c>
      <c r="H4" s="16">
        <f>I4-7</f>
        <v>0</v>
      </c>
      <c r="I4" s="16">
        <f>J4-7</f>
        <v>0</v>
      </c>
      <c r="J4" s="16">
        <f>K4-7</f>
        <v>0</v>
      </c>
      <c r="K4" s="16">
        <f>L4-7</f>
        <v>0</v>
      </c>
      <c r="L4" s="16">
        <f>M4-7</f>
        <v>0</v>
      </c>
      <c r="M4" s="16">
        <f>N4-7</f>
        <v>0</v>
      </c>
      <c r="N4" s="16">
        <f>O4-7</f>
        <v>0</v>
      </c>
      <c r="O4" s="16">
        <f>P4-7</f>
        <v>0</v>
      </c>
      <c r="P4" s="16">
        <f>Q4-7</f>
        <v>0</v>
      </c>
      <c r="Q4" s="16">
        <f>R4-7</f>
        <v>0</v>
      </c>
      <c r="R4" s="16">
        <f>S4-7</f>
        <v>0</v>
      </c>
      <c r="S4" s="16">
        <f>T4-7</f>
        <v>0</v>
      </c>
      <c r="T4" s="16">
        <f>U4-7</f>
        <v>0</v>
      </c>
      <c r="U4" s="16">
        <f>V4-7</f>
        <v>0</v>
      </c>
      <c r="V4" s="16">
        <f>W4-7</f>
        <v>0</v>
      </c>
      <c r="W4" s="16">
        <f>X4-7</f>
        <v>0</v>
      </c>
      <c r="X4" s="16">
        <f>Y4-7</f>
        <v>0</v>
      </c>
      <c r="Y4" s="16">
        <f>Z4-7</f>
        <v>0</v>
      </c>
      <c r="Z4" s="16">
        <f>AA4-7</f>
        <v>0</v>
      </c>
      <c r="AA4" s="16">
        <f>AB4-7</f>
        <v>0</v>
      </c>
      <c r="AB4" s="16">
        <f>AC4-7</f>
        <v>0</v>
      </c>
      <c r="AC4" s="16">
        <f>AD4-7</f>
        <v>0</v>
      </c>
      <c r="AD4" s="16">
        <f>Stichtag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55">
        <f>"KW "&amp;_xlfn.ISOWEEKNUM(D4)</f>
        <v>0</v>
      </c>
      <c r="E5" s="55">
        <f>"KW "&amp;_xlfn.ISOWEEKNUM(E4)</f>
        <v>0</v>
      </c>
      <c r="F5" s="55">
        <f>"KW "&amp;_xlfn.ISOWEEKNUM(F4)</f>
        <v>0</v>
      </c>
      <c r="G5" s="55">
        <f>"KW "&amp;_xlfn.ISOWEEKNUM(G4)</f>
        <v>0</v>
      </c>
      <c r="H5" s="55">
        <f>"KW "&amp;_xlfn.ISOWEEKNUM(H4)</f>
        <v>0</v>
      </c>
      <c r="I5" s="55">
        <f>"KW "&amp;_xlfn.ISOWEEKNUM(I4)</f>
        <v>0</v>
      </c>
      <c r="J5" s="55">
        <f>"KW "&amp;_xlfn.ISOWEEKNUM(J4)</f>
        <v>0</v>
      </c>
      <c r="K5" s="55">
        <f>"KW "&amp;_xlfn.ISOWEEKNUM(K4)</f>
        <v>0</v>
      </c>
      <c r="L5" s="55">
        <f>"KW "&amp;_xlfn.ISOWEEKNUM(L4)</f>
        <v>0</v>
      </c>
      <c r="M5" s="55">
        <f>"KW "&amp;_xlfn.ISOWEEKNUM(M4)</f>
        <v>0</v>
      </c>
      <c r="N5" s="55">
        <f>"KW "&amp;_xlfn.ISOWEEKNUM(N4)</f>
        <v>0</v>
      </c>
      <c r="O5" s="55">
        <f>"KW "&amp;_xlfn.ISOWEEKNUM(O4)</f>
        <v>0</v>
      </c>
      <c r="P5" s="55">
        <f>"KW "&amp;_xlfn.ISOWEEKNUM(P4)</f>
        <v>0</v>
      </c>
      <c r="Q5" s="55">
        <f>"KW "&amp;_xlfn.ISOWEEKNUM(Q4)</f>
        <v>0</v>
      </c>
      <c r="R5" s="55">
        <f>"KW "&amp;_xlfn.ISOWEEKNUM(R4)</f>
        <v>0</v>
      </c>
      <c r="S5" s="55">
        <f>"KW "&amp;_xlfn.ISOWEEKNUM(S4)</f>
        <v>0</v>
      </c>
      <c r="T5" s="55">
        <f>"KW "&amp;_xlfn.ISOWEEKNUM(T4)</f>
        <v>0</v>
      </c>
      <c r="U5" s="55">
        <f>"KW "&amp;_xlfn.ISOWEEKNUM(U4)</f>
        <v>0</v>
      </c>
      <c r="V5" s="55">
        <f>"KW "&amp;_xlfn.ISOWEEKNUM(V4)</f>
        <v>0</v>
      </c>
      <c r="W5" s="55">
        <f>"KW "&amp;_xlfn.ISOWEEKNUM(W4)</f>
        <v>0</v>
      </c>
      <c r="X5" s="55">
        <f>"KW "&amp;_xlfn.ISOWEEKNUM(X4)</f>
        <v>0</v>
      </c>
      <c r="Y5" s="55">
        <f>"KW "&amp;_xlfn.ISOWEEKNUM(Y4)</f>
        <v>0</v>
      </c>
      <c r="Z5" s="55">
        <f>"KW "&amp;_xlfn.ISOWEEKNUM(Z4)</f>
        <v>0</v>
      </c>
      <c r="AA5" s="55">
        <f>"KW "&amp;_xlfn.ISOWEEKNUM(AA4)</f>
        <v>0</v>
      </c>
      <c r="AB5" s="55">
        <f>"KW "&amp;_xlfn.ISOWEEKNUM(AB4)</f>
        <v>0</v>
      </c>
      <c r="AC5" s="55">
        <f>"KW "&amp;_xlfn.ISOWEEKNUM(AC4)</f>
        <v>0</v>
      </c>
      <c r="AD5" s="55">
        <f>"KW "&amp;_xlfn.ISOWEEKNUM(AD4)</f>
        <v>0</v>
      </c>
      <c r="AF5" s="55">
        <f>CHOOSE(MONTH(AF4),"Jan","Feb","Mär","Apr","Mai","Jun","Jul","Aug","Sep","Okt","Nov","Dez")&amp;" "&amp;RIGHT(YEAR(AF4),2)</f>
        <v>0</v>
      </c>
      <c r="AG5" s="55">
        <f>CHOOSE(MONTH(AG4),"Jan","Feb","Mär","Apr","Mai","Jun","Jul","Aug","Sep","Okt","Nov","Dez")&amp;" "&amp;RIGHT(YEAR(AG4),2)</f>
        <v>0</v>
      </c>
      <c r="AH5" s="55">
        <f>CHOOSE(MONTH(AH4),"Jan","Feb","Mär","Apr","Mai","Jun","Jul","Aug","Sep","Okt","Nov","Dez")&amp;" "&amp;RIGHT(YEAR(AH4),2)</f>
        <v>0</v>
      </c>
      <c r="AI5" s="55">
        <f>CHOOSE(MONTH(AI4),"Jan","Feb","Mär","Apr","Mai","Jun","Jul","Aug","Sep","Okt","Nov","Dez")&amp;" "&amp;RIGHT(YEAR(AI4),2)</f>
        <v>0</v>
      </c>
      <c r="AJ5" s="55">
        <f>CHOOSE(MONTH(AJ4),"Jan","Feb","Mär","Apr","Mai","Jun","Jul","Aug","Sep","Okt","Nov","Dez")&amp;" "&amp;RIGHT(YEAR(AJ4),2)</f>
        <v>0</v>
      </c>
      <c r="AK5" s="55">
        <f>CHOOSE(MONTH(AK4),"Jan","Feb","Mär","Apr","Mai","Jun","Jul","Aug","Sep","Okt","Nov","Dez")&amp;" "&amp;RIGHT(YEAR(AK4),2)</f>
        <v>0</v>
      </c>
      <c r="AL5" s="55">
        <f>CHOOSE(MONTH(AL4),"Jan","Feb","Mär","Apr","Mai","Jun","Jul","Aug","Sep","Okt","Nov","Dez")&amp;" "&amp;RIGHT(YEAR(AL4),2)</f>
        <v>0</v>
      </c>
      <c r="AM5" s="55">
        <f>CHOOSE(MONTH(AM4),"Jan","Feb","Mär","Apr","Mai","Jun","Jul","Aug","Sep","Okt","Nov","Dez")&amp;" "&amp;RIGHT(YEAR(AM4),2)</f>
        <v>0</v>
      </c>
      <c r="AN5" s="55">
        <f>CHOOSE(MONTH(AN4),"Jan","Feb","Mär","Apr","Mai","Jun","Jul","Aug","Sep","Okt","Nov","Dez")&amp;" "&amp;RIGHT(YEAR(AN4),2)</f>
        <v>0</v>
      </c>
      <c r="AO5" s="55">
        <f>CHOOSE(MONTH(AO4),"Jan","Feb","Mär","Apr","Mai","Jun","Jul","Aug","Sep","Okt","Nov","Dez")&amp;" "&amp;RIGHT(YEAR(AO4),2)</f>
        <v>0</v>
      </c>
      <c r="CS5" s="55">
        <f>CHOOSE(MONTH(CS4),"Jan","Feb","Mär","Apr","Mai","Jun","Jul","Aug","Sep","Okt","Nov","Dez")&amp;" "&amp;RIGHT(YEAR(CS4),2)</f>
        <v>0</v>
      </c>
      <c r="CT5" s="55">
        <f>CHOOSE(MONTH(CT4),"Jan","Feb","Mär","Apr","Mai","Jun","Jul","Aug","Sep","Okt","Nov","Dez")&amp;" "&amp;RIGHT(YEAR(CT4),2)</f>
        <v>0</v>
      </c>
      <c r="CU5" s="55">
        <f>CHOOSE(MONTH(CU4),"Jan","Feb","Mär","Apr","Mai","Jun","Jul","Aug","Sep","Okt","Nov","Dez")&amp;" "&amp;RIGHT(YEAR(CU4),2)&amp;" (Plan)"</f>
        <v>0</v>
      </c>
      <c r="CV5" s="55">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1360</v>
      </c>
      <c r="CY6" s="9" t="s">
        <v>1179</v>
      </c>
      <c r="CZ6" s="9" t="s">
        <v>1016</v>
      </c>
      <c r="DA6" s="9" t="s">
        <v>1361</v>
      </c>
      <c r="DB6" s="9" t="s">
        <v>1362</v>
      </c>
      <c r="DC6" s="9" t="s">
        <v>1363</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1028</v>
      </c>
      <c r="CY7" s="5">
        <v>1</v>
      </c>
      <c r="CZ7" s="11" t="s">
        <v>1187</v>
      </c>
      <c r="DA7" s="11" t="s">
        <v>1364</v>
      </c>
      <c r="DB7" s="11" t="s">
        <v>1365</v>
      </c>
      <c r="DC7" s="11" t="s">
        <v>1366</v>
      </c>
      <c r="DD7" s="11" t="s">
        <v>1367</v>
      </c>
      <c r="DE7" s="11" t="s">
        <v>1368</v>
      </c>
      <c r="DF7" s="11" t="s">
        <v>1369</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1028</v>
      </c>
      <c r="CY8" s="5">
        <v>2</v>
      </c>
      <c r="CZ8" s="11" t="s">
        <v>1188</v>
      </c>
      <c r="DA8" s="11" t="s">
        <v>1370</v>
      </c>
      <c r="DB8" s="11" t="s">
        <v>1371</v>
      </c>
      <c r="DC8" s="11" t="s">
        <v>1372</v>
      </c>
      <c r="DD8" s="11" t="s">
        <v>1373</v>
      </c>
      <c r="DE8" s="11" t="s">
        <v>1374</v>
      </c>
      <c r="DF8" s="11" t="s">
        <v>1375</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1028</v>
      </c>
      <c r="CY9" s="5">
        <v>3</v>
      </c>
      <c r="CZ9" s="11" t="s">
        <v>1153</v>
      </c>
      <c r="DA9" s="11" t="s">
        <v>1376</v>
      </c>
      <c r="DB9" s="11"/>
      <c r="DC9" s="11" t="s">
        <v>1377</v>
      </c>
      <c r="DD9" s="11" t="s">
        <v>1378</v>
      </c>
      <c r="DE9" s="11" t="s">
        <v>1379</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1028</v>
      </c>
      <c r="CY10" s="5">
        <v>4</v>
      </c>
      <c r="CZ10" s="11" t="s">
        <v>1122</v>
      </c>
      <c r="DA10" s="11" t="s">
        <v>1380</v>
      </c>
      <c r="DB10" s="11" t="s">
        <v>1381</v>
      </c>
      <c r="DC10" s="11" t="s">
        <v>1382</v>
      </c>
      <c r="DD10" s="11" t="s">
        <v>1383</v>
      </c>
      <c r="DE10" s="11" t="s">
        <v>1384</v>
      </c>
      <c r="DF10" s="11" t="s">
        <v>1385</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1028</v>
      </c>
      <c r="CY11" s="5">
        <v>5</v>
      </c>
      <c r="CZ11" s="11" t="s">
        <v>1127</v>
      </c>
      <c r="DA11" s="11" t="s">
        <v>1386</v>
      </c>
      <c r="DB11" s="11" t="s">
        <v>1387</v>
      </c>
      <c r="DC11" s="11" t="s">
        <v>1388</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1028</v>
      </c>
      <c r="CY12" s="5">
        <v>6</v>
      </c>
      <c r="CZ12" s="11" t="s">
        <v>1155</v>
      </c>
      <c r="DA12" s="11" t="s">
        <v>1389</v>
      </c>
      <c r="DB12" s="11"/>
      <c r="DC12" s="11" t="s">
        <v>1390</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1028</v>
      </c>
      <c r="CY13" s="5">
        <v>7</v>
      </c>
      <c r="CZ13" s="11" t="s">
        <v>1157</v>
      </c>
      <c r="DA13" s="11" t="s">
        <v>1391</v>
      </c>
      <c r="DB13" s="11"/>
      <c r="DC13" s="11" t="s">
        <v>1392</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1031</v>
      </c>
      <c r="CY14" s="5">
        <v>1</v>
      </c>
      <c r="CZ14" s="11" t="s">
        <v>1103</v>
      </c>
      <c r="DA14" s="11" t="s">
        <v>1393</v>
      </c>
      <c r="DB14" s="11"/>
      <c r="DC14" s="11" t="s">
        <v>1394</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1031</v>
      </c>
      <c r="CY15" s="5">
        <v>2</v>
      </c>
      <c r="CZ15" s="11" t="s">
        <v>1144</v>
      </c>
      <c r="DA15" s="11" t="s">
        <v>1395</v>
      </c>
      <c r="DB15" s="11"/>
      <c r="DC15" s="11" t="s">
        <v>1396</v>
      </c>
      <c r="DD15" s="11" t="s">
        <v>1397</v>
      </c>
      <c r="DE15" s="11" t="s">
        <v>1398</v>
      </c>
      <c r="DF15" s="11" t="s">
        <v>1399</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1031</v>
      </c>
      <c r="CY16" s="5">
        <v>3</v>
      </c>
      <c r="CZ16" s="11" t="s">
        <v>1202</v>
      </c>
      <c r="DA16" s="11" t="s">
        <v>1400</v>
      </c>
      <c r="DB16" s="11"/>
      <c r="DC16" s="11" t="s">
        <v>1401</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1031</v>
      </c>
      <c r="CY17" s="5">
        <v>4</v>
      </c>
      <c r="CZ17" s="11" t="s">
        <v>1204</v>
      </c>
      <c r="DA17" s="11" t="s">
        <v>1402</v>
      </c>
      <c r="DB17" s="11" t="s">
        <v>1403</v>
      </c>
      <c r="DC17" s="11" t="s">
        <v>1404</v>
      </c>
      <c r="DD17" s="11" t="s">
        <v>1405</v>
      </c>
      <c r="DE17" s="11" t="s">
        <v>1406</v>
      </c>
      <c r="DF17" s="11" t="s">
        <v>1407</v>
      </c>
      <c r="DG17" s="11" t="s">
        <v>1408</v>
      </c>
      <c r="DH17" s="11" t="s">
        <v>1409</v>
      </c>
      <c r="DI17" s="11" t="s">
        <v>1410</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1031</v>
      </c>
      <c r="CY18" s="5">
        <v>5</v>
      </c>
      <c r="CZ18" s="11" t="s">
        <v>1206</v>
      </c>
      <c r="DA18" s="11" t="s">
        <v>1411</v>
      </c>
      <c r="DB18" s="11" t="s">
        <v>1412</v>
      </c>
      <c r="DC18" s="11" t="s">
        <v>1413</v>
      </c>
      <c r="DD18" s="11" t="s">
        <v>1414</v>
      </c>
      <c r="DE18" s="11" t="s">
        <v>1415</v>
      </c>
      <c r="DF18" s="11" t="s">
        <v>1416</v>
      </c>
      <c r="DG18" s="11" t="s">
        <v>1417</v>
      </c>
      <c r="DH18" s="11" t="s">
        <v>1418</v>
      </c>
      <c r="DI18" s="11" t="s">
        <v>1419</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1031</v>
      </c>
      <c r="CY19" s="5">
        <v>6</v>
      </c>
      <c r="CZ19" s="11" t="s">
        <v>1208</v>
      </c>
      <c r="DA19" s="11" t="s">
        <v>1420</v>
      </c>
      <c r="DB19" s="11"/>
      <c r="DC19" s="11" t="s">
        <v>1421</v>
      </c>
      <c r="DD19" s="11" t="s">
        <v>1422</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IF(OR(ISNUMBER(D56),ISNUMBER(D54),ISNUMBER(D55)),1,0)</f>
        <v>0</v>
      </c>
      <c r="E38" s="5">
        <f>IF(OR(ISNUMBER(E56),ISNUMBER(E54),ISNUMBER(E55)),2,0)</f>
        <v>0</v>
      </c>
      <c r="F38" s="5">
        <f>IF(OR(ISNUMBER(F56),ISNUMBER(F54),ISNUMBER(F55)),3,0)</f>
        <v>0</v>
      </c>
      <c r="G38" s="5">
        <f>IF(OR(ISNUMBER(G56),ISNUMBER(G54),ISNUMBER(G55)),4,0)</f>
        <v>0</v>
      </c>
      <c r="H38" s="5">
        <f>IF(OR(ISNUMBER(H56),ISNUMBER(H54),ISNUMBER(H55)),5,0)</f>
        <v>0</v>
      </c>
      <c r="I38" s="5">
        <f>IF(OR(ISNUMBER(I56),ISNUMBER(I54),ISNUMBER(I55)),6,0)</f>
        <v>0</v>
      </c>
      <c r="J38" s="5">
        <f>IF(OR(ISNUMBER(J56),ISNUMBER(J54),ISNUMBER(J55)),7,0)</f>
        <v>0</v>
      </c>
      <c r="K38" s="5">
        <f>IF(OR(ISNUMBER(K56),ISNUMBER(K54),ISNUMBER(K55)),8,0)</f>
        <v>0</v>
      </c>
      <c r="L38" s="5">
        <f>IF(OR(ISNUMBER(L56),ISNUMBER(L54),ISNUMBER(L55)),9,0)</f>
        <v>0</v>
      </c>
      <c r="M38" s="5">
        <f>IF(OR(ISNUMBER(M56),ISNUMBER(M54),ISNUMBER(M55)),10,0)</f>
        <v>0</v>
      </c>
      <c r="N38" s="5">
        <f>IF(OR(ISNUMBER(N56),ISNUMBER(N54),ISNUMBER(N55)),11,0)</f>
        <v>0</v>
      </c>
      <c r="O38" s="5">
        <f>IF(OR(ISNUMBER(O56),ISNUMBER(O54),ISNUMBER(O55)),12,0)</f>
        <v>0</v>
      </c>
      <c r="P38" s="5">
        <f>IF(OR(ISNUMBER(P56),ISNUMBER(P54),ISNUMBER(P55)),13,0)</f>
        <v>0</v>
      </c>
      <c r="Q38" s="5">
        <f>IF(OR(ISNUMBER(Q56),ISNUMBER(Q54),ISNUMBER(Q55)),14,0)</f>
        <v>0</v>
      </c>
      <c r="R38" s="5">
        <f>IF(OR(ISNUMBER(R56),ISNUMBER(R54),ISNUMBER(R55)),15,0)</f>
        <v>0</v>
      </c>
      <c r="S38" s="5">
        <f>IF(OR(ISNUMBER(S56),ISNUMBER(S54),ISNUMBER(S55)),16,0)</f>
        <v>0</v>
      </c>
      <c r="T38" s="5">
        <f>IF(OR(ISNUMBER(T56),ISNUMBER(T54),ISNUMBER(T55)),17,0)</f>
        <v>0</v>
      </c>
      <c r="U38" s="5">
        <f>IF(OR(ISNUMBER(U56),ISNUMBER(U54),ISNUMBER(U55)),18,0)</f>
        <v>0</v>
      </c>
      <c r="V38" s="5">
        <f>IF(OR(ISNUMBER(V56),ISNUMBER(V54),ISNUMBER(V55)),19,0)</f>
        <v>0</v>
      </c>
      <c r="W38" s="5">
        <f>IF(OR(ISNUMBER(W56),ISNUMBER(W54),ISNUMBER(W55)),20,0)</f>
        <v>0</v>
      </c>
      <c r="X38" s="5">
        <f>IF(OR(ISNUMBER(X56),ISNUMBER(X54),ISNUMBER(X55)),21,0)</f>
        <v>0</v>
      </c>
      <c r="Y38" s="5">
        <f>IF(OR(ISNUMBER(Y56),ISNUMBER(Y54),ISNUMBER(Y55)),22,0)</f>
        <v>0</v>
      </c>
      <c r="Z38" s="5">
        <f>IF(OR(ISNUMBER(Z56),ISNUMBER(Z54),ISNUMBER(Z55)),23,0)</f>
        <v>0</v>
      </c>
      <c r="AA38" s="5">
        <f>IF(OR(ISNUMBER(AA56),ISNUMBER(AA54),ISNUMBER(AA55)),24,0)</f>
        <v>0</v>
      </c>
      <c r="AB38" s="5">
        <f>IF(OR(ISNUMBER(AB56),ISNUMBER(AB54),ISNUMBER(AB55)),25,0)</f>
        <v>0</v>
      </c>
      <c r="AC38" s="5">
        <f>IF(OR(ISNUMBER(AC56),ISNUMBER(AC54),ISNUMBER(AC55)),26,0)</f>
        <v>0</v>
      </c>
      <c r="AD38" s="5">
        <f>IF(OR(ISNUMBER(AD56),ISNUMBER(AD54),ISNUMBER(AD55)),27,0)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tr">
        <f>"Rohdaten Z. "&amp;ROW(Rohdaten!$A$91)</f>
        <v>Rohdaten Z. 91</v>
      </c>
      <c r="D51" s="5">
        <f>IFERROR(IF(ISNUMBER(INDEX(Rohdaten!$A$91:$LJ$91,MATCH(D$4,RD_Kopf,0))),INDEX(Rohdaten!$A$91:$LJ$91,MATCH(D$4,RD_Kopf,0)),NA()),NA())</f>
        <v>0</v>
      </c>
      <c r="E51" s="5">
        <f>IFERROR(IF(ISNUMBER(INDEX(Rohdaten!$A$91:$LJ$91,MATCH(E$4,RD_Kopf,0))),INDEX(Rohdaten!$A$91:$LJ$91,MATCH(E$4,RD_Kopf,0)),NA()),NA())</f>
        <v>0</v>
      </c>
      <c r="F51" s="5">
        <f>IFERROR(IF(ISNUMBER(INDEX(Rohdaten!$A$91:$LJ$91,MATCH(F$4,RD_Kopf,0))),INDEX(Rohdaten!$A$91:$LJ$91,MATCH(F$4,RD_Kopf,0)),NA()),NA())</f>
        <v>0</v>
      </c>
      <c r="G51" s="5">
        <f>IFERROR(IF(ISNUMBER(INDEX(Rohdaten!$A$91:$LJ$91,MATCH(G$4,RD_Kopf,0))),INDEX(Rohdaten!$A$91:$LJ$91,MATCH(G$4,RD_Kopf,0)),NA()),NA())</f>
        <v>0</v>
      </c>
      <c r="H51" s="5">
        <f>IFERROR(IF(ISNUMBER(INDEX(Rohdaten!$A$91:$LJ$91,MATCH(H$4,RD_Kopf,0))),INDEX(Rohdaten!$A$91:$LJ$91,MATCH(H$4,RD_Kopf,0)),NA()),NA())</f>
        <v>0</v>
      </c>
      <c r="I51" s="5">
        <f>IFERROR(IF(ISNUMBER(INDEX(Rohdaten!$A$91:$LJ$91,MATCH(I$4,RD_Kopf,0))),INDEX(Rohdaten!$A$91:$LJ$91,MATCH(I$4,RD_Kopf,0)),NA()),NA())</f>
        <v>0</v>
      </c>
      <c r="J51" s="5">
        <f>IFERROR(IF(ISNUMBER(INDEX(Rohdaten!$A$91:$LJ$91,MATCH(J$4,RD_Kopf,0))),INDEX(Rohdaten!$A$91:$LJ$91,MATCH(J$4,RD_Kopf,0)),NA()),NA())</f>
        <v>0</v>
      </c>
      <c r="K51" s="5">
        <f>IFERROR(IF(ISNUMBER(INDEX(Rohdaten!$A$91:$LJ$91,MATCH(K$4,RD_Kopf,0))),INDEX(Rohdaten!$A$91:$LJ$91,MATCH(K$4,RD_Kopf,0)),NA()),NA())</f>
        <v>0</v>
      </c>
      <c r="L51" s="5">
        <f>IFERROR(IF(ISNUMBER(INDEX(Rohdaten!$A$91:$LJ$91,MATCH(L$4,RD_Kopf,0))),INDEX(Rohdaten!$A$91:$LJ$91,MATCH(L$4,RD_Kopf,0)),NA()),NA())</f>
        <v>0</v>
      </c>
      <c r="M51" s="5">
        <f>IFERROR(IF(ISNUMBER(INDEX(Rohdaten!$A$91:$LJ$91,MATCH(M$4,RD_Kopf,0))),INDEX(Rohdaten!$A$91:$LJ$91,MATCH(M$4,RD_Kopf,0)),NA()),NA())</f>
        <v>0</v>
      </c>
      <c r="N51" s="5">
        <f>IFERROR(IF(ISNUMBER(INDEX(Rohdaten!$A$91:$LJ$91,MATCH(N$4,RD_Kopf,0))),INDEX(Rohdaten!$A$91:$LJ$91,MATCH(N$4,RD_Kopf,0)),NA()),NA())</f>
        <v>0</v>
      </c>
      <c r="O51" s="5">
        <f>IFERROR(IF(ISNUMBER(INDEX(Rohdaten!$A$91:$LJ$91,MATCH(O$4,RD_Kopf,0))),INDEX(Rohdaten!$A$91:$LJ$91,MATCH(O$4,RD_Kopf,0)),NA()),NA())</f>
        <v>0</v>
      </c>
      <c r="P51" s="5">
        <f>IFERROR(IF(ISNUMBER(INDEX(Rohdaten!$A$91:$LJ$91,MATCH(P$4,RD_Kopf,0))),INDEX(Rohdaten!$A$91:$LJ$91,MATCH(P$4,RD_Kopf,0)),NA()),NA())</f>
        <v>0</v>
      </c>
      <c r="Q51" s="5">
        <f>IFERROR(IF(ISNUMBER(INDEX(Rohdaten!$A$91:$LJ$91,MATCH(Q$4,RD_Kopf,0))),INDEX(Rohdaten!$A$91:$LJ$91,MATCH(Q$4,RD_Kopf,0)),NA()),NA())</f>
        <v>0</v>
      </c>
      <c r="R51" s="5">
        <f>IFERROR(IF(ISNUMBER(INDEX(Rohdaten!$A$91:$LJ$91,MATCH(R$4,RD_Kopf,0))),INDEX(Rohdaten!$A$91:$LJ$91,MATCH(R$4,RD_Kopf,0)),NA()),NA())</f>
        <v>0</v>
      </c>
      <c r="S51" s="5">
        <f>IFERROR(IF(ISNUMBER(INDEX(Rohdaten!$A$91:$LJ$91,MATCH(S$4,RD_Kopf,0))),INDEX(Rohdaten!$A$91:$LJ$91,MATCH(S$4,RD_Kopf,0)),NA()),NA())</f>
        <v>0</v>
      </c>
      <c r="T51" s="5">
        <f>IFERROR(IF(ISNUMBER(INDEX(Rohdaten!$A$91:$LJ$91,MATCH(T$4,RD_Kopf,0))),INDEX(Rohdaten!$A$91:$LJ$91,MATCH(T$4,RD_Kopf,0)),NA()),NA())</f>
        <v>0</v>
      </c>
      <c r="U51" s="5">
        <f>IFERROR(IF(ISNUMBER(INDEX(Rohdaten!$A$91:$LJ$91,MATCH(U$4,RD_Kopf,0))),INDEX(Rohdaten!$A$91:$LJ$91,MATCH(U$4,RD_Kopf,0)),NA()),NA())</f>
        <v>0</v>
      </c>
      <c r="V51" s="5">
        <f>IFERROR(IF(ISNUMBER(INDEX(Rohdaten!$A$91:$LJ$91,MATCH(V$4,RD_Kopf,0))),INDEX(Rohdaten!$A$91:$LJ$91,MATCH(V$4,RD_Kopf,0)),NA()),NA())</f>
        <v>0</v>
      </c>
      <c r="W51" s="5">
        <f>IFERROR(IF(ISNUMBER(INDEX(Rohdaten!$A$91:$LJ$91,MATCH(W$4,RD_Kopf,0))),INDEX(Rohdaten!$A$91:$LJ$91,MATCH(W$4,RD_Kopf,0)),NA()),NA())</f>
        <v>0</v>
      </c>
      <c r="X51" s="5">
        <f>IFERROR(IF(ISNUMBER(INDEX(Rohdaten!$A$91:$LJ$91,MATCH(X$4,RD_Kopf,0))),INDEX(Rohdaten!$A$91:$LJ$91,MATCH(X$4,RD_Kopf,0)),NA()),NA())</f>
        <v>0</v>
      </c>
      <c r="Y51" s="5">
        <f>IFERROR(IF(ISNUMBER(INDEX(Rohdaten!$A$91:$LJ$91,MATCH(Y$4,RD_Kopf,0))),INDEX(Rohdaten!$A$91:$LJ$91,MATCH(Y$4,RD_Kopf,0)),NA()),NA())</f>
        <v>0</v>
      </c>
      <c r="Z51" s="5">
        <f>IFERROR(IF(ISNUMBER(INDEX(Rohdaten!$A$91:$LJ$91,MATCH(Z$4,RD_Kopf,0))),INDEX(Rohdaten!$A$91:$LJ$91,MATCH(Z$4,RD_Kopf,0)),NA()),NA())</f>
        <v>0</v>
      </c>
      <c r="AA51" s="5">
        <f>IFERROR(IF(ISNUMBER(INDEX(Rohdaten!$A$91:$LJ$91,MATCH(AA$4,RD_Kopf,0))),INDEX(Rohdaten!$A$91:$LJ$91,MATCH(AA$4,RD_Kopf,0)),NA()),NA())</f>
        <v>0</v>
      </c>
      <c r="AB51" s="5">
        <f>IFERROR(IF(ISNUMBER(INDEX(Rohdaten!$A$91:$LJ$91,MATCH(AB$4,RD_Kopf,0))),INDEX(Rohdaten!$A$91:$LJ$91,MATCH(AB$4,RD_Kopf,0)),NA()),NA())</f>
        <v>0</v>
      </c>
      <c r="AC51" s="5">
        <f>IFERROR(IF(ISNUMBER(INDEX(Rohdaten!$A$91:$LJ$91,MATCH(AC$4,RD_Kopf,0))),INDEX(Rohdaten!$A$91:$LJ$91,MATCH(AC$4,RD_Kopf,0)),NA()),NA())</f>
        <v>0</v>
      </c>
      <c r="AD51" s="5">
        <f>IFERROR(IF(ISNUMBER(INDEX(Rohdaten!$A$91:$LJ$91,MATCH(AD$4,RD_Kopf,0))),INDEX(Rohdaten!$A$91:$LJ$91,MATCH(AD$4,RD_Kopf,0)),NA()),NA())</f>
        <v>0</v>
      </c>
    </row>
    <row r="52" spans="1:68">
      <c r="A52" s="11" t="s">
        <v>167</v>
      </c>
      <c r="B52" s="11" t="s">
        <v>168</v>
      </c>
      <c r="C52" s="3" t="str">
        <f>"Rohdaten Z. "&amp;ROW(Rohdaten!$A$95)</f>
        <v>Rohdaten Z. 95</v>
      </c>
      <c r="D52" s="5">
        <f>IFERROR(IF(ISNUMBER(INDEX(Rohdaten!$A$95:$LJ$95,MATCH(D$4,RD_Kopf,0))),INDEX(Rohdaten!$A$95:$LJ$95,MATCH(D$4,RD_Kopf,0)),NA()),NA())</f>
        <v>0</v>
      </c>
      <c r="E52" s="5">
        <f>IFERROR(IF(ISNUMBER(INDEX(Rohdaten!$A$95:$LJ$95,MATCH(E$4,RD_Kopf,0))),INDEX(Rohdaten!$A$95:$LJ$95,MATCH(E$4,RD_Kopf,0)),NA()),NA())</f>
        <v>0</v>
      </c>
      <c r="F52" s="5">
        <f>IFERROR(IF(ISNUMBER(INDEX(Rohdaten!$A$95:$LJ$95,MATCH(F$4,RD_Kopf,0))),INDEX(Rohdaten!$A$95:$LJ$95,MATCH(F$4,RD_Kopf,0)),NA()),NA())</f>
        <v>0</v>
      </c>
      <c r="G52" s="5">
        <f>IFERROR(IF(ISNUMBER(INDEX(Rohdaten!$A$95:$LJ$95,MATCH(G$4,RD_Kopf,0))),INDEX(Rohdaten!$A$95:$LJ$95,MATCH(G$4,RD_Kopf,0)),NA()),NA())</f>
        <v>0</v>
      </c>
      <c r="H52" s="5">
        <f>IFERROR(IF(ISNUMBER(INDEX(Rohdaten!$A$95:$LJ$95,MATCH(H$4,RD_Kopf,0))),INDEX(Rohdaten!$A$95:$LJ$95,MATCH(H$4,RD_Kopf,0)),NA()),NA())</f>
        <v>0</v>
      </c>
      <c r="I52" s="5">
        <f>IFERROR(IF(ISNUMBER(INDEX(Rohdaten!$A$95:$LJ$95,MATCH(I$4,RD_Kopf,0))),INDEX(Rohdaten!$A$95:$LJ$95,MATCH(I$4,RD_Kopf,0)),NA()),NA())</f>
        <v>0</v>
      </c>
      <c r="J52" s="5">
        <f>IFERROR(IF(ISNUMBER(INDEX(Rohdaten!$A$95:$LJ$95,MATCH(J$4,RD_Kopf,0))),INDEX(Rohdaten!$A$95:$LJ$95,MATCH(J$4,RD_Kopf,0)),NA()),NA())</f>
        <v>0</v>
      </c>
      <c r="K52" s="5">
        <f>IFERROR(IF(ISNUMBER(INDEX(Rohdaten!$A$95:$LJ$95,MATCH(K$4,RD_Kopf,0))),INDEX(Rohdaten!$A$95:$LJ$95,MATCH(K$4,RD_Kopf,0)),NA()),NA())</f>
        <v>0</v>
      </c>
      <c r="L52" s="5">
        <f>IFERROR(IF(ISNUMBER(INDEX(Rohdaten!$A$95:$LJ$95,MATCH(L$4,RD_Kopf,0))),INDEX(Rohdaten!$A$95:$LJ$95,MATCH(L$4,RD_Kopf,0)),NA()),NA())</f>
        <v>0</v>
      </c>
      <c r="M52" s="5">
        <f>IFERROR(IF(ISNUMBER(INDEX(Rohdaten!$A$95:$LJ$95,MATCH(M$4,RD_Kopf,0))),INDEX(Rohdaten!$A$95:$LJ$95,MATCH(M$4,RD_Kopf,0)),NA()),NA())</f>
        <v>0</v>
      </c>
      <c r="N52" s="5">
        <f>IFERROR(IF(ISNUMBER(INDEX(Rohdaten!$A$95:$LJ$95,MATCH(N$4,RD_Kopf,0))),INDEX(Rohdaten!$A$95:$LJ$95,MATCH(N$4,RD_Kopf,0)),NA()),NA())</f>
        <v>0</v>
      </c>
      <c r="O52" s="5">
        <f>IFERROR(IF(ISNUMBER(INDEX(Rohdaten!$A$95:$LJ$95,MATCH(O$4,RD_Kopf,0))),INDEX(Rohdaten!$A$95:$LJ$95,MATCH(O$4,RD_Kopf,0)),NA()),NA())</f>
        <v>0</v>
      </c>
      <c r="P52" s="5">
        <f>IFERROR(IF(ISNUMBER(INDEX(Rohdaten!$A$95:$LJ$95,MATCH(P$4,RD_Kopf,0))),INDEX(Rohdaten!$A$95:$LJ$95,MATCH(P$4,RD_Kopf,0)),NA()),NA())</f>
        <v>0</v>
      </c>
      <c r="Q52" s="5">
        <f>IFERROR(IF(ISNUMBER(INDEX(Rohdaten!$A$95:$LJ$95,MATCH(Q$4,RD_Kopf,0))),INDEX(Rohdaten!$A$95:$LJ$95,MATCH(Q$4,RD_Kopf,0)),NA()),NA())</f>
        <v>0</v>
      </c>
      <c r="R52" s="5">
        <f>IFERROR(IF(ISNUMBER(INDEX(Rohdaten!$A$95:$LJ$95,MATCH(R$4,RD_Kopf,0))),INDEX(Rohdaten!$A$95:$LJ$95,MATCH(R$4,RD_Kopf,0)),NA()),NA())</f>
        <v>0</v>
      </c>
      <c r="S52" s="5">
        <f>IFERROR(IF(ISNUMBER(INDEX(Rohdaten!$A$95:$LJ$95,MATCH(S$4,RD_Kopf,0))),INDEX(Rohdaten!$A$95:$LJ$95,MATCH(S$4,RD_Kopf,0)),NA()),NA())</f>
        <v>0</v>
      </c>
      <c r="T52" s="5">
        <f>IFERROR(IF(ISNUMBER(INDEX(Rohdaten!$A$95:$LJ$95,MATCH(T$4,RD_Kopf,0))),INDEX(Rohdaten!$A$95:$LJ$95,MATCH(T$4,RD_Kopf,0)),NA()),NA())</f>
        <v>0</v>
      </c>
      <c r="U52" s="5">
        <f>IFERROR(IF(ISNUMBER(INDEX(Rohdaten!$A$95:$LJ$95,MATCH(U$4,RD_Kopf,0))),INDEX(Rohdaten!$A$95:$LJ$95,MATCH(U$4,RD_Kopf,0)),NA()),NA())</f>
        <v>0</v>
      </c>
      <c r="V52" s="5">
        <f>IFERROR(IF(ISNUMBER(INDEX(Rohdaten!$A$95:$LJ$95,MATCH(V$4,RD_Kopf,0))),INDEX(Rohdaten!$A$95:$LJ$95,MATCH(V$4,RD_Kopf,0)),NA()),NA())</f>
        <v>0</v>
      </c>
      <c r="W52" s="5">
        <f>IFERROR(IF(ISNUMBER(INDEX(Rohdaten!$A$95:$LJ$95,MATCH(W$4,RD_Kopf,0))),INDEX(Rohdaten!$A$95:$LJ$95,MATCH(W$4,RD_Kopf,0)),NA()),NA())</f>
        <v>0</v>
      </c>
      <c r="X52" s="5">
        <f>IFERROR(IF(ISNUMBER(INDEX(Rohdaten!$A$95:$LJ$95,MATCH(X$4,RD_Kopf,0))),INDEX(Rohdaten!$A$95:$LJ$95,MATCH(X$4,RD_Kopf,0)),NA()),NA())</f>
        <v>0</v>
      </c>
      <c r="Y52" s="5">
        <f>IFERROR(IF(ISNUMBER(INDEX(Rohdaten!$A$95:$LJ$95,MATCH(Y$4,RD_Kopf,0))),INDEX(Rohdaten!$A$95:$LJ$95,MATCH(Y$4,RD_Kopf,0)),NA()),NA())</f>
        <v>0</v>
      </c>
      <c r="Z52" s="5">
        <f>IFERROR(IF(ISNUMBER(INDEX(Rohdaten!$A$95:$LJ$95,MATCH(Z$4,RD_Kopf,0))),INDEX(Rohdaten!$A$95:$LJ$95,MATCH(Z$4,RD_Kopf,0)),NA()),NA())</f>
        <v>0</v>
      </c>
      <c r="AA52" s="5">
        <f>IFERROR(IF(ISNUMBER(INDEX(Rohdaten!$A$95:$LJ$95,MATCH(AA$4,RD_Kopf,0))),INDEX(Rohdaten!$A$95:$LJ$95,MATCH(AA$4,RD_Kopf,0)),NA()),NA())</f>
        <v>0</v>
      </c>
      <c r="AB52" s="5">
        <f>IFERROR(IF(ISNUMBER(INDEX(Rohdaten!$A$95:$LJ$95,MATCH(AB$4,RD_Kopf,0))),INDEX(Rohdaten!$A$95:$LJ$95,MATCH(AB$4,RD_Kopf,0)),NA()),NA())</f>
        <v>0</v>
      </c>
      <c r="AC52" s="5">
        <f>IFERROR(IF(ISNUMBER(INDEX(Rohdaten!$A$95:$LJ$95,MATCH(AC$4,RD_Kopf,0))),INDEX(Rohdaten!$A$95:$LJ$95,MATCH(AC$4,RD_Kopf,0)),NA()),NA())</f>
        <v>0</v>
      </c>
      <c r="AD52" s="5">
        <f>IFERROR(IF(ISNUMBER(INDEX(Rohdaten!$A$95:$LJ$95,MATCH(AD$4,RD_Kopf,0))),INDEX(Rohdaten!$A$95:$LJ$95,MATCH(AD$4,RD_Kopf,0)),NA()),NA())</f>
        <v>0</v>
      </c>
    </row>
    <row r="53" spans="1:68">
      <c r="A53" s="11" t="s">
        <v>169</v>
      </c>
      <c r="B53" s="11" t="s">
        <v>170</v>
      </c>
      <c r="C53" s="3" t="str">
        <f>"Rohdaten Z. "&amp;ROW(Rohdaten!$A$99)</f>
        <v>Rohdaten Z. 99</v>
      </c>
      <c r="D53" s="5">
        <f>IFERROR(IF(ISNUMBER(INDEX(Rohdaten!$A$99:$LJ$99,MATCH(D$4,RD_Kopf,0))),INDEX(Rohdaten!$A$99:$LJ$99,MATCH(D$4,RD_Kopf,0)),NA()),NA())</f>
        <v>0</v>
      </c>
      <c r="E53" s="5">
        <f>IFERROR(IF(ISNUMBER(INDEX(Rohdaten!$A$99:$LJ$99,MATCH(E$4,RD_Kopf,0))),INDEX(Rohdaten!$A$99:$LJ$99,MATCH(E$4,RD_Kopf,0)),NA()),NA())</f>
        <v>0</v>
      </c>
      <c r="F53" s="5">
        <f>IFERROR(IF(ISNUMBER(INDEX(Rohdaten!$A$99:$LJ$99,MATCH(F$4,RD_Kopf,0))),INDEX(Rohdaten!$A$99:$LJ$99,MATCH(F$4,RD_Kopf,0)),NA()),NA())</f>
        <v>0</v>
      </c>
      <c r="G53" s="5">
        <f>IFERROR(IF(ISNUMBER(INDEX(Rohdaten!$A$99:$LJ$99,MATCH(G$4,RD_Kopf,0))),INDEX(Rohdaten!$A$99:$LJ$99,MATCH(G$4,RD_Kopf,0)),NA()),NA())</f>
        <v>0</v>
      </c>
      <c r="H53" s="5">
        <f>IFERROR(IF(ISNUMBER(INDEX(Rohdaten!$A$99:$LJ$99,MATCH(H$4,RD_Kopf,0))),INDEX(Rohdaten!$A$99:$LJ$99,MATCH(H$4,RD_Kopf,0)),NA()),NA())</f>
        <v>0</v>
      </c>
      <c r="I53" s="5">
        <f>IFERROR(IF(ISNUMBER(INDEX(Rohdaten!$A$99:$LJ$99,MATCH(I$4,RD_Kopf,0))),INDEX(Rohdaten!$A$99:$LJ$99,MATCH(I$4,RD_Kopf,0)),NA()),NA())</f>
        <v>0</v>
      </c>
      <c r="J53" s="5">
        <f>IFERROR(IF(ISNUMBER(INDEX(Rohdaten!$A$99:$LJ$99,MATCH(J$4,RD_Kopf,0))),INDEX(Rohdaten!$A$99:$LJ$99,MATCH(J$4,RD_Kopf,0)),NA()),NA())</f>
        <v>0</v>
      </c>
      <c r="K53" s="5">
        <f>IFERROR(IF(ISNUMBER(INDEX(Rohdaten!$A$99:$LJ$99,MATCH(K$4,RD_Kopf,0))),INDEX(Rohdaten!$A$99:$LJ$99,MATCH(K$4,RD_Kopf,0)),NA()),NA())</f>
        <v>0</v>
      </c>
      <c r="L53" s="5">
        <f>IFERROR(IF(ISNUMBER(INDEX(Rohdaten!$A$99:$LJ$99,MATCH(L$4,RD_Kopf,0))),INDEX(Rohdaten!$A$99:$LJ$99,MATCH(L$4,RD_Kopf,0)),NA()),NA())</f>
        <v>0</v>
      </c>
      <c r="M53" s="5">
        <f>IFERROR(IF(ISNUMBER(INDEX(Rohdaten!$A$99:$LJ$99,MATCH(M$4,RD_Kopf,0))),INDEX(Rohdaten!$A$99:$LJ$99,MATCH(M$4,RD_Kopf,0)),NA()),NA())</f>
        <v>0</v>
      </c>
      <c r="N53" s="5">
        <f>IFERROR(IF(ISNUMBER(INDEX(Rohdaten!$A$99:$LJ$99,MATCH(N$4,RD_Kopf,0))),INDEX(Rohdaten!$A$99:$LJ$99,MATCH(N$4,RD_Kopf,0)),NA()),NA())</f>
        <v>0</v>
      </c>
      <c r="O53" s="5">
        <f>IFERROR(IF(ISNUMBER(INDEX(Rohdaten!$A$99:$LJ$99,MATCH(O$4,RD_Kopf,0))),INDEX(Rohdaten!$A$99:$LJ$99,MATCH(O$4,RD_Kopf,0)),NA()),NA())</f>
        <v>0</v>
      </c>
      <c r="P53" s="5">
        <f>IFERROR(IF(ISNUMBER(INDEX(Rohdaten!$A$99:$LJ$99,MATCH(P$4,RD_Kopf,0))),INDEX(Rohdaten!$A$99:$LJ$99,MATCH(P$4,RD_Kopf,0)),NA()),NA())</f>
        <v>0</v>
      </c>
      <c r="Q53" s="5">
        <f>IFERROR(IF(ISNUMBER(INDEX(Rohdaten!$A$99:$LJ$99,MATCH(Q$4,RD_Kopf,0))),INDEX(Rohdaten!$A$99:$LJ$99,MATCH(Q$4,RD_Kopf,0)),NA()),NA())</f>
        <v>0</v>
      </c>
      <c r="R53" s="5">
        <f>IFERROR(IF(ISNUMBER(INDEX(Rohdaten!$A$99:$LJ$99,MATCH(R$4,RD_Kopf,0))),INDEX(Rohdaten!$A$99:$LJ$99,MATCH(R$4,RD_Kopf,0)),NA()),NA())</f>
        <v>0</v>
      </c>
      <c r="S53" s="5">
        <f>IFERROR(IF(ISNUMBER(INDEX(Rohdaten!$A$99:$LJ$99,MATCH(S$4,RD_Kopf,0))),INDEX(Rohdaten!$A$99:$LJ$99,MATCH(S$4,RD_Kopf,0)),NA()),NA())</f>
        <v>0</v>
      </c>
      <c r="T53" s="5">
        <f>IFERROR(IF(ISNUMBER(INDEX(Rohdaten!$A$99:$LJ$99,MATCH(T$4,RD_Kopf,0))),INDEX(Rohdaten!$A$99:$LJ$99,MATCH(T$4,RD_Kopf,0)),NA()),NA())</f>
        <v>0</v>
      </c>
      <c r="U53" s="5">
        <f>IFERROR(IF(ISNUMBER(INDEX(Rohdaten!$A$99:$LJ$99,MATCH(U$4,RD_Kopf,0))),INDEX(Rohdaten!$A$99:$LJ$99,MATCH(U$4,RD_Kopf,0)),NA()),NA())</f>
        <v>0</v>
      </c>
      <c r="V53" s="5">
        <f>IFERROR(IF(ISNUMBER(INDEX(Rohdaten!$A$99:$LJ$99,MATCH(V$4,RD_Kopf,0))),INDEX(Rohdaten!$A$99:$LJ$99,MATCH(V$4,RD_Kopf,0)),NA()),NA())</f>
        <v>0</v>
      </c>
      <c r="W53" s="5">
        <f>IFERROR(IF(ISNUMBER(INDEX(Rohdaten!$A$99:$LJ$99,MATCH(W$4,RD_Kopf,0))),INDEX(Rohdaten!$A$99:$LJ$99,MATCH(W$4,RD_Kopf,0)),NA()),NA())</f>
        <v>0</v>
      </c>
      <c r="X53" s="5">
        <f>IFERROR(IF(ISNUMBER(INDEX(Rohdaten!$A$99:$LJ$99,MATCH(X$4,RD_Kopf,0))),INDEX(Rohdaten!$A$99:$LJ$99,MATCH(X$4,RD_Kopf,0)),NA()),NA())</f>
        <v>0</v>
      </c>
      <c r="Y53" s="5">
        <f>IFERROR(IF(ISNUMBER(INDEX(Rohdaten!$A$99:$LJ$99,MATCH(Y$4,RD_Kopf,0))),INDEX(Rohdaten!$A$99:$LJ$99,MATCH(Y$4,RD_Kopf,0)),NA()),NA())</f>
        <v>0</v>
      </c>
      <c r="Z53" s="5">
        <f>IFERROR(IF(ISNUMBER(INDEX(Rohdaten!$A$99:$LJ$99,MATCH(Z$4,RD_Kopf,0))),INDEX(Rohdaten!$A$99:$LJ$99,MATCH(Z$4,RD_Kopf,0)),NA()),NA())</f>
        <v>0</v>
      </c>
      <c r="AA53" s="5">
        <f>IFERROR(IF(ISNUMBER(INDEX(Rohdaten!$A$99:$LJ$99,MATCH(AA$4,RD_Kopf,0))),INDEX(Rohdaten!$A$99:$LJ$99,MATCH(AA$4,RD_Kopf,0)),NA()),NA())</f>
        <v>0</v>
      </c>
      <c r="AB53" s="5">
        <f>IFERROR(IF(ISNUMBER(INDEX(Rohdaten!$A$99:$LJ$99,MATCH(AB$4,RD_Kopf,0))),INDEX(Rohdaten!$A$99:$LJ$99,MATCH(AB$4,RD_Kopf,0)),NA()),NA())</f>
        <v>0</v>
      </c>
      <c r="AC53" s="5">
        <f>IFERROR(IF(ISNUMBER(INDEX(Rohdaten!$A$99:$LJ$99,MATCH(AC$4,RD_Kopf,0))),INDEX(Rohdaten!$A$99:$LJ$99,MATCH(AC$4,RD_Kopf,0)),NA()),NA())</f>
        <v>0</v>
      </c>
      <c r="AD53" s="5">
        <f>IFERROR(IF(ISNUMBER(INDEX(Rohdaten!$A$99:$LJ$99,MATCH(AD$4,RD_Kopf,0))),INDEX(Rohdaten!$A$99:$LJ$99,MATCH(AD$4,RD_Kopf,0)),NA()),NA())</f>
        <v>0</v>
      </c>
    </row>
    <row r="54" spans="1:68">
      <c r="A54" s="11" t="s">
        <v>171</v>
      </c>
      <c r="B54" s="11" t="s">
        <v>172</v>
      </c>
      <c r="C54" s="3" t="s">
        <v>137</v>
      </c>
      <c r="D54" s="5">
        <f>IF(COUNT(D45,D47,D49)=0,IF(ISNUMBER(D52),D52,NA()),SUM(D45,D47,D49))</f>
        <v>0</v>
      </c>
      <c r="E54" s="5">
        <f>IF(COUNT(E45,E47,E49)=0,IF(ISNUMBER(E52),E52,NA()),SUM(E45,E47,E49))</f>
        <v>0</v>
      </c>
      <c r="F54" s="5">
        <f>IF(COUNT(F45,F47,F49)=0,IF(ISNUMBER(F52),F52,NA()),SUM(F45,F47,F49))</f>
        <v>0</v>
      </c>
      <c r="G54" s="5">
        <f>IF(COUNT(G45,G47,G49)=0,IF(ISNUMBER(G52),G52,NA()),SUM(G45,G47,G49))</f>
        <v>0</v>
      </c>
      <c r="H54" s="5">
        <f>IF(COUNT(H45,H47,H49)=0,IF(ISNUMBER(H52),H52,NA()),SUM(H45,H47,H49))</f>
        <v>0</v>
      </c>
      <c r="I54" s="5">
        <f>IF(COUNT(I45,I47,I49)=0,IF(ISNUMBER(I52),I52,NA()),SUM(I45,I47,I49))</f>
        <v>0</v>
      </c>
      <c r="J54" s="5">
        <f>IF(COUNT(J45,J47,J49)=0,IF(ISNUMBER(J52),J52,NA()),SUM(J45,J47,J49))</f>
        <v>0</v>
      </c>
      <c r="K54" s="5">
        <f>IF(COUNT(K45,K47,K49)=0,IF(ISNUMBER(K52),K52,NA()),SUM(K45,K47,K49))</f>
        <v>0</v>
      </c>
      <c r="L54" s="5">
        <f>IF(COUNT(L45,L47,L49)=0,IF(ISNUMBER(L52),L52,NA()),SUM(L45,L47,L49))</f>
        <v>0</v>
      </c>
      <c r="M54" s="5">
        <f>IF(COUNT(M45,M47,M49)=0,IF(ISNUMBER(M52),M52,NA()),SUM(M45,M47,M49))</f>
        <v>0</v>
      </c>
      <c r="N54" s="5">
        <f>IF(COUNT(N45,N47,N49)=0,IF(ISNUMBER(N52),N52,NA()),SUM(N45,N47,N49))</f>
        <v>0</v>
      </c>
      <c r="O54" s="5">
        <f>IF(COUNT(O45,O47,O49)=0,IF(ISNUMBER(O52),O52,NA()),SUM(O45,O47,O49))</f>
        <v>0</v>
      </c>
      <c r="P54" s="5">
        <f>IF(COUNT(P45,P47,P49)=0,IF(ISNUMBER(P52),P52,NA()),SUM(P45,P47,P49))</f>
        <v>0</v>
      </c>
      <c r="Q54" s="5">
        <f>IF(COUNT(Q45,Q47,Q49)=0,IF(ISNUMBER(Q52),Q52,NA()),SUM(Q45,Q47,Q49))</f>
        <v>0</v>
      </c>
      <c r="R54" s="5">
        <f>IF(COUNT(R45,R47,R49)=0,IF(ISNUMBER(R52),R52,NA()),SUM(R45,R47,R49))</f>
        <v>0</v>
      </c>
      <c r="S54" s="5">
        <f>IF(COUNT(S45,S47,S49)=0,IF(ISNUMBER(S52),S52,NA()),SUM(S45,S47,S49))</f>
        <v>0</v>
      </c>
      <c r="T54" s="5">
        <f>IF(COUNT(T45,T47,T49)=0,IF(ISNUMBER(T52),T52,NA()),SUM(T45,T47,T49))</f>
        <v>0</v>
      </c>
      <c r="U54" s="5">
        <f>IF(COUNT(U45,U47,U49)=0,IF(ISNUMBER(U52),U52,NA()),SUM(U45,U47,U49))</f>
        <v>0</v>
      </c>
      <c r="V54" s="5">
        <f>IF(COUNT(V45,V47,V49)=0,IF(ISNUMBER(V52),V52,NA()),SUM(V45,V47,V49))</f>
        <v>0</v>
      </c>
      <c r="W54" s="5">
        <f>IF(COUNT(W45,W47,W49)=0,IF(ISNUMBER(W52),W52,NA()),SUM(W45,W47,W49))</f>
        <v>0</v>
      </c>
      <c r="X54" s="5">
        <f>IF(COUNT(X45,X47,X49)=0,IF(ISNUMBER(X52),X52,NA()),SUM(X45,X47,X49))</f>
        <v>0</v>
      </c>
      <c r="Y54" s="5">
        <f>IF(COUNT(Y45,Y47,Y49)=0,IF(ISNUMBER(Y52),Y52,NA()),SUM(Y45,Y47,Y49))</f>
        <v>0</v>
      </c>
      <c r="Z54" s="5">
        <f>IF(COUNT(Z45,Z47,Z49)=0,IF(ISNUMBER(Z52),Z52,NA()),SUM(Z45,Z47,Z49))</f>
        <v>0</v>
      </c>
      <c r="AA54" s="5">
        <f>IF(COUNT(AA45,AA47,AA49)=0,IF(ISNUMBER(AA52),AA52,NA()),SUM(AA45,AA47,AA49))</f>
        <v>0</v>
      </c>
      <c r="AB54" s="5">
        <f>IF(COUNT(AB45,AB47,AB49)=0,IF(ISNUMBER(AB52),AB52,NA()),SUM(AB45,AB47,AB49))</f>
        <v>0</v>
      </c>
      <c r="AC54" s="5">
        <f>IF(COUNT(AC45,AC47,AC49)=0,IF(ISNUMBER(AC52),AC52,NA()),SUM(AC45,AC47,AC49))</f>
        <v>0</v>
      </c>
      <c r="AD54" s="5">
        <f>IF(COUNT(AD45,AD47,AD49)=0,IF(ISNUMBER(AD52),AD52,NA()),SUM(AD45,AD47,AD49))</f>
        <v>0</v>
      </c>
    </row>
    <row r="55" spans="1:68">
      <c r="A55" s="11" t="s">
        <v>173</v>
      </c>
      <c r="B55" s="11" t="s">
        <v>174</v>
      </c>
      <c r="C55" s="3" t="s">
        <v>137</v>
      </c>
      <c r="D55" s="5">
        <f>IF(COUNT(D46,D48,D50)=0,IF(ISNUMBER(D53),D53,NA()),SUM(D46,D48,D50))</f>
        <v>0</v>
      </c>
      <c r="E55" s="5">
        <f>IF(COUNT(E46,E48,E50)=0,IF(ISNUMBER(E53),E53,NA()),SUM(E46,E48,E50))</f>
        <v>0</v>
      </c>
      <c r="F55" s="5">
        <f>IF(COUNT(F46,F48,F50)=0,IF(ISNUMBER(F53),F53,NA()),SUM(F46,F48,F50))</f>
        <v>0</v>
      </c>
      <c r="G55" s="5">
        <f>IF(COUNT(G46,G48,G50)=0,IF(ISNUMBER(G53),G53,NA()),SUM(G46,G48,G50))</f>
        <v>0</v>
      </c>
      <c r="H55" s="5">
        <f>IF(COUNT(H46,H48,H50)=0,IF(ISNUMBER(H53),H53,NA()),SUM(H46,H48,H50))</f>
        <v>0</v>
      </c>
      <c r="I55" s="5">
        <f>IF(COUNT(I46,I48,I50)=0,IF(ISNUMBER(I53),I53,NA()),SUM(I46,I48,I50))</f>
        <v>0</v>
      </c>
      <c r="J55" s="5">
        <f>IF(COUNT(J46,J48,J50)=0,IF(ISNUMBER(J53),J53,NA()),SUM(J46,J48,J50))</f>
        <v>0</v>
      </c>
      <c r="K55" s="5">
        <f>IF(COUNT(K46,K48,K50)=0,IF(ISNUMBER(K53),K53,NA()),SUM(K46,K48,K50))</f>
        <v>0</v>
      </c>
      <c r="L55" s="5">
        <f>IF(COUNT(L46,L48,L50)=0,IF(ISNUMBER(L53),L53,NA()),SUM(L46,L48,L50))</f>
        <v>0</v>
      </c>
      <c r="M55" s="5">
        <f>IF(COUNT(M46,M48,M50)=0,IF(ISNUMBER(M53),M53,NA()),SUM(M46,M48,M50))</f>
        <v>0</v>
      </c>
      <c r="N55" s="5">
        <f>IF(COUNT(N46,N48,N50)=0,IF(ISNUMBER(N53),N53,NA()),SUM(N46,N48,N50))</f>
        <v>0</v>
      </c>
      <c r="O55" s="5">
        <f>IF(COUNT(O46,O48,O50)=0,IF(ISNUMBER(O53),O53,NA()),SUM(O46,O48,O50))</f>
        <v>0</v>
      </c>
      <c r="P55" s="5">
        <f>IF(COUNT(P46,P48,P50)=0,IF(ISNUMBER(P53),P53,NA()),SUM(P46,P48,P50))</f>
        <v>0</v>
      </c>
      <c r="Q55" s="5">
        <f>IF(COUNT(Q46,Q48,Q50)=0,IF(ISNUMBER(Q53),Q53,NA()),SUM(Q46,Q48,Q50))</f>
        <v>0</v>
      </c>
      <c r="R55" s="5">
        <f>IF(COUNT(R46,R48,R50)=0,IF(ISNUMBER(R53),R53,NA()),SUM(R46,R48,R50))</f>
        <v>0</v>
      </c>
      <c r="S55" s="5">
        <f>IF(COUNT(S46,S48,S50)=0,IF(ISNUMBER(S53),S53,NA()),SUM(S46,S48,S50))</f>
        <v>0</v>
      </c>
      <c r="T55" s="5">
        <f>IF(COUNT(T46,T48,T50)=0,IF(ISNUMBER(T53),T53,NA()),SUM(T46,T48,T50))</f>
        <v>0</v>
      </c>
      <c r="U55" s="5">
        <f>IF(COUNT(U46,U48,U50)=0,IF(ISNUMBER(U53),U53,NA()),SUM(U46,U48,U50))</f>
        <v>0</v>
      </c>
      <c r="V55" s="5">
        <f>IF(COUNT(V46,V48,V50)=0,IF(ISNUMBER(V53),V53,NA()),SUM(V46,V48,V50))</f>
        <v>0</v>
      </c>
      <c r="W55" s="5">
        <f>IF(COUNT(W46,W48,W50)=0,IF(ISNUMBER(W53),W53,NA()),SUM(W46,W48,W50))</f>
        <v>0</v>
      </c>
      <c r="X55" s="5">
        <f>IF(COUNT(X46,X48,X50)=0,IF(ISNUMBER(X53),X53,NA()),SUM(X46,X48,X50))</f>
        <v>0</v>
      </c>
      <c r="Y55" s="5">
        <f>IF(COUNT(Y46,Y48,Y50)=0,IF(ISNUMBER(Y53),Y53,NA()),SUM(Y46,Y48,Y50))</f>
        <v>0</v>
      </c>
      <c r="Z55" s="5">
        <f>IF(COUNT(Z46,Z48,Z50)=0,IF(ISNUMBER(Z53),Z53,NA()),SUM(Z46,Z48,Z50))</f>
        <v>0</v>
      </c>
      <c r="AA55" s="5">
        <f>IF(COUNT(AA46,AA48,AA50)=0,IF(ISNUMBER(AA53),AA53,NA()),SUM(AA46,AA48,AA50))</f>
        <v>0</v>
      </c>
      <c r="AB55" s="5">
        <f>IF(COUNT(AB46,AB48,AB50)=0,IF(ISNUMBER(AB53),AB53,NA()),SUM(AB46,AB48,AB50))</f>
        <v>0</v>
      </c>
      <c r="AC55" s="5">
        <f>IF(COUNT(AC46,AC48,AC50)=0,IF(ISNUMBER(AC53),AC53,NA()),SUM(AC46,AC48,AC50))</f>
        <v>0</v>
      </c>
      <c r="AD55" s="5">
        <f>IF(COUNT(AD46,AD48,AD50)=0,IF(ISNUMBER(AD53),AD53,NA()),SUM(AD46,AD48,AD50))</f>
        <v>0</v>
      </c>
    </row>
    <row r="56" spans="1:68">
      <c r="A56" s="11" t="s">
        <v>175</v>
      </c>
      <c r="B56" s="11" t="s">
        <v>176</v>
      </c>
      <c r="C56" s="3" t="s">
        <v>137</v>
      </c>
      <c r="D56" s="5">
        <f>IF(COUNT(D42,D43,D44)=0,IF(ISNUMBER(D51),D51,NA()),SUM(D42,D43,D44))</f>
        <v>0</v>
      </c>
      <c r="E56" s="5">
        <f>IF(COUNT(E42,E43,E44)=0,IF(ISNUMBER(E51),E51,NA()),SUM(E42,E43,E44))</f>
        <v>0</v>
      </c>
      <c r="F56" s="5">
        <f>IF(COUNT(F42,F43,F44)=0,IF(ISNUMBER(F51),F51,NA()),SUM(F42,F43,F44))</f>
        <v>0</v>
      </c>
      <c r="G56" s="5">
        <f>IF(COUNT(G42,G43,G44)=0,IF(ISNUMBER(G51),G51,NA()),SUM(G42,G43,G44))</f>
        <v>0</v>
      </c>
      <c r="H56" s="5">
        <f>IF(COUNT(H42,H43,H44)=0,IF(ISNUMBER(H51),H51,NA()),SUM(H42,H43,H44))</f>
        <v>0</v>
      </c>
      <c r="I56" s="5">
        <f>IF(COUNT(I42,I43,I44)=0,IF(ISNUMBER(I51),I51,NA()),SUM(I42,I43,I44))</f>
        <v>0</v>
      </c>
      <c r="J56" s="5">
        <f>IF(COUNT(J42,J43,J44)=0,IF(ISNUMBER(J51),J51,NA()),SUM(J42,J43,J44))</f>
        <v>0</v>
      </c>
      <c r="K56" s="5">
        <f>IF(COUNT(K42,K43,K44)=0,IF(ISNUMBER(K51),K51,NA()),SUM(K42,K43,K44))</f>
        <v>0</v>
      </c>
      <c r="L56" s="5">
        <f>IF(COUNT(L42,L43,L44)=0,IF(ISNUMBER(L51),L51,NA()),SUM(L42,L43,L44))</f>
        <v>0</v>
      </c>
      <c r="M56" s="5">
        <f>IF(COUNT(M42,M43,M44)=0,IF(ISNUMBER(M51),M51,NA()),SUM(M42,M43,M44))</f>
        <v>0</v>
      </c>
      <c r="N56" s="5">
        <f>IF(COUNT(N42,N43,N44)=0,IF(ISNUMBER(N51),N51,NA()),SUM(N42,N43,N44))</f>
        <v>0</v>
      </c>
      <c r="O56" s="5">
        <f>IF(COUNT(O42,O43,O44)=0,IF(ISNUMBER(O51),O51,NA()),SUM(O42,O43,O44))</f>
        <v>0</v>
      </c>
      <c r="P56" s="5">
        <f>IF(COUNT(P42,P43,P44)=0,IF(ISNUMBER(P51),P51,NA()),SUM(P42,P43,P44))</f>
        <v>0</v>
      </c>
      <c r="Q56" s="5">
        <f>IF(COUNT(Q42,Q43,Q44)=0,IF(ISNUMBER(Q51),Q51,NA()),SUM(Q42,Q43,Q44))</f>
        <v>0</v>
      </c>
      <c r="R56" s="5">
        <f>IF(COUNT(R42,R43,R44)=0,IF(ISNUMBER(R51),R51,NA()),SUM(R42,R43,R44))</f>
        <v>0</v>
      </c>
      <c r="S56" s="5">
        <f>IF(COUNT(S42,S43,S44)=0,IF(ISNUMBER(S51),S51,NA()),SUM(S42,S43,S44))</f>
        <v>0</v>
      </c>
      <c r="T56" s="5">
        <f>IF(COUNT(T42,T43,T44)=0,IF(ISNUMBER(T51),T51,NA()),SUM(T42,T43,T44))</f>
        <v>0</v>
      </c>
      <c r="U56" s="5">
        <f>IF(COUNT(U42,U43,U44)=0,IF(ISNUMBER(U51),U51,NA()),SUM(U42,U43,U44))</f>
        <v>0</v>
      </c>
      <c r="V56" s="5">
        <f>IF(COUNT(V42,V43,V44)=0,IF(ISNUMBER(V51),V51,NA()),SUM(V42,V43,V44))</f>
        <v>0</v>
      </c>
      <c r="W56" s="5">
        <f>IF(COUNT(W42,W43,W44)=0,IF(ISNUMBER(W51),W51,NA()),SUM(W42,W43,W44))</f>
        <v>0</v>
      </c>
      <c r="X56" s="5">
        <f>IF(COUNT(X42,X43,X44)=0,IF(ISNUMBER(X51),X51,NA()),SUM(X42,X43,X44))</f>
        <v>0</v>
      </c>
      <c r="Y56" s="5">
        <f>IF(COUNT(Y42,Y43,Y44)=0,IF(ISNUMBER(Y51),Y51,NA()),SUM(Y42,Y43,Y44))</f>
        <v>0</v>
      </c>
      <c r="Z56" s="5">
        <f>IF(COUNT(Z42,Z43,Z44)=0,IF(ISNUMBER(Z51),Z51,NA()),SUM(Z42,Z43,Z44))</f>
        <v>0</v>
      </c>
      <c r="AA56" s="5">
        <f>IF(COUNT(AA42,AA43,AA44)=0,IF(ISNUMBER(AA51),AA51,NA()),SUM(AA42,AA43,AA44))</f>
        <v>0</v>
      </c>
      <c r="AB56" s="5">
        <f>IF(COUNT(AB42,AB43,AB44)=0,IF(ISNUMBER(AB51),AB51,NA()),SUM(AB42,AB43,AB44))</f>
        <v>0</v>
      </c>
      <c r="AC56" s="5">
        <f>IF(COUNT(AC42,AC43,AC44)=0,IF(ISNUMBER(AC51),AC51,NA()),SUM(AC42,AC43,AC44))</f>
        <v>0</v>
      </c>
      <c r="AD56" s="5">
        <f>IF(COUNT(AD42,AD43,AD44)=0,IF(ISNUMBER(AD51),AD51,NA()),SUM(AD42,AD43,AD44))</f>
        <v>0</v>
      </c>
    </row>
    <row r="57" spans="1:68">
      <c r="A57" s="11" t="s">
        <v>177</v>
      </c>
      <c r="B57" s="11" t="s">
        <v>178</v>
      </c>
      <c r="C57" s="3" t="s">
        <v>137</v>
      </c>
      <c r="D57" s="5">
        <f>IF(AND(COUNT(D42,D43,D44)=0,ISNUMBER(D51)),D51,NA())</f>
        <v>0</v>
      </c>
      <c r="E57" s="5">
        <f>IF(AND(COUNT(E42,E43,E44)=0,ISNUMBER(E51)),E51,NA())</f>
        <v>0</v>
      </c>
      <c r="F57" s="5">
        <f>IF(AND(COUNT(F42,F43,F44)=0,ISNUMBER(F51)),F51,NA())</f>
        <v>0</v>
      </c>
      <c r="G57" s="5">
        <f>IF(AND(COUNT(G42,G43,G44)=0,ISNUMBER(G51)),G51,NA())</f>
        <v>0</v>
      </c>
      <c r="H57" s="5">
        <f>IF(AND(COUNT(H42,H43,H44)=0,ISNUMBER(H51)),H51,NA())</f>
        <v>0</v>
      </c>
      <c r="I57" s="5">
        <f>IF(AND(COUNT(I42,I43,I44)=0,ISNUMBER(I51)),I51,NA())</f>
        <v>0</v>
      </c>
      <c r="J57" s="5">
        <f>IF(AND(COUNT(J42,J43,J44)=0,ISNUMBER(J51)),J51,NA())</f>
        <v>0</v>
      </c>
      <c r="K57" s="5">
        <f>IF(AND(COUNT(K42,K43,K44)=0,ISNUMBER(K51)),K51,NA())</f>
        <v>0</v>
      </c>
      <c r="L57" s="5">
        <f>IF(AND(COUNT(L42,L43,L44)=0,ISNUMBER(L51)),L51,NA())</f>
        <v>0</v>
      </c>
      <c r="M57" s="5">
        <f>IF(AND(COUNT(M42,M43,M44)=0,ISNUMBER(M51)),M51,NA())</f>
        <v>0</v>
      </c>
      <c r="N57" s="5">
        <f>IF(AND(COUNT(N42,N43,N44)=0,ISNUMBER(N51)),N51,NA())</f>
        <v>0</v>
      </c>
      <c r="O57" s="5">
        <f>IF(AND(COUNT(O42,O43,O44)=0,ISNUMBER(O51)),O51,NA())</f>
        <v>0</v>
      </c>
      <c r="P57" s="5">
        <f>IF(AND(COUNT(P42,P43,P44)=0,ISNUMBER(P51)),P51,NA())</f>
        <v>0</v>
      </c>
      <c r="Q57" s="5">
        <f>IF(AND(COUNT(Q42,Q43,Q44)=0,ISNUMBER(Q51)),Q51,NA())</f>
        <v>0</v>
      </c>
      <c r="R57" s="5">
        <f>IF(AND(COUNT(R42,R43,R44)=0,ISNUMBER(R51)),R51,NA())</f>
        <v>0</v>
      </c>
      <c r="S57" s="5">
        <f>IF(AND(COUNT(S42,S43,S44)=0,ISNUMBER(S51)),S51,NA())</f>
        <v>0</v>
      </c>
      <c r="T57" s="5">
        <f>IF(AND(COUNT(T42,T43,T44)=0,ISNUMBER(T51)),T51,NA())</f>
        <v>0</v>
      </c>
      <c r="U57" s="5">
        <f>IF(AND(COUNT(U42,U43,U44)=0,ISNUMBER(U51)),U51,NA())</f>
        <v>0</v>
      </c>
      <c r="V57" s="5">
        <f>IF(AND(COUNT(V42,V43,V44)=0,ISNUMBER(V51)),V51,NA())</f>
        <v>0</v>
      </c>
      <c r="W57" s="5">
        <f>IF(AND(COUNT(W42,W43,W44)=0,ISNUMBER(W51)),W51,NA())</f>
        <v>0</v>
      </c>
      <c r="X57" s="5">
        <f>IF(AND(COUNT(X42,X43,X44)=0,ISNUMBER(X51)),X51,NA())</f>
        <v>0</v>
      </c>
      <c r="Y57" s="5">
        <f>IF(AND(COUNT(Y42,Y43,Y44)=0,ISNUMBER(Y51)),Y51,NA())</f>
        <v>0</v>
      </c>
      <c r="Z57" s="5">
        <f>IF(AND(COUNT(Z42,Z43,Z44)=0,ISNUMBER(Z51)),Z51,NA())</f>
        <v>0</v>
      </c>
      <c r="AA57" s="5">
        <f>IF(AND(COUNT(AA42,AA43,AA44)=0,ISNUMBER(AA51)),AA51,NA())</f>
        <v>0</v>
      </c>
      <c r="AB57" s="5">
        <f>IF(AND(COUNT(AB42,AB43,AB44)=0,ISNUMBER(AB51)),AB51,NA())</f>
        <v>0</v>
      </c>
      <c r="AC57" s="5">
        <f>IF(AND(COUNT(AC42,AC43,AC44)=0,ISNUMBER(AC51)),AC51,NA())</f>
        <v>0</v>
      </c>
      <c r="AD57" s="5">
        <f>IF(AND(COUNT(AD42,AD43,AD44)=0,ISNUMBER(AD51)),AD51,NA())</f>
        <v>0</v>
      </c>
    </row>
    <row r="58" spans="1:68">
      <c r="A58" s="11" t="s">
        <v>179</v>
      </c>
      <c r="B58" s="11" t="s">
        <v>180</v>
      </c>
      <c r="C58" s="3" t="s">
        <v>137</v>
      </c>
      <c r="D58" s="5">
        <f>IF(AND(ISNUMBER(D54),ISNUMBER(D55)),D54-D55,NA())</f>
        <v>0</v>
      </c>
      <c r="E58" s="5">
        <f>IF(AND(ISNUMBER(E54),ISNUMBER(E55)),E54-E55,NA())</f>
        <v>0</v>
      </c>
      <c r="F58" s="5">
        <f>IF(AND(ISNUMBER(F54),ISNUMBER(F55)),F54-F55,NA())</f>
        <v>0</v>
      </c>
      <c r="G58" s="5">
        <f>IF(AND(ISNUMBER(G54),ISNUMBER(G55)),G54-G55,NA())</f>
        <v>0</v>
      </c>
      <c r="H58" s="5">
        <f>IF(AND(ISNUMBER(H54),ISNUMBER(H55)),H54-H55,NA())</f>
        <v>0</v>
      </c>
      <c r="I58" s="5">
        <f>IF(AND(ISNUMBER(I54),ISNUMBER(I55)),I54-I55,NA())</f>
        <v>0</v>
      </c>
      <c r="J58" s="5">
        <f>IF(AND(ISNUMBER(J54),ISNUMBER(J55)),J54-J55,NA())</f>
        <v>0</v>
      </c>
      <c r="K58" s="5">
        <f>IF(AND(ISNUMBER(K54),ISNUMBER(K55)),K54-K55,NA())</f>
        <v>0</v>
      </c>
      <c r="L58" s="5">
        <f>IF(AND(ISNUMBER(L54),ISNUMBER(L55)),L54-L55,NA())</f>
        <v>0</v>
      </c>
      <c r="M58" s="5">
        <f>IF(AND(ISNUMBER(M54),ISNUMBER(M55)),M54-M55,NA())</f>
        <v>0</v>
      </c>
      <c r="N58" s="5">
        <f>IF(AND(ISNUMBER(N54),ISNUMBER(N55)),N54-N55,NA())</f>
        <v>0</v>
      </c>
      <c r="O58" s="5">
        <f>IF(AND(ISNUMBER(O54),ISNUMBER(O55)),O54-O55,NA())</f>
        <v>0</v>
      </c>
      <c r="P58" s="5">
        <f>IF(AND(ISNUMBER(P54),ISNUMBER(P55)),P54-P55,NA())</f>
        <v>0</v>
      </c>
      <c r="Q58" s="5">
        <f>IF(AND(ISNUMBER(Q54),ISNUMBER(Q55)),Q54-Q55,NA())</f>
        <v>0</v>
      </c>
      <c r="R58" s="5">
        <f>IF(AND(ISNUMBER(R54),ISNUMBER(R55)),R54-R55,NA())</f>
        <v>0</v>
      </c>
      <c r="S58" s="5">
        <f>IF(AND(ISNUMBER(S54),ISNUMBER(S55)),S54-S55,NA())</f>
        <v>0</v>
      </c>
      <c r="T58" s="5">
        <f>IF(AND(ISNUMBER(T54),ISNUMBER(T55)),T54-T55,NA())</f>
        <v>0</v>
      </c>
      <c r="U58" s="5">
        <f>IF(AND(ISNUMBER(U54),ISNUMBER(U55)),U54-U55,NA())</f>
        <v>0</v>
      </c>
      <c r="V58" s="5">
        <f>IF(AND(ISNUMBER(V54),ISNUMBER(V55)),V54-V55,NA())</f>
        <v>0</v>
      </c>
      <c r="W58" s="5">
        <f>IF(AND(ISNUMBER(W54),ISNUMBER(W55)),W54-W55,NA())</f>
        <v>0</v>
      </c>
      <c r="X58" s="5">
        <f>IF(AND(ISNUMBER(X54),ISNUMBER(X55)),X54-X55,NA())</f>
        <v>0</v>
      </c>
      <c r="Y58" s="5">
        <f>IF(AND(ISNUMBER(Y54),ISNUMBER(Y55)),Y54-Y55,NA())</f>
        <v>0</v>
      </c>
      <c r="Z58" s="5">
        <f>IF(AND(ISNUMBER(Z54),ISNUMBER(Z55)),Z54-Z55,NA())</f>
        <v>0</v>
      </c>
      <c r="AA58" s="5">
        <f>IF(AND(ISNUMBER(AA54),ISNUMBER(AA55)),AA54-AA55,NA())</f>
        <v>0</v>
      </c>
      <c r="AB58" s="5">
        <f>IF(AND(ISNUMBER(AB54),ISNUMBER(AB55)),AB54-AB55,NA())</f>
        <v>0</v>
      </c>
      <c r="AC58" s="5">
        <f>IF(AND(ISNUMBER(AC54),ISNUMBER(AC55)),AC54-AC55,NA())</f>
        <v>0</v>
      </c>
      <c r="AD58" s="5">
        <f>IF(AND(ISNUMBER(AD54),ISNUMBER(AD55)),AD54-AD55,NA())</f>
        <v>0</v>
      </c>
    </row>
    <row r="59" spans="1:68">
      <c r="A59" s="11" t="s">
        <v>181</v>
      </c>
      <c r="B59" s="11" t="s">
        <v>182</v>
      </c>
      <c r="C59" s="3" t="s">
        <v>144</v>
      </c>
      <c r="AQ59" s="5">
        <f>IF(AQ$39=0,NA(),MAX(1,_xlfn.AGGREGATE(4,6,INDEX($D$56:$AD$56,MAX(1,$D$37+1-$D$36)):INDEX($D$56:$AD$56,$D$37)),N(Konfiguration!$F$9)))</f>
        <v>0</v>
      </c>
      <c r="AR59" s="5">
        <f>IF(AR$39=0,NA(),MAX(1,_xlfn.AGGREGATE(4,6,INDEX($D$56:$AD$56,MAX(1,$D$37+1-$D$36)):INDEX($D$56:$AD$56,$D$37)),N(Konfiguration!$F$9)))</f>
        <v>0</v>
      </c>
      <c r="AS59" s="5">
        <f>IF(AS$39=0,NA(),MAX(1,_xlfn.AGGREGATE(4,6,INDEX($D$56:$AD$56,MAX(1,$D$37+1-$D$36)):INDEX($D$56:$AD$56,$D$37)),N(Konfiguration!$F$9)))</f>
        <v>0</v>
      </c>
      <c r="AT59" s="5">
        <f>IF(AT$39=0,NA(),MAX(1,_xlfn.AGGREGATE(4,6,INDEX($D$56:$AD$56,MAX(1,$D$37+1-$D$36)):INDEX($D$56:$AD$56,$D$37)),N(Konfiguration!$F$9)))</f>
        <v>0</v>
      </c>
      <c r="AU59" s="5">
        <f>IF(AU$39=0,NA(),MAX(1,_xlfn.AGGREGATE(4,6,INDEX($D$56:$AD$56,MAX(1,$D$37+1-$D$36)):INDEX($D$56:$AD$56,$D$37)),N(Konfiguration!$F$9)))</f>
        <v>0</v>
      </c>
      <c r="AV59" s="5">
        <f>IF(AV$39=0,NA(),MAX(1,_xlfn.AGGREGATE(4,6,INDEX($D$56:$AD$56,MAX(1,$D$37+1-$D$36)):INDEX($D$56:$AD$56,$D$37)),N(Konfiguration!$F$9)))</f>
        <v>0</v>
      </c>
      <c r="AW59" s="5">
        <f>IF(AW$39=0,NA(),MAX(1,_xlfn.AGGREGATE(4,6,INDEX($D$56:$AD$56,MAX(1,$D$37+1-$D$36)):INDEX($D$56:$AD$56,$D$37)),N(Konfiguration!$F$9)))</f>
        <v>0</v>
      </c>
      <c r="AX59" s="5">
        <f>IF(AX$39=0,NA(),MAX(1,_xlfn.AGGREGATE(4,6,INDEX($D$56:$AD$56,MAX(1,$D$37+1-$D$36)):INDEX($D$56:$AD$56,$D$37)),N(Konfiguration!$F$9)))</f>
        <v>0</v>
      </c>
      <c r="AY59" s="5">
        <f>IF(AY$39=0,NA(),MAX(1,_xlfn.AGGREGATE(4,6,INDEX($D$56:$AD$56,MAX(1,$D$37+1-$D$36)):INDEX($D$56:$AD$56,$D$37)),N(Konfiguration!$F$9)))</f>
        <v>0</v>
      </c>
      <c r="AZ59" s="5">
        <f>IF(AZ$39=0,NA(),MAX(1,_xlfn.AGGREGATE(4,6,INDEX($D$56:$AD$56,MAX(1,$D$37+1-$D$36)):INDEX($D$56:$AD$56,$D$37)),N(Konfiguration!$F$9)))</f>
        <v>0</v>
      </c>
      <c r="BA59" s="5">
        <f>IF(BA$39=0,NA(),MAX(1,_xlfn.AGGREGATE(4,6,INDEX($D$56:$AD$56,MAX(1,$D$37+1-$D$36)):INDEX($D$56:$AD$56,$D$37)),N(Konfiguration!$F$9)))</f>
        <v>0</v>
      </c>
      <c r="BB59" s="5">
        <f>IF(BB$39=0,NA(),MAX(1,_xlfn.AGGREGATE(4,6,INDEX($D$56:$AD$56,MAX(1,$D$37+1-$D$36)):INDEX($D$56:$AD$56,$D$37)),N(Konfiguration!$F$9)))</f>
        <v>0</v>
      </c>
      <c r="BC59" s="5">
        <f>IF(BC$39=0,NA(),MAX(1,_xlfn.AGGREGATE(4,6,INDEX($D$56:$AD$56,MAX(1,$D$37+1-$D$36)):INDEX($D$56:$AD$56,$D$37)),N(Konfiguration!$F$9)))</f>
        <v>0</v>
      </c>
      <c r="BD59" s="5">
        <f>IF(BD$39=0,NA(),MAX(1,_xlfn.AGGREGATE(4,6,INDEX($D$56:$AD$56,MAX(1,$D$37+1-$D$36)):INDEX($D$56:$AD$56,$D$37)),N(Konfiguration!$F$9)))</f>
        <v>0</v>
      </c>
      <c r="BE59" s="5">
        <f>IF(BE$39=0,NA(),MAX(1,_xlfn.AGGREGATE(4,6,INDEX($D$56:$AD$56,MAX(1,$D$37+1-$D$36)):INDEX($D$56:$AD$56,$D$37)),N(Konfiguration!$F$9)))</f>
        <v>0</v>
      </c>
      <c r="BF59" s="5">
        <f>IF(BF$39=0,NA(),MAX(1,_xlfn.AGGREGATE(4,6,INDEX($D$56:$AD$56,MAX(1,$D$37+1-$D$36)):INDEX($D$56:$AD$56,$D$37)),N(Konfiguration!$F$9)))</f>
        <v>0</v>
      </c>
      <c r="BG59" s="5">
        <f>IF(BG$39=0,NA(),MAX(1,_xlfn.AGGREGATE(4,6,INDEX($D$56:$AD$56,MAX(1,$D$37+1-$D$36)):INDEX($D$56:$AD$56,$D$37)),N(Konfiguration!$F$9)))</f>
        <v>0</v>
      </c>
      <c r="BH59" s="5">
        <f>IF(BH$39=0,NA(),MAX(1,_xlfn.AGGREGATE(4,6,INDEX($D$56:$AD$56,MAX(1,$D$37+1-$D$36)):INDEX($D$56:$AD$56,$D$37)),N(Konfiguration!$F$9)))</f>
        <v>0</v>
      </c>
      <c r="BI59" s="5">
        <f>IF(BI$39=0,NA(),MAX(1,_xlfn.AGGREGATE(4,6,INDEX($D$56:$AD$56,MAX(1,$D$37+1-$D$36)):INDEX($D$56:$AD$56,$D$37)),N(Konfiguration!$F$9)))</f>
        <v>0</v>
      </c>
      <c r="BJ59" s="5">
        <f>IF(BJ$39=0,NA(),MAX(1,_xlfn.AGGREGATE(4,6,INDEX($D$56:$AD$56,MAX(1,$D$37+1-$D$36)):INDEX($D$56:$AD$56,$D$37)),N(Konfiguration!$F$9)))</f>
        <v>0</v>
      </c>
      <c r="BK59" s="5">
        <f>IF(BK$39=0,NA(),MAX(1,_xlfn.AGGREGATE(4,6,INDEX($D$56:$AD$56,MAX(1,$D$37+1-$D$36)):INDEX($D$56:$AD$56,$D$37)),N(Konfiguration!$F$9)))</f>
        <v>0</v>
      </c>
      <c r="BL59" s="5">
        <f>IF(BL$39=0,NA(),MAX(1,_xlfn.AGGREGATE(4,6,INDEX($D$56:$AD$56,MAX(1,$D$37+1-$D$36)):INDEX($D$56:$AD$56,$D$37)),N(Konfiguration!$F$9)))</f>
        <v>0</v>
      </c>
      <c r="BM59" s="5">
        <f>IF(BM$39=0,NA(),MAX(1,_xlfn.AGGREGATE(4,6,INDEX($D$56:$AD$56,MAX(1,$D$37+1-$D$36)):INDEX($D$56:$AD$56,$D$37)),N(Konfiguration!$F$9)))</f>
        <v>0</v>
      </c>
      <c r="BN59" s="5">
        <f>IF(BN$39=0,NA(),MAX(1,_xlfn.AGGREGATE(4,6,INDEX($D$56:$AD$56,MAX(1,$D$37+1-$D$36)):INDEX($D$56:$AD$56,$D$37)),N(Konfiguration!$F$9)))</f>
        <v>0</v>
      </c>
      <c r="BO59" s="5">
        <f>IF(BO$39=0,NA(),MAX(1,_xlfn.AGGREGATE(4,6,INDEX($D$56:$AD$56,MAX(1,$D$37+1-$D$36)):INDEX($D$56:$AD$56,$D$37)),N(Konfiguration!$F$9)))</f>
        <v>0</v>
      </c>
      <c r="BP59" s="5">
        <f>IF(BP$39=0,NA(),MAX(1,_xlfn.AGGREGATE(4,6,INDEX($D$56:$AD$56,MAX(1,$D$37+1-$D$36)):INDEX($D$56:$AD$56,$D$37)),N(Konfiguration!$F$9)))</f>
        <v>0</v>
      </c>
    </row>
    <row r="60" spans="1:68">
      <c r="A60" s="11" t="s">
        <v>183</v>
      </c>
      <c r="B60" s="11" t="s">
        <v>184</v>
      </c>
      <c r="C60" s="3" t="s">
        <v>144</v>
      </c>
      <c r="AQ60" s="5">
        <f>IF(AQ$39=0,NA(),IF(ISNUMBER(INDEX($D$43:$AD$43,AQ$39)),INDEX($D$43:$AD$43,AQ$39)/AQ59,NA()))</f>
        <v>0</v>
      </c>
      <c r="AR60" s="5">
        <f>IF(AR$39=0,NA(),IF(ISNUMBER(INDEX($D$43:$AD$43,AR$39)),INDEX($D$43:$AD$43,AR$39)/AR59,NA()))</f>
        <v>0</v>
      </c>
      <c r="AS60" s="5">
        <f>IF(AS$39=0,NA(),IF(ISNUMBER(INDEX($D$43:$AD$43,AS$39)),INDEX($D$43:$AD$43,AS$39)/AS59,NA()))</f>
        <v>0</v>
      </c>
      <c r="AT60" s="5">
        <f>IF(AT$39=0,NA(),IF(ISNUMBER(INDEX($D$43:$AD$43,AT$39)),INDEX($D$43:$AD$43,AT$39)/AT59,NA()))</f>
        <v>0</v>
      </c>
      <c r="AU60" s="5">
        <f>IF(AU$39=0,NA(),IF(ISNUMBER(INDEX($D$43:$AD$43,AU$39)),INDEX($D$43:$AD$43,AU$39)/AU59,NA()))</f>
        <v>0</v>
      </c>
      <c r="AV60" s="5">
        <f>IF(AV$39=0,NA(),IF(ISNUMBER(INDEX($D$43:$AD$43,AV$39)),INDEX($D$43:$AD$43,AV$39)/AV59,NA()))</f>
        <v>0</v>
      </c>
      <c r="AW60" s="5">
        <f>IF(AW$39=0,NA(),IF(ISNUMBER(INDEX($D$43:$AD$43,AW$39)),INDEX($D$43:$AD$43,AW$39)/AW59,NA()))</f>
        <v>0</v>
      </c>
      <c r="AX60" s="5">
        <f>IF(AX$39=0,NA(),IF(ISNUMBER(INDEX($D$43:$AD$43,AX$39)),INDEX($D$43:$AD$43,AX$39)/AX59,NA()))</f>
        <v>0</v>
      </c>
      <c r="AY60" s="5">
        <f>IF(AY$39=0,NA(),IF(ISNUMBER(INDEX($D$43:$AD$43,AY$39)),INDEX($D$43:$AD$43,AY$39)/AY59,NA()))</f>
        <v>0</v>
      </c>
      <c r="AZ60" s="5">
        <f>IF(AZ$39=0,NA(),IF(ISNUMBER(INDEX($D$43:$AD$43,AZ$39)),INDEX($D$43:$AD$43,AZ$39)/AZ59,NA()))</f>
        <v>0</v>
      </c>
      <c r="BA60" s="5">
        <f>IF(BA$39=0,NA(),IF(ISNUMBER(INDEX($D$43:$AD$43,BA$39)),INDEX($D$43:$AD$43,BA$39)/BA59,NA()))</f>
        <v>0</v>
      </c>
      <c r="BB60" s="5">
        <f>IF(BB$39=0,NA(),IF(ISNUMBER(INDEX($D$43:$AD$43,BB$39)),INDEX($D$43:$AD$43,BB$39)/BB59,NA()))</f>
        <v>0</v>
      </c>
      <c r="BC60" s="5">
        <f>IF(BC$39=0,NA(),IF(ISNUMBER(INDEX($D$43:$AD$43,BC$39)),INDEX($D$43:$AD$43,BC$39)/BC59,NA()))</f>
        <v>0</v>
      </c>
      <c r="BD60" s="5">
        <f>IF(BD$39=0,NA(),IF(ISNUMBER(INDEX($D$43:$AD$43,BD$39)),INDEX($D$43:$AD$43,BD$39)/BD59,NA()))</f>
        <v>0</v>
      </c>
      <c r="BE60" s="5">
        <f>IF(BE$39=0,NA(),IF(ISNUMBER(INDEX($D$43:$AD$43,BE$39)),INDEX($D$43:$AD$43,BE$39)/BE59,NA()))</f>
        <v>0</v>
      </c>
      <c r="BF60" s="5">
        <f>IF(BF$39=0,NA(),IF(ISNUMBER(INDEX($D$43:$AD$43,BF$39)),INDEX($D$43:$AD$43,BF$39)/BF59,NA()))</f>
        <v>0</v>
      </c>
      <c r="BG60" s="5">
        <f>IF(BG$39=0,NA(),IF(ISNUMBER(INDEX($D$43:$AD$43,BG$39)),INDEX($D$43:$AD$43,BG$39)/BG59,NA()))</f>
        <v>0</v>
      </c>
      <c r="BH60" s="5">
        <f>IF(BH$39=0,NA(),IF(ISNUMBER(INDEX($D$43:$AD$43,BH$39)),INDEX($D$43:$AD$43,BH$39)/BH59,NA()))</f>
        <v>0</v>
      </c>
      <c r="BI60" s="5">
        <f>IF(BI$39=0,NA(),IF(ISNUMBER(INDEX($D$43:$AD$43,BI$39)),INDEX($D$43:$AD$43,BI$39)/BI59,NA()))</f>
        <v>0</v>
      </c>
      <c r="BJ60" s="5">
        <f>IF(BJ$39=0,NA(),IF(ISNUMBER(INDEX($D$43:$AD$43,BJ$39)),INDEX($D$43:$AD$43,BJ$39)/BJ59,NA()))</f>
        <v>0</v>
      </c>
      <c r="BK60" s="5">
        <f>IF(BK$39=0,NA(),IF(ISNUMBER(INDEX($D$43:$AD$43,BK$39)),INDEX($D$43:$AD$43,BK$39)/BK59,NA()))</f>
        <v>0</v>
      </c>
      <c r="BL60" s="5">
        <f>IF(BL$39=0,NA(),IF(ISNUMBER(INDEX($D$43:$AD$43,BL$39)),INDEX($D$43:$AD$43,BL$39)/BL59,NA()))</f>
        <v>0</v>
      </c>
      <c r="BM60" s="5">
        <f>IF(BM$39=0,NA(),IF(ISNUMBER(INDEX($D$43:$AD$43,BM$39)),INDEX($D$43:$AD$43,BM$39)/BM59,NA()))</f>
        <v>0</v>
      </c>
      <c r="BN60" s="5">
        <f>IF(BN$39=0,NA(),IF(ISNUMBER(INDEX($D$43:$AD$43,BN$39)),INDEX($D$43:$AD$43,BN$39)/BN59,NA()))</f>
        <v>0</v>
      </c>
      <c r="BO60" s="5">
        <f>IF(BO$39=0,NA(),IF(ISNUMBER(INDEX($D$43:$AD$43,BO$39)),INDEX($D$43:$AD$43,BO$39)/BO59,NA()))</f>
        <v>0</v>
      </c>
      <c r="BP60" s="5">
        <f>IF(BP$39=0,NA(),IF(ISNUMBER(INDEX($D$43:$AD$43,BP$39)),INDEX($D$43:$AD$43,BP$39)/BP59,NA()))</f>
        <v>0</v>
      </c>
    </row>
    <row r="61" spans="1:68">
      <c r="A61" s="11" t="s">
        <v>185</v>
      </c>
      <c r="B61" s="11" t="s">
        <v>186</v>
      </c>
      <c r="C61" s="3" t="s">
        <v>144</v>
      </c>
      <c r="AQ61" s="5">
        <f>IF(AQ$39=0,NA(),IF(ISNUMBER(INDEX($D$42:$AD$42,AQ$39)),INDEX($D$42:$AD$42,AQ$39)/AQ59,NA()))</f>
        <v>0</v>
      </c>
      <c r="AR61" s="5">
        <f>IF(AR$39=0,NA(),IF(ISNUMBER(INDEX($D$42:$AD$42,AR$39)),INDEX($D$42:$AD$42,AR$39)/AR59,NA()))</f>
        <v>0</v>
      </c>
      <c r="AS61" s="5">
        <f>IF(AS$39=0,NA(),IF(ISNUMBER(INDEX($D$42:$AD$42,AS$39)),INDEX($D$42:$AD$42,AS$39)/AS59,NA()))</f>
        <v>0</v>
      </c>
      <c r="AT61" s="5">
        <f>IF(AT$39=0,NA(),IF(ISNUMBER(INDEX($D$42:$AD$42,AT$39)),INDEX($D$42:$AD$42,AT$39)/AT59,NA()))</f>
        <v>0</v>
      </c>
      <c r="AU61" s="5">
        <f>IF(AU$39=0,NA(),IF(ISNUMBER(INDEX($D$42:$AD$42,AU$39)),INDEX($D$42:$AD$42,AU$39)/AU59,NA()))</f>
        <v>0</v>
      </c>
      <c r="AV61" s="5">
        <f>IF(AV$39=0,NA(),IF(ISNUMBER(INDEX($D$42:$AD$42,AV$39)),INDEX($D$42:$AD$42,AV$39)/AV59,NA()))</f>
        <v>0</v>
      </c>
      <c r="AW61" s="5">
        <f>IF(AW$39=0,NA(),IF(ISNUMBER(INDEX($D$42:$AD$42,AW$39)),INDEX($D$42:$AD$42,AW$39)/AW59,NA()))</f>
        <v>0</v>
      </c>
      <c r="AX61" s="5">
        <f>IF(AX$39=0,NA(),IF(ISNUMBER(INDEX($D$42:$AD$42,AX$39)),INDEX($D$42:$AD$42,AX$39)/AX59,NA()))</f>
        <v>0</v>
      </c>
      <c r="AY61" s="5">
        <f>IF(AY$39=0,NA(),IF(ISNUMBER(INDEX($D$42:$AD$42,AY$39)),INDEX($D$42:$AD$42,AY$39)/AY59,NA()))</f>
        <v>0</v>
      </c>
      <c r="AZ61" s="5">
        <f>IF(AZ$39=0,NA(),IF(ISNUMBER(INDEX($D$42:$AD$42,AZ$39)),INDEX($D$42:$AD$42,AZ$39)/AZ59,NA()))</f>
        <v>0</v>
      </c>
      <c r="BA61" s="5">
        <f>IF(BA$39=0,NA(),IF(ISNUMBER(INDEX($D$42:$AD$42,BA$39)),INDEX($D$42:$AD$42,BA$39)/BA59,NA()))</f>
        <v>0</v>
      </c>
      <c r="BB61" s="5">
        <f>IF(BB$39=0,NA(),IF(ISNUMBER(INDEX($D$42:$AD$42,BB$39)),INDEX($D$42:$AD$42,BB$39)/BB59,NA()))</f>
        <v>0</v>
      </c>
      <c r="BC61" s="5">
        <f>IF(BC$39=0,NA(),IF(ISNUMBER(INDEX($D$42:$AD$42,BC$39)),INDEX($D$42:$AD$42,BC$39)/BC59,NA()))</f>
        <v>0</v>
      </c>
      <c r="BD61" s="5">
        <f>IF(BD$39=0,NA(),IF(ISNUMBER(INDEX($D$42:$AD$42,BD$39)),INDEX($D$42:$AD$42,BD$39)/BD59,NA()))</f>
        <v>0</v>
      </c>
      <c r="BE61" s="5">
        <f>IF(BE$39=0,NA(),IF(ISNUMBER(INDEX($D$42:$AD$42,BE$39)),INDEX($D$42:$AD$42,BE$39)/BE59,NA()))</f>
        <v>0</v>
      </c>
      <c r="BF61" s="5">
        <f>IF(BF$39=0,NA(),IF(ISNUMBER(INDEX($D$42:$AD$42,BF$39)),INDEX($D$42:$AD$42,BF$39)/BF59,NA()))</f>
        <v>0</v>
      </c>
      <c r="BG61" s="5">
        <f>IF(BG$39=0,NA(),IF(ISNUMBER(INDEX($D$42:$AD$42,BG$39)),INDEX($D$42:$AD$42,BG$39)/BG59,NA()))</f>
        <v>0</v>
      </c>
      <c r="BH61" s="5">
        <f>IF(BH$39=0,NA(),IF(ISNUMBER(INDEX($D$42:$AD$42,BH$39)),INDEX($D$42:$AD$42,BH$39)/BH59,NA()))</f>
        <v>0</v>
      </c>
      <c r="BI61" s="5">
        <f>IF(BI$39=0,NA(),IF(ISNUMBER(INDEX($D$42:$AD$42,BI$39)),INDEX($D$42:$AD$42,BI$39)/BI59,NA()))</f>
        <v>0</v>
      </c>
      <c r="BJ61" s="5">
        <f>IF(BJ$39=0,NA(),IF(ISNUMBER(INDEX($D$42:$AD$42,BJ$39)),INDEX($D$42:$AD$42,BJ$39)/BJ59,NA()))</f>
        <v>0</v>
      </c>
      <c r="BK61" s="5">
        <f>IF(BK$39=0,NA(),IF(ISNUMBER(INDEX($D$42:$AD$42,BK$39)),INDEX($D$42:$AD$42,BK$39)/BK59,NA()))</f>
        <v>0</v>
      </c>
      <c r="BL61" s="5">
        <f>IF(BL$39=0,NA(),IF(ISNUMBER(INDEX($D$42:$AD$42,BL$39)),INDEX($D$42:$AD$42,BL$39)/BL59,NA()))</f>
        <v>0</v>
      </c>
      <c r="BM61" s="5">
        <f>IF(BM$39=0,NA(),IF(ISNUMBER(INDEX($D$42:$AD$42,BM$39)),INDEX($D$42:$AD$42,BM$39)/BM59,NA()))</f>
        <v>0</v>
      </c>
      <c r="BN61" s="5">
        <f>IF(BN$39=0,NA(),IF(ISNUMBER(INDEX($D$42:$AD$42,BN$39)),INDEX($D$42:$AD$42,BN$39)/BN59,NA()))</f>
        <v>0</v>
      </c>
      <c r="BO61" s="5">
        <f>IF(BO$39=0,NA(),IF(ISNUMBER(INDEX($D$42:$AD$42,BO$39)),INDEX($D$42:$AD$42,BO$39)/BO59,NA()))</f>
        <v>0</v>
      </c>
      <c r="BP61" s="5">
        <f>IF(BP$39=0,NA(),IF(ISNUMBER(INDEX($D$42:$AD$42,BP$39)),INDEX($D$42:$AD$42,BP$39)/BP59,NA()))</f>
        <v>0</v>
      </c>
    </row>
    <row r="62" spans="1:68">
      <c r="A62" s="11" t="s">
        <v>187</v>
      </c>
      <c r="B62" s="11" t="s">
        <v>188</v>
      </c>
      <c r="C62" s="3" t="s">
        <v>144</v>
      </c>
      <c r="AQ62" s="5">
        <f>IF(AQ$39=0,NA(),IF(ISNUMBER(INDEX($D$44:$AD$44,AQ$39)),INDEX($D$44:$AD$44,AQ$39)/AQ59,NA()))</f>
        <v>0</v>
      </c>
      <c r="AR62" s="5">
        <f>IF(AR$39=0,NA(),IF(ISNUMBER(INDEX($D$44:$AD$44,AR$39)),INDEX($D$44:$AD$44,AR$39)/AR59,NA()))</f>
        <v>0</v>
      </c>
      <c r="AS62" s="5">
        <f>IF(AS$39=0,NA(),IF(ISNUMBER(INDEX($D$44:$AD$44,AS$39)),INDEX($D$44:$AD$44,AS$39)/AS59,NA()))</f>
        <v>0</v>
      </c>
      <c r="AT62" s="5">
        <f>IF(AT$39=0,NA(),IF(ISNUMBER(INDEX($D$44:$AD$44,AT$39)),INDEX($D$44:$AD$44,AT$39)/AT59,NA()))</f>
        <v>0</v>
      </c>
      <c r="AU62" s="5">
        <f>IF(AU$39=0,NA(),IF(ISNUMBER(INDEX($D$44:$AD$44,AU$39)),INDEX($D$44:$AD$44,AU$39)/AU59,NA()))</f>
        <v>0</v>
      </c>
      <c r="AV62" s="5">
        <f>IF(AV$39=0,NA(),IF(ISNUMBER(INDEX($D$44:$AD$44,AV$39)),INDEX($D$44:$AD$44,AV$39)/AV59,NA()))</f>
        <v>0</v>
      </c>
      <c r="AW62" s="5">
        <f>IF(AW$39=0,NA(),IF(ISNUMBER(INDEX($D$44:$AD$44,AW$39)),INDEX($D$44:$AD$44,AW$39)/AW59,NA()))</f>
        <v>0</v>
      </c>
      <c r="AX62" s="5">
        <f>IF(AX$39=0,NA(),IF(ISNUMBER(INDEX($D$44:$AD$44,AX$39)),INDEX($D$44:$AD$44,AX$39)/AX59,NA()))</f>
        <v>0</v>
      </c>
      <c r="AY62" s="5">
        <f>IF(AY$39=0,NA(),IF(ISNUMBER(INDEX($D$44:$AD$44,AY$39)),INDEX($D$44:$AD$44,AY$39)/AY59,NA()))</f>
        <v>0</v>
      </c>
      <c r="AZ62" s="5">
        <f>IF(AZ$39=0,NA(),IF(ISNUMBER(INDEX($D$44:$AD$44,AZ$39)),INDEX($D$44:$AD$44,AZ$39)/AZ59,NA()))</f>
        <v>0</v>
      </c>
      <c r="BA62" s="5">
        <f>IF(BA$39=0,NA(),IF(ISNUMBER(INDEX($D$44:$AD$44,BA$39)),INDEX($D$44:$AD$44,BA$39)/BA59,NA()))</f>
        <v>0</v>
      </c>
      <c r="BB62" s="5">
        <f>IF(BB$39=0,NA(),IF(ISNUMBER(INDEX($D$44:$AD$44,BB$39)),INDEX($D$44:$AD$44,BB$39)/BB59,NA()))</f>
        <v>0</v>
      </c>
      <c r="BC62" s="5">
        <f>IF(BC$39=0,NA(),IF(ISNUMBER(INDEX($D$44:$AD$44,BC$39)),INDEX($D$44:$AD$44,BC$39)/BC59,NA()))</f>
        <v>0</v>
      </c>
      <c r="BD62" s="5">
        <f>IF(BD$39=0,NA(),IF(ISNUMBER(INDEX($D$44:$AD$44,BD$39)),INDEX($D$44:$AD$44,BD$39)/BD59,NA()))</f>
        <v>0</v>
      </c>
      <c r="BE62" s="5">
        <f>IF(BE$39=0,NA(),IF(ISNUMBER(INDEX($D$44:$AD$44,BE$39)),INDEX($D$44:$AD$44,BE$39)/BE59,NA()))</f>
        <v>0</v>
      </c>
      <c r="BF62" s="5">
        <f>IF(BF$39=0,NA(),IF(ISNUMBER(INDEX($D$44:$AD$44,BF$39)),INDEX($D$44:$AD$44,BF$39)/BF59,NA()))</f>
        <v>0</v>
      </c>
      <c r="BG62" s="5">
        <f>IF(BG$39=0,NA(),IF(ISNUMBER(INDEX($D$44:$AD$44,BG$39)),INDEX($D$44:$AD$44,BG$39)/BG59,NA()))</f>
        <v>0</v>
      </c>
      <c r="BH62" s="5">
        <f>IF(BH$39=0,NA(),IF(ISNUMBER(INDEX($D$44:$AD$44,BH$39)),INDEX($D$44:$AD$44,BH$39)/BH59,NA()))</f>
        <v>0</v>
      </c>
      <c r="BI62" s="5">
        <f>IF(BI$39=0,NA(),IF(ISNUMBER(INDEX($D$44:$AD$44,BI$39)),INDEX($D$44:$AD$44,BI$39)/BI59,NA()))</f>
        <v>0</v>
      </c>
      <c r="BJ62" s="5">
        <f>IF(BJ$39=0,NA(),IF(ISNUMBER(INDEX($D$44:$AD$44,BJ$39)),INDEX($D$44:$AD$44,BJ$39)/BJ59,NA()))</f>
        <v>0</v>
      </c>
      <c r="BK62" s="5">
        <f>IF(BK$39=0,NA(),IF(ISNUMBER(INDEX($D$44:$AD$44,BK$39)),INDEX($D$44:$AD$44,BK$39)/BK59,NA()))</f>
        <v>0</v>
      </c>
      <c r="BL62" s="5">
        <f>IF(BL$39=0,NA(),IF(ISNUMBER(INDEX($D$44:$AD$44,BL$39)),INDEX($D$44:$AD$44,BL$39)/BL59,NA()))</f>
        <v>0</v>
      </c>
      <c r="BM62" s="5">
        <f>IF(BM$39=0,NA(),IF(ISNUMBER(INDEX($D$44:$AD$44,BM$39)),INDEX($D$44:$AD$44,BM$39)/BM59,NA()))</f>
        <v>0</v>
      </c>
      <c r="BN62" s="5">
        <f>IF(BN$39=0,NA(),IF(ISNUMBER(INDEX($D$44:$AD$44,BN$39)),INDEX($D$44:$AD$44,BN$39)/BN59,NA()))</f>
        <v>0</v>
      </c>
      <c r="BO62" s="5">
        <f>IF(BO$39=0,NA(),IF(ISNUMBER(INDEX($D$44:$AD$44,BO$39)),INDEX($D$44:$AD$44,BO$39)/BO59,NA()))</f>
        <v>0</v>
      </c>
      <c r="BP62" s="5">
        <f>IF(BP$39=0,NA(),IF(ISNUMBER(INDEX($D$44:$AD$44,BP$39)),INDEX($D$44:$AD$44,BP$39)/BP59,NA()))</f>
        <v>0</v>
      </c>
    </row>
    <row r="63" spans="1:68">
      <c r="A63" s="11" t="s">
        <v>189</v>
      </c>
      <c r="B63" s="11" t="s">
        <v>190</v>
      </c>
      <c r="C63" s="3" t="s">
        <v>144</v>
      </c>
      <c r="AQ63" s="5">
        <f>IF(AQ$39=0,NA(),IF(ISNUMBER(INDEX($D$57:$AD$57,AQ$39)),INDEX($D$57:$AD$57,AQ$39)/AQ59,NA()))</f>
        <v>0</v>
      </c>
      <c r="AR63" s="5">
        <f>IF(AR$39=0,NA(),IF(ISNUMBER(INDEX($D$57:$AD$57,AR$39)),INDEX($D$57:$AD$57,AR$39)/AR59,NA()))</f>
        <v>0</v>
      </c>
      <c r="AS63" s="5">
        <f>IF(AS$39=0,NA(),IF(ISNUMBER(INDEX($D$57:$AD$57,AS$39)),INDEX($D$57:$AD$57,AS$39)/AS59,NA()))</f>
        <v>0</v>
      </c>
      <c r="AT63" s="5">
        <f>IF(AT$39=0,NA(),IF(ISNUMBER(INDEX($D$57:$AD$57,AT$39)),INDEX($D$57:$AD$57,AT$39)/AT59,NA()))</f>
        <v>0</v>
      </c>
      <c r="AU63" s="5">
        <f>IF(AU$39=0,NA(),IF(ISNUMBER(INDEX($D$57:$AD$57,AU$39)),INDEX($D$57:$AD$57,AU$39)/AU59,NA()))</f>
        <v>0</v>
      </c>
      <c r="AV63" s="5">
        <f>IF(AV$39=0,NA(),IF(ISNUMBER(INDEX($D$57:$AD$57,AV$39)),INDEX($D$57:$AD$57,AV$39)/AV59,NA()))</f>
        <v>0</v>
      </c>
      <c r="AW63" s="5">
        <f>IF(AW$39=0,NA(),IF(ISNUMBER(INDEX($D$57:$AD$57,AW$39)),INDEX($D$57:$AD$57,AW$39)/AW59,NA()))</f>
        <v>0</v>
      </c>
      <c r="AX63" s="5">
        <f>IF(AX$39=0,NA(),IF(ISNUMBER(INDEX($D$57:$AD$57,AX$39)),INDEX($D$57:$AD$57,AX$39)/AX59,NA()))</f>
        <v>0</v>
      </c>
      <c r="AY63" s="5">
        <f>IF(AY$39=0,NA(),IF(ISNUMBER(INDEX($D$57:$AD$57,AY$39)),INDEX($D$57:$AD$57,AY$39)/AY59,NA()))</f>
        <v>0</v>
      </c>
      <c r="AZ63" s="5">
        <f>IF(AZ$39=0,NA(),IF(ISNUMBER(INDEX($D$57:$AD$57,AZ$39)),INDEX($D$57:$AD$57,AZ$39)/AZ59,NA()))</f>
        <v>0</v>
      </c>
      <c r="BA63" s="5">
        <f>IF(BA$39=0,NA(),IF(ISNUMBER(INDEX($D$57:$AD$57,BA$39)),INDEX($D$57:$AD$57,BA$39)/BA59,NA()))</f>
        <v>0</v>
      </c>
      <c r="BB63" s="5">
        <f>IF(BB$39=0,NA(),IF(ISNUMBER(INDEX($D$57:$AD$57,BB$39)),INDEX($D$57:$AD$57,BB$39)/BB59,NA()))</f>
        <v>0</v>
      </c>
      <c r="BC63" s="5">
        <f>IF(BC$39=0,NA(),IF(ISNUMBER(INDEX($D$57:$AD$57,BC$39)),INDEX($D$57:$AD$57,BC$39)/BC59,NA()))</f>
        <v>0</v>
      </c>
      <c r="BD63" s="5">
        <f>IF(BD$39=0,NA(),IF(ISNUMBER(INDEX($D$57:$AD$57,BD$39)),INDEX($D$57:$AD$57,BD$39)/BD59,NA()))</f>
        <v>0</v>
      </c>
      <c r="BE63" s="5">
        <f>IF(BE$39=0,NA(),IF(ISNUMBER(INDEX($D$57:$AD$57,BE$39)),INDEX($D$57:$AD$57,BE$39)/BE59,NA()))</f>
        <v>0</v>
      </c>
      <c r="BF63" s="5">
        <f>IF(BF$39=0,NA(),IF(ISNUMBER(INDEX($D$57:$AD$57,BF$39)),INDEX($D$57:$AD$57,BF$39)/BF59,NA()))</f>
        <v>0</v>
      </c>
      <c r="BG63" s="5">
        <f>IF(BG$39=0,NA(),IF(ISNUMBER(INDEX($D$57:$AD$57,BG$39)),INDEX($D$57:$AD$57,BG$39)/BG59,NA()))</f>
        <v>0</v>
      </c>
      <c r="BH63" s="5">
        <f>IF(BH$39=0,NA(),IF(ISNUMBER(INDEX($D$57:$AD$57,BH$39)),INDEX($D$57:$AD$57,BH$39)/BH59,NA()))</f>
        <v>0</v>
      </c>
      <c r="BI63" s="5">
        <f>IF(BI$39=0,NA(),IF(ISNUMBER(INDEX($D$57:$AD$57,BI$39)),INDEX($D$57:$AD$57,BI$39)/BI59,NA()))</f>
        <v>0</v>
      </c>
      <c r="BJ63" s="5">
        <f>IF(BJ$39=0,NA(),IF(ISNUMBER(INDEX($D$57:$AD$57,BJ$39)),INDEX($D$57:$AD$57,BJ$39)/BJ59,NA()))</f>
        <v>0</v>
      </c>
      <c r="BK63" s="5">
        <f>IF(BK$39=0,NA(),IF(ISNUMBER(INDEX($D$57:$AD$57,BK$39)),INDEX($D$57:$AD$57,BK$39)/BK59,NA()))</f>
        <v>0</v>
      </c>
      <c r="BL63" s="5">
        <f>IF(BL$39=0,NA(),IF(ISNUMBER(INDEX($D$57:$AD$57,BL$39)),INDEX($D$57:$AD$57,BL$39)/BL59,NA()))</f>
        <v>0</v>
      </c>
      <c r="BM63" s="5">
        <f>IF(BM$39=0,NA(),IF(ISNUMBER(INDEX($D$57:$AD$57,BM$39)),INDEX($D$57:$AD$57,BM$39)/BM59,NA()))</f>
        <v>0</v>
      </c>
      <c r="BN63" s="5">
        <f>IF(BN$39=0,NA(),IF(ISNUMBER(INDEX($D$57:$AD$57,BN$39)),INDEX($D$57:$AD$57,BN$39)/BN59,NA()))</f>
        <v>0</v>
      </c>
      <c r="BO63" s="5">
        <f>IF(BO$39=0,NA(),IF(ISNUMBER(INDEX($D$57:$AD$57,BO$39)),INDEX($D$57:$AD$57,BO$39)/BO59,NA()))</f>
        <v>0</v>
      </c>
      <c r="BP63" s="5">
        <f>IF(BP$39=0,NA(),IF(ISNUMBER(INDEX($D$57:$AD$57,BP$39)),INDEX($D$57:$AD$57,BP$39)/BP59,NA()))</f>
        <v>0</v>
      </c>
    </row>
    <row r="64" spans="1:68">
      <c r="A64" s="11" t="s">
        <v>191</v>
      </c>
      <c r="B64" s="11" t="s">
        <v>192</v>
      </c>
      <c r="C64" s="3" t="s">
        <v>144</v>
      </c>
      <c r="AQ64"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64"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64"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64"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64"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64"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64"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64"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64"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64"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64"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64"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64"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64"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64"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64"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64"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64"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64"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64"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64"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64"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64"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64"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64"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64"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5" spans="1:68">
      <c r="A65" s="11" t="s">
        <v>193</v>
      </c>
      <c r="B65" s="11" t="s">
        <v>194</v>
      </c>
      <c r="C65" s="3" t="s">
        <v>144</v>
      </c>
      <c r="AQ65" s="11">
        <f>IF(AQ$39=0,"",IF(ISNUMBER(INDEX($D$43:$AD$43,AQ$39)),FIXED(INDEX($D$43:$AD$43,AQ$39)/1000,1),""))</f>
        <v>0</v>
      </c>
      <c r="AR65" s="11">
        <f>IF(AR$39=0,"",IF(ISNUMBER(INDEX($D$43:$AD$43,AR$39)),FIXED(INDEX($D$43:$AD$43,AR$39)/1000,1),""))</f>
        <v>0</v>
      </c>
      <c r="AS65" s="11">
        <f>IF(AS$39=0,"",IF(ISNUMBER(INDEX($D$43:$AD$43,AS$39)),FIXED(INDEX($D$43:$AD$43,AS$39)/1000,1),""))</f>
        <v>0</v>
      </c>
      <c r="AT65" s="11">
        <f>IF(AT$39=0,"",IF(ISNUMBER(INDEX($D$43:$AD$43,AT$39)),FIXED(INDEX($D$43:$AD$43,AT$39)/1000,1),""))</f>
        <v>0</v>
      </c>
      <c r="AU65" s="11">
        <f>IF(AU$39=0,"",IF(ISNUMBER(INDEX($D$43:$AD$43,AU$39)),FIXED(INDEX($D$43:$AD$43,AU$39)/1000,1),""))</f>
        <v>0</v>
      </c>
      <c r="AV65" s="11">
        <f>IF(AV$39=0,"",IF(ISNUMBER(INDEX($D$43:$AD$43,AV$39)),FIXED(INDEX($D$43:$AD$43,AV$39)/1000,1),""))</f>
        <v>0</v>
      </c>
      <c r="AW65" s="11">
        <f>IF(AW$39=0,"",IF(ISNUMBER(INDEX($D$43:$AD$43,AW$39)),FIXED(INDEX($D$43:$AD$43,AW$39)/1000,1),""))</f>
        <v>0</v>
      </c>
      <c r="AX65" s="11">
        <f>IF(AX$39=0,"",IF(ISNUMBER(INDEX($D$43:$AD$43,AX$39)),FIXED(INDEX($D$43:$AD$43,AX$39)/1000,1),""))</f>
        <v>0</v>
      </c>
      <c r="AY65" s="11">
        <f>IF(AY$39=0,"",IF(ISNUMBER(INDEX($D$43:$AD$43,AY$39)),FIXED(INDEX($D$43:$AD$43,AY$39)/1000,1),""))</f>
        <v>0</v>
      </c>
      <c r="AZ65" s="11">
        <f>IF(AZ$39=0,"",IF(ISNUMBER(INDEX($D$43:$AD$43,AZ$39)),FIXED(INDEX($D$43:$AD$43,AZ$39)/1000,1),""))</f>
        <v>0</v>
      </c>
      <c r="BA65" s="11">
        <f>IF(BA$39=0,"",IF(ISNUMBER(INDEX($D$43:$AD$43,BA$39)),FIXED(INDEX($D$43:$AD$43,BA$39)/1000,1),""))</f>
        <v>0</v>
      </c>
      <c r="BB65" s="11">
        <f>IF(BB$39=0,"",IF(ISNUMBER(INDEX($D$43:$AD$43,BB$39)),FIXED(INDEX($D$43:$AD$43,BB$39)/1000,1),""))</f>
        <v>0</v>
      </c>
      <c r="BC65" s="11">
        <f>IF(BC$39=0,"",IF(ISNUMBER(INDEX($D$43:$AD$43,BC$39)),FIXED(INDEX($D$43:$AD$43,BC$39)/1000,1),""))</f>
        <v>0</v>
      </c>
      <c r="BD65" s="11">
        <f>IF(BD$39=0,"",IF(ISNUMBER(INDEX($D$43:$AD$43,BD$39)),FIXED(INDEX($D$43:$AD$43,BD$39)/1000,1),""))</f>
        <v>0</v>
      </c>
      <c r="BE65" s="11">
        <f>IF(BE$39=0,"",IF(ISNUMBER(INDEX($D$43:$AD$43,BE$39)),FIXED(INDEX($D$43:$AD$43,BE$39)/1000,1),""))</f>
        <v>0</v>
      </c>
      <c r="BF65" s="11">
        <f>IF(BF$39=0,"",IF(ISNUMBER(INDEX($D$43:$AD$43,BF$39)),FIXED(INDEX($D$43:$AD$43,BF$39)/1000,1),""))</f>
        <v>0</v>
      </c>
      <c r="BG65" s="11">
        <f>IF(BG$39=0,"",IF(ISNUMBER(INDEX($D$43:$AD$43,BG$39)),FIXED(INDEX($D$43:$AD$43,BG$39)/1000,1),""))</f>
        <v>0</v>
      </c>
      <c r="BH65" s="11">
        <f>IF(BH$39=0,"",IF(ISNUMBER(INDEX($D$43:$AD$43,BH$39)),FIXED(INDEX($D$43:$AD$43,BH$39)/1000,1),""))</f>
        <v>0</v>
      </c>
      <c r="BI65" s="11">
        <f>IF(BI$39=0,"",IF(ISNUMBER(INDEX($D$43:$AD$43,BI$39)),FIXED(INDEX($D$43:$AD$43,BI$39)/1000,1),""))</f>
        <v>0</v>
      </c>
      <c r="BJ65" s="11">
        <f>IF(BJ$39=0,"",IF(ISNUMBER(INDEX($D$43:$AD$43,BJ$39)),FIXED(INDEX($D$43:$AD$43,BJ$39)/1000,1),""))</f>
        <v>0</v>
      </c>
      <c r="BK65" s="11">
        <f>IF(BK$39=0,"",IF(ISNUMBER(INDEX($D$43:$AD$43,BK$39)),FIXED(INDEX($D$43:$AD$43,BK$39)/1000,1),""))</f>
        <v>0</v>
      </c>
      <c r="BL65" s="11">
        <f>IF(BL$39=0,"",IF(ISNUMBER(INDEX($D$43:$AD$43,BL$39)),FIXED(INDEX($D$43:$AD$43,BL$39)/1000,1),""))</f>
        <v>0</v>
      </c>
      <c r="BM65" s="11">
        <f>IF(BM$39=0,"",IF(ISNUMBER(INDEX($D$43:$AD$43,BM$39)),FIXED(INDEX($D$43:$AD$43,BM$39)/1000,1),""))</f>
        <v>0</v>
      </c>
      <c r="BN65" s="11">
        <f>IF(BN$39=0,"",IF(ISNUMBER(INDEX($D$43:$AD$43,BN$39)),FIXED(INDEX($D$43:$AD$43,BN$39)/1000,1),""))</f>
        <v>0</v>
      </c>
      <c r="BO65" s="11">
        <f>IF(BO$39=0,"",IF(ISNUMBER(INDEX($D$43:$AD$43,BO$39)),FIXED(INDEX($D$43:$AD$43,BO$39)/1000,1),""))</f>
        <v>0</v>
      </c>
      <c r="BP65" s="11">
        <f>IF(BP$39=0,"",IF(ISNUMBER(INDEX($D$43:$AD$43,BP$39)),FIXED(INDEX($D$43:$AD$43,BP$39)/1000,1),""))</f>
        <v>0</v>
      </c>
    </row>
    <row r="66" spans="1:68">
      <c r="A66" s="11" t="s">
        <v>195</v>
      </c>
      <c r="B66" s="11" t="s">
        <v>196</v>
      </c>
      <c r="C66" s="3" t="s">
        <v>144</v>
      </c>
      <c r="AQ66"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6"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6"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6"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6"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6"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6"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6"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6"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6"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6"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6"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6"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6"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6"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6"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6"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6"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6"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6"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6"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6"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6"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6"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6"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6"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7" spans="1:68">
      <c r="A67" s="11" t="s">
        <v>197</v>
      </c>
      <c r="B67" s="11" t="s">
        <v>198</v>
      </c>
      <c r="C67" s="3" t="s">
        <v>144</v>
      </c>
      <c r="AQ67" s="11">
        <f>IF(AQ$39=0,"",IF(ISNUMBER(INDEX($D$42:$AD$42,AQ$39)),FIXED(INDEX($D$42:$AD$42,AQ$39)/1000,1),""))</f>
        <v>0</v>
      </c>
      <c r="AR67" s="11">
        <f>IF(AR$39=0,"",IF(ISNUMBER(INDEX($D$42:$AD$42,AR$39)),FIXED(INDEX($D$42:$AD$42,AR$39)/1000,1),""))</f>
        <v>0</v>
      </c>
      <c r="AS67" s="11">
        <f>IF(AS$39=0,"",IF(ISNUMBER(INDEX($D$42:$AD$42,AS$39)),FIXED(INDEX($D$42:$AD$42,AS$39)/1000,1),""))</f>
        <v>0</v>
      </c>
      <c r="AT67" s="11">
        <f>IF(AT$39=0,"",IF(ISNUMBER(INDEX($D$42:$AD$42,AT$39)),FIXED(INDEX($D$42:$AD$42,AT$39)/1000,1),""))</f>
        <v>0</v>
      </c>
      <c r="AU67" s="11">
        <f>IF(AU$39=0,"",IF(ISNUMBER(INDEX($D$42:$AD$42,AU$39)),FIXED(INDEX($D$42:$AD$42,AU$39)/1000,1),""))</f>
        <v>0</v>
      </c>
      <c r="AV67" s="11">
        <f>IF(AV$39=0,"",IF(ISNUMBER(INDEX($D$42:$AD$42,AV$39)),FIXED(INDEX($D$42:$AD$42,AV$39)/1000,1),""))</f>
        <v>0</v>
      </c>
      <c r="AW67" s="11">
        <f>IF(AW$39=0,"",IF(ISNUMBER(INDEX($D$42:$AD$42,AW$39)),FIXED(INDEX($D$42:$AD$42,AW$39)/1000,1),""))</f>
        <v>0</v>
      </c>
      <c r="AX67" s="11">
        <f>IF(AX$39=0,"",IF(ISNUMBER(INDEX($D$42:$AD$42,AX$39)),FIXED(INDEX($D$42:$AD$42,AX$39)/1000,1),""))</f>
        <v>0</v>
      </c>
      <c r="AY67" s="11">
        <f>IF(AY$39=0,"",IF(ISNUMBER(INDEX($D$42:$AD$42,AY$39)),FIXED(INDEX($D$42:$AD$42,AY$39)/1000,1),""))</f>
        <v>0</v>
      </c>
      <c r="AZ67" s="11">
        <f>IF(AZ$39=0,"",IF(ISNUMBER(INDEX($D$42:$AD$42,AZ$39)),FIXED(INDEX($D$42:$AD$42,AZ$39)/1000,1),""))</f>
        <v>0</v>
      </c>
      <c r="BA67" s="11">
        <f>IF(BA$39=0,"",IF(ISNUMBER(INDEX($D$42:$AD$42,BA$39)),FIXED(INDEX($D$42:$AD$42,BA$39)/1000,1),""))</f>
        <v>0</v>
      </c>
      <c r="BB67" s="11">
        <f>IF(BB$39=0,"",IF(ISNUMBER(INDEX($D$42:$AD$42,BB$39)),FIXED(INDEX($D$42:$AD$42,BB$39)/1000,1),""))</f>
        <v>0</v>
      </c>
      <c r="BC67" s="11">
        <f>IF(BC$39=0,"",IF(ISNUMBER(INDEX($D$42:$AD$42,BC$39)),FIXED(INDEX($D$42:$AD$42,BC$39)/1000,1),""))</f>
        <v>0</v>
      </c>
      <c r="BD67" s="11">
        <f>IF(BD$39=0,"",IF(ISNUMBER(INDEX($D$42:$AD$42,BD$39)),FIXED(INDEX($D$42:$AD$42,BD$39)/1000,1),""))</f>
        <v>0</v>
      </c>
      <c r="BE67" s="11">
        <f>IF(BE$39=0,"",IF(ISNUMBER(INDEX($D$42:$AD$42,BE$39)),FIXED(INDEX($D$42:$AD$42,BE$39)/1000,1),""))</f>
        <v>0</v>
      </c>
      <c r="BF67" s="11">
        <f>IF(BF$39=0,"",IF(ISNUMBER(INDEX($D$42:$AD$42,BF$39)),FIXED(INDEX($D$42:$AD$42,BF$39)/1000,1),""))</f>
        <v>0</v>
      </c>
      <c r="BG67" s="11">
        <f>IF(BG$39=0,"",IF(ISNUMBER(INDEX($D$42:$AD$42,BG$39)),FIXED(INDEX($D$42:$AD$42,BG$39)/1000,1),""))</f>
        <v>0</v>
      </c>
      <c r="BH67" s="11">
        <f>IF(BH$39=0,"",IF(ISNUMBER(INDEX($D$42:$AD$42,BH$39)),FIXED(INDEX($D$42:$AD$42,BH$39)/1000,1),""))</f>
        <v>0</v>
      </c>
      <c r="BI67" s="11">
        <f>IF(BI$39=0,"",IF(ISNUMBER(INDEX($D$42:$AD$42,BI$39)),FIXED(INDEX($D$42:$AD$42,BI$39)/1000,1),""))</f>
        <v>0</v>
      </c>
      <c r="BJ67" s="11">
        <f>IF(BJ$39=0,"",IF(ISNUMBER(INDEX($D$42:$AD$42,BJ$39)),FIXED(INDEX($D$42:$AD$42,BJ$39)/1000,1),""))</f>
        <v>0</v>
      </c>
      <c r="BK67" s="11">
        <f>IF(BK$39=0,"",IF(ISNUMBER(INDEX($D$42:$AD$42,BK$39)),FIXED(INDEX($D$42:$AD$42,BK$39)/1000,1),""))</f>
        <v>0</v>
      </c>
      <c r="BL67" s="11">
        <f>IF(BL$39=0,"",IF(ISNUMBER(INDEX($D$42:$AD$42,BL$39)),FIXED(INDEX($D$42:$AD$42,BL$39)/1000,1),""))</f>
        <v>0</v>
      </c>
      <c r="BM67" s="11">
        <f>IF(BM$39=0,"",IF(ISNUMBER(INDEX($D$42:$AD$42,BM$39)),FIXED(INDEX($D$42:$AD$42,BM$39)/1000,1),""))</f>
        <v>0</v>
      </c>
      <c r="BN67" s="11">
        <f>IF(BN$39=0,"",IF(ISNUMBER(INDEX($D$42:$AD$42,BN$39)),FIXED(INDEX($D$42:$AD$42,BN$39)/1000,1),""))</f>
        <v>0</v>
      </c>
      <c r="BO67" s="11">
        <f>IF(BO$39=0,"",IF(ISNUMBER(INDEX($D$42:$AD$42,BO$39)),FIXED(INDEX($D$42:$AD$42,BO$39)/1000,1),""))</f>
        <v>0</v>
      </c>
      <c r="BP67" s="11">
        <f>IF(BP$39=0,"",IF(ISNUMBER(INDEX($D$42:$AD$42,BP$39)),FIXED(INDEX($D$42:$AD$42,BP$39)/1000,1),""))</f>
        <v>0</v>
      </c>
    </row>
    <row r="68" spans="1:68">
      <c r="A68" s="11" t="s">
        <v>199</v>
      </c>
      <c r="B68" s="11" t="s">
        <v>200</v>
      </c>
      <c r="C68" s="3" t="s">
        <v>144</v>
      </c>
      <c r="AQ68" s="5">
        <f>IF(AQ$39=0,NA(),(_xlfn.AGGREGATE(9,6,INDEX($D$44:$AD$44,MAX(1,$D$37+1-$D$36)):INDEX($D$44:$AD$44,$D$37))&gt;_xlfn.AGGREGATE(9,6,INDEX($D$42:$AD$42,MAX(1,$D$37+1-$D$36)):INDEX($D$42:$AD$42,$D$37)))+(_xlfn.AGGREGATE(9,6,INDEX($D$44:$AD$44,MAX(1,$D$37+1-$D$36)):INDEX($D$44:$AD$44,$D$37))&gt;_xlfn.AGGREGATE(9,6,INDEX($D$43:$AD$43,MAX(1,$D$37+1-$D$36)):INDEX($D$43:$AD$43,$D$37))))</f>
        <v>0</v>
      </c>
      <c r="AR68" s="5">
        <f>IF(AR$39=0,NA(),(_xlfn.AGGREGATE(9,6,INDEX($D$44:$AD$44,MAX(1,$D$37+1-$D$36)):INDEX($D$44:$AD$44,$D$37))&gt;_xlfn.AGGREGATE(9,6,INDEX($D$42:$AD$42,MAX(1,$D$37+1-$D$36)):INDEX($D$42:$AD$42,$D$37)))+(_xlfn.AGGREGATE(9,6,INDEX($D$44:$AD$44,MAX(1,$D$37+1-$D$36)):INDEX($D$44:$AD$44,$D$37))&gt;_xlfn.AGGREGATE(9,6,INDEX($D$43:$AD$43,MAX(1,$D$37+1-$D$36)):INDEX($D$43:$AD$43,$D$37))))</f>
        <v>0</v>
      </c>
      <c r="AS68" s="5">
        <f>IF(AS$39=0,NA(),(_xlfn.AGGREGATE(9,6,INDEX($D$44:$AD$44,MAX(1,$D$37+1-$D$36)):INDEX($D$44:$AD$44,$D$37))&gt;_xlfn.AGGREGATE(9,6,INDEX($D$42:$AD$42,MAX(1,$D$37+1-$D$36)):INDEX($D$42:$AD$42,$D$37)))+(_xlfn.AGGREGATE(9,6,INDEX($D$44:$AD$44,MAX(1,$D$37+1-$D$36)):INDEX($D$44:$AD$44,$D$37))&gt;_xlfn.AGGREGATE(9,6,INDEX($D$43:$AD$43,MAX(1,$D$37+1-$D$36)):INDEX($D$43:$AD$43,$D$37))))</f>
        <v>0</v>
      </c>
      <c r="AT68" s="5">
        <f>IF(AT$39=0,NA(),(_xlfn.AGGREGATE(9,6,INDEX($D$44:$AD$44,MAX(1,$D$37+1-$D$36)):INDEX($D$44:$AD$44,$D$37))&gt;_xlfn.AGGREGATE(9,6,INDEX($D$42:$AD$42,MAX(1,$D$37+1-$D$36)):INDEX($D$42:$AD$42,$D$37)))+(_xlfn.AGGREGATE(9,6,INDEX($D$44:$AD$44,MAX(1,$D$37+1-$D$36)):INDEX($D$44:$AD$44,$D$37))&gt;_xlfn.AGGREGATE(9,6,INDEX($D$43:$AD$43,MAX(1,$D$37+1-$D$36)):INDEX($D$43:$AD$43,$D$37))))</f>
        <v>0</v>
      </c>
      <c r="AU68" s="5">
        <f>IF(AU$39=0,NA(),(_xlfn.AGGREGATE(9,6,INDEX($D$44:$AD$44,MAX(1,$D$37+1-$D$36)):INDEX($D$44:$AD$44,$D$37))&gt;_xlfn.AGGREGATE(9,6,INDEX($D$42:$AD$42,MAX(1,$D$37+1-$D$36)):INDEX($D$42:$AD$42,$D$37)))+(_xlfn.AGGREGATE(9,6,INDEX($D$44:$AD$44,MAX(1,$D$37+1-$D$36)):INDEX($D$44:$AD$44,$D$37))&gt;_xlfn.AGGREGATE(9,6,INDEX($D$43:$AD$43,MAX(1,$D$37+1-$D$36)):INDEX($D$43:$AD$43,$D$37))))</f>
        <v>0</v>
      </c>
      <c r="AV68" s="5">
        <f>IF(AV$39=0,NA(),(_xlfn.AGGREGATE(9,6,INDEX($D$44:$AD$44,MAX(1,$D$37+1-$D$36)):INDEX($D$44:$AD$44,$D$37))&gt;_xlfn.AGGREGATE(9,6,INDEX($D$42:$AD$42,MAX(1,$D$37+1-$D$36)):INDEX($D$42:$AD$42,$D$37)))+(_xlfn.AGGREGATE(9,6,INDEX($D$44:$AD$44,MAX(1,$D$37+1-$D$36)):INDEX($D$44:$AD$44,$D$37))&gt;_xlfn.AGGREGATE(9,6,INDEX($D$43:$AD$43,MAX(1,$D$37+1-$D$36)):INDEX($D$43:$AD$43,$D$37))))</f>
        <v>0</v>
      </c>
      <c r="AW68" s="5">
        <f>IF(AW$39=0,NA(),(_xlfn.AGGREGATE(9,6,INDEX($D$44:$AD$44,MAX(1,$D$37+1-$D$36)):INDEX($D$44:$AD$44,$D$37))&gt;_xlfn.AGGREGATE(9,6,INDEX($D$42:$AD$42,MAX(1,$D$37+1-$D$36)):INDEX($D$42:$AD$42,$D$37)))+(_xlfn.AGGREGATE(9,6,INDEX($D$44:$AD$44,MAX(1,$D$37+1-$D$36)):INDEX($D$44:$AD$44,$D$37))&gt;_xlfn.AGGREGATE(9,6,INDEX($D$43:$AD$43,MAX(1,$D$37+1-$D$36)):INDEX($D$43:$AD$43,$D$37))))</f>
        <v>0</v>
      </c>
      <c r="AX68" s="5">
        <f>IF(AX$39=0,NA(),(_xlfn.AGGREGATE(9,6,INDEX($D$44:$AD$44,MAX(1,$D$37+1-$D$36)):INDEX($D$44:$AD$44,$D$37))&gt;_xlfn.AGGREGATE(9,6,INDEX($D$42:$AD$42,MAX(1,$D$37+1-$D$36)):INDEX($D$42:$AD$42,$D$37)))+(_xlfn.AGGREGATE(9,6,INDEX($D$44:$AD$44,MAX(1,$D$37+1-$D$36)):INDEX($D$44:$AD$44,$D$37))&gt;_xlfn.AGGREGATE(9,6,INDEX($D$43:$AD$43,MAX(1,$D$37+1-$D$36)):INDEX($D$43:$AD$43,$D$37))))</f>
        <v>0</v>
      </c>
      <c r="AY68" s="5">
        <f>IF(AY$39=0,NA(),(_xlfn.AGGREGATE(9,6,INDEX($D$44:$AD$44,MAX(1,$D$37+1-$D$36)):INDEX($D$44:$AD$44,$D$37))&gt;_xlfn.AGGREGATE(9,6,INDEX($D$42:$AD$42,MAX(1,$D$37+1-$D$36)):INDEX($D$42:$AD$42,$D$37)))+(_xlfn.AGGREGATE(9,6,INDEX($D$44:$AD$44,MAX(1,$D$37+1-$D$36)):INDEX($D$44:$AD$44,$D$37))&gt;_xlfn.AGGREGATE(9,6,INDEX($D$43:$AD$43,MAX(1,$D$37+1-$D$36)):INDEX($D$43:$AD$43,$D$37))))</f>
        <v>0</v>
      </c>
      <c r="AZ68" s="5">
        <f>IF(AZ$39=0,NA(),(_xlfn.AGGREGATE(9,6,INDEX($D$44:$AD$44,MAX(1,$D$37+1-$D$36)):INDEX($D$44:$AD$44,$D$37))&gt;_xlfn.AGGREGATE(9,6,INDEX($D$42:$AD$42,MAX(1,$D$37+1-$D$36)):INDEX($D$42:$AD$42,$D$37)))+(_xlfn.AGGREGATE(9,6,INDEX($D$44:$AD$44,MAX(1,$D$37+1-$D$36)):INDEX($D$44:$AD$44,$D$37))&gt;_xlfn.AGGREGATE(9,6,INDEX($D$43:$AD$43,MAX(1,$D$37+1-$D$36)):INDEX($D$43:$AD$43,$D$37))))</f>
        <v>0</v>
      </c>
      <c r="BA68" s="5">
        <f>IF(BA$39=0,NA(),(_xlfn.AGGREGATE(9,6,INDEX($D$44:$AD$44,MAX(1,$D$37+1-$D$36)):INDEX($D$44:$AD$44,$D$37))&gt;_xlfn.AGGREGATE(9,6,INDEX($D$42:$AD$42,MAX(1,$D$37+1-$D$36)):INDEX($D$42:$AD$42,$D$37)))+(_xlfn.AGGREGATE(9,6,INDEX($D$44:$AD$44,MAX(1,$D$37+1-$D$36)):INDEX($D$44:$AD$44,$D$37))&gt;_xlfn.AGGREGATE(9,6,INDEX($D$43:$AD$43,MAX(1,$D$37+1-$D$36)):INDEX($D$43:$AD$43,$D$37))))</f>
        <v>0</v>
      </c>
      <c r="BB68" s="5">
        <f>IF(BB$39=0,NA(),(_xlfn.AGGREGATE(9,6,INDEX($D$44:$AD$44,MAX(1,$D$37+1-$D$36)):INDEX($D$44:$AD$44,$D$37))&gt;_xlfn.AGGREGATE(9,6,INDEX($D$42:$AD$42,MAX(1,$D$37+1-$D$36)):INDEX($D$42:$AD$42,$D$37)))+(_xlfn.AGGREGATE(9,6,INDEX($D$44:$AD$44,MAX(1,$D$37+1-$D$36)):INDEX($D$44:$AD$44,$D$37))&gt;_xlfn.AGGREGATE(9,6,INDEX($D$43:$AD$43,MAX(1,$D$37+1-$D$36)):INDEX($D$43:$AD$43,$D$37))))</f>
        <v>0</v>
      </c>
      <c r="BC68" s="5">
        <f>IF(BC$39=0,NA(),(_xlfn.AGGREGATE(9,6,INDEX($D$44:$AD$44,MAX(1,$D$37+1-$D$36)):INDEX($D$44:$AD$44,$D$37))&gt;_xlfn.AGGREGATE(9,6,INDEX($D$42:$AD$42,MAX(1,$D$37+1-$D$36)):INDEX($D$42:$AD$42,$D$37)))+(_xlfn.AGGREGATE(9,6,INDEX($D$44:$AD$44,MAX(1,$D$37+1-$D$36)):INDEX($D$44:$AD$44,$D$37))&gt;_xlfn.AGGREGATE(9,6,INDEX($D$43:$AD$43,MAX(1,$D$37+1-$D$36)):INDEX($D$43:$AD$43,$D$37))))</f>
        <v>0</v>
      </c>
      <c r="BD68" s="5">
        <f>IF(BD$39=0,NA(),(_xlfn.AGGREGATE(9,6,INDEX($D$44:$AD$44,MAX(1,$D$37+1-$D$36)):INDEX($D$44:$AD$44,$D$37))&gt;_xlfn.AGGREGATE(9,6,INDEX($D$42:$AD$42,MAX(1,$D$37+1-$D$36)):INDEX($D$42:$AD$42,$D$37)))+(_xlfn.AGGREGATE(9,6,INDEX($D$44:$AD$44,MAX(1,$D$37+1-$D$36)):INDEX($D$44:$AD$44,$D$37))&gt;_xlfn.AGGREGATE(9,6,INDEX($D$43:$AD$43,MAX(1,$D$37+1-$D$36)):INDEX($D$43:$AD$43,$D$37))))</f>
        <v>0</v>
      </c>
      <c r="BE68" s="5">
        <f>IF(BE$39=0,NA(),(_xlfn.AGGREGATE(9,6,INDEX($D$44:$AD$44,MAX(1,$D$37+1-$D$36)):INDEX($D$44:$AD$44,$D$37))&gt;_xlfn.AGGREGATE(9,6,INDEX($D$42:$AD$42,MAX(1,$D$37+1-$D$36)):INDEX($D$42:$AD$42,$D$37)))+(_xlfn.AGGREGATE(9,6,INDEX($D$44:$AD$44,MAX(1,$D$37+1-$D$36)):INDEX($D$44:$AD$44,$D$37))&gt;_xlfn.AGGREGATE(9,6,INDEX($D$43:$AD$43,MAX(1,$D$37+1-$D$36)):INDEX($D$43:$AD$43,$D$37))))</f>
        <v>0</v>
      </c>
      <c r="BF68" s="5">
        <f>IF(BF$39=0,NA(),(_xlfn.AGGREGATE(9,6,INDEX($D$44:$AD$44,MAX(1,$D$37+1-$D$36)):INDEX($D$44:$AD$44,$D$37))&gt;_xlfn.AGGREGATE(9,6,INDEX($D$42:$AD$42,MAX(1,$D$37+1-$D$36)):INDEX($D$42:$AD$42,$D$37)))+(_xlfn.AGGREGATE(9,6,INDEX($D$44:$AD$44,MAX(1,$D$37+1-$D$36)):INDEX($D$44:$AD$44,$D$37))&gt;_xlfn.AGGREGATE(9,6,INDEX($D$43:$AD$43,MAX(1,$D$37+1-$D$36)):INDEX($D$43:$AD$43,$D$37))))</f>
        <v>0</v>
      </c>
      <c r="BG68" s="5">
        <f>IF(BG$39=0,NA(),(_xlfn.AGGREGATE(9,6,INDEX($D$44:$AD$44,MAX(1,$D$37+1-$D$36)):INDEX($D$44:$AD$44,$D$37))&gt;_xlfn.AGGREGATE(9,6,INDEX($D$42:$AD$42,MAX(1,$D$37+1-$D$36)):INDEX($D$42:$AD$42,$D$37)))+(_xlfn.AGGREGATE(9,6,INDEX($D$44:$AD$44,MAX(1,$D$37+1-$D$36)):INDEX($D$44:$AD$44,$D$37))&gt;_xlfn.AGGREGATE(9,6,INDEX($D$43:$AD$43,MAX(1,$D$37+1-$D$36)):INDEX($D$43:$AD$43,$D$37))))</f>
        <v>0</v>
      </c>
      <c r="BH68" s="5">
        <f>IF(BH$39=0,NA(),(_xlfn.AGGREGATE(9,6,INDEX($D$44:$AD$44,MAX(1,$D$37+1-$D$36)):INDEX($D$44:$AD$44,$D$37))&gt;_xlfn.AGGREGATE(9,6,INDEX($D$42:$AD$42,MAX(1,$D$37+1-$D$36)):INDEX($D$42:$AD$42,$D$37)))+(_xlfn.AGGREGATE(9,6,INDEX($D$44:$AD$44,MAX(1,$D$37+1-$D$36)):INDEX($D$44:$AD$44,$D$37))&gt;_xlfn.AGGREGATE(9,6,INDEX($D$43:$AD$43,MAX(1,$D$37+1-$D$36)):INDEX($D$43:$AD$43,$D$37))))</f>
        <v>0</v>
      </c>
      <c r="BI68" s="5">
        <f>IF(BI$39=0,NA(),(_xlfn.AGGREGATE(9,6,INDEX($D$44:$AD$44,MAX(1,$D$37+1-$D$36)):INDEX($D$44:$AD$44,$D$37))&gt;_xlfn.AGGREGATE(9,6,INDEX($D$42:$AD$42,MAX(1,$D$37+1-$D$36)):INDEX($D$42:$AD$42,$D$37)))+(_xlfn.AGGREGATE(9,6,INDEX($D$44:$AD$44,MAX(1,$D$37+1-$D$36)):INDEX($D$44:$AD$44,$D$37))&gt;_xlfn.AGGREGATE(9,6,INDEX($D$43:$AD$43,MAX(1,$D$37+1-$D$36)):INDEX($D$43:$AD$43,$D$37))))</f>
        <v>0</v>
      </c>
      <c r="BJ68" s="5">
        <f>IF(BJ$39=0,NA(),(_xlfn.AGGREGATE(9,6,INDEX($D$44:$AD$44,MAX(1,$D$37+1-$D$36)):INDEX($D$44:$AD$44,$D$37))&gt;_xlfn.AGGREGATE(9,6,INDEX($D$42:$AD$42,MAX(1,$D$37+1-$D$36)):INDEX($D$42:$AD$42,$D$37)))+(_xlfn.AGGREGATE(9,6,INDEX($D$44:$AD$44,MAX(1,$D$37+1-$D$36)):INDEX($D$44:$AD$44,$D$37))&gt;_xlfn.AGGREGATE(9,6,INDEX($D$43:$AD$43,MAX(1,$D$37+1-$D$36)):INDEX($D$43:$AD$43,$D$37))))</f>
        <v>0</v>
      </c>
      <c r="BK68" s="5">
        <f>IF(BK$39=0,NA(),(_xlfn.AGGREGATE(9,6,INDEX($D$44:$AD$44,MAX(1,$D$37+1-$D$36)):INDEX($D$44:$AD$44,$D$37))&gt;_xlfn.AGGREGATE(9,6,INDEX($D$42:$AD$42,MAX(1,$D$37+1-$D$36)):INDEX($D$42:$AD$42,$D$37)))+(_xlfn.AGGREGATE(9,6,INDEX($D$44:$AD$44,MAX(1,$D$37+1-$D$36)):INDEX($D$44:$AD$44,$D$37))&gt;_xlfn.AGGREGATE(9,6,INDEX($D$43:$AD$43,MAX(1,$D$37+1-$D$36)):INDEX($D$43:$AD$43,$D$37))))</f>
        <v>0</v>
      </c>
      <c r="BL68" s="5">
        <f>IF(BL$39=0,NA(),(_xlfn.AGGREGATE(9,6,INDEX($D$44:$AD$44,MAX(1,$D$37+1-$D$36)):INDEX($D$44:$AD$44,$D$37))&gt;_xlfn.AGGREGATE(9,6,INDEX($D$42:$AD$42,MAX(1,$D$37+1-$D$36)):INDEX($D$42:$AD$42,$D$37)))+(_xlfn.AGGREGATE(9,6,INDEX($D$44:$AD$44,MAX(1,$D$37+1-$D$36)):INDEX($D$44:$AD$44,$D$37))&gt;_xlfn.AGGREGATE(9,6,INDEX($D$43:$AD$43,MAX(1,$D$37+1-$D$36)):INDEX($D$43:$AD$43,$D$37))))</f>
        <v>0</v>
      </c>
      <c r="BM68" s="5">
        <f>IF(BM$39=0,NA(),(_xlfn.AGGREGATE(9,6,INDEX($D$44:$AD$44,MAX(1,$D$37+1-$D$36)):INDEX($D$44:$AD$44,$D$37))&gt;_xlfn.AGGREGATE(9,6,INDEX($D$42:$AD$42,MAX(1,$D$37+1-$D$36)):INDEX($D$42:$AD$42,$D$37)))+(_xlfn.AGGREGATE(9,6,INDEX($D$44:$AD$44,MAX(1,$D$37+1-$D$36)):INDEX($D$44:$AD$44,$D$37))&gt;_xlfn.AGGREGATE(9,6,INDEX($D$43:$AD$43,MAX(1,$D$37+1-$D$36)):INDEX($D$43:$AD$43,$D$37))))</f>
        <v>0</v>
      </c>
      <c r="BN68" s="5">
        <f>IF(BN$39=0,NA(),(_xlfn.AGGREGATE(9,6,INDEX($D$44:$AD$44,MAX(1,$D$37+1-$D$36)):INDEX($D$44:$AD$44,$D$37))&gt;_xlfn.AGGREGATE(9,6,INDEX($D$42:$AD$42,MAX(1,$D$37+1-$D$36)):INDEX($D$42:$AD$42,$D$37)))+(_xlfn.AGGREGATE(9,6,INDEX($D$44:$AD$44,MAX(1,$D$37+1-$D$36)):INDEX($D$44:$AD$44,$D$37))&gt;_xlfn.AGGREGATE(9,6,INDEX($D$43:$AD$43,MAX(1,$D$37+1-$D$36)):INDEX($D$43:$AD$43,$D$37))))</f>
        <v>0</v>
      </c>
      <c r="BO68" s="5">
        <f>IF(BO$39=0,NA(),(_xlfn.AGGREGATE(9,6,INDEX($D$44:$AD$44,MAX(1,$D$37+1-$D$36)):INDEX($D$44:$AD$44,$D$37))&gt;_xlfn.AGGREGATE(9,6,INDEX($D$42:$AD$42,MAX(1,$D$37+1-$D$36)):INDEX($D$42:$AD$42,$D$37)))+(_xlfn.AGGREGATE(9,6,INDEX($D$44:$AD$44,MAX(1,$D$37+1-$D$36)):INDEX($D$44:$AD$44,$D$37))&gt;_xlfn.AGGREGATE(9,6,INDEX($D$43:$AD$43,MAX(1,$D$37+1-$D$36)):INDEX($D$43:$AD$43,$D$37))))</f>
        <v>0</v>
      </c>
      <c r="BP68" s="5">
        <f>IF(BP$39=0,NA(),(_xlfn.AGGREGATE(9,6,INDEX($D$44:$AD$44,MAX(1,$D$37+1-$D$36)):INDEX($D$44:$AD$44,$D$37))&gt;_xlfn.AGGREGATE(9,6,INDEX($D$42:$AD$42,MAX(1,$D$37+1-$D$36)):INDEX($D$42:$AD$42,$D$37)))+(_xlfn.AGGREGATE(9,6,INDEX($D$44:$AD$44,MAX(1,$D$37+1-$D$36)):INDEX($D$44:$AD$44,$D$37))&gt;_xlfn.AGGREGATE(9,6,INDEX($D$43:$AD$43,MAX(1,$D$37+1-$D$36)):INDEX($D$43:$AD$43,$D$37))))</f>
        <v>0</v>
      </c>
    </row>
    <row r="69" spans="1:68">
      <c r="A69" s="11" t="s">
        <v>201</v>
      </c>
      <c r="B69" s="11" t="s">
        <v>202</v>
      </c>
      <c r="C69" s="3" t="s">
        <v>144</v>
      </c>
      <c r="AQ69" s="11">
        <f>IF(AQ$39=0,"",IF(ISNUMBER(INDEX($D$44:$AD$44,AQ$39)),FIXED(INDEX($D$44:$AD$44,AQ$39)/1000,1),""))</f>
        <v>0</v>
      </c>
      <c r="AR69" s="11">
        <f>IF(AR$39=0,"",IF(ISNUMBER(INDEX($D$44:$AD$44,AR$39)),FIXED(INDEX($D$44:$AD$44,AR$39)/1000,1),""))</f>
        <v>0</v>
      </c>
      <c r="AS69" s="11">
        <f>IF(AS$39=0,"",IF(ISNUMBER(INDEX($D$44:$AD$44,AS$39)),FIXED(INDEX($D$44:$AD$44,AS$39)/1000,1),""))</f>
        <v>0</v>
      </c>
      <c r="AT69" s="11">
        <f>IF(AT$39=0,"",IF(ISNUMBER(INDEX($D$44:$AD$44,AT$39)),FIXED(INDEX($D$44:$AD$44,AT$39)/1000,1),""))</f>
        <v>0</v>
      </c>
      <c r="AU69" s="11">
        <f>IF(AU$39=0,"",IF(ISNUMBER(INDEX($D$44:$AD$44,AU$39)),FIXED(INDEX($D$44:$AD$44,AU$39)/1000,1),""))</f>
        <v>0</v>
      </c>
      <c r="AV69" s="11">
        <f>IF(AV$39=0,"",IF(ISNUMBER(INDEX($D$44:$AD$44,AV$39)),FIXED(INDEX($D$44:$AD$44,AV$39)/1000,1),""))</f>
        <v>0</v>
      </c>
      <c r="AW69" s="11">
        <f>IF(AW$39=0,"",IF(ISNUMBER(INDEX($D$44:$AD$44,AW$39)),FIXED(INDEX($D$44:$AD$44,AW$39)/1000,1),""))</f>
        <v>0</v>
      </c>
      <c r="AX69" s="11">
        <f>IF(AX$39=0,"",IF(ISNUMBER(INDEX($D$44:$AD$44,AX$39)),FIXED(INDEX($D$44:$AD$44,AX$39)/1000,1),""))</f>
        <v>0</v>
      </c>
      <c r="AY69" s="11">
        <f>IF(AY$39=0,"",IF(ISNUMBER(INDEX($D$44:$AD$44,AY$39)),FIXED(INDEX($D$44:$AD$44,AY$39)/1000,1),""))</f>
        <v>0</v>
      </c>
      <c r="AZ69" s="11">
        <f>IF(AZ$39=0,"",IF(ISNUMBER(INDEX($D$44:$AD$44,AZ$39)),FIXED(INDEX($D$44:$AD$44,AZ$39)/1000,1),""))</f>
        <v>0</v>
      </c>
      <c r="BA69" s="11">
        <f>IF(BA$39=0,"",IF(ISNUMBER(INDEX($D$44:$AD$44,BA$39)),FIXED(INDEX($D$44:$AD$44,BA$39)/1000,1),""))</f>
        <v>0</v>
      </c>
      <c r="BB69" s="11">
        <f>IF(BB$39=0,"",IF(ISNUMBER(INDEX($D$44:$AD$44,BB$39)),FIXED(INDEX($D$44:$AD$44,BB$39)/1000,1),""))</f>
        <v>0</v>
      </c>
      <c r="BC69" s="11">
        <f>IF(BC$39=0,"",IF(ISNUMBER(INDEX($D$44:$AD$44,BC$39)),FIXED(INDEX($D$44:$AD$44,BC$39)/1000,1),""))</f>
        <v>0</v>
      </c>
      <c r="BD69" s="11">
        <f>IF(BD$39=0,"",IF(ISNUMBER(INDEX($D$44:$AD$44,BD$39)),FIXED(INDEX($D$44:$AD$44,BD$39)/1000,1),""))</f>
        <v>0</v>
      </c>
      <c r="BE69" s="11">
        <f>IF(BE$39=0,"",IF(ISNUMBER(INDEX($D$44:$AD$44,BE$39)),FIXED(INDEX($D$44:$AD$44,BE$39)/1000,1),""))</f>
        <v>0</v>
      </c>
      <c r="BF69" s="11">
        <f>IF(BF$39=0,"",IF(ISNUMBER(INDEX($D$44:$AD$44,BF$39)),FIXED(INDEX($D$44:$AD$44,BF$39)/1000,1),""))</f>
        <v>0</v>
      </c>
      <c r="BG69" s="11">
        <f>IF(BG$39=0,"",IF(ISNUMBER(INDEX($D$44:$AD$44,BG$39)),FIXED(INDEX($D$44:$AD$44,BG$39)/1000,1),""))</f>
        <v>0</v>
      </c>
      <c r="BH69" s="11">
        <f>IF(BH$39=0,"",IF(ISNUMBER(INDEX($D$44:$AD$44,BH$39)),FIXED(INDEX($D$44:$AD$44,BH$39)/1000,1),""))</f>
        <v>0</v>
      </c>
      <c r="BI69" s="11">
        <f>IF(BI$39=0,"",IF(ISNUMBER(INDEX($D$44:$AD$44,BI$39)),FIXED(INDEX($D$44:$AD$44,BI$39)/1000,1),""))</f>
        <v>0</v>
      </c>
      <c r="BJ69" s="11">
        <f>IF(BJ$39=0,"",IF(ISNUMBER(INDEX($D$44:$AD$44,BJ$39)),FIXED(INDEX($D$44:$AD$44,BJ$39)/1000,1),""))</f>
        <v>0</v>
      </c>
      <c r="BK69" s="11">
        <f>IF(BK$39=0,"",IF(ISNUMBER(INDEX($D$44:$AD$44,BK$39)),FIXED(INDEX($D$44:$AD$44,BK$39)/1000,1),""))</f>
        <v>0</v>
      </c>
      <c r="BL69" s="11">
        <f>IF(BL$39=0,"",IF(ISNUMBER(INDEX($D$44:$AD$44,BL$39)),FIXED(INDEX($D$44:$AD$44,BL$39)/1000,1),""))</f>
        <v>0</v>
      </c>
      <c r="BM69" s="11">
        <f>IF(BM$39=0,"",IF(ISNUMBER(INDEX($D$44:$AD$44,BM$39)),FIXED(INDEX($D$44:$AD$44,BM$39)/1000,1),""))</f>
        <v>0</v>
      </c>
      <c r="BN69" s="11">
        <f>IF(BN$39=0,"",IF(ISNUMBER(INDEX($D$44:$AD$44,BN$39)),FIXED(INDEX($D$44:$AD$44,BN$39)/1000,1),""))</f>
        <v>0</v>
      </c>
      <c r="BO69" s="11">
        <f>IF(BO$39=0,"",IF(ISNUMBER(INDEX($D$44:$AD$44,BO$39)),FIXED(INDEX($D$44:$AD$44,BO$39)/1000,1),""))</f>
        <v>0</v>
      </c>
      <c r="BP69" s="11">
        <f>IF(BP$39=0,"",IF(ISNUMBER(INDEX($D$44:$AD$44,BP$39)),FIXED(INDEX($D$44:$AD$44,BP$39)/1000,1),""))</f>
        <v>0</v>
      </c>
    </row>
    <row r="70" spans="1:68">
      <c r="A70" s="11" t="s">
        <v>203</v>
      </c>
      <c r="B70" s="11" t="s">
        <v>204</v>
      </c>
      <c r="C70" s="3" t="s">
        <v>144</v>
      </c>
      <c r="AQ70" s="5">
        <f>IF(AQ$39=0,NA(),IF(ISNUMBER(INDEX($D$43:$AD$43,AQ$39)),(IF(AQ66&gt;AQ64,N(INDEX($D$42:$AD$42,AQ$39)),0)+IF(AQ68&gt;AQ64,N(INDEX($D$44:$AD$44,AQ$39)),0)+INDEX($D$43:$AD$43,AQ$39)/2)/AQ59,NA()))</f>
        <v>0</v>
      </c>
      <c r="AR70" s="5">
        <f>IF(AR$39=0,NA(),IF(ISNUMBER(INDEX($D$43:$AD$43,AR$39)),(IF(AR66&gt;AR64,N(INDEX($D$42:$AD$42,AR$39)),0)+IF(AR68&gt;AR64,N(INDEX($D$44:$AD$44,AR$39)),0)+INDEX($D$43:$AD$43,AR$39)/2)/AR59,NA()))</f>
        <v>0</v>
      </c>
      <c r="AS70" s="5">
        <f>IF(AS$39=0,NA(),IF(ISNUMBER(INDEX($D$43:$AD$43,AS$39)),(IF(AS66&gt;AS64,N(INDEX($D$42:$AD$42,AS$39)),0)+IF(AS68&gt;AS64,N(INDEX($D$44:$AD$44,AS$39)),0)+INDEX($D$43:$AD$43,AS$39)/2)/AS59,NA()))</f>
        <v>0</v>
      </c>
      <c r="AT70" s="5">
        <f>IF(AT$39=0,NA(),IF(ISNUMBER(INDEX($D$43:$AD$43,AT$39)),(IF(AT66&gt;AT64,N(INDEX($D$42:$AD$42,AT$39)),0)+IF(AT68&gt;AT64,N(INDEX($D$44:$AD$44,AT$39)),0)+INDEX($D$43:$AD$43,AT$39)/2)/AT59,NA()))</f>
        <v>0</v>
      </c>
      <c r="AU70" s="5">
        <f>IF(AU$39=0,NA(),IF(ISNUMBER(INDEX($D$43:$AD$43,AU$39)),(IF(AU66&gt;AU64,N(INDEX($D$42:$AD$42,AU$39)),0)+IF(AU68&gt;AU64,N(INDEX($D$44:$AD$44,AU$39)),0)+INDEX($D$43:$AD$43,AU$39)/2)/AU59,NA()))</f>
        <v>0</v>
      </c>
      <c r="AV70" s="5">
        <f>IF(AV$39=0,NA(),IF(ISNUMBER(INDEX($D$43:$AD$43,AV$39)),(IF(AV66&gt;AV64,N(INDEX($D$42:$AD$42,AV$39)),0)+IF(AV68&gt;AV64,N(INDEX($D$44:$AD$44,AV$39)),0)+INDEX($D$43:$AD$43,AV$39)/2)/AV59,NA()))</f>
        <v>0</v>
      </c>
      <c r="AW70" s="5">
        <f>IF(AW$39=0,NA(),IF(ISNUMBER(INDEX($D$43:$AD$43,AW$39)),(IF(AW66&gt;AW64,N(INDEX($D$42:$AD$42,AW$39)),0)+IF(AW68&gt;AW64,N(INDEX($D$44:$AD$44,AW$39)),0)+INDEX($D$43:$AD$43,AW$39)/2)/AW59,NA()))</f>
        <v>0</v>
      </c>
      <c r="AX70" s="5">
        <f>IF(AX$39=0,NA(),IF(ISNUMBER(INDEX($D$43:$AD$43,AX$39)),(IF(AX66&gt;AX64,N(INDEX($D$42:$AD$42,AX$39)),0)+IF(AX68&gt;AX64,N(INDEX($D$44:$AD$44,AX$39)),0)+INDEX($D$43:$AD$43,AX$39)/2)/AX59,NA()))</f>
        <v>0</v>
      </c>
      <c r="AY70" s="5">
        <f>IF(AY$39=0,NA(),IF(ISNUMBER(INDEX($D$43:$AD$43,AY$39)),(IF(AY66&gt;AY64,N(INDEX($D$42:$AD$42,AY$39)),0)+IF(AY68&gt;AY64,N(INDEX($D$44:$AD$44,AY$39)),0)+INDEX($D$43:$AD$43,AY$39)/2)/AY59,NA()))</f>
        <v>0</v>
      </c>
      <c r="AZ70" s="5">
        <f>IF(AZ$39=0,NA(),IF(ISNUMBER(INDEX($D$43:$AD$43,AZ$39)),(IF(AZ66&gt;AZ64,N(INDEX($D$42:$AD$42,AZ$39)),0)+IF(AZ68&gt;AZ64,N(INDEX($D$44:$AD$44,AZ$39)),0)+INDEX($D$43:$AD$43,AZ$39)/2)/AZ59,NA()))</f>
        <v>0</v>
      </c>
      <c r="BA70" s="5">
        <f>IF(BA$39=0,NA(),IF(ISNUMBER(INDEX($D$43:$AD$43,BA$39)),(IF(BA66&gt;BA64,N(INDEX($D$42:$AD$42,BA$39)),0)+IF(BA68&gt;BA64,N(INDEX($D$44:$AD$44,BA$39)),0)+INDEX($D$43:$AD$43,BA$39)/2)/BA59,NA()))</f>
        <v>0</v>
      </c>
      <c r="BB70" s="5">
        <f>IF(BB$39=0,NA(),IF(ISNUMBER(INDEX($D$43:$AD$43,BB$39)),(IF(BB66&gt;BB64,N(INDEX($D$42:$AD$42,BB$39)),0)+IF(BB68&gt;BB64,N(INDEX($D$44:$AD$44,BB$39)),0)+INDEX($D$43:$AD$43,BB$39)/2)/BB59,NA()))</f>
        <v>0</v>
      </c>
      <c r="BC70" s="5">
        <f>IF(BC$39=0,NA(),IF(ISNUMBER(INDEX($D$43:$AD$43,BC$39)),(IF(BC66&gt;BC64,N(INDEX($D$42:$AD$42,BC$39)),0)+IF(BC68&gt;BC64,N(INDEX($D$44:$AD$44,BC$39)),0)+INDEX($D$43:$AD$43,BC$39)/2)/BC59,NA()))</f>
        <v>0</v>
      </c>
      <c r="BD70" s="5">
        <f>IF(BD$39=0,NA(),IF(ISNUMBER(INDEX($D$43:$AD$43,BD$39)),(IF(BD66&gt;BD64,N(INDEX($D$42:$AD$42,BD$39)),0)+IF(BD68&gt;BD64,N(INDEX($D$44:$AD$44,BD$39)),0)+INDEX($D$43:$AD$43,BD$39)/2)/BD59,NA()))</f>
        <v>0</v>
      </c>
      <c r="BE70" s="5">
        <f>IF(BE$39=0,NA(),IF(ISNUMBER(INDEX($D$43:$AD$43,BE$39)),(IF(BE66&gt;BE64,N(INDEX($D$42:$AD$42,BE$39)),0)+IF(BE68&gt;BE64,N(INDEX($D$44:$AD$44,BE$39)),0)+INDEX($D$43:$AD$43,BE$39)/2)/BE59,NA()))</f>
        <v>0</v>
      </c>
      <c r="BF70" s="5">
        <f>IF(BF$39=0,NA(),IF(ISNUMBER(INDEX($D$43:$AD$43,BF$39)),(IF(BF66&gt;BF64,N(INDEX($D$42:$AD$42,BF$39)),0)+IF(BF68&gt;BF64,N(INDEX($D$44:$AD$44,BF$39)),0)+INDEX($D$43:$AD$43,BF$39)/2)/BF59,NA()))</f>
        <v>0</v>
      </c>
      <c r="BG70" s="5">
        <f>IF(BG$39=0,NA(),IF(ISNUMBER(INDEX($D$43:$AD$43,BG$39)),(IF(BG66&gt;BG64,N(INDEX($D$42:$AD$42,BG$39)),0)+IF(BG68&gt;BG64,N(INDEX($D$44:$AD$44,BG$39)),0)+INDEX($D$43:$AD$43,BG$39)/2)/BG59,NA()))</f>
        <v>0</v>
      </c>
      <c r="BH70" s="5">
        <f>IF(BH$39=0,NA(),IF(ISNUMBER(INDEX($D$43:$AD$43,BH$39)),(IF(BH66&gt;BH64,N(INDEX($D$42:$AD$42,BH$39)),0)+IF(BH68&gt;BH64,N(INDEX($D$44:$AD$44,BH$39)),0)+INDEX($D$43:$AD$43,BH$39)/2)/BH59,NA()))</f>
        <v>0</v>
      </c>
      <c r="BI70" s="5">
        <f>IF(BI$39=0,NA(),IF(ISNUMBER(INDEX($D$43:$AD$43,BI$39)),(IF(BI66&gt;BI64,N(INDEX($D$42:$AD$42,BI$39)),0)+IF(BI68&gt;BI64,N(INDEX($D$44:$AD$44,BI$39)),0)+INDEX($D$43:$AD$43,BI$39)/2)/BI59,NA()))</f>
        <v>0</v>
      </c>
      <c r="BJ70" s="5">
        <f>IF(BJ$39=0,NA(),IF(ISNUMBER(INDEX($D$43:$AD$43,BJ$39)),(IF(BJ66&gt;BJ64,N(INDEX($D$42:$AD$42,BJ$39)),0)+IF(BJ68&gt;BJ64,N(INDEX($D$44:$AD$44,BJ$39)),0)+INDEX($D$43:$AD$43,BJ$39)/2)/BJ59,NA()))</f>
        <v>0</v>
      </c>
      <c r="BK70" s="5">
        <f>IF(BK$39=0,NA(),IF(ISNUMBER(INDEX($D$43:$AD$43,BK$39)),(IF(BK66&gt;BK64,N(INDEX($D$42:$AD$42,BK$39)),0)+IF(BK68&gt;BK64,N(INDEX($D$44:$AD$44,BK$39)),0)+INDEX($D$43:$AD$43,BK$39)/2)/BK59,NA()))</f>
        <v>0</v>
      </c>
      <c r="BL70" s="5">
        <f>IF(BL$39=0,NA(),IF(ISNUMBER(INDEX($D$43:$AD$43,BL$39)),(IF(BL66&gt;BL64,N(INDEX($D$42:$AD$42,BL$39)),0)+IF(BL68&gt;BL64,N(INDEX($D$44:$AD$44,BL$39)),0)+INDEX($D$43:$AD$43,BL$39)/2)/BL59,NA()))</f>
        <v>0</v>
      </c>
      <c r="BM70" s="5">
        <f>IF(BM$39=0,NA(),IF(ISNUMBER(INDEX($D$43:$AD$43,BM$39)),(IF(BM66&gt;BM64,N(INDEX($D$42:$AD$42,BM$39)),0)+IF(BM68&gt;BM64,N(INDEX($D$44:$AD$44,BM$39)),0)+INDEX($D$43:$AD$43,BM$39)/2)/BM59,NA()))</f>
        <v>0</v>
      </c>
      <c r="BN70" s="5">
        <f>IF(BN$39=0,NA(),IF(ISNUMBER(INDEX($D$43:$AD$43,BN$39)),(IF(BN66&gt;BN64,N(INDEX($D$42:$AD$42,BN$39)),0)+IF(BN68&gt;BN64,N(INDEX($D$44:$AD$44,BN$39)),0)+INDEX($D$43:$AD$43,BN$39)/2)/BN59,NA()))</f>
        <v>0</v>
      </c>
      <c r="BO70" s="5">
        <f>IF(BO$39=0,NA(),IF(ISNUMBER(INDEX($D$43:$AD$43,BO$39)),(IF(BO66&gt;BO64,N(INDEX($D$42:$AD$42,BO$39)),0)+IF(BO68&gt;BO64,N(INDEX($D$44:$AD$44,BO$39)),0)+INDEX($D$43:$AD$43,BO$39)/2)/BO59,NA()))</f>
        <v>0</v>
      </c>
      <c r="BP70" s="5">
        <f>IF(BP$39=0,NA(),IF(ISNUMBER(INDEX($D$43:$AD$43,BP$39)),(IF(BP66&gt;BP64,N(INDEX($D$42:$AD$42,BP$39)),0)+IF(BP68&gt;BP64,N(INDEX($D$44:$AD$44,BP$39)),0)+INDEX($D$43:$AD$43,BP$39)/2)/BP59,NA()))</f>
        <v>0</v>
      </c>
    </row>
    <row r="71" spans="1:68">
      <c r="A71" s="11" t="s">
        <v>205</v>
      </c>
      <c r="B71" s="11" t="s">
        <v>206</v>
      </c>
      <c r="C71" s="3" t="s">
        <v>144</v>
      </c>
      <c r="AQ71" s="5">
        <f>IF(AQ$39=0,NA(),IF(ISNUMBER(INDEX($D$42:$AD$42,AQ$39)),(IF(AQ64&gt;AQ66,N(INDEX($D$43:$AD$43,AQ$39)),0)+IF(AQ68&gt;AQ66,N(INDEX($D$44:$AD$44,AQ$39)),0)+INDEX($D$42:$AD$42,AQ$39)/2)/AQ59,NA()))</f>
        <v>0</v>
      </c>
      <c r="AR71" s="5">
        <f>IF(AR$39=0,NA(),IF(ISNUMBER(INDEX($D$42:$AD$42,AR$39)),(IF(AR64&gt;AR66,N(INDEX($D$43:$AD$43,AR$39)),0)+IF(AR68&gt;AR66,N(INDEX($D$44:$AD$44,AR$39)),0)+INDEX($D$42:$AD$42,AR$39)/2)/AR59,NA()))</f>
        <v>0</v>
      </c>
      <c r="AS71" s="5">
        <f>IF(AS$39=0,NA(),IF(ISNUMBER(INDEX($D$42:$AD$42,AS$39)),(IF(AS64&gt;AS66,N(INDEX($D$43:$AD$43,AS$39)),0)+IF(AS68&gt;AS66,N(INDEX($D$44:$AD$44,AS$39)),0)+INDEX($D$42:$AD$42,AS$39)/2)/AS59,NA()))</f>
        <v>0</v>
      </c>
      <c r="AT71" s="5">
        <f>IF(AT$39=0,NA(),IF(ISNUMBER(INDEX($D$42:$AD$42,AT$39)),(IF(AT64&gt;AT66,N(INDEX($D$43:$AD$43,AT$39)),0)+IF(AT68&gt;AT66,N(INDEX($D$44:$AD$44,AT$39)),0)+INDEX($D$42:$AD$42,AT$39)/2)/AT59,NA()))</f>
        <v>0</v>
      </c>
      <c r="AU71" s="5">
        <f>IF(AU$39=0,NA(),IF(ISNUMBER(INDEX($D$42:$AD$42,AU$39)),(IF(AU64&gt;AU66,N(INDEX($D$43:$AD$43,AU$39)),0)+IF(AU68&gt;AU66,N(INDEX($D$44:$AD$44,AU$39)),0)+INDEX($D$42:$AD$42,AU$39)/2)/AU59,NA()))</f>
        <v>0</v>
      </c>
      <c r="AV71" s="5">
        <f>IF(AV$39=0,NA(),IF(ISNUMBER(INDEX($D$42:$AD$42,AV$39)),(IF(AV64&gt;AV66,N(INDEX($D$43:$AD$43,AV$39)),0)+IF(AV68&gt;AV66,N(INDEX($D$44:$AD$44,AV$39)),0)+INDEX($D$42:$AD$42,AV$39)/2)/AV59,NA()))</f>
        <v>0</v>
      </c>
      <c r="AW71" s="5">
        <f>IF(AW$39=0,NA(),IF(ISNUMBER(INDEX($D$42:$AD$42,AW$39)),(IF(AW64&gt;AW66,N(INDEX($D$43:$AD$43,AW$39)),0)+IF(AW68&gt;AW66,N(INDEX($D$44:$AD$44,AW$39)),0)+INDEX($D$42:$AD$42,AW$39)/2)/AW59,NA()))</f>
        <v>0</v>
      </c>
      <c r="AX71" s="5">
        <f>IF(AX$39=0,NA(),IF(ISNUMBER(INDEX($D$42:$AD$42,AX$39)),(IF(AX64&gt;AX66,N(INDEX($D$43:$AD$43,AX$39)),0)+IF(AX68&gt;AX66,N(INDEX($D$44:$AD$44,AX$39)),0)+INDEX($D$42:$AD$42,AX$39)/2)/AX59,NA()))</f>
        <v>0</v>
      </c>
      <c r="AY71" s="5">
        <f>IF(AY$39=0,NA(),IF(ISNUMBER(INDEX($D$42:$AD$42,AY$39)),(IF(AY64&gt;AY66,N(INDEX($D$43:$AD$43,AY$39)),0)+IF(AY68&gt;AY66,N(INDEX($D$44:$AD$44,AY$39)),0)+INDEX($D$42:$AD$42,AY$39)/2)/AY59,NA()))</f>
        <v>0</v>
      </c>
      <c r="AZ71" s="5">
        <f>IF(AZ$39=0,NA(),IF(ISNUMBER(INDEX($D$42:$AD$42,AZ$39)),(IF(AZ64&gt;AZ66,N(INDEX($D$43:$AD$43,AZ$39)),0)+IF(AZ68&gt;AZ66,N(INDEX($D$44:$AD$44,AZ$39)),0)+INDEX($D$42:$AD$42,AZ$39)/2)/AZ59,NA()))</f>
        <v>0</v>
      </c>
      <c r="BA71" s="5">
        <f>IF(BA$39=0,NA(),IF(ISNUMBER(INDEX($D$42:$AD$42,BA$39)),(IF(BA64&gt;BA66,N(INDEX($D$43:$AD$43,BA$39)),0)+IF(BA68&gt;BA66,N(INDEX($D$44:$AD$44,BA$39)),0)+INDEX($D$42:$AD$42,BA$39)/2)/BA59,NA()))</f>
        <v>0</v>
      </c>
      <c r="BB71" s="5">
        <f>IF(BB$39=0,NA(),IF(ISNUMBER(INDEX($D$42:$AD$42,BB$39)),(IF(BB64&gt;BB66,N(INDEX($D$43:$AD$43,BB$39)),0)+IF(BB68&gt;BB66,N(INDEX($D$44:$AD$44,BB$39)),0)+INDEX($D$42:$AD$42,BB$39)/2)/BB59,NA()))</f>
        <v>0</v>
      </c>
      <c r="BC71" s="5">
        <f>IF(BC$39=0,NA(),IF(ISNUMBER(INDEX($D$42:$AD$42,BC$39)),(IF(BC64&gt;BC66,N(INDEX($D$43:$AD$43,BC$39)),0)+IF(BC68&gt;BC66,N(INDEX($D$44:$AD$44,BC$39)),0)+INDEX($D$42:$AD$42,BC$39)/2)/BC59,NA()))</f>
        <v>0</v>
      </c>
      <c r="BD71" s="5">
        <f>IF(BD$39=0,NA(),IF(ISNUMBER(INDEX($D$42:$AD$42,BD$39)),(IF(BD64&gt;BD66,N(INDEX($D$43:$AD$43,BD$39)),0)+IF(BD68&gt;BD66,N(INDEX($D$44:$AD$44,BD$39)),0)+INDEX($D$42:$AD$42,BD$39)/2)/BD59,NA()))</f>
        <v>0</v>
      </c>
      <c r="BE71" s="5">
        <f>IF(BE$39=0,NA(),IF(ISNUMBER(INDEX($D$42:$AD$42,BE$39)),(IF(BE64&gt;BE66,N(INDEX($D$43:$AD$43,BE$39)),0)+IF(BE68&gt;BE66,N(INDEX($D$44:$AD$44,BE$39)),0)+INDEX($D$42:$AD$42,BE$39)/2)/BE59,NA()))</f>
        <v>0</v>
      </c>
      <c r="BF71" s="5">
        <f>IF(BF$39=0,NA(),IF(ISNUMBER(INDEX($D$42:$AD$42,BF$39)),(IF(BF64&gt;BF66,N(INDEX($D$43:$AD$43,BF$39)),0)+IF(BF68&gt;BF66,N(INDEX($D$44:$AD$44,BF$39)),0)+INDEX($D$42:$AD$42,BF$39)/2)/BF59,NA()))</f>
        <v>0</v>
      </c>
      <c r="BG71" s="5">
        <f>IF(BG$39=0,NA(),IF(ISNUMBER(INDEX($D$42:$AD$42,BG$39)),(IF(BG64&gt;BG66,N(INDEX($D$43:$AD$43,BG$39)),0)+IF(BG68&gt;BG66,N(INDEX($D$44:$AD$44,BG$39)),0)+INDEX($D$42:$AD$42,BG$39)/2)/BG59,NA()))</f>
        <v>0</v>
      </c>
      <c r="BH71" s="5">
        <f>IF(BH$39=0,NA(),IF(ISNUMBER(INDEX($D$42:$AD$42,BH$39)),(IF(BH64&gt;BH66,N(INDEX($D$43:$AD$43,BH$39)),0)+IF(BH68&gt;BH66,N(INDEX($D$44:$AD$44,BH$39)),0)+INDEX($D$42:$AD$42,BH$39)/2)/BH59,NA()))</f>
        <v>0</v>
      </c>
      <c r="BI71" s="5">
        <f>IF(BI$39=0,NA(),IF(ISNUMBER(INDEX($D$42:$AD$42,BI$39)),(IF(BI64&gt;BI66,N(INDEX($D$43:$AD$43,BI$39)),0)+IF(BI68&gt;BI66,N(INDEX($D$44:$AD$44,BI$39)),0)+INDEX($D$42:$AD$42,BI$39)/2)/BI59,NA()))</f>
        <v>0</v>
      </c>
      <c r="BJ71" s="5">
        <f>IF(BJ$39=0,NA(),IF(ISNUMBER(INDEX($D$42:$AD$42,BJ$39)),(IF(BJ64&gt;BJ66,N(INDEX($D$43:$AD$43,BJ$39)),0)+IF(BJ68&gt;BJ66,N(INDEX($D$44:$AD$44,BJ$39)),0)+INDEX($D$42:$AD$42,BJ$39)/2)/BJ59,NA()))</f>
        <v>0</v>
      </c>
      <c r="BK71" s="5">
        <f>IF(BK$39=0,NA(),IF(ISNUMBER(INDEX($D$42:$AD$42,BK$39)),(IF(BK64&gt;BK66,N(INDEX($D$43:$AD$43,BK$39)),0)+IF(BK68&gt;BK66,N(INDEX($D$44:$AD$44,BK$39)),0)+INDEX($D$42:$AD$42,BK$39)/2)/BK59,NA()))</f>
        <v>0</v>
      </c>
      <c r="BL71" s="5">
        <f>IF(BL$39=0,NA(),IF(ISNUMBER(INDEX($D$42:$AD$42,BL$39)),(IF(BL64&gt;BL66,N(INDEX($D$43:$AD$43,BL$39)),0)+IF(BL68&gt;BL66,N(INDEX($D$44:$AD$44,BL$39)),0)+INDEX($D$42:$AD$42,BL$39)/2)/BL59,NA()))</f>
        <v>0</v>
      </c>
      <c r="BM71" s="5">
        <f>IF(BM$39=0,NA(),IF(ISNUMBER(INDEX($D$42:$AD$42,BM$39)),(IF(BM64&gt;BM66,N(INDEX($D$43:$AD$43,BM$39)),0)+IF(BM68&gt;BM66,N(INDEX($D$44:$AD$44,BM$39)),0)+INDEX($D$42:$AD$42,BM$39)/2)/BM59,NA()))</f>
        <v>0</v>
      </c>
      <c r="BN71" s="5">
        <f>IF(BN$39=0,NA(),IF(ISNUMBER(INDEX($D$42:$AD$42,BN$39)),(IF(BN64&gt;BN66,N(INDEX($D$43:$AD$43,BN$39)),0)+IF(BN68&gt;BN66,N(INDEX($D$44:$AD$44,BN$39)),0)+INDEX($D$42:$AD$42,BN$39)/2)/BN59,NA()))</f>
        <v>0</v>
      </c>
      <c r="BO71" s="5">
        <f>IF(BO$39=0,NA(),IF(ISNUMBER(INDEX($D$42:$AD$42,BO$39)),(IF(BO64&gt;BO66,N(INDEX($D$43:$AD$43,BO$39)),0)+IF(BO68&gt;BO66,N(INDEX($D$44:$AD$44,BO$39)),0)+INDEX($D$42:$AD$42,BO$39)/2)/BO59,NA()))</f>
        <v>0</v>
      </c>
      <c r="BP71" s="5">
        <f>IF(BP$39=0,NA(),IF(ISNUMBER(INDEX($D$42:$AD$42,BP$39)),(IF(BP64&gt;BP66,N(INDEX($D$43:$AD$43,BP$39)),0)+IF(BP68&gt;BP66,N(INDEX($D$44:$AD$44,BP$39)),0)+INDEX($D$42:$AD$42,BP$39)/2)/BP59,NA()))</f>
        <v>0</v>
      </c>
    </row>
    <row r="72" spans="1:68">
      <c r="A72" s="11" t="s">
        <v>207</v>
      </c>
      <c r="B72" s="11" t="s">
        <v>208</v>
      </c>
      <c r="C72" s="3" t="s">
        <v>144</v>
      </c>
      <c r="AQ72" s="5">
        <f>IF(AQ$39=0,NA(),IF(ISNUMBER(INDEX($D$44:$AD$44,AQ$39)),(IF(AQ66&gt;AQ68,N(INDEX($D$42:$AD$42,AQ$39)),0)+IF(AQ64&gt;AQ68,N(INDEX($D$43:$AD$43,AQ$39)),0)+INDEX($D$44:$AD$44,AQ$39)/2)/AQ59,NA()))</f>
        <v>0</v>
      </c>
      <c r="AR72" s="5">
        <f>IF(AR$39=0,NA(),IF(ISNUMBER(INDEX($D$44:$AD$44,AR$39)),(IF(AR66&gt;AR68,N(INDEX($D$42:$AD$42,AR$39)),0)+IF(AR64&gt;AR68,N(INDEX($D$43:$AD$43,AR$39)),0)+INDEX($D$44:$AD$44,AR$39)/2)/AR59,NA()))</f>
        <v>0</v>
      </c>
      <c r="AS72" s="5">
        <f>IF(AS$39=0,NA(),IF(ISNUMBER(INDEX($D$44:$AD$44,AS$39)),(IF(AS66&gt;AS68,N(INDEX($D$42:$AD$42,AS$39)),0)+IF(AS64&gt;AS68,N(INDEX($D$43:$AD$43,AS$39)),0)+INDEX($D$44:$AD$44,AS$39)/2)/AS59,NA()))</f>
        <v>0</v>
      </c>
      <c r="AT72" s="5">
        <f>IF(AT$39=0,NA(),IF(ISNUMBER(INDEX($D$44:$AD$44,AT$39)),(IF(AT66&gt;AT68,N(INDEX($D$42:$AD$42,AT$39)),0)+IF(AT64&gt;AT68,N(INDEX($D$43:$AD$43,AT$39)),0)+INDEX($D$44:$AD$44,AT$39)/2)/AT59,NA()))</f>
        <v>0</v>
      </c>
      <c r="AU72" s="5">
        <f>IF(AU$39=0,NA(),IF(ISNUMBER(INDEX($D$44:$AD$44,AU$39)),(IF(AU66&gt;AU68,N(INDEX($D$42:$AD$42,AU$39)),0)+IF(AU64&gt;AU68,N(INDEX($D$43:$AD$43,AU$39)),0)+INDEX($D$44:$AD$44,AU$39)/2)/AU59,NA()))</f>
        <v>0</v>
      </c>
      <c r="AV72" s="5">
        <f>IF(AV$39=0,NA(),IF(ISNUMBER(INDEX($D$44:$AD$44,AV$39)),(IF(AV66&gt;AV68,N(INDEX($D$42:$AD$42,AV$39)),0)+IF(AV64&gt;AV68,N(INDEX($D$43:$AD$43,AV$39)),0)+INDEX($D$44:$AD$44,AV$39)/2)/AV59,NA()))</f>
        <v>0</v>
      </c>
      <c r="AW72" s="5">
        <f>IF(AW$39=0,NA(),IF(ISNUMBER(INDEX($D$44:$AD$44,AW$39)),(IF(AW66&gt;AW68,N(INDEX($D$42:$AD$42,AW$39)),0)+IF(AW64&gt;AW68,N(INDEX($D$43:$AD$43,AW$39)),0)+INDEX($D$44:$AD$44,AW$39)/2)/AW59,NA()))</f>
        <v>0</v>
      </c>
      <c r="AX72" s="5">
        <f>IF(AX$39=0,NA(),IF(ISNUMBER(INDEX($D$44:$AD$44,AX$39)),(IF(AX66&gt;AX68,N(INDEX($D$42:$AD$42,AX$39)),0)+IF(AX64&gt;AX68,N(INDEX($D$43:$AD$43,AX$39)),0)+INDEX($D$44:$AD$44,AX$39)/2)/AX59,NA()))</f>
        <v>0</v>
      </c>
      <c r="AY72" s="5">
        <f>IF(AY$39=0,NA(),IF(ISNUMBER(INDEX($D$44:$AD$44,AY$39)),(IF(AY66&gt;AY68,N(INDEX($D$42:$AD$42,AY$39)),0)+IF(AY64&gt;AY68,N(INDEX($D$43:$AD$43,AY$39)),0)+INDEX($D$44:$AD$44,AY$39)/2)/AY59,NA()))</f>
        <v>0</v>
      </c>
      <c r="AZ72" s="5">
        <f>IF(AZ$39=0,NA(),IF(ISNUMBER(INDEX($D$44:$AD$44,AZ$39)),(IF(AZ66&gt;AZ68,N(INDEX($D$42:$AD$42,AZ$39)),0)+IF(AZ64&gt;AZ68,N(INDEX($D$43:$AD$43,AZ$39)),0)+INDEX($D$44:$AD$44,AZ$39)/2)/AZ59,NA()))</f>
        <v>0</v>
      </c>
      <c r="BA72" s="5">
        <f>IF(BA$39=0,NA(),IF(ISNUMBER(INDEX($D$44:$AD$44,BA$39)),(IF(BA66&gt;BA68,N(INDEX($D$42:$AD$42,BA$39)),0)+IF(BA64&gt;BA68,N(INDEX($D$43:$AD$43,BA$39)),0)+INDEX($D$44:$AD$44,BA$39)/2)/BA59,NA()))</f>
        <v>0</v>
      </c>
      <c r="BB72" s="5">
        <f>IF(BB$39=0,NA(),IF(ISNUMBER(INDEX($D$44:$AD$44,BB$39)),(IF(BB66&gt;BB68,N(INDEX($D$42:$AD$42,BB$39)),0)+IF(BB64&gt;BB68,N(INDEX($D$43:$AD$43,BB$39)),0)+INDEX($D$44:$AD$44,BB$39)/2)/BB59,NA()))</f>
        <v>0</v>
      </c>
      <c r="BC72" s="5">
        <f>IF(BC$39=0,NA(),IF(ISNUMBER(INDEX($D$44:$AD$44,BC$39)),(IF(BC66&gt;BC68,N(INDEX($D$42:$AD$42,BC$39)),0)+IF(BC64&gt;BC68,N(INDEX($D$43:$AD$43,BC$39)),0)+INDEX($D$44:$AD$44,BC$39)/2)/BC59,NA()))</f>
        <v>0</v>
      </c>
      <c r="BD72" s="5">
        <f>IF(BD$39=0,NA(),IF(ISNUMBER(INDEX($D$44:$AD$44,BD$39)),(IF(BD66&gt;BD68,N(INDEX($D$42:$AD$42,BD$39)),0)+IF(BD64&gt;BD68,N(INDEX($D$43:$AD$43,BD$39)),0)+INDEX($D$44:$AD$44,BD$39)/2)/BD59,NA()))</f>
        <v>0</v>
      </c>
      <c r="BE72" s="5">
        <f>IF(BE$39=0,NA(),IF(ISNUMBER(INDEX($D$44:$AD$44,BE$39)),(IF(BE66&gt;BE68,N(INDEX($D$42:$AD$42,BE$39)),0)+IF(BE64&gt;BE68,N(INDEX($D$43:$AD$43,BE$39)),0)+INDEX($D$44:$AD$44,BE$39)/2)/BE59,NA()))</f>
        <v>0</v>
      </c>
      <c r="BF72" s="5">
        <f>IF(BF$39=0,NA(),IF(ISNUMBER(INDEX($D$44:$AD$44,BF$39)),(IF(BF66&gt;BF68,N(INDEX($D$42:$AD$42,BF$39)),0)+IF(BF64&gt;BF68,N(INDEX($D$43:$AD$43,BF$39)),0)+INDEX($D$44:$AD$44,BF$39)/2)/BF59,NA()))</f>
        <v>0</v>
      </c>
      <c r="BG72" s="5">
        <f>IF(BG$39=0,NA(),IF(ISNUMBER(INDEX($D$44:$AD$44,BG$39)),(IF(BG66&gt;BG68,N(INDEX($D$42:$AD$42,BG$39)),0)+IF(BG64&gt;BG68,N(INDEX($D$43:$AD$43,BG$39)),0)+INDEX($D$44:$AD$44,BG$39)/2)/BG59,NA()))</f>
        <v>0</v>
      </c>
      <c r="BH72" s="5">
        <f>IF(BH$39=0,NA(),IF(ISNUMBER(INDEX($D$44:$AD$44,BH$39)),(IF(BH66&gt;BH68,N(INDEX($D$42:$AD$42,BH$39)),0)+IF(BH64&gt;BH68,N(INDEX($D$43:$AD$43,BH$39)),0)+INDEX($D$44:$AD$44,BH$39)/2)/BH59,NA()))</f>
        <v>0</v>
      </c>
      <c r="BI72" s="5">
        <f>IF(BI$39=0,NA(),IF(ISNUMBER(INDEX($D$44:$AD$44,BI$39)),(IF(BI66&gt;BI68,N(INDEX($D$42:$AD$42,BI$39)),0)+IF(BI64&gt;BI68,N(INDEX($D$43:$AD$43,BI$39)),0)+INDEX($D$44:$AD$44,BI$39)/2)/BI59,NA()))</f>
        <v>0</v>
      </c>
      <c r="BJ72" s="5">
        <f>IF(BJ$39=0,NA(),IF(ISNUMBER(INDEX($D$44:$AD$44,BJ$39)),(IF(BJ66&gt;BJ68,N(INDEX($D$42:$AD$42,BJ$39)),0)+IF(BJ64&gt;BJ68,N(INDEX($D$43:$AD$43,BJ$39)),0)+INDEX($D$44:$AD$44,BJ$39)/2)/BJ59,NA()))</f>
        <v>0</v>
      </c>
      <c r="BK72" s="5">
        <f>IF(BK$39=0,NA(),IF(ISNUMBER(INDEX($D$44:$AD$44,BK$39)),(IF(BK66&gt;BK68,N(INDEX($D$42:$AD$42,BK$39)),0)+IF(BK64&gt;BK68,N(INDEX($D$43:$AD$43,BK$39)),0)+INDEX($D$44:$AD$44,BK$39)/2)/BK59,NA()))</f>
        <v>0</v>
      </c>
      <c r="BL72" s="5">
        <f>IF(BL$39=0,NA(),IF(ISNUMBER(INDEX($D$44:$AD$44,BL$39)),(IF(BL66&gt;BL68,N(INDEX($D$42:$AD$42,BL$39)),0)+IF(BL64&gt;BL68,N(INDEX($D$43:$AD$43,BL$39)),0)+INDEX($D$44:$AD$44,BL$39)/2)/BL59,NA()))</f>
        <v>0</v>
      </c>
      <c r="BM72" s="5">
        <f>IF(BM$39=0,NA(),IF(ISNUMBER(INDEX($D$44:$AD$44,BM$39)),(IF(BM66&gt;BM68,N(INDEX($D$42:$AD$42,BM$39)),0)+IF(BM64&gt;BM68,N(INDEX($D$43:$AD$43,BM$39)),0)+INDEX($D$44:$AD$44,BM$39)/2)/BM59,NA()))</f>
        <v>0</v>
      </c>
      <c r="BN72" s="5">
        <f>IF(BN$39=0,NA(),IF(ISNUMBER(INDEX($D$44:$AD$44,BN$39)),(IF(BN66&gt;BN68,N(INDEX($D$42:$AD$42,BN$39)),0)+IF(BN64&gt;BN68,N(INDEX($D$43:$AD$43,BN$39)),0)+INDEX($D$44:$AD$44,BN$39)/2)/BN59,NA()))</f>
        <v>0</v>
      </c>
      <c r="BO72" s="5">
        <f>IF(BO$39=0,NA(),IF(ISNUMBER(INDEX($D$44:$AD$44,BO$39)),(IF(BO66&gt;BO68,N(INDEX($D$42:$AD$42,BO$39)),0)+IF(BO64&gt;BO68,N(INDEX($D$43:$AD$43,BO$39)),0)+INDEX($D$44:$AD$44,BO$39)/2)/BO59,NA()))</f>
        <v>0</v>
      </c>
      <c r="BP72" s="5">
        <f>IF(BP$39=0,NA(),IF(ISNUMBER(INDEX($D$44:$AD$44,BP$39)),(IF(BP66&gt;BP68,N(INDEX($D$42:$AD$42,BP$39)),0)+IF(BP64&gt;BP68,N(INDEX($D$43:$AD$43,BP$39)),0)+INDEX($D$44:$AD$44,BP$39)/2)/BP59,NA()))</f>
        <v>0</v>
      </c>
    </row>
    <row r="73" spans="1:68">
      <c r="A73" s="11" t="s">
        <v>209</v>
      </c>
      <c r="B73" s="11" t="s">
        <v>210</v>
      </c>
      <c r="C73" s="3" t="s">
        <v>144</v>
      </c>
      <c r="AQ73" s="5">
        <f>IF(AQ$39=0,NA(),IF(ISNUMBER(INDEX($D$43:$AD$43,AQ$39)),MAX(MIN(AQ70,IFERROR(INDEX($D$56:$AD$56,AQ$39)/AQ59,1)-0.08721-AQ64*0.17442,IF(AQ66&lt;AQ64,IFERROR(AQ71,9)-(AQ64-AQ66)*0.17442,9),IF(AQ68&lt;AQ64,IFERROR(AQ72,9)-(AQ64-AQ68)*0.17442,9)),0.08721+(2-AQ64)*0.17442),NA()))</f>
        <v>0</v>
      </c>
      <c r="AR73" s="5">
        <f>IF(AR$39=0,NA(),IF(ISNUMBER(INDEX($D$43:$AD$43,AR$39)),MAX(MIN(AR70,IFERROR(INDEX($D$56:$AD$56,AR$39)/AR59,1)-0.08721-AR64*0.17442,IF(AR66&lt;AR64,IFERROR(AR71,9)-(AR64-AR66)*0.17442,9),IF(AR68&lt;AR64,IFERROR(AR72,9)-(AR64-AR68)*0.17442,9)),0.08721+(2-AR64)*0.17442),NA()))</f>
        <v>0</v>
      </c>
      <c r="AS73" s="5">
        <f>IF(AS$39=0,NA(),IF(ISNUMBER(INDEX($D$43:$AD$43,AS$39)),MAX(MIN(AS70,IFERROR(INDEX($D$56:$AD$56,AS$39)/AS59,1)-0.08721-AS64*0.17442,IF(AS66&lt;AS64,IFERROR(AS71,9)-(AS64-AS66)*0.17442,9),IF(AS68&lt;AS64,IFERROR(AS72,9)-(AS64-AS68)*0.17442,9)),0.08721+(2-AS64)*0.17442),NA()))</f>
        <v>0</v>
      </c>
      <c r="AT73" s="5">
        <f>IF(AT$39=0,NA(),IF(ISNUMBER(INDEX($D$43:$AD$43,AT$39)),MAX(MIN(AT70,IFERROR(INDEX($D$56:$AD$56,AT$39)/AT59,1)-0.08721-AT64*0.17442,IF(AT66&lt;AT64,IFERROR(AT71,9)-(AT64-AT66)*0.17442,9),IF(AT68&lt;AT64,IFERROR(AT72,9)-(AT64-AT68)*0.17442,9)),0.08721+(2-AT64)*0.17442),NA()))</f>
        <v>0</v>
      </c>
      <c r="AU73" s="5">
        <f>IF(AU$39=0,NA(),IF(ISNUMBER(INDEX($D$43:$AD$43,AU$39)),MAX(MIN(AU70,IFERROR(INDEX($D$56:$AD$56,AU$39)/AU59,1)-0.08721-AU64*0.17442,IF(AU66&lt;AU64,IFERROR(AU71,9)-(AU64-AU66)*0.17442,9),IF(AU68&lt;AU64,IFERROR(AU72,9)-(AU64-AU68)*0.17442,9)),0.08721+(2-AU64)*0.17442),NA()))</f>
        <v>0</v>
      </c>
      <c r="AV73" s="5">
        <f>IF(AV$39=0,NA(),IF(ISNUMBER(INDEX($D$43:$AD$43,AV$39)),MAX(MIN(AV70,IFERROR(INDEX($D$56:$AD$56,AV$39)/AV59,1)-0.08721-AV64*0.17442,IF(AV66&lt;AV64,IFERROR(AV71,9)-(AV64-AV66)*0.17442,9),IF(AV68&lt;AV64,IFERROR(AV72,9)-(AV64-AV68)*0.17442,9)),0.08721+(2-AV64)*0.17442),NA()))</f>
        <v>0</v>
      </c>
      <c r="AW73" s="5">
        <f>IF(AW$39=0,NA(),IF(ISNUMBER(INDEX($D$43:$AD$43,AW$39)),MAX(MIN(AW70,IFERROR(INDEX($D$56:$AD$56,AW$39)/AW59,1)-0.08721-AW64*0.17442,IF(AW66&lt;AW64,IFERROR(AW71,9)-(AW64-AW66)*0.17442,9),IF(AW68&lt;AW64,IFERROR(AW72,9)-(AW64-AW68)*0.17442,9)),0.08721+(2-AW64)*0.17442),NA()))</f>
        <v>0</v>
      </c>
      <c r="AX73" s="5">
        <f>IF(AX$39=0,NA(),IF(ISNUMBER(INDEX($D$43:$AD$43,AX$39)),MAX(MIN(AX70,IFERROR(INDEX($D$56:$AD$56,AX$39)/AX59,1)-0.08721-AX64*0.17442,IF(AX66&lt;AX64,IFERROR(AX71,9)-(AX64-AX66)*0.17442,9),IF(AX68&lt;AX64,IFERROR(AX72,9)-(AX64-AX68)*0.17442,9)),0.08721+(2-AX64)*0.17442),NA()))</f>
        <v>0</v>
      </c>
      <c r="AY73" s="5">
        <f>IF(AY$39=0,NA(),IF(ISNUMBER(INDEX($D$43:$AD$43,AY$39)),MAX(MIN(AY70,IFERROR(INDEX($D$56:$AD$56,AY$39)/AY59,1)-0.08721-AY64*0.17442,IF(AY66&lt;AY64,IFERROR(AY71,9)-(AY64-AY66)*0.17442,9),IF(AY68&lt;AY64,IFERROR(AY72,9)-(AY64-AY68)*0.17442,9)),0.08721+(2-AY64)*0.17442),NA()))</f>
        <v>0</v>
      </c>
      <c r="AZ73" s="5">
        <f>IF(AZ$39=0,NA(),IF(ISNUMBER(INDEX($D$43:$AD$43,AZ$39)),MAX(MIN(AZ70,IFERROR(INDEX($D$56:$AD$56,AZ$39)/AZ59,1)-0.08721-AZ64*0.17442,IF(AZ66&lt;AZ64,IFERROR(AZ71,9)-(AZ64-AZ66)*0.17442,9),IF(AZ68&lt;AZ64,IFERROR(AZ72,9)-(AZ64-AZ68)*0.17442,9)),0.08721+(2-AZ64)*0.17442),NA()))</f>
        <v>0</v>
      </c>
      <c r="BA73" s="5">
        <f>IF(BA$39=0,NA(),IF(ISNUMBER(INDEX($D$43:$AD$43,BA$39)),MAX(MIN(BA70,IFERROR(INDEX($D$56:$AD$56,BA$39)/BA59,1)-0.08721-BA64*0.17442,IF(BA66&lt;BA64,IFERROR(BA71,9)-(BA64-BA66)*0.17442,9),IF(BA68&lt;BA64,IFERROR(BA72,9)-(BA64-BA68)*0.17442,9)),0.08721+(2-BA64)*0.17442),NA()))</f>
        <v>0</v>
      </c>
      <c r="BB73" s="5">
        <f>IF(BB$39=0,NA(),IF(ISNUMBER(INDEX($D$43:$AD$43,BB$39)),MAX(MIN(BB70,IFERROR(INDEX($D$56:$AD$56,BB$39)/BB59,1)-0.08721-BB64*0.17442,IF(BB66&lt;BB64,IFERROR(BB71,9)-(BB64-BB66)*0.17442,9),IF(BB68&lt;BB64,IFERROR(BB72,9)-(BB64-BB68)*0.17442,9)),0.08721+(2-BB64)*0.17442),NA()))</f>
        <v>0</v>
      </c>
      <c r="BC73" s="5">
        <f>IF(BC$39=0,NA(),IF(ISNUMBER(INDEX($D$43:$AD$43,BC$39)),MAX(MIN(BC70,IFERROR(INDEX($D$56:$AD$56,BC$39)/BC59,1)-0.08721-BC64*0.17442,IF(BC66&lt;BC64,IFERROR(BC71,9)-(BC64-BC66)*0.17442,9),IF(BC68&lt;BC64,IFERROR(BC72,9)-(BC64-BC68)*0.17442,9)),0.08721+(2-BC64)*0.17442),NA()))</f>
        <v>0</v>
      </c>
      <c r="BD73" s="5">
        <f>IF(BD$39=0,NA(),IF(ISNUMBER(INDEX($D$43:$AD$43,BD$39)),MAX(MIN(BD70,IFERROR(INDEX($D$56:$AD$56,BD$39)/BD59,1)-0.08721-BD64*0.17442,IF(BD66&lt;BD64,IFERROR(BD71,9)-(BD64-BD66)*0.17442,9),IF(BD68&lt;BD64,IFERROR(BD72,9)-(BD64-BD68)*0.17442,9)),0.08721+(2-BD64)*0.17442),NA()))</f>
        <v>0</v>
      </c>
      <c r="BE73" s="5">
        <f>IF(BE$39=0,NA(),IF(ISNUMBER(INDEX($D$43:$AD$43,BE$39)),MAX(MIN(BE70,IFERROR(INDEX($D$56:$AD$56,BE$39)/BE59,1)-0.08721-BE64*0.17442,IF(BE66&lt;BE64,IFERROR(BE71,9)-(BE64-BE66)*0.17442,9),IF(BE68&lt;BE64,IFERROR(BE72,9)-(BE64-BE68)*0.17442,9)),0.08721+(2-BE64)*0.17442),NA()))</f>
        <v>0</v>
      </c>
      <c r="BF73" s="5">
        <f>IF(BF$39=0,NA(),IF(ISNUMBER(INDEX($D$43:$AD$43,BF$39)),MAX(MIN(BF70,IFERROR(INDEX($D$56:$AD$56,BF$39)/BF59,1)-0.08721-BF64*0.17442,IF(BF66&lt;BF64,IFERROR(BF71,9)-(BF64-BF66)*0.17442,9),IF(BF68&lt;BF64,IFERROR(BF72,9)-(BF64-BF68)*0.17442,9)),0.08721+(2-BF64)*0.17442),NA()))</f>
        <v>0</v>
      </c>
      <c r="BG73" s="5">
        <f>IF(BG$39=0,NA(),IF(ISNUMBER(INDEX($D$43:$AD$43,BG$39)),MAX(MIN(BG70,IFERROR(INDEX($D$56:$AD$56,BG$39)/BG59,1)-0.08721-BG64*0.17442,IF(BG66&lt;BG64,IFERROR(BG71,9)-(BG64-BG66)*0.17442,9),IF(BG68&lt;BG64,IFERROR(BG72,9)-(BG64-BG68)*0.17442,9)),0.08721+(2-BG64)*0.17442),NA()))</f>
        <v>0</v>
      </c>
      <c r="BH73" s="5">
        <f>IF(BH$39=0,NA(),IF(ISNUMBER(INDEX($D$43:$AD$43,BH$39)),MAX(MIN(BH70,IFERROR(INDEX($D$56:$AD$56,BH$39)/BH59,1)-0.08721-BH64*0.17442,IF(BH66&lt;BH64,IFERROR(BH71,9)-(BH64-BH66)*0.17442,9),IF(BH68&lt;BH64,IFERROR(BH72,9)-(BH64-BH68)*0.17442,9)),0.08721+(2-BH64)*0.17442),NA()))</f>
        <v>0</v>
      </c>
      <c r="BI73" s="5">
        <f>IF(BI$39=0,NA(),IF(ISNUMBER(INDEX($D$43:$AD$43,BI$39)),MAX(MIN(BI70,IFERROR(INDEX($D$56:$AD$56,BI$39)/BI59,1)-0.08721-BI64*0.17442,IF(BI66&lt;BI64,IFERROR(BI71,9)-(BI64-BI66)*0.17442,9),IF(BI68&lt;BI64,IFERROR(BI72,9)-(BI64-BI68)*0.17442,9)),0.08721+(2-BI64)*0.17442),NA()))</f>
        <v>0</v>
      </c>
      <c r="BJ73" s="5">
        <f>IF(BJ$39=0,NA(),IF(ISNUMBER(INDEX($D$43:$AD$43,BJ$39)),MAX(MIN(BJ70,IFERROR(INDEX($D$56:$AD$56,BJ$39)/BJ59,1)-0.08721-BJ64*0.17442,IF(BJ66&lt;BJ64,IFERROR(BJ71,9)-(BJ64-BJ66)*0.17442,9),IF(BJ68&lt;BJ64,IFERROR(BJ72,9)-(BJ64-BJ68)*0.17442,9)),0.08721+(2-BJ64)*0.17442),NA()))</f>
        <v>0</v>
      </c>
      <c r="BK73" s="5">
        <f>IF(BK$39=0,NA(),IF(ISNUMBER(INDEX($D$43:$AD$43,BK$39)),MAX(MIN(BK70,IFERROR(INDEX($D$56:$AD$56,BK$39)/BK59,1)-0.08721-BK64*0.17442,IF(BK66&lt;BK64,IFERROR(BK71,9)-(BK64-BK66)*0.17442,9),IF(BK68&lt;BK64,IFERROR(BK72,9)-(BK64-BK68)*0.17442,9)),0.08721+(2-BK64)*0.17442),NA()))</f>
        <v>0</v>
      </c>
      <c r="BL73" s="5">
        <f>IF(BL$39=0,NA(),IF(ISNUMBER(INDEX($D$43:$AD$43,BL$39)),MAX(MIN(BL70,IFERROR(INDEX($D$56:$AD$56,BL$39)/BL59,1)-0.08721-BL64*0.17442,IF(BL66&lt;BL64,IFERROR(BL71,9)-(BL64-BL66)*0.17442,9),IF(BL68&lt;BL64,IFERROR(BL72,9)-(BL64-BL68)*0.17442,9)),0.08721+(2-BL64)*0.17442),NA()))</f>
        <v>0</v>
      </c>
      <c r="BM73" s="5">
        <f>IF(BM$39=0,NA(),IF(ISNUMBER(INDEX($D$43:$AD$43,BM$39)),MAX(MIN(BM70,IFERROR(INDEX($D$56:$AD$56,BM$39)/BM59,1)-0.08721-BM64*0.17442,IF(BM66&lt;BM64,IFERROR(BM71,9)-(BM64-BM66)*0.17442,9),IF(BM68&lt;BM64,IFERROR(BM72,9)-(BM64-BM68)*0.17442,9)),0.08721+(2-BM64)*0.17442),NA()))</f>
        <v>0</v>
      </c>
      <c r="BN73" s="5">
        <f>IF(BN$39=0,NA(),IF(ISNUMBER(INDEX($D$43:$AD$43,BN$39)),MAX(MIN(BN70,IFERROR(INDEX($D$56:$AD$56,BN$39)/BN59,1)-0.08721-BN64*0.17442,IF(BN66&lt;BN64,IFERROR(BN71,9)-(BN64-BN66)*0.17442,9),IF(BN68&lt;BN64,IFERROR(BN72,9)-(BN64-BN68)*0.17442,9)),0.08721+(2-BN64)*0.17442),NA()))</f>
        <v>0</v>
      </c>
      <c r="BO73" s="5">
        <f>IF(BO$39=0,NA(),IF(ISNUMBER(INDEX($D$43:$AD$43,BO$39)),MAX(MIN(BO70,IFERROR(INDEX($D$56:$AD$56,BO$39)/BO59,1)-0.08721-BO64*0.17442,IF(BO66&lt;BO64,IFERROR(BO71,9)-(BO64-BO66)*0.17442,9),IF(BO68&lt;BO64,IFERROR(BO72,9)-(BO64-BO68)*0.17442,9)),0.08721+(2-BO64)*0.17442),NA()))</f>
        <v>0</v>
      </c>
      <c r="BP73" s="5">
        <f>IF(BP$39=0,NA(),IF(ISNUMBER(INDEX($D$43:$AD$43,BP$39)),MAX(MIN(BP70,IFERROR(INDEX($D$56:$AD$56,BP$39)/BP59,1)-0.08721-BP64*0.17442,IF(BP66&lt;BP64,IFERROR(BP71,9)-(BP64-BP66)*0.17442,9),IF(BP68&lt;BP64,IFERROR(BP72,9)-(BP64-BP68)*0.17442,9)),0.08721+(2-BP64)*0.17442),NA()))</f>
        <v>0</v>
      </c>
    </row>
    <row r="74" spans="1:68">
      <c r="A74" s="11" t="s">
        <v>211</v>
      </c>
      <c r="B74" s="11" t="s">
        <v>212</v>
      </c>
      <c r="C74" s="3" t="s">
        <v>144</v>
      </c>
      <c r="AQ74" s="5">
        <f>IF(AQ$39=0,NA(),IF(ISNUMBER(INDEX($D$42:$AD$42,AQ$39)),MAX(MIN(AQ71,IFERROR(INDEX($D$56:$AD$56,AQ$39)/AQ59,1)-0.08721-AQ66*0.17442,IF(AQ64&lt;AQ66,IFERROR(AQ70,9)-(AQ66-AQ64)*0.17442,9),IF(AQ68&lt;AQ66,IFERROR(AQ72,9)-(AQ66-AQ68)*0.17442,9)),0.08721+(2-AQ66)*0.17442),NA()))</f>
        <v>0</v>
      </c>
      <c r="AR74" s="5">
        <f>IF(AR$39=0,NA(),IF(ISNUMBER(INDEX($D$42:$AD$42,AR$39)),MAX(MIN(AR71,IFERROR(INDEX($D$56:$AD$56,AR$39)/AR59,1)-0.08721-AR66*0.17442,IF(AR64&lt;AR66,IFERROR(AR70,9)-(AR66-AR64)*0.17442,9),IF(AR68&lt;AR66,IFERROR(AR72,9)-(AR66-AR68)*0.17442,9)),0.08721+(2-AR66)*0.17442),NA()))</f>
        <v>0</v>
      </c>
      <c r="AS74" s="5">
        <f>IF(AS$39=0,NA(),IF(ISNUMBER(INDEX($D$42:$AD$42,AS$39)),MAX(MIN(AS71,IFERROR(INDEX($D$56:$AD$56,AS$39)/AS59,1)-0.08721-AS66*0.17442,IF(AS64&lt;AS66,IFERROR(AS70,9)-(AS66-AS64)*0.17442,9),IF(AS68&lt;AS66,IFERROR(AS72,9)-(AS66-AS68)*0.17442,9)),0.08721+(2-AS66)*0.17442),NA()))</f>
        <v>0</v>
      </c>
      <c r="AT74" s="5">
        <f>IF(AT$39=0,NA(),IF(ISNUMBER(INDEX($D$42:$AD$42,AT$39)),MAX(MIN(AT71,IFERROR(INDEX($D$56:$AD$56,AT$39)/AT59,1)-0.08721-AT66*0.17442,IF(AT64&lt;AT66,IFERROR(AT70,9)-(AT66-AT64)*0.17442,9),IF(AT68&lt;AT66,IFERROR(AT72,9)-(AT66-AT68)*0.17442,9)),0.08721+(2-AT66)*0.17442),NA()))</f>
        <v>0</v>
      </c>
      <c r="AU74" s="5">
        <f>IF(AU$39=0,NA(),IF(ISNUMBER(INDEX($D$42:$AD$42,AU$39)),MAX(MIN(AU71,IFERROR(INDEX($D$56:$AD$56,AU$39)/AU59,1)-0.08721-AU66*0.17442,IF(AU64&lt;AU66,IFERROR(AU70,9)-(AU66-AU64)*0.17442,9),IF(AU68&lt;AU66,IFERROR(AU72,9)-(AU66-AU68)*0.17442,9)),0.08721+(2-AU66)*0.17442),NA()))</f>
        <v>0</v>
      </c>
      <c r="AV74" s="5">
        <f>IF(AV$39=0,NA(),IF(ISNUMBER(INDEX($D$42:$AD$42,AV$39)),MAX(MIN(AV71,IFERROR(INDEX($D$56:$AD$56,AV$39)/AV59,1)-0.08721-AV66*0.17442,IF(AV64&lt;AV66,IFERROR(AV70,9)-(AV66-AV64)*0.17442,9),IF(AV68&lt;AV66,IFERROR(AV72,9)-(AV66-AV68)*0.17442,9)),0.08721+(2-AV66)*0.17442),NA()))</f>
        <v>0</v>
      </c>
      <c r="AW74" s="5">
        <f>IF(AW$39=0,NA(),IF(ISNUMBER(INDEX($D$42:$AD$42,AW$39)),MAX(MIN(AW71,IFERROR(INDEX($D$56:$AD$56,AW$39)/AW59,1)-0.08721-AW66*0.17442,IF(AW64&lt;AW66,IFERROR(AW70,9)-(AW66-AW64)*0.17442,9),IF(AW68&lt;AW66,IFERROR(AW72,9)-(AW66-AW68)*0.17442,9)),0.08721+(2-AW66)*0.17442),NA()))</f>
        <v>0</v>
      </c>
      <c r="AX74" s="5">
        <f>IF(AX$39=0,NA(),IF(ISNUMBER(INDEX($D$42:$AD$42,AX$39)),MAX(MIN(AX71,IFERROR(INDEX($D$56:$AD$56,AX$39)/AX59,1)-0.08721-AX66*0.17442,IF(AX64&lt;AX66,IFERROR(AX70,9)-(AX66-AX64)*0.17442,9),IF(AX68&lt;AX66,IFERROR(AX72,9)-(AX66-AX68)*0.17442,9)),0.08721+(2-AX66)*0.17442),NA()))</f>
        <v>0</v>
      </c>
      <c r="AY74" s="5">
        <f>IF(AY$39=0,NA(),IF(ISNUMBER(INDEX($D$42:$AD$42,AY$39)),MAX(MIN(AY71,IFERROR(INDEX($D$56:$AD$56,AY$39)/AY59,1)-0.08721-AY66*0.17442,IF(AY64&lt;AY66,IFERROR(AY70,9)-(AY66-AY64)*0.17442,9),IF(AY68&lt;AY66,IFERROR(AY72,9)-(AY66-AY68)*0.17442,9)),0.08721+(2-AY66)*0.17442),NA()))</f>
        <v>0</v>
      </c>
      <c r="AZ74" s="5">
        <f>IF(AZ$39=0,NA(),IF(ISNUMBER(INDEX($D$42:$AD$42,AZ$39)),MAX(MIN(AZ71,IFERROR(INDEX($D$56:$AD$56,AZ$39)/AZ59,1)-0.08721-AZ66*0.17442,IF(AZ64&lt;AZ66,IFERROR(AZ70,9)-(AZ66-AZ64)*0.17442,9),IF(AZ68&lt;AZ66,IFERROR(AZ72,9)-(AZ66-AZ68)*0.17442,9)),0.08721+(2-AZ66)*0.17442),NA()))</f>
        <v>0</v>
      </c>
      <c r="BA74" s="5">
        <f>IF(BA$39=0,NA(),IF(ISNUMBER(INDEX($D$42:$AD$42,BA$39)),MAX(MIN(BA71,IFERROR(INDEX($D$56:$AD$56,BA$39)/BA59,1)-0.08721-BA66*0.17442,IF(BA64&lt;BA66,IFERROR(BA70,9)-(BA66-BA64)*0.17442,9),IF(BA68&lt;BA66,IFERROR(BA72,9)-(BA66-BA68)*0.17442,9)),0.08721+(2-BA66)*0.17442),NA()))</f>
        <v>0</v>
      </c>
      <c r="BB74" s="5">
        <f>IF(BB$39=0,NA(),IF(ISNUMBER(INDEX($D$42:$AD$42,BB$39)),MAX(MIN(BB71,IFERROR(INDEX($D$56:$AD$56,BB$39)/BB59,1)-0.08721-BB66*0.17442,IF(BB64&lt;BB66,IFERROR(BB70,9)-(BB66-BB64)*0.17442,9),IF(BB68&lt;BB66,IFERROR(BB72,9)-(BB66-BB68)*0.17442,9)),0.08721+(2-BB66)*0.17442),NA()))</f>
        <v>0</v>
      </c>
      <c r="BC74" s="5">
        <f>IF(BC$39=0,NA(),IF(ISNUMBER(INDEX($D$42:$AD$42,BC$39)),MAX(MIN(BC71,IFERROR(INDEX($D$56:$AD$56,BC$39)/BC59,1)-0.08721-BC66*0.17442,IF(BC64&lt;BC66,IFERROR(BC70,9)-(BC66-BC64)*0.17442,9),IF(BC68&lt;BC66,IFERROR(BC72,9)-(BC66-BC68)*0.17442,9)),0.08721+(2-BC66)*0.17442),NA()))</f>
        <v>0</v>
      </c>
      <c r="BD74" s="5">
        <f>IF(BD$39=0,NA(),IF(ISNUMBER(INDEX($D$42:$AD$42,BD$39)),MAX(MIN(BD71,IFERROR(INDEX($D$56:$AD$56,BD$39)/BD59,1)-0.08721-BD66*0.17442,IF(BD64&lt;BD66,IFERROR(BD70,9)-(BD66-BD64)*0.17442,9),IF(BD68&lt;BD66,IFERROR(BD72,9)-(BD66-BD68)*0.17442,9)),0.08721+(2-BD66)*0.17442),NA()))</f>
        <v>0</v>
      </c>
      <c r="BE74" s="5">
        <f>IF(BE$39=0,NA(),IF(ISNUMBER(INDEX($D$42:$AD$42,BE$39)),MAX(MIN(BE71,IFERROR(INDEX($D$56:$AD$56,BE$39)/BE59,1)-0.08721-BE66*0.17442,IF(BE64&lt;BE66,IFERROR(BE70,9)-(BE66-BE64)*0.17442,9),IF(BE68&lt;BE66,IFERROR(BE72,9)-(BE66-BE68)*0.17442,9)),0.08721+(2-BE66)*0.17442),NA()))</f>
        <v>0</v>
      </c>
      <c r="BF74" s="5">
        <f>IF(BF$39=0,NA(),IF(ISNUMBER(INDEX($D$42:$AD$42,BF$39)),MAX(MIN(BF71,IFERROR(INDEX($D$56:$AD$56,BF$39)/BF59,1)-0.08721-BF66*0.17442,IF(BF64&lt;BF66,IFERROR(BF70,9)-(BF66-BF64)*0.17442,9),IF(BF68&lt;BF66,IFERROR(BF72,9)-(BF66-BF68)*0.17442,9)),0.08721+(2-BF66)*0.17442),NA()))</f>
        <v>0</v>
      </c>
      <c r="BG74" s="5">
        <f>IF(BG$39=0,NA(),IF(ISNUMBER(INDEX($D$42:$AD$42,BG$39)),MAX(MIN(BG71,IFERROR(INDEX($D$56:$AD$56,BG$39)/BG59,1)-0.08721-BG66*0.17442,IF(BG64&lt;BG66,IFERROR(BG70,9)-(BG66-BG64)*0.17442,9),IF(BG68&lt;BG66,IFERROR(BG72,9)-(BG66-BG68)*0.17442,9)),0.08721+(2-BG66)*0.17442),NA()))</f>
        <v>0</v>
      </c>
      <c r="BH74" s="5">
        <f>IF(BH$39=0,NA(),IF(ISNUMBER(INDEX($D$42:$AD$42,BH$39)),MAX(MIN(BH71,IFERROR(INDEX($D$56:$AD$56,BH$39)/BH59,1)-0.08721-BH66*0.17442,IF(BH64&lt;BH66,IFERROR(BH70,9)-(BH66-BH64)*0.17442,9),IF(BH68&lt;BH66,IFERROR(BH72,9)-(BH66-BH68)*0.17442,9)),0.08721+(2-BH66)*0.17442),NA()))</f>
        <v>0</v>
      </c>
      <c r="BI74" s="5">
        <f>IF(BI$39=0,NA(),IF(ISNUMBER(INDEX($D$42:$AD$42,BI$39)),MAX(MIN(BI71,IFERROR(INDEX($D$56:$AD$56,BI$39)/BI59,1)-0.08721-BI66*0.17442,IF(BI64&lt;BI66,IFERROR(BI70,9)-(BI66-BI64)*0.17442,9),IF(BI68&lt;BI66,IFERROR(BI72,9)-(BI66-BI68)*0.17442,9)),0.08721+(2-BI66)*0.17442),NA()))</f>
        <v>0</v>
      </c>
      <c r="BJ74" s="5">
        <f>IF(BJ$39=0,NA(),IF(ISNUMBER(INDEX($D$42:$AD$42,BJ$39)),MAX(MIN(BJ71,IFERROR(INDEX($D$56:$AD$56,BJ$39)/BJ59,1)-0.08721-BJ66*0.17442,IF(BJ64&lt;BJ66,IFERROR(BJ70,9)-(BJ66-BJ64)*0.17442,9),IF(BJ68&lt;BJ66,IFERROR(BJ72,9)-(BJ66-BJ68)*0.17442,9)),0.08721+(2-BJ66)*0.17442),NA()))</f>
        <v>0</v>
      </c>
      <c r="BK74" s="5">
        <f>IF(BK$39=0,NA(),IF(ISNUMBER(INDEX($D$42:$AD$42,BK$39)),MAX(MIN(BK71,IFERROR(INDEX($D$56:$AD$56,BK$39)/BK59,1)-0.08721-BK66*0.17442,IF(BK64&lt;BK66,IFERROR(BK70,9)-(BK66-BK64)*0.17442,9),IF(BK68&lt;BK66,IFERROR(BK72,9)-(BK66-BK68)*0.17442,9)),0.08721+(2-BK66)*0.17442),NA()))</f>
        <v>0</v>
      </c>
      <c r="BL74" s="5">
        <f>IF(BL$39=0,NA(),IF(ISNUMBER(INDEX($D$42:$AD$42,BL$39)),MAX(MIN(BL71,IFERROR(INDEX($D$56:$AD$56,BL$39)/BL59,1)-0.08721-BL66*0.17442,IF(BL64&lt;BL66,IFERROR(BL70,9)-(BL66-BL64)*0.17442,9),IF(BL68&lt;BL66,IFERROR(BL72,9)-(BL66-BL68)*0.17442,9)),0.08721+(2-BL66)*0.17442),NA()))</f>
        <v>0</v>
      </c>
      <c r="BM74" s="5">
        <f>IF(BM$39=0,NA(),IF(ISNUMBER(INDEX($D$42:$AD$42,BM$39)),MAX(MIN(BM71,IFERROR(INDEX($D$56:$AD$56,BM$39)/BM59,1)-0.08721-BM66*0.17442,IF(BM64&lt;BM66,IFERROR(BM70,9)-(BM66-BM64)*0.17442,9),IF(BM68&lt;BM66,IFERROR(BM72,9)-(BM66-BM68)*0.17442,9)),0.08721+(2-BM66)*0.17442),NA()))</f>
        <v>0</v>
      </c>
      <c r="BN74" s="5">
        <f>IF(BN$39=0,NA(),IF(ISNUMBER(INDEX($D$42:$AD$42,BN$39)),MAX(MIN(BN71,IFERROR(INDEX($D$56:$AD$56,BN$39)/BN59,1)-0.08721-BN66*0.17442,IF(BN64&lt;BN66,IFERROR(BN70,9)-(BN66-BN64)*0.17442,9),IF(BN68&lt;BN66,IFERROR(BN72,9)-(BN66-BN68)*0.17442,9)),0.08721+(2-BN66)*0.17442),NA()))</f>
        <v>0</v>
      </c>
      <c r="BO74" s="5">
        <f>IF(BO$39=0,NA(),IF(ISNUMBER(INDEX($D$42:$AD$42,BO$39)),MAX(MIN(BO71,IFERROR(INDEX($D$56:$AD$56,BO$39)/BO59,1)-0.08721-BO66*0.17442,IF(BO64&lt;BO66,IFERROR(BO70,9)-(BO66-BO64)*0.17442,9),IF(BO68&lt;BO66,IFERROR(BO72,9)-(BO66-BO68)*0.17442,9)),0.08721+(2-BO66)*0.17442),NA()))</f>
        <v>0</v>
      </c>
      <c r="BP74" s="5">
        <f>IF(BP$39=0,NA(),IF(ISNUMBER(INDEX($D$42:$AD$42,BP$39)),MAX(MIN(BP71,IFERROR(INDEX($D$56:$AD$56,BP$39)/BP59,1)-0.08721-BP66*0.17442,IF(BP64&lt;BP66,IFERROR(BP70,9)-(BP66-BP64)*0.17442,9),IF(BP68&lt;BP66,IFERROR(BP72,9)-(BP66-BP68)*0.17442,9)),0.08721+(2-BP66)*0.17442),NA()))</f>
        <v>0</v>
      </c>
    </row>
    <row r="75" spans="1:68">
      <c r="A75" s="11" t="s">
        <v>213</v>
      </c>
      <c r="B75" s="11" t="s">
        <v>214</v>
      </c>
      <c r="C75" s="3" t="s">
        <v>144</v>
      </c>
      <c r="AQ75" s="5">
        <f>IF(AQ$39=0,NA(),IF(ISNUMBER(INDEX($D$44:$AD$44,AQ$39)),MAX(MIN(AQ72,IFERROR(INDEX($D$56:$AD$56,AQ$39)/AQ59,1)-0.08721-AQ68*0.17442,IF(AQ66&lt;AQ68,IFERROR(AQ71,9)-(AQ68-AQ66)*0.17442,9),IF(AQ64&lt;AQ68,IFERROR(AQ70,9)-(AQ68-AQ64)*0.17442,9)),0.08721+(2-AQ68)*0.17442),NA()))</f>
        <v>0</v>
      </c>
      <c r="AR75" s="5">
        <f>IF(AR$39=0,NA(),IF(ISNUMBER(INDEX($D$44:$AD$44,AR$39)),MAX(MIN(AR72,IFERROR(INDEX($D$56:$AD$56,AR$39)/AR59,1)-0.08721-AR68*0.17442,IF(AR66&lt;AR68,IFERROR(AR71,9)-(AR68-AR66)*0.17442,9),IF(AR64&lt;AR68,IFERROR(AR70,9)-(AR68-AR64)*0.17442,9)),0.08721+(2-AR68)*0.17442),NA()))</f>
        <v>0</v>
      </c>
      <c r="AS75" s="5">
        <f>IF(AS$39=0,NA(),IF(ISNUMBER(INDEX($D$44:$AD$44,AS$39)),MAX(MIN(AS72,IFERROR(INDEX($D$56:$AD$56,AS$39)/AS59,1)-0.08721-AS68*0.17442,IF(AS66&lt;AS68,IFERROR(AS71,9)-(AS68-AS66)*0.17442,9),IF(AS64&lt;AS68,IFERROR(AS70,9)-(AS68-AS64)*0.17442,9)),0.08721+(2-AS68)*0.17442),NA()))</f>
        <v>0</v>
      </c>
      <c r="AT75" s="5">
        <f>IF(AT$39=0,NA(),IF(ISNUMBER(INDEX($D$44:$AD$44,AT$39)),MAX(MIN(AT72,IFERROR(INDEX($D$56:$AD$56,AT$39)/AT59,1)-0.08721-AT68*0.17442,IF(AT66&lt;AT68,IFERROR(AT71,9)-(AT68-AT66)*0.17442,9),IF(AT64&lt;AT68,IFERROR(AT70,9)-(AT68-AT64)*0.17442,9)),0.08721+(2-AT68)*0.17442),NA()))</f>
        <v>0</v>
      </c>
      <c r="AU75" s="5">
        <f>IF(AU$39=0,NA(),IF(ISNUMBER(INDEX($D$44:$AD$44,AU$39)),MAX(MIN(AU72,IFERROR(INDEX($D$56:$AD$56,AU$39)/AU59,1)-0.08721-AU68*0.17442,IF(AU66&lt;AU68,IFERROR(AU71,9)-(AU68-AU66)*0.17442,9),IF(AU64&lt;AU68,IFERROR(AU70,9)-(AU68-AU64)*0.17442,9)),0.08721+(2-AU68)*0.17442),NA()))</f>
        <v>0</v>
      </c>
      <c r="AV75" s="5">
        <f>IF(AV$39=0,NA(),IF(ISNUMBER(INDEX($D$44:$AD$44,AV$39)),MAX(MIN(AV72,IFERROR(INDEX($D$56:$AD$56,AV$39)/AV59,1)-0.08721-AV68*0.17442,IF(AV66&lt;AV68,IFERROR(AV71,9)-(AV68-AV66)*0.17442,9),IF(AV64&lt;AV68,IFERROR(AV70,9)-(AV68-AV64)*0.17442,9)),0.08721+(2-AV68)*0.17442),NA()))</f>
        <v>0</v>
      </c>
      <c r="AW75" s="5">
        <f>IF(AW$39=0,NA(),IF(ISNUMBER(INDEX($D$44:$AD$44,AW$39)),MAX(MIN(AW72,IFERROR(INDEX($D$56:$AD$56,AW$39)/AW59,1)-0.08721-AW68*0.17442,IF(AW66&lt;AW68,IFERROR(AW71,9)-(AW68-AW66)*0.17442,9),IF(AW64&lt;AW68,IFERROR(AW70,9)-(AW68-AW64)*0.17442,9)),0.08721+(2-AW68)*0.17442),NA()))</f>
        <v>0</v>
      </c>
      <c r="AX75" s="5">
        <f>IF(AX$39=0,NA(),IF(ISNUMBER(INDEX($D$44:$AD$44,AX$39)),MAX(MIN(AX72,IFERROR(INDEX($D$56:$AD$56,AX$39)/AX59,1)-0.08721-AX68*0.17442,IF(AX66&lt;AX68,IFERROR(AX71,9)-(AX68-AX66)*0.17442,9),IF(AX64&lt;AX68,IFERROR(AX70,9)-(AX68-AX64)*0.17442,9)),0.08721+(2-AX68)*0.17442),NA()))</f>
        <v>0</v>
      </c>
      <c r="AY75" s="5">
        <f>IF(AY$39=0,NA(),IF(ISNUMBER(INDEX($D$44:$AD$44,AY$39)),MAX(MIN(AY72,IFERROR(INDEX($D$56:$AD$56,AY$39)/AY59,1)-0.08721-AY68*0.17442,IF(AY66&lt;AY68,IFERROR(AY71,9)-(AY68-AY66)*0.17442,9),IF(AY64&lt;AY68,IFERROR(AY70,9)-(AY68-AY64)*0.17442,9)),0.08721+(2-AY68)*0.17442),NA()))</f>
        <v>0</v>
      </c>
      <c r="AZ75" s="5">
        <f>IF(AZ$39=0,NA(),IF(ISNUMBER(INDEX($D$44:$AD$44,AZ$39)),MAX(MIN(AZ72,IFERROR(INDEX($D$56:$AD$56,AZ$39)/AZ59,1)-0.08721-AZ68*0.17442,IF(AZ66&lt;AZ68,IFERROR(AZ71,9)-(AZ68-AZ66)*0.17442,9),IF(AZ64&lt;AZ68,IFERROR(AZ70,9)-(AZ68-AZ64)*0.17442,9)),0.08721+(2-AZ68)*0.17442),NA()))</f>
        <v>0</v>
      </c>
      <c r="BA75" s="5">
        <f>IF(BA$39=0,NA(),IF(ISNUMBER(INDEX($D$44:$AD$44,BA$39)),MAX(MIN(BA72,IFERROR(INDEX($D$56:$AD$56,BA$39)/BA59,1)-0.08721-BA68*0.17442,IF(BA66&lt;BA68,IFERROR(BA71,9)-(BA68-BA66)*0.17442,9),IF(BA64&lt;BA68,IFERROR(BA70,9)-(BA68-BA64)*0.17442,9)),0.08721+(2-BA68)*0.17442),NA()))</f>
        <v>0</v>
      </c>
      <c r="BB75" s="5">
        <f>IF(BB$39=0,NA(),IF(ISNUMBER(INDEX($D$44:$AD$44,BB$39)),MAX(MIN(BB72,IFERROR(INDEX($D$56:$AD$56,BB$39)/BB59,1)-0.08721-BB68*0.17442,IF(BB66&lt;BB68,IFERROR(BB71,9)-(BB68-BB66)*0.17442,9),IF(BB64&lt;BB68,IFERROR(BB70,9)-(BB68-BB64)*0.17442,9)),0.08721+(2-BB68)*0.17442),NA()))</f>
        <v>0</v>
      </c>
      <c r="BC75" s="5">
        <f>IF(BC$39=0,NA(),IF(ISNUMBER(INDEX($D$44:$AD$44,BC$39)),MAX(MIN(BC72,IFERROR(INDEX($D$56:$AD$56,BC$39)/BC59,1)-0.08721-BC68*0.17442,IF(BC66&lt;BC68,IFERROR(BC71,9)-(BC68-BC66)*0.17442,9),IF(BC64&lt;BC68,IFERROR(BC70,9)-(BC68-BC64)*0.17442,9)),0.08721+(2-BC68)*0.17442),NA()))</f>
        <v>0</v>
      </c>
      <c r="BD75" s="5">
        <f>IF(BD$39=0,NA(),IF(ISNUMBER(INDEX($D$44:$AD$44,BD$39)),MAX(MIN(BD72,IFERROR(INDEX($D$56:$AD$56,BD$39)/BD59,1)-0.08721-BD68*0.17442,IF(BD66&lt;BD68,IFERROR(BD71,9)-(BD68-BD66)*0.17442,9),IF(BD64&lt;BD68,IFERROR(BD70,9)-(BD68-BD64)*0.17442,9)),0.08721+(2-BD68)*0.17442),NA()))</f>
        <v>0</v>
      </c>
      <c r="BE75" s="5">
        <f>IF(BE$39=0,NA(),IF(ISNUMBER(INDEX($D$44:$AD$44,BE$39)),MAX(MIN(BE72,IFERROR(INDEX($D$56:$AD$56,BE$39)/BE59,1)-0.08721-BE68*0.17442,IF(BE66&lt;BE68,IFERROR(BE71,9)-(BE68-BE66)*0.17442,9),IF(BE64&lt;BE68,IFERROR(BE70,9)-(BE68-BE64)*0.17442,9)),0.08721+(2-BE68)*0.17442),NA()))</f>
        <v>0</v>
      </c>
      <c r="BF75" s="5">
        <f>IF(BF$39=0,NA(),IF(ISNUMBER(INDEX($D$44:$AD$44,BF$39)),MAX(MIN(BF72,IFERROR(INDEX($D$56:$AD$56,BF$39)/BF59,1)-0.08721-BF68*0.17442,IF(BF66&lt;BF68,IFERROR(BF71,9)-(BF68-BF66)*0.17442,9),IF(BF64&lt;BF68,IFERROR(BF70,9)-(BF68-BF64)*0.17442,9)),0.08721+(2-BF68)*0.17442),NA()))</f>
        <v>0</v>
      </c>
      <c r="BG75" s="5">
        <f>IF(BG$39=0,NA(),IF(ISNUMBER(INDEX($D$44:$AD$44,BG$39)),MAX(MIN(BG72,IFERROR(INDEX($D$56:$AD$56,BG$39)/BG59,1)-0.08721-BG68*0.17442,IF(BG66&lt;BG68,IFERROR(BG71,9)-(BG68-BG66)*0.17442,9),IF(BG64&lt;BG68,IFERROR(BG70,9)-(BG68-BG64)*0.17442,9)),0.08721+(2-BG68)*0.17442),NA()))</f>
        <v>0</v>
      </c>
      <c r="BH75" s="5">
        <f>IF(BH$39=0,NA(),IF(ISNUMBER(INDEX($D$44:$AD$44,BH$39)),MAX(MIN(BH72,IFERROR(INDEX($D$56:$AD$56,BH$39)/BH59,1)-0.08721-BH68*0.17442,IF(BH66&lt;BH68,IFERROR(BH71,9)-(BH68-BH66)*0.17442,9),IF(BH64&lt;BH68,IFERROR(BH70,9)-(BH68-BH64)*0.17442,9)),0.08721+(2-BH68)*0.17442),NA()))</f>
        <v>0</v>
      </c>
      <c r="BI75" s="5">
        <f>IF(BI$39=0,NA(),IF(ISNUMBER(INDEX($D$44:$AD$44,BI$39)),MAX(MIN(BI72,IFERROR(INDEX($D$56:$AD$56,BI$39)/BI59,1)-0.08721-BI68*0.17442,IF(BI66&lt;BI68,IFERROR(BI71,9)-(BI68-BI66)*0.17442,9),IF(BI64&lt;BI68,IFERROR(BI70,9)-(BI68-BI64)*0.17442,9)),0.08721+(2-BI68)*0.17442),NA()))</f>
        <v>0</v>
      </c>
      <c r="BJ75" s="5">
        <f>IF(BJ$39=0,NA(),IF(ISNUMBER(INDEX($D$44:$AD$44,BJ$39)),MAX(MIN(BJ72,IFERROR(INDEX($D$56:$AD$56,BJ$39)/BJ59,1)-0.08721-BJ68*0.17442,IF(BJ66&lt;BJ68,IFERROR(BJ71,9)-(BJ68-BJ66)*0.17442,9),IF(BJ64&lt;BJ68,IFERROR(BJ70,9)-(BJ68-BJ64)*0.17442,9)),0.08721+(2-BJ68)*0.17442),NA()))</f>
        <v>0</v>
      </c>
      <c r="BK75" s="5">
        <f>IF(BK$39=0,NA(),IF(ISNUMBER(INDEX($D$44:$AD$44,BK$39)),MAX(MIN(BK72,IFERROR(INDEX($D$56:$AD$56,BK$39)/BK59,1)-0.08721-BK68*0.17442,IF(BK66&lt;BK68,IFERROR(BK71,9)-(BK68-BK66)*0.17442,9),IF(BK64&lt;BK68,IFERROR(BK70,9)-(BK68-BK64)*0.17442,9)),0.08721+(2-BK68)*0.17442),NA()))</f>
        <v>0</v>
      </c>
      <c r="BL75" s="5">
        <f>IF(BL$39=0,NA(),IF(ISNUMBER(INDEX($D$44:$AD$44,BL$39)),MAX(MIN(BL72,IFERROR(INDEX($D$56:$AD$56,BL$39)/BL59,1)-0.08721-BL68*0.17442,IF(BL66&lt;BL68,IFERROR(BL71,9)-(BL68-BL66)*0.17442,9),IF(BL64&lt;BL68,IFERROR(BL70,9)-(BL68-BL64)*0.17442,9)),0.08721+(2-BL68)*0.17442),NA()))</f>
        <v>0</v>
      </c>
      <c r="BM75" s="5">
        <f>IF(BM$39=0,NA(),IF(ISNUMBER(INDEX($D$44:$AD$44,BM$39)),MAX(MIN(BM72,IFERROR(INDEX($D$56:$AD$56,BM$39)/BM59,1)-0.08721-BM68*0.17442,IF(BM66&lt;BM68,IFERROR(BM71,9)-(BM68-BM66)*0.17442,9),IF(BM64&lt;BM68,IFERROR(BM70,9)-(BM68-BM64)*0.17442,9)),0.08721+(2-BM68)*0.17442),NA()))</f>
        <v>0</v>
      </c>
      <c r="BN75" s="5">
        <f>IF(BN$39=0,NA(),IF(ISNUMBER(INDEX($D$44:$AD$44,BN$39)),MAX(MIN(BN72,IFERROR(INDEX($D$56:$AD$56,BN$39)/BN59,1)-0.08721-BN68*0.17442,IF(BN66&lt;BN68,IFERROR(BN71,9)-(BN68-BN66)*0.17442,9),IF(BN64&lt;BN68,IFERROR(BN70,9)-(BN68-BN64)*0.17442,9)),0.08721+(2-BN68)*0.17442),NA()))</f>
        <v>0</v>
      </c>
      <c r="BO75" s="5">
        <f>IF(BO$39=0,NA(),IF(ISNUMBER(INDEX($D$44:$AD$44,BO$39)),MAX(MIN(BO72,IFERROR(INDEX($D$56:$AD$56,BO$39)/BO59,1)-0.08721-BO68*0.17442,IF(BO66&lt;BO68,IFERROR(BO71,9)-(BO68-BO66)*0.17442,9),IF(BO64&lt;BO68,IFERROR(BO70,9)-(BO68-BO64)*0.17442,9)),0.08721+(2-BO68)*0.17442),NA()))</f>
        <v>0</v>
      </c>
      <c r="BP75" s="5">
        <f>IF(BP$39=0,NA(),IF(ISNUMBER(INDEX($D$44:$AD$44,BP$39)),MAX(MIN(BP72,IFERROR(INDEX($D$56:$AD$56,BP$39)/BP59,1)-0.08721-BP68*0.17442,IF(BP66&lt;BP68,IFERROR(BP71,9)-(BP68-BP66)*0.17442,9),IF(BP64&lt;BP68,IFERROR(BP70,9)-(BP68-BP64)*0.17442,9)),0.08721+(2-BP68)*0.17442),NA()))</f>
        <v>0</v>
      </c>
    </row>
    <row r="76" spans="1:68">
      <c r="A76" s="11" t="s">
        <v>215</v>
      </c>
      <c r="B76" s="11" t="s">
        <v>216</v>
      </c>
      <c r="C76" s="3" t="s">
        <v>144</v>
      </c>
      <c r="AQ76" s="5">
        <f>IF(AQ$39=0,NA(),IF(ISNUMBER(INDEX($D$56:$AD$56,AQ$39)),MAX(INDEX($D$56:$AD$56,AQ$39)/AQ59,IFERROR(_xlfn.AGGREGATE(4,6,AQ74,AQ73,AQ75),0)+0.08721),NA()))</f>
        <v>0</v>
      </c>
      <c r="AR76" s="5">
        <f>IF(AR$39=0,NA(),IF(ISNUMBER(INDEX($D$56:$AD$56,AR$39)),MAX(INDEX($D$56:$AD$56,AR$39)/AR59,IFERROR(_xlfn.AGGREGATE(4,6,AR74,AR73,AR75),0)+0.08721),NA()))</f>
        <v>0</v>
      </c>
      <c r="AS76" s="5">
        <f>IF(AS$39=0,NA(),IF(ISNUMBER(INDEX($D$56:$AD$56,AS$39)),MAX(INDEX($D$56:$AD$56,AS$39)/AS59,IFERROR(_xlfn.AGGREGATE(4,6,AS74,AS73,AS75),0)+0.08721),NA()))</f>
        <v>0</v>
      </c>
      <c r="AT76" s="5">
        <f>IF(AT$39=0,NA(),IF(ISNUMBER(INDEX($D$56:$AD$56,AT$39)),MAX(INDEX($D$56:$AD$56,AT$39)/AT59,IFERROR(_xlfn.AGGREGATE(4,6,AT74,AT73,AT75),0)+0.08721),NA()))</f>
        <v>0</v>
      </c>
      <c r="AU76" s="5">
        <f>IF(AU$39=0,NA(),IF(ISNUMBER(INDEX($D$56:$AD$56,AU$39)),MAX(INDEX($D$56:$AD$56,AU$39)/AU59,IFERROR(_xlfn.AGGREGATE(4,6,AU74,AU73,AU75),0)+0.08721),NA()))</f>
        <v>0</v>
      </c>
      <c r="AV76" s="5">
        <f>IF(AV$39=0,NA(),IF(ISNUMBER(INDEX($D$56:$AD$56,AV$39)),MAX(INDEX($D$56:$AD$56,AV$39)/AV59,IFERROR(_xlfn.AGGREGATE(4,6,AV74,AV73,AV75),0)+0.08721),NA()))</f>
        <v>0</v>
      </c>
      <c r="AW76" s="5">
        <f>IF(AW$39=0,NA(),IF(ISNUMBER(INDEX($D$56:$AD$56,AW$39)),MAX(INDEX($D$56:$AD$56,AW$39)/AW59,IFERROR(_xlfn.AGGREGATE(4,6,AW74,AW73,AW75),0)+0.08721),NA()))</f>
        <v>0</v>
      </c>
      <c r="AX76" s="5">
        <f>IF(AX$39=0,NA(),IF(ISNUMBER(INDEX($D$56:$AD$56,AX$39)),MAX(INDEX($D$56:$AD$56,AX$39)/AX59,IFERROR(_xlfn.AGGREGATE(4,6,AX74,AX73,AX75),0)+0.08721),NA()))</f>
        <v>0</v>
      </c>
      <c r="AY76" s="5">
        <f>IF(AY$39=0,NA(),IF(ISNUMBER(INDEX($D$56:$AD$56,AY$39)),MAX(INDEX($D$56:$AD$56,AY$39)/AY59,IFERROR(_xlfn.AGGREGATE(4,6,AY74,AY73,AY75),0)+0.08721),NA()))</f>
        <v>0</v>
      </c>
      <c r="AZ76" s="5">
        <f>IF(AZ$39=0,NA(),IF(ISNUMBER(INDEX($D$56:$AD$56,AZ$39)),MAX(INDEX($D$56:$AD$56,AZ$39)/AZ59,IFERROR(_xlfn.AGGREGATE(4,6,AZ74,AZ73,AZ75),0)+0.08721),NA()))</f>
        <v>0</v>
      </c>
      <c r="BA76" s="5">
        <f>IF(BA$39=0,NA(),IF(ISNUMBER(INDEX($D$56:$AD$56,BA$39)),MAX(INDEX($D$56:$AD$56,BA$39)/BA59,IFERROR(_xlfn.AGGREGATE(4,6,BA74,BA73,BA75),0)+0.08721),NA()))</f>
        <v>0</v>
      </c>
      <c r="BB76" s="5">
        <f>IF(BB$39=0,NA(),IF(ISNUMBER(INDEX($D$56:$AD$56,BB$39)),MAX(INDEX($D$56:$AD$56,BB$39)/BB59,IFERROR(_xlfn.AGGREGATE(4,6,BB74,BB73,BB75),0)+0.08721),NA()))</f>
        <v>0</v>
      </c>
      <c r="BC76" s="5">
        <f>IF(BC$39=0,NA(),IF(ISNUMBER(INDEX($D$56:$AD$56,BC$39)),MAX(INDEX($D$56:$AD$56,BC$39)/BC59,IFERROR(_xlfn.AGGREGATE(4,6,BC74,BC73,BC75),0)+0.08721),NA()))</f>
        <v>0</v>
      </c>
      <c r="BD76" s="5">
        <f>IF(BD$39=0,NA(),IF(ISNUMBER(INDEX($D$56:$AD$56,BD$39)),MAX(INDEX($D$56:$AD$56,BD$39)/BD59,IFERROR(_xlfn.AGGREGATE(4,6,BD74,BD73,BD75),0)+0.08721),NA()))</f>
        <v>0</v>
      </c>
      <c r="BE76" s="5">
        <f>IF(BE$39=0,NA(),IF(ISNUMBER(INDEX($D$56:$AD$56,BE$39)),MAX(INDEX($D$56:$AD$56,BE$39)/BE59,IFERROR(_xlfn.AGGREGATE(4,6,BE74,BE73,BE75),0)+0.08721),NA()))</f>
        <v>0</v>
      </c>
      <c r="BF76" s="5">
        <f>IF(BF$39=0,NA(),IF(ISNUMBER(INDEX($D$56:$AD$56,BF$39)),MAX(INDEX($D$56:$AD$56,BF$39)/BF59,IFERROR(_xlfn.AGGREGATE(4,6,BF74,BF73,BF75),0)+0.08721),NA()))</f>
        <v>0</v>
      </c>
      <c r="BG76" s="5">
        <f>IF(BG$39=0,NA(),IF(ISNUMBER(INDEX($D$56:$AD$56,BG$39)),MAX(INDEX($D$56:$AD$56,BG$39)/BG59,IFERROR(_xlfn.AGGREGATE(4,6,BG74,BG73,BG75),0)+0.08721),NA()))</f>
        <v>0</v>
      </c>
      <c r="BH76" s="5">
        <f>IF(BH$39=0,NA(),IF(ISNUMBER(INDEX($D$56:$AD$56,BH$39)),MAX(INDEX($D$56:$AD$56,BH$39)/BH59,IFERROR(_xlfn.AGGREGATE(4,6,BH74,BH73,BH75),0)+0.08721),NA()))</f>
        <v>0</v>
      </c>
      <c r="BI76" s="5">
        <f>IF(BI$39=0,NA(),IF(ISNUMBER(INDEX($D$56:$AD$56,BI$39)),MAX(INDEX($D$56:$AD$56,BI$39)/BI59,IFERROR(_xlfn.AGGREGATE(4,6,BI74,BI73,BI75),0)+0.08721),NA()))</f>
        <v>0</v>
      </c>
      <c r="BJ76" s="5">
        <f>IF(BJ$39=0,NA(),IF(ISNUMBER(INDEX($D$56:$AD$56,BJ$39)),MAX(INDEX($D$56:$AD$56,BJ$39)/BJ59,IFERROR(_xlfn.AGGREGATE(4,6,BJ74,BJ73,BJ75),0)+0.08721),NA()))</f>
        <v>0</v>
      </c>
      <c r="BK76" s="5">
        <f>IF(BK$39=0,NA(),IF(ISNUMBER(INDEX($D$56:$AD$56,BK$39)),MAX(INDEX($D$56:$AD$56,BK$39)/BK59,IFERROR(_xlfn.AGGREGATE(4,6,BK74,BK73,BK75),0)+0.08721),NA()))</f>
        <v>0</v>
      </c>
      <c r="BL76" s="5">
        <f>IF(BL$39=0,NA(),IF(ISNUMBER(INDEX($D$56:$AD$56,BL$39)),MAX(INDEX($D$56:$AD$56,BL$39)/BL59,IFERROR(_xlfn.AGGREGATE(4,6,BL74,BL73,BL75),0)+0.08721),NA()))</f>
        <v>0</v>
      </c>
      <c r="BM76" s="5">
        <f>IF(BM$39=0,NA(),IF(ISNUMBER(INDEX($D$56:$AD$56,BM$39)),MAX(INDEX($D$56:$AD$56,BM$39)/BM59,IFERROR(_xlfn.AGGREGATE(4,6,BM74,BM73,BM75),0)+0.08721),NA()))</f>
        <v>0</v>
      </c>
      <c r="BN76" s="5">
        <f>IF(BN$39=0,NA(),IF(ISNUMBER(INDEX($D$56:$AD$56,BN$39)),MAX(INDEX($D$56:$AD$56,BN$39)/BN59,IFERROR(_xlfn.AGGREGATE(4,6,BN74,BN73,BN75),0)+0.08721),NA()))</f>
        <v>0</v>
      </c>
      <c r="BO76" s="5">
        <f>IF(BO$39=0,NA(),IF(ISNUMBER(INDEX($D$56:$AD$56,BO$39)),MAX(INDEX($D$56:$AD$56,BO$39)/BO59,IFERROR(_xlfn.AGGREGATE(4,6,BO74,BO73,BO75),0)+0.08721),NA()))</f>
        <v>0</v>
      </c>
      <c r="BP76" s="5">
        <f>IF(BP$39=0,NA(),IF(ISNUMBER(INDEX($D$56:$AD$56,BP$39)),MAX(INDEX($D$56:$AD$56,BP$39)/BP59,IFERROR(_xlfn.AGGREGATE(4,6,BP74,BP73,BP75),0)+0.08721),NA()))</f>
        <v>0</v>
      </c>
    </row>
    <row r="77" spans="1:68">
      <c r="A77" s="11" t="s">
        <v>217</v>
      </c>
      <c r="B77" s="11" t="s">
        <v>218</v>
      </c>
      <c r="C77" s="3" t="s">
        <v>144</v>
      </c>
      <c r="AQ77" s="11">
        <f>IF(AQ$39=0,"",IF(ISNUMBER(INDEX($D$56:$AD$56,AQ$39)),FIXED(INDEX($D$56:$AD$56,AQ$39)/1000,1),""))</f>
        <v>0</v>
      </c>
      <c r="AR77" s="11">
        <f>IF(AR$39=0,"",IF(ISNUMBER(INDEX($D$56:$AD$56,AR$39)),FIXED(INDEX($D$56:$AD$56,AR$39)/1000,1),""))</f>
        <v>0</v>
      </c>
      <c r="AS77" s="11">
        <f>IF(AS$39=0,"",IF(ISNUMBER(INDEX($D$56:$AD$56,AS$39)),FIXED(INDEX($D$56:$AD$56,AS$39)/1000,1),""))</f>
        <v>0</v>
      </c>
      <c r="AT77" s="11">
        <f>IF(AT$39=0,"",IF(ISNUMBER(INDEX($D$56:$AD$56,AT$39)),FIXED(INDEX($D$56:$AD$56,AT$39)/1000,1),""))</f>
        <v>0</v>
      </c>
      <c r="AU77" s="11">
        <f>IF(AU$39=0,"",IF(ISNUMBER(INDEX($D$56:$AD$56,AU$39)),FIXED(INDEX($D$56:$AD$56,AU$39)/1000,1),""))</f>
        <v>0</v>
      </c>
      <c r="AV77" s="11">
        <f>IF(AV$39=0,"",IF(ISNUMBER(INDEX($D$56:$AD$56,AV$39)),FIXED(INDEX($D$56:$AD$56,AV$39)/1000,1),""))</f>
        <v>0</v>
      </c>
      <c r="AW77" s="11">
        <f>IF(AW$39=0,"",IF(ISNUMBER(INDEX($D$56:$AD$56,AW$39)),FIXED(INDEX($D$56:$AD$56,AW$39)/1000,1),""))</f>
        <v>0</v>
      </c>
      <c r="AX77" s="11">
        <f>IF(AX$39=0,"",IF(ISNUMBER(INDEX($D$56:$AD$56,AX$39)),FIXED(INDEX($D$56:$AD$56,AX$39)/1000,1),""))</f>
        <v>0</v>
      </c>
      <c r="AY77" s="11">
        <f>IF(AY$39=0,"",IF(ISNUMBER(INDEX($D$56:$AD$56,AY$39)),FIXED(INDEX($D$56:$AD$56,AY$39)/1000,1),""))</f>
        <v>0</v>
      </c>
      <c r="AZ77" s="11">
        <f>IF(AZ$39=0,"",IF(ISNUMBER(INDEX($D$56:$AD$56,AZ$39)),FIXED(INDEX($D$56:$AD$56,AZ$39)/1000,1),""))</f>
        <v>0</v>
      </c>
      <c r="BA77" s="11">
        <f>IF(BA$39=0,"",IF(ISNUMBER(INDEX($D$56:$AD$56,BA$39)),FIXED(INDEX($D$56:$AD$56,BA$39)/1000,1),""))</f>
        <v>0</v>
      </c>
      <c r="BB77" s="11">
        <f>IF(BB$39=0,"",IF(ISNUMBER(INDEX($D$56:$AD$56,BB$39)),FIXED(INDEX($D$56:$AD$56,BB$39)/1000,1),""))</f>
        <v>0</v>
      </c>
      <c r="BC77" s="11">
        <f>IF(BC$39=0,"",IF(ISNUMBER(INDEX($D$56:$AD$56,BC$39)),FIXED(INDEX($D$56:$AD$56,BC$39)/1000,1),""))</f>
        <v>0</v>
      </c>
      <c r="BD77" s="11">
        <f>IF(BD$39=0,"",IF(ISNUMBER(INDEX($D$56:$AD$56,BD$39)),FIXED(INDEX($D$56:$AD$56,BD$39)/1000,1),""))</f>
        <v>0</v>
      </c>
      <c r="BE77" s="11">
        <f>IF(BE$39=0,"",IF(ISNUMBER(INDEX($D$56:$AD$56,BE$39)),FIXED(INDEX($D$56:$AD$56,BE$39)/1000,1),""))</f>
        <v>0</v>
      </c>
      <c r="BF77" s="11">
        <f>IF(BF$39=0,"",IF(ISNUMBER(INDEX($D$56:$AD$56,BF$39)),FIXED(INDEX($D$56:$AD$56,BF$39)/1000,1),""))</f>
        <v>0</v>
      </c>
      <c r="BG77" s="11">
        <f>IF(BG$39=0,"",IF(ISNUMBER(INDEX($D$56:$AD$56,BG$39)),FIXED(INDEX($D$56:$AD$56,BG$39)/1000,1),""))</f>
        <v>0</v>
      </c>
      <c r="BH77" s="11">
        <f>IF(BH$39=0,"",IF(ISNUMBER(INDEX($D$56:$AD$56,BH$39)),FIXED(INDEX($D$56:$AD$56,BH$39)/1000,1),""))</f>
        <v>0</v>
      </c>
      <c r="BI77" s="11">
        <f>IF(BI$39=0,"",IF(ISNUMBER(INDEX($D$56:$AD$56,BI$39)),FIXED(INDEX($D$56:$AD$56,BI$39)/1000,1),""))</f>
        <v>0</v>
      </c>
      <c r="BJ77" s="11">
        <f>IF(BJ$39=0,"",IF(ISNUMBER(INDEX($D$56:$AD$56,BJ$39)),FIXED(INDEX($D$56:$AD$56,BJ$39)/1000,1),""))</f>
        <v>0</v>
      </c>
      <c r="BK77" s="11">
        <f>IF(BK$39=0,"",IF(ISNUMBER(INDEX($D$56:$AD$56,BK$39)),FIXED(INDEX($D$56:$AD$56,BK$39)/1000,1),""))</f>
        <v>0</v>
      </c>
      <c r="BL77" s="11">
        <f>IF(BL$39=0,"",IF(ISNUMBER(INDEX($D$56:$AD$56,BL$39)),FIXED(INDEX($D$56:$AD$56,BL$39)/1000,1),""))</f>
        <v>0</v>
      </c>
      <c r="BM77" s="11">
        <f>IF(BM$39=0,"",IF(ISNUMBER(INDEX($D$56:$AD$56,BM$39)),FIXED(INDEX($D$56:$AD$56,BM$39)/1000,1),""))</f>
        <v>0</v>
      </c>
      <c r="BN77" s="11">
        <f>IF(BN$39=0,"",IF(ISNUMBER(INDEX($D$56:$AD$56,BN$39)),FIXED(INDEX($D$56:$AD$56,BN$39)/1000,1),""))</f>
        <v>0</v>
      </c>
      <c r="BO77" s="11">
        <f>IF(BO$39=0,"",IF(ISNUMBER(INDEX($D$56:$AD$56,BO$39)),FIXED(INDEX($D$56:$AD$56,BO$39)/1000,1),""))</f>
        <v>0</v>
      </c>
      <c r="BP77" s="11">
        <f>IF(BP$39=0,"",IF(ISNUMBER(INDEX($D$56:$AD$56,BP$39)),FIXED(INDEX($D$56:$AD$56,BP$39)/1000,1),""))</f>
        <v>0</v>
      </c>
    </row>
    <row r="78" spans="1:68">
      <c r="A78" s="11" t="s">
        <v>219</v>
      </c>
      <c r="B78" s="11" t="s">
        <v>220</v>
      </c>
      <c r="C78" s="3" t="s">
        <v>144</v>
      </c>
      <c r="AQ78" s="5">
        <f>IF(AQ$39=0,NA(),IF(N(Konfiguration!$F$9)&gt;0,N(Konfiguration!$F$9)/AQ59,NA()))</f>
        <v>0</v>
      </c>
      <c r="AR78" s="5">
        <f>IF(AR$39=0,NA(),IF(N(Konfiguration!$F$9)&gt;0,N(Konfiguration!$F$9)/AR59,NA()))</f>
        <v>0</v>
      </c>
      <c r="AS78" s="5">
        <f>IF(AS$39=0,NA(),IF(N(Konfiguration!$F$9)&gt;0,N(Konfiguration!$F$9)/AS59,NA()))</f>
        <v>0</v>
      </c>
      <c r="AT78" s="5">
        <f>IF(AT$39=0,NA(),IF(N(Konfiguration!$F$9)&gt;0,N(Konfiguration!$F$9)/AT59,NA()))</f>
        <v>0</v>
      </c>
      <c r="AU78" s="5">
        <f>IF(AU$39=0,NA(),IF(N(Konfiguration!$F$9)&gt;0,N(Konfiguration!$F$9)/AU59,NA()))</f>
        <v>0</v>
      </c>
      <c r="AV78" s="5">
        <f>IF(AV$39=0,NA(),IF(N(Konfiguration!$F$9)&gt;0,N(Konfiguration!$F$9)/AV59,NA()))</f>
        <v>0</v>
      </c>
      <c r="AW78" s="5">
        <f>IF(AW$39=0,NA(),IF(N(Konfiguration!$F$9)&gt;0,N(Konfiguration!$F$9)/AW59,NA()))</f>
        <v>0</v>
      </c>
      <c r="AX78" s="5">
        <f>IF(AX$39=0,NA(),IF(N(Konfiguration!$F$9)&gt;0,N(Konfiguration!$F$9)/AX59,NA()))</f>
        <v>0</v>
      </c>
      <c r="AY78" s="5">
        <f>IF(AY$39=0,NA(),IF(N(Konfiguration!$F$9)&gt;0,N(Konfiguration!$F$9)/AY59,NA()))</f>
        <v>0</v>
      </c>
      <c r="AZ78" s="5">
        <f>IF(AZ$39=0,NA(),IF(N(Konfiguration!$F$9)&gt;0,N(Konfiguration!$F$9)/AZ59,NA()))</f>
        <v>0</v>
      </c>
      <c r="BA78" s="5">
        <f>IF(BA$39=0,NA(),IF(N(Konfiguration!$F$9)&gt;0,N(Konfiguration!$F$9)/BA59,NA()))</f>
        <v>0</v>
      </c>
      <c r="BB78" s="5">
        <f>IF(BB$39=0,NA(),IF(N(Konfiguration!$F$9)&gt;0,N(Konfiguration!$F$9)/BB59,NA()))</f>
        <v>0</v>
      </c>
      <c r="BC78" s="5">
        <f>IF(BC$39=0,NA(),IF(N(Konfiguration!$F$9)&gt;0,N(Konfiguration!$F$9)/BC59,NA()))</f>
        <v>0</v>
      </c>
      <c r="BD78" s="5">
        <f>IF(BD$39=0,NA(),IF(N(Konfiguration!$F$9)&gt;0,N(Konfiguration!$F$9)/BD59,NA()))</f>
        <v>0</v>
      </c>
      <c r="BE78" s="5">
        <f>IF(BE$39=0,NA(),IF(N(Konfiguration!$F$9)&gt;0,N(Konfiguration!$F$9)/BE59,NA()))</f>
        <v>0</v>
      </c>
      <c r="BF78" s="5">
        <f>IF(BF$39=0,NA(),IF(N(Konfiguration!$F$9)&gt;0,N(Konfiguration!$F$9)/BF59,NA()))</f>
        <v>0</v>
      </c>
      <c r="BG78" s="5">
        <f>IF(BG$39=0,NA(),IF(N(Konfiguration!$F$9)&gt;0,N(Konfiguration!$F$9)/BG59,NA()))</f>
        <v>0</v>
      </c>
      <c r="BH78" s="5">
        <f>IF(BH$39=0,NA(),IF(N(Konfiguration!$F$9)&gt;0,N(Konfiguration!$F$9)/BH59,NA()))</f>
        <v>0</v>
      </c>
      <c r="BI78" s="5">
        <f>IF(BI$39=0,NA(),IF(N(Konfiguration!$F$9)&gt;0,N(Konfiguration!$F$9)/BI59,NA()))</f>
        <v>0</v>
      </c>
      <c r="BJ78" s="5">
        <f>IF(BJ$39=0,NA(),IF(N(Konfiguration!$F$9)&gt;0,N(Konfiguration!$F$9)/BJ59,NA()))</f>
        <v>0</v>
      </c>
      <c r="BK78" s="5">
        <f>IF(BK$39=0,NA(),IF(N(Konfiguration!$F$9)&gt;0,N(Konfiguration!$F$9)/BK59,NA()))</f>
        <v>0</v>
      </c>
      <c r="BL78" s="5">
        <f>IF(BL$39=0,NA(),IF(N(Konfiguration!$F$9)&gt;0,N(Konfiguration!$F$9)/BL59,NA()))</f>
        <v>0</v>
      </c>
      <c r="BM78" s="5">
        <f>IF(BM$39=0,NA(),IF(N(Konfiguration!$F$9)&gt;0,N(Konfiguration!$F$9)/BM59,NA()))</f>
        <v>0</v>
      </c>
      <c r="BN78" s="5">
        <f>IF(BN$39=0,NA(),IF(N(Konfiguration!$F$9)&gt;0,N(Konfiguration!$F$9)/BN59,NA()))</f>
        <v>0</v>
      </c>
      <c r="BO78" s="5">
        <f>IF(BO$39=0,NA(),IF(N(Konfiguration!$F$9)&gt;0,N(Konfiguration!$F$9)/BO59,NA()))</f>
        <v>0</v>
      </c>
      <c r="BP78" s="5">
        <f>IF(BP$39=0,NA(),IF(N(Konfiguration!$F$9)&gt;0,N(Konfiguration!$F$9)/BP59,NA()))</f>
        <v>0</v>
      </c>
    </row>
    <row r="79" spans="1:68">
      <c r="A79" s="11" t="s">
        <v>221</v>
      </c>
      <c r="B79" s="11" t="s">
        <v>222</v>
      </c>
      <c r="C79" s="3" t="s">
        <v>144</v>
      </c>
      <c r="AQ79" s="5">
        <f>IF(AQ$39=0,NA(),MAX(1,_xlfn.AGGREGATE(4,6,INDEX($D$54:$AD$54,MAX(1,$D$37+1-$D$36)):INDEX($D$54:$AD$54,$D$37)),_xlfn.AGGREGATE(4,6,INDEX($D$55:$AD$55,MAX(1,$D$37+1-$D$36)):INDEX($D$55:$AD$55,$D$37))))</f>
        <v>0</v>
      </c>
      <c r="AR79" s="5">
        <f>IF(AR$39=0,NA(),MAX(1,_xlfn.AGGREGATE(4,6,INDEX($D$54:$AD$54,MAX(1,$D$37+1-$D$36)):INDEX($D$54:$AD$54,$D$37)),_xlfn.AGGREGATE(4,6,INDEX($D$55:$AD$55,MAX(1,$D$37+1-$D$36)):INDEX($D$55:$AD$55,$D$37))))</f>
        <v>0</v>
      </c>
      <c r="AS79" s="5">
        <f>IF(AS$39=0,NA(),MAX(1,_xlfn.AGGREGATE(4,6,INDEX($D$54:$AD$54,MAX(1,$D$37+1-$D$36)):INDEX($D$54:$AD$54,$D$37)),_xlfn.AGGREGATE(4,6,INDEX($D$55:$AD$55,MAX(1,$D$37+1-$D$36)):INDEX($D$55:$AD$55,$D$37))))</f>
        <v>0</v>
      </c>
      <c r="AT79" s="5">
        <f>IF(AT$39=0,NA(),MAX(1,_xlfn.AGGREGATE(4,6,INDEX($D$54:$AD$54,MAX(1,$D$37+1-$D$36)):INDEX($D$54:$AD$54,$D$37)),_xlfn.AGGREGATE(4,6,INDEX($D$55:$AD$55,MAX(1,$D$37+1-$D$36)):INDEX($D$55:$AD$55,$D$37))))</f>
        <v>0</v>
      </c>
      <c r="AU79" s="5">
        <f>IF(AU$39=0,NA(),MAX(1,_xlfn.AGGREGATE(4,6,INDEX($D$54:$AD$54,MAX(1,$D$37+1-$D$36)):INDEX($D$54:$AD$54,$D$37)),_xlfn.AGGREGATE(4,6,INDEX($D$55:$AD$55,MAX(1,$D$37+1-$D$36)):INDEX($D$55:$AD$55,$D$37))))</f>
        <v>0</v>
      </c>
      <c r="AV79" s="5">
        <f>IF(AV$39=0,NA(),MAX(1,_xlfn.AGGREGATE(4,6,INDEX($D$54:$AD$54,MAX(1,$D$37+1-$D$36)):INDEX($D$54:$AD$54,$D$37)),_xlfn.AGGREGATE(4,6,INDEX($D$55:$AD$55,MAX(1,$D$37+1-$D$36)):INDEX($D$55:$AD$55,$D$37))))</f>
        <v>0</v>
      </c>
      <c r="AW79" s="5">
        <f>IF(AW$39=0,NA(),MAX(1,_xlfn.AGGREGATE(4,6,INDEX($D$54:$AD$54,MAX(1,$D$37+1-$D$36)):INDEX($D$54:$AD$54,$D$37)),_xlfn.AGGREGATE(4,6,INDEX($D$55:$AD$55,MAX(1,$D$37+1-$D$36)):INDEX($D$55:$AD$55,$D$37))))</f>
        <v>0</v>
      </c>
      <c r="AX79" s="5">
        <f>IF(AX$39=0,NA(),MAX(1,_xlfn.AGGREGATE(4,6,INDEX($D$54:$AD$54,MAX(1,$D$37+1-$D$36)):INDEX($D$54:$AD$54,$D$37)),_xlfn.AGGREGATE(4,6,INDEX($D$55:$AD$55,MAX(1,$D$37+1-$D$36)):INDEX($D$55:$AD$55,$D$37))))</f>
        <v>0</v>
      </c>
      <c r="AY79" s="5">
        <f>IF(AY$39=0,NA(),MAX(1,_xlfn.AGGREGATE(4,6,INDEX($D$54:$AD$54,MAX(1,$D$37+1-$D$36)):INDEX($D$54:$AD$54,$D$37)),_xlfn.AGGREGATE(4,6,INDEX($D$55:$AD$55,MAX(1,$D$37+1-$D$36)):INDEX($D$55:$AD$55,$D$37))))</f>
        <v>0</v>
      </c>
      <c r="AZ79" s="5">
        <f>IF(AZ$39=0,NA(),MAX(1,_xlfn.AGGREGATE(4,6,INDEX($D$54:$AD$54,MAX(1,$D$37+1-$D$36)):INDEX($D$54:$AD$54,$D$37)),_xlfn.AGGREGATE(4,6,INDEX($D$55:$AD$55,MAX(1,$D$37+1-$D$36)):INDEX($D$55:$AD$55,$D$37))))</f>
        <v>0</v>
      </c>
      <c r="BA79" s="5">
        <f>IF(BA$39=0,NA(),MAX(1,_xlfn.AGGREGATE(4,6,INDEX($D$54:$AD$54,MAX(1,$D$37+1-$D$36)):INDEX($D$54:$AD$54,$D$37)),_xlfn.AGGREGATE(4,6,INDEX($D$55:$AD$55,MAX(1,$D$37+1-$D$36)):INDEX($D$55:$AD$55,$D$37))))</f>
        <v>0</v>
      </c>
      <c r="BB79" s="5">
        <f>IF(BB$39=0,NA(),MAX(1,_xlfn.AGGREGATE(4,6,INDEX($D$54:$AD$54,MAX(1,$D$37+1-$D$36)):INDEX($D$54:$AD$54,$D$37)),_xlfn.AGGREGATE(4,6,INDEX($D$55:$AD$55,MAX(1,$D$37+1-$D$36)):INDEX($D$55:$AD$55,$D$37))))</f>
        <v>0</v>
      </c>
      <c r="BC79" s="5">
        <f>IF(BC$39=0,NA(),MAX(1,_xlfn.AGGREGATE(4,6,INDEX($D$54:$AD$54,MAX(1,$D$37+1-$D$36)):INDEX($D$54:$AD$54,$D$37)),_xlfn.AGGREGATE(4,6,INDEX($D$55:$AD$55,MAX(1,$D$37+1-$D$36)):INDEX($D$55:$AD$55,$D$37))))</f>
        <v>0</v>
      </c>
      <c r="BD79" s="5">
        <f>IF(BD$39=0,NA(),MAX(1,_xlfn.AGGREGATE(4,6,INDEX($D$54:$AD$54,MAX(1,$D$37+1-$D$36)):INDEX($D$54:$AD$54,$D$37)),_xlfn.AGGREGATE(4,6,INDEX($D$55:$AD$55,MAX(1,$D$37+1-$D$36)):INDEX($D$55:$AD$55,$D$37))))</f>
        <v>0</v>
      </c>
      <c r="BE79" s="5">
        <f>IF(BE$39=0,NA(),MAX(1,_xlfn.AGGREGATE(4,6,INDEX($D$54:$AD$54,MAX(1,$D$37+1-$D$36)):INDEX($D$54:$AD$54,$D$37)),_xlfn.AGGREGATE(4,6,INDEX($D$55:$AD$55,MAX(1,$D$37+1-$D$36)):INDEX($D$55:$AD$55,$D$37))))</f>
        <v>0</v>
      </c>
      <c r="BF79" s="5">
        <f>IF(BF$39=0,NA(),MAX(1,_xlfn.AGGREGATE(4,6,INDEX($D$54:$AD$54,MAX(1,$D$37+1-$D$36)):INDEX($D$54:$AD$54,$D$37)),_xlfn.AGGREGATE(4,6,INDEX($D$55:$AD$55,MAX(1,$D$37+1-$D$36)):INDEX($D$55:$AD$55,$D$37))))</f>
        <v>0</v>
      </c>
      <c r="BG79" s="5">
        <f>IF(BG$39=0,NA(),MAX(1,_xlfn.AGGREGATE(4,6,INDEX($D$54:$AD$54,MAX(1,$D$37+1-$D$36)):INDEX($D$54:$AD$54,$D$37)),_xlfn.AGGREGATE(4,6,INDEX($D$55:$AD$55,MAX(1,$D$37+1-$D$36)):INDEX($D$55:$AD$55,$D$37))))</f>
        <v>0</v>
      </c>
      <c r="BH79" s="5">
        <f>IF(BH$39=0,NA(),MAX(1,_xlfn.AGGREGATE(4,6,INDEX($D$54:$AD$54,MAX(1,$D$37+1-$D$36)):INDEX($D$54:$AD$54,$D$37)),_xlfn.AGGREGATE(4,6,INDEX($D$55:$AD$55,MAX(1,$D$37+1-$D$36)):INDEX($D$55:$AD$55,$D$37))))</f>
        <v>0</v>
      </c>
      <c r="BI79" s="5">
        <f>IF(BI$39=0,NA(),MAX(1,_xlfn.AGGREGATE(4,6,INDEX($D$54:$AD$54,MAX(1,$D$37+1-$D$36)):INDEX($D$54:$AD$54,$D$37)),_xlfn.AGGREGATE(4,6,INDEX($D$55:$AD$55,MAX(1,$D$37+1-$D$36)):INDEX($D$55:$AD$55,$D$37))))</f>
        <v>0</v>
      </c>
      <c r="BJ79" s="5">
        <f>IF(BJ$39=0,NA(),MAX(1,_xlfn.AGGREGATE(4,6,INDEX($D$54:$AD$54,MAX(1,$D$37+1-$D$36)):INDEX($D$54:$AD$54,$D$37)),_xlfn.AGGREGATE(4,6,INDEX($D$55:$AD$55,MAX(1,$D$37+1-$D$36)):INDEX($D$55:$AD$55,$D$37))))</f>
        <v>0</v>
      </c>
      <c r="BK79" s="5">
        <f>IF(BK$39=0,NA(),MAX(1,_xlfn.AGGREGATE(4,6,INDEX($D$54:$AD$54,MAX(1,$D$37+1-$D$36)):INDEX($D$54:$AD$54,$D$37)),_xlfn.AGGREGATE(4,6,INDEX($D$55:$AD$55,MAX(1,$D$37+1-$D$36)):INDEX($D$55:$AD$55,$D$37))))</f>
        <v>0</v>
      </c>
      <c r="BL79" s="5">
        <f>IF(BL$39=0,NA(),MAX(1,_xlfn.AGGREGATE(4,6,INDEX($D$54:$AD$54,MAX(1,$D$37+1-$D$36)):INDEX($D$54:$AD$54,$D$37)),_xlfn.AGGREGATE(4,6,INDEX($D$55:$AD$55,MAX(1,$D$37+1-$D$36)):INDEX($D$55:$AD$55,$D$37))))</f>
        <v>0</v>
      </c>
      <c r="BM79" s="5">
        <f>IF(BM$39=0,NA(),MAX(1,_xlfn.AGGREGATE(4,6,INDEX($D$54:$AD$54,MAX(1,$D$37+1-$D$36)):INDEX($D$54:$AD$54,$D$37)),_xlfn.AGGREGATE(4,6,INDEX($D$55:$AD$55,MAX(1,$D$37+1-$D$36)):INDEX($D$55:$AD$55,$D$37))))</f>
        <v>0</v>
      </c>
      <c r="BN79" s="5">
        <f>IF(BN$39=0,NA(),MAX(1,_xlfn.AGGREGATE(4,6,INDEX($D$54:$AD$54,MAX(1,$D$37+1-$D$36)):INDEX($D$54:$AD$54,$D$37)),_xlfn.AGGREGATE(4,6,INDEX($D$55:$AD$55,MAX(1,$D$37+1-$D$36)):INDEX($D$55:$AD$55,$D$37))))</f>
        <v>0</v>
      </c>
      <c r="BO79" s="5">
        <f>IF(BO$39=0,NA(),MAX(1,_xlfn.AGGREGATE(4,6,INDEX($D$54:$AD$54,MAX(1,$D$37+1-$D$36)):INDEX($D$54:$AD$54,$D$37)),_xlfn.AGGREGATE(4,6,INDEX($D$55:$AD$55,MAX(1,$D$37+1-$D$36)):INDEX($D$55:$AD$55,$D$37))))</f>
        <v>0</v>
      </c>
      <c r="BP79" s="5">
        <f>IF(BP$39=0,NA(),MAX(1,_xlfn.AGGREGATE(4,6,INDEX($D$54:$AD$54,MAX(1,$D$37+1-$D$36)):INDEX($D$54:$AD$54,$D$37)),_xlfn.AGGREGATE(4,6,INDEX($D$55:$AD$55,MAX(1,$D$37+1-$D$36)):INDEX($D$55:$AD$55,$D$37))))</f>
        <v>0</v>
      </c>
    </row>
    <row r="80" spans="1:68">
      <c r="A80" s="11" t="s">
        <v>223</v>
      </c>
      <c r="B80" s="11" t="s">
        <v>224</v>
      </c>
      <c r="C80" s="3" t="s">
        <v>144</v>
      </c>
      <c r="AQ80" s="5">
        <f>IF(AQ$39=0,NA(),IF(ISNUMBER(INDEX($D$54:$AD$54,AQ$39)),INDEX($D$54:$AD$54,AQ$39)/AQ79,NA()))</f>
        <v>0</v>
      </c>
      <c r="AR80" s="5">
        <f>IF(AR$39=0,NA(),IF(ISNUMBER(INDEX($D$54:$AD$54,AR$39)),INDEX($D$54:$AD$54,AR$39)/AR79,NA()))</f>
        <v>0</v>
      </c>
      <c r="AS80" s="5">
        <f>IF(AS$39=0,NA(),IF(ISNUMBER(INDEX($D$54:$AD$54,AS$39)),INDEX($D$54:$AD$54,AS$39)/AS79,NA()))</f>
        <v>0</v>
      </c>
      <c r="AT80" s="5">
        <f>IF(AT$39=0,NA(),IF(ISNUMBER(INDEX($D$54:$AD$54,AT$39)),INDEX($D$54:$AD$54,AT$39)/AT79,NA()))</f>
        <v>0</v>
      </c>
      <c r="AU80" s="5">
        <f>IF(AU$39=0,NA(),IF(ISNUMBER(INDEX($D$54:$AD$54,AU$39)),INDEX($D$54:$AD$54,AU$39)/AU79,NA()))</f>
        <v>0</v>
      </c>
      <c r="AV80" s="5">
        <f>IF(AV$39=0,NA(),IF(ISNUMBER(INDEX($D$54:$AD$54,AV$39)),INDEX($D$54:$AD$54,AV$39)/AV79,NA()))</f>
        <v>0</v>
      </c>
      <c r="AW80" s="5">
        <f>IF(AW$39=0,NA(),IF(ISNUMBER(INDEX($D$54:$AD$54,AW$39)),INDEX($D$54:$AD$54,AW$39)/AW79,NA()))</f>
        <v>0</v>
      </c>
      <c r="AX80" s="5">
        <f>IF(AX$39=0,NA(),IF(ISNUMBER(INDEX($D$54:$AD$54,AX$39)),INDEX($D$54:$AD$54,AX$39)/AX79,NA()))</f>
        <v>0</v>
      </c>
      <c r="AY80" s="5">
        <f>IF(AY$39=0,NA(),IF(ISNUMBER(INDEX($D$54:$AD$54,AY$39)),INDEX($D$54:$AD$54,AY$39)/AY79,NA()))</f>
        <v>0</v>
      </c>
      <c r="AZ80" s="5">
        <f>IF(AZ$39=0,NA(),IF(ISNUMBER(INDEX($D$54:$AD$54,AZ$39)),INDEX($D$54:$AD$54,AZ$39)/AZ79,NA()))</f>
        <v>0</v>
      </c>
      <c r="BA80" s="5">
        <f>IF(BA$39=0,NA(),IF(ISNUMBER(INDEX($D$54:$AD$54,BA$39)),INDEX($D$54:$AD$54,BA$39)/BA79,NA()))</f>
        <v>0</v>
      </c>
      <c r="BB80" s="5">
        <f>IF(BB$39=0,NA(),IF(ISNUMBER(INDEX($D$54:$AD$54,BB$39)),INDEX($D$54:$AD$54,BB$39)/BB79,NA()))</f>
        <v>0</v>
      </c>
      <c r="BC80" s="5">
        <f>IF(BC$39=0,NA(),IF(ISNUMBER(INDEX($D$54:$AD$54,BC$39)),INDEX($D$54:$AD$54,BC$39)/BC79,NA()))</f>
        <v>0</v>
      </c>
      <c r="BD80" s="5">
        <f>IF(BD$39=0,NA(),IF(ISNUMBER(INDEX($D$54:$AD$54,BD$39)),INDEX($D$54:$AD$54,BD$39)/BD79,NA()))</f>
        <v>0</v>
      </c>
      <c r="BE80" s="5">
        <f>IF(BE$39=0,NA(),IF(ISNUMBER(INDEX($D$54:$AD$54,BE$39)),INDEX($D$54:$AD$54,BE$39)/BE79,NA()))</f>
        <v>0</v>
      </c>
      <c r="BF80" s="5">
        <f>IF(BF$39=0,NA(),IF(ISNUMBER(INDEX($D$54:$AD$54,BF$39)),INDEX($D$54:$AD$54,BF$39)/BF79,NA()))</f>
        <v>0</v>
      </c>
      <c r="BG80" s="5">
        <f>IF(BG$39=0,NA(),IF(ISNUMBER(INDEX($D$54:$AD$54,BG$39)),INDEX($D$54:$AD$54,BG$39)/BG79,NA()))</f>
        <v>0</v>
      </c>
      <c r="BH80" s="5">
        <f>IF(BH$39=0,NA(),IF(ISNUMBER(INDEX($D$54:$AD$54,BH$39)),INDEX($D$54:$AD$54,BH$39)/BH79,NA()))</f>
        <v>0</v>
      </c>
      <c r="BI80" s="5">
        <f>IF(BI$39=0,NA(),IF(ISNUMBER(INDEX($D$54:$AD$54,BI$39)),INDEX($D$54:$AD$54,BI$39)/BI79,NA()))</f>
        <v>0</v>
      </c>
      <c r="BJ80" s="5">
        <f>IF(BJ$39=0,NA(),IF(ISNUMBER(INDEX($D$54:$AD$54,BJ$39)),INDEX($D$54:$AD$54,BJ$39)/BJ79,NA()))</f>
        <v>0</v>
      </c>
      <c r="BK80" s="5">
        <f>IF(BK$39=0,NA(),IF(ISNUMBER(INDEX($D$54:$AD$54,BK$39)),INDEX($D$54:$AD$54,BK$39)/BK79,NA()))</f>
        <v>0</v>
      </c>
      <c r="BL80" s="5">
        <f>IF(BL$39=0,NA(),IF(ISNUMBER(INDEX($D$54:$AD$54,BL$39)),INDEX($D$54:$AD$54,BL$39)/BL79,NA()))</f>
        <v>0</v>
      </c>
      <c r="BM80" s="5">
        <f>IF(BM$39=0,NA(),IF(ISNUMBER(INDEX($D$54:$AD$54,BM$39)),INDEX($D$54:$AD$54,BM$39)/BM79,NA()))</f>
        <v>0</v>
      </c>
      <c r="BN80" s="5">
        <f>IF(BN$39=0,NA(),IF(ISNUMBER(INDEX($D$54:$AD$54,BN$39)),INDEX($D$54:$AD$54,BN$39)/BN79,NA()))</f>
        <v>0</v>
      </c>
      <c r="BO80" s="5">
        <f>IF(BO$39=0,NA(),IF(ISNUMBER(INDEX($D$54:$AD$54,BO$39)),INDEX($D$54:$AD$54,BO$39)/BO79,NA()))</f>
        <v>0</v>
      </c>
      <c r="BP80" s="5">
        <f>IF(BP$39=0,NA(),IF(ISNUMBER(INDEX($D$54:$AD$54,BP$39)),INDEX($D$54:$AD$54,BP$39)/BP79,NA()))</f>
        <v>0</v>
      </c>
    </row>
    <row r="81" spans="1:68">
      <c r="A81" s="11" t="s">
        <v>225</v>
      </c>
      <c r="B81" s="11" t="s">
        <v>226</v>
      </c>
      <c r="C81" s="3" t="s">
        <v>144</v>
      </c>
      <c r="AQ81" s="11">
        <f>IF(AQ$39=0,"",IF(ISNUMBER(INDEX($D$54:$AD$54,AQ$39)),FIXED(INDEX($D$54:$AD$54,AQ$39)/1000,1)&amp;REPT(_xlfn.UNICHAR(160),3),""))</f>
        <v>0</v>
      </c>
      <c r="AR81" s="11">
        <f>IF(AR$39=0,"",IF(ISNUMBER(INDEX($D$54:$AD$54,AR$39)),FIXED(INDEX($D$54:$AD$54,AR$39)/1000,1)&amp;REPT(_xlfn.UNICHAR(160),3),""))</f>
        <v>0</v>
      </c>
      <c r="AS81" s="11">
        <f>IF(AS$39=0,"",IF(ISNUMBER(INDEX($D$54:$AD$54,AS$39)),FIXED(INDEX($D$54:$AD$54,AS$39)/1000,1)&amp;REPT(_xlfn.UNICHAR(160),3),""))</f>
        <v>0</v>
      </c>
      <c r="AT81" s="11">
        <f>IF(AT$39=0,"",IF(ISNUMBER(INDEX($D$54:$AD$54,AT$39)),FIXED(INDEX($D$54:$AD$54,AT$39)/1000,1)&amp;REPT(_xlfn.UNICHAR(160),3),""))</f>
        <v>0</v>
      </c>
      <c r="AU81" s="11">
        <f>IF(AU$39=0,"",IF(ISNUMBER(INDEX($D$54:$AD$54,AU$39)),FIXED(INDEX($D$54:$AD$54,AU$39)/1000,1)&amp;REPT(_xlfn.UNICHAR(160),3),""))</f>
        <v>0</v>
      </c>
      <c r="AV81" s="11">
        <f>IF(AV$39=0,"",IF(ISNUMBER(INDEX($D$54:$AD$54,AV$39)),FIXED(INDEX($D$54:$AD$54,AV$39)/1000,1)&amp;REPT(_xlfn.UNICHAR(160),3),""))</f>
        <v>0</v>
      </c>
      <c r="AW81" s="11">
        <f>IF(AW$39=0,"",IF(ISNUMBER(INDEX($D$54:$AD$54,AW$39)),FIXED(INDEX($D$54:$AD$54,AW$39)/1000,1)&amp;REPT(_xlfn.UNICHAR(160),3),""))</f>
        <v>0</v>
      </c>
      <c r="AX81" s="11">
        <f>IF(AX$39=0,"",IF(ISNUMBER(INDEX($D$54:$AD$54,AX$39)),FIXED(INDEX($D$54:$AD$54,AX$39)/1000,1)&amp;REPT(_xlfn.UNICHAR(160),3),""))</f>
        <v>0</v>
      </c>
      <c r="AY81" s="11">
        <f>IF(AY$39=0,"",IF(ISNUMBER(INDEX($D$54:$AD$54,AY$39)),FIXED(INDEX($D$54:$AD$54,AY$39)/1000,1)&amp;REPT(_xlfn.UNICHAR(160),3),""))</f>
        <v>0</v>
      </c>
      <c r="AZ81" s="11">
        <f>IF(AZ$39=0,"",IF(ISNUMBER(INDEX($D$54:$AD$54,AZ$39)),FIXED(INDEX($D$54:$AD$54,AZ$39)/1000,1)&amp;REPT(_xlfn.UNICHAR(160),3),""))</f>
        <v>0</v>
      </c>
      <c r="BA81" s="11">
        <f>IF(BA$39=0,"",IF(ISNUMBER(INDEX($D$54:$AD$54,BA$39)),FIXED(INDEX($D$54:$AD$54,BA$39)/1000,1)&amp;REPT(_xlfn.UNICHAR(160),3),""))</f>
        <v>0</v>
      </c>
      <c r="BB81" s="11">
        <f>IF(BB$39=0,"",IF(ISNUMBER(INDEX($D$54:$AD$54,BB$39)),FIXED(INDEX($D$54:$AD$54,BB$39)/1000,1)&amp;REPT(_xlfn.UNICHAR(160),3),""))</f>
        <v>0</v>
      </c>
      <c r="BC81" s="11">
        <f>IF(BC$39=0,"",IF(ISNUMBER(INDEX($D$54:$AD$54,BC$39)),FIXED(INDEX($D$54:$AD$54,BC$39)/1000,1)&amp;REPT(_xlfn.UNICHAR(160),3),""))</f>
        <v>0</v>
      </c>
      <c r="BD81" s="11">
        <f>IF(BD$39=0,"",IF(ISNUMBER(INDEX($D$54:$AD$54,BD$39)),FIXED(INDEX($D$54:$AD$54,BD$39)/1000,1)&amp;REPT(_xlfn.UNICHAR(160),3),""))</f>
        <v>0</v>
      </c>
      <c r="BE81" s="11">
        <f>IF(BE$39=0,"",IF(ISNUMBER(INDEX($D$54:$AD$54,BE$39)),FIXED(INDEX($D$54:$AD$54,BE$39)/1000,1)&amp;REPT(_xlfn.UNICHAR(160),3),""))</f>
        <v>0</v>
      </c>
      <c r="BF81" s="11">
        <f>IF(BF$39=0,"",IF(ISNUMBER(INDEX($D$54:$AD$54,BF$39)),FIXED(INDEX($D$54:$AD$54,BF$39)/1000,1)&amp;REPT(_xlfn.UNICHAR(160),3),""))</f>
        <v>0</v>
      </c>
      <c r="BG81" s="11">
        <f>IF(BG$39=0,"",IF(ISNUMBER(INDEX($D$54:$AD$54,BG$39)),FIXED(INDEX($D$54:$AD$54,BG$39)/1000,1)&amp;REPT(_xlfn.UNICHAR(160),3),""))</f>
        <v>0</v>
      </c>
      <c r="BH81" s="11">
        <f>IF(BH$39=0,"",IF(ISNUMBER(INDEX($D$54:$AD$54,BH$39)),FIXED(INDEX($D$54:$AD$54,BH$39)/1000,1)&amp;REPT(_xlfn.UNICHAR(160),3),""))</f>
        <v>0</v>
      </c>
      <c r="BI81" s="11">
        <f>IF(BI$39=0,"",IF(ISNUMBER(INDEX($D$54:$AD$54,BI$39)),FIXED(INDEX($D$54:$AD$54,BI$39)/1000,1)&amp;REPT(_xlfn.UNICHAR(160),3),""))</f>
        <v>0</v>
      </c>
      <c r="BJ81" s="11">
        <f>IF(BJ$39=0,"",IF(ISNUMBER(INDEX($D$54:$AD$54,BJ$39)),FIXED(INDEX($D$54:$AD$54,BJ$39)/1000,1)&amp;REPT(_xlfn.UNICHAR(160),3),""))</f>
        <v>0</v>
      </c>
      <c r="BK81" s="11">
        <f>IF(BK$39=0,"",IF(ISNUMBER(INDEX($D$54:$AD$54,BK$39)),FIXED(INDEX($D$54:$AD$54,BK$39)/1000,1)&amp;REPT(_xlfn.UNICHAR(160),3),""))</f>
        <v>0</v>
      </c>
      <c r="BL81" s="11">
        <f>IF(BL$39=0,"",IF(ISNUMBER(INDEX($D$54:$AD$54,BL$39)),FIXED(INDEX($D$54:$AD$54,BL$39)/1000,1)&amp;REPT(_xlfn.UNICHAR(160),3),""))</f>
        <v>0</v>
      </c>
      <c r="BM81" s="11">
        <f>IF(BM$39=0,"",IF(ISNUMBER(INDEX($D$54:$AD$54,BM$39)),FIXED(INDEX($D$54:$AD$54,BM$39)/1000,1)&amp;REPT(_xlfn.UNICHAR(160),3),""))</f>
        <v>0</v>
      </c>
      <c r="BN81" s="11">
        <f>IF(BN$39=0,"",IF(ISNUMBER(INDEX($D$54:$AD$54,BN$39)),FIXED(INDEX($D$54:$AD$54,BN$39)/1000,1)&amp;REPT(_xlfn.UNICHAR(160),3),""))</f>
        <v>0</v>
      </c>
      <c r="BO81" s="11">
        <f>IF(BO$39=0,"",IF(ISNUMBER(INDEX($D$54:$AD$54,BO$39)),FIXED(INDEX($D$54:$AD$54,BO$39)/1000,1)&amp;REPT(_xlfn.UNICHAR(160),3),""))</f>
        <v>0</v>
      </c>
      <c r="BP81" s="11">
        <f>IF(BP$39=0,"",IF(ISNUMBER(INDEX($D$54:$AD$54,BP$39)),FIXED(INDEX($D$54:$AD$54,BP$39)/1000,1)&amp;REPT(_xlfn.UNICHAR(160),3),""))</f>
        <v>0</v>
      </c>
    </row>
    <row r="82" spans="1:68">
      <c r="A82" s="11" t="s">
        <v>227</v>
      </c>
      <c r="B82" s="11" t="s">
        <v>228</v>
      </c>
      <c r="C82" s="3" t="s">
        <v>144</v>
      </c>
      <c r="AQ82" s="5">
        <f>IF(AQ$39=0,NA(),IF(ISNUMBER(INDEX($D$55:$AD$55,AQ$39)),INDEX($D$55:$AD$55,AQ$39)/AQ79,NA()))</f>
        <v>0</v>
      </c>
      <c r="AR82" s="5">
        <f>IF(AR$39=0,NA(),IF(ISNUMBER(INDEX($D$55:$AD$55,AR$39)),INDEX($D$55:$AD$55,AR$39)/AR79,NA()))</f>
        <v>0</v>
      </c>
      <c r="AS82" s="5">
        <f>IF(AS$39=0,NA(),IF(ISNUMBER(INDEX($D$55:$AD$55,AS$39)),INDEX($D$55:$AD$55,AS$39)/AS79,NA()))</f>
        <v>0</v>
      </c>
      <c r="AT82" s="5">
        <f>IF(AT$39=0,NA(),IF(ISNUMBER(INDEX($D$55:$AD$55,AT$39)),INDEX($D$55:$AD$55,AT$39)/AT79,NA()))</f>
        <v>0</v>
      </c>
      <c r="AU82" s="5">
        <f>IF(AU$39=0,NA(),IF(ISNUMBER(INDEX($D$55:$AD$55,AU$39)),INDEX($D$55:$AD$55,AU$39)/AU79,NA()))</f>
        <v>0</v>
      </c>
      <c r="AV82" s="5">
        <f>IF(AV$39=0,NA(),IF(ISNUMBER(INDEX($D$55:$AD$55,AV$39)),INDEX($D$55:$AD$55,AV$39)/AV79,NA()))</f>
        <v>0</v>
      </c>
      <c r="AW82" s="5">
        <f>IF(AW$39=0,NA(),IF(ISNUMBER(INDEX($D$55:$AD$55,AW$39)),INDEX($D$55:$AD$55,AW$39)/AW79,NA()))</f>
        <v>0</v>
      </c>
      <c r="AX82" s="5">
        <f>IF(AX$39=0,NA(),IF(ISNUMBER(INDEX($D$55:$AD$55,AX$39)),INDEX($D$55:$AD$55,AX$39)/AX79,NA()))</f>
        <v>0</v>
      </c>
      <c r="AY82" s="5">
        <f>IF(AY$39=0,NA(),IF(ISNUMBER(INDEX($D$55:$AD$55,AY$39)),INDEX($D$55:$AD$55,AY$39)/AY79,NA()))</f>
        <v>0</v>
      </c>
      <c r="AZ82" s="5">
        <f>IF(AZ$39=0,NA(),IF(ISNUMBER(INDEX($D$55:$AD$55,AZ$39)),INDEX($D$55:$AD$55,AZ$39)/AZ79,NA()))</f>
        <v>0</v>
      </c>
      <c r="BA82" s="5">
        <f>IF(BA$39=0,NA(),IF(ISNUMBER(INDEX($D$55:$AD$55,BA$39)),INDEX($D$55:$AD$55,BA$39)/BA79,NA()))</f>
        <v>0</v>
      </c>
      <c r="BB82" s="5">
        <f>IF(BB$39=0,NA(),IF(ISNUMBER(INDEX($D$55:$AD$55,BB$39)),INDEX($D$55:$AD$55,BB$39)/BB79,NA()))</f>
        <v>0</v>
      </c>
      <c r="BC82" s="5">
        <f>IF(BC$39=0,NA(),IF(ISNUMBER(INDEX($D$55:$AD$55,BC$39)),INDEX($D$55:$AD$55,BC$39)/BC79,NA()))</f>
        <v>0</v>
      </c>
      <c r="BD82" s="5">
        <f>IF(BD$39=0,NA(),IF(ISNUMBER(INDEX($D$55:$AD$55,BD$39)),INDEX($D$55:$AD$55,BD$39)/BD79,NA()))</f>
        <v>0</v>
      </c>
      <c r="BE82" s="5">
        <f>IF(BE$39=0,NA(),IF(ISNUMBER(INDEX($D$55:$AD$55,BE$39)),INDEX($D$55:$AD$55,BE$39)/BE79,NA()))</f>
        <v>0</v>
      </c>
      <c r="BF82" s="5">
        <f>IF(BF$39=0,NA(),IF(ISNUMBER(INDEX($D$55:$AD$55,BF$39)),INDEX($D$55:$AD$55,BF$39)/BF79,NA()))</f>
        <v>0</v>
      </c>
      <c r="BG82" s="5">
        <f>IF(BG$39=0,NA(),IF(ISNUMBER(INDEX($D$55:$AD$55,BG$39)),INDEX($D$55:$AD$55,BG$39)/BG79,NA()))</f>
        <v>0</v>
      </c>
      <c r="BH82" s="5">
        <f>IF(BH$39=0,NA(),IF(ISNUMBER(INDEX($D$55:$AD$55,BH$39)),INDEX($D$55:$AD$55,BH$39)/BH79,NA()))</f>
        <v>0</v>
      </c>
      <c r="BI82" s="5">
        <f>IF(BI$39=0,NA(),IF(ISNUMBER(INDEX($D$55:$AD$55,BI$39)),INDEX($D$55:$AD$55,BI$39)/BI79,NA()))</f>
        <v>0</v>
      </c>
      <c r="BJ82" s="5">
        <f>IF(BJ$39=0,NA(),IF(ISNUMBER(INDEX($D$55:$AD$55,BJ$39)),INDEX($D$55:$AD$55,BJ$39)/BJ79,NA()))</f>
        <v>0</v>
      </c>
      <c r="BK82" s="5">
        <f>IF(BK$39=0,NA(),IF(ISNUMBER(INDEX($D$55:$AD$55,BK$39)),INDEX($D$55:$AD$55,BK$39)/BK79,NA()))</f>
        <v>0</v>
      </c>
      <c r="BL82" s="5">
        <f>IF(BL$39=0,NA(),IF(ISNUMBER(INDEX($D$55:$AD$55,BL$39)),INDEX($D$55:$AD$55,BL$39)/BL79,NA()))</f>
        <v>0</v>
      </c>
      <c r="BM82" s="5">
        <f>IF(BM$39=0,NA(),IF(ISNUMBER(INDEX($D$55:$AD$55,BM$39)),INDEX($D$55:$AD$55,BM$39)/BM79,NA()))</f>
        <v>0</v>
      </c>
      <c r="BN82" s="5">
        <f>IF(BN$39=0,NA(),IF(ISNUMBER(INDEX($D$55:$AD$55,BN$39)),INDEX($D$55:$AD$55,BN$39)/BN79,NA()))</f>
        <v>0</v>
      </c>
      <c r="BO82" s="5">
        <f>IF(BO$39=0,NA(),IF(ISNUMBER(INDEX($D$55:$AD$55,BO$39)),INDEX($D$55:$AD$55,BO$39)/BO79,NA()))</f>
        <v>0</v>
      </c>
      <c r="BP82" s="5">
        <f>IF(BP$39=0,NA(),IF(ISNUMBER(INDEX($D$55:$AD$55,BP$39)),INDEX($D$55:$AD$55,BP$39)/BP79,NA()))</f>
        <v>0</v>
      </c>
    </row>
    <row r="83" spans="1:68">
      <c r="A83" s="11" t="s">
        <v>229</v>
      </c>
      <c r="B83" s="11" t="s">
        <v>230</v>
      </c>
      <c r="C83" s="3" t="s">
        <v>144</v>
      </c>
      <c r="AQ83" s="11">
        <f>IF(AQ$39=0,"",IF(ISNUMBER(INDEX($D$55:$AD$55,AQ$39)),REPT(_xlfn.UNICHAR(160),3)&amp;FIXED(INDEX($D$55:$AD$55,AQ$39)/1000,1),""))</f>
        <v>0</v>
      </c>
      <c r="AR83" s="11">
        <f>IF(AR$39=0,"",IF(ISNUMBER(INDEX($D$55:$AD$55,AR$39)),REPT(_xlfn.UNICHAR(160),3)&amp;FIXED(INDEX($D$55:$AD$55,AR$39)/1000,1),""))</f>
        <v>0</v>
      </c>
      <c r="AS83" s="11">
        <f>IF(AS$39=0,"",IF(ISNUMBER(INDEX($D$55:$AD$55,AS$39)),REPT(_xlfn.UNICHAR(160),3)&amp;FIXED(INDEX($D$55:$AD$55,AS$39)/1000,1),""))</f>
        <v>0</v>
      </c>
      <c r="AT83" s="11">
        <f>IF(AT$39=0,"",IF(ISNUMBER(INDEX($D$55:$AD$55,AT$39)),REPT(_xlfn.UNICHAR(160),3)&amp;FIXED(INDEX($D$55:$AD$55,AT$39)/1000,1),""))</f>
        <v>0</v>
      </c>
      <c r="AU83" s="11">
        <f>IF(AU$39=0,"",IF(ISNUMBER(INDEX($D$55:$AD$55,AU$39)),REPT(_xlfn.UNICHAR(160),3)&amp;FIXED(INDEX($D$55:$AD$55,AU$39)/1000,1),""))</f>
        <v>0</v>
      </c>
      <c r="AV83" s="11">
        <f>IF(AV$39=0,"",IF(ISNUMBER(INDEX($D$55:$AD$55,AV$39)),REPT(_xlfn.UNICHAR(160),3)&amp;FIXED(INDEX($D$55:$AD$55,AV$39)/1000,1),""))</f>
        <v>0</v>
      </c>
      <c r="AW83" s="11">
        <f>IF(AW$39=0,"",IF(ISNUMBER(INDEX($D$55:$AD$55,AW$39)),REPT(_xlfn.UNICHAR(160),3)&amp;FIXED(INDEX($D$55:$AD$55,AW$39)/1000,1),""))</f>
        <v>0</v>
      </c>
      <c r="AX83" s="11">
        <f>IF(AX$39=0,"",IF(ISNUMBER(INDEX($D$55:$AD$55,AX$39)),REPT(_xlfn.UNICHAR(160),3)&amp;FIXED(INDEX($D$55:$AD$55,AX$39)/1000,1),""))</f>
        <v>0</v>
      </c>
      <c r="AY83" s="11">
        <f>IF(AY$39=0,"",IF(ISNUMBER(INDEX($D$55:$AD$55,AY$39)),REPT(_xlfn.UNICHAR(160),3)&amp;FIXED(INDEX($D$55:$AD$55,AY$39)/1000,1),""))</f>
        <v>0</v>
      </c>
      <c r="AZ83" s="11">
        <f>IF(AZ$39=0,"",IF(ISNUMBER(INDEX($D$55:$AD$55,AZ$39)),REPT(_xlfn.UNICHAR(160),3)&amp;FIXED(INDEX($D$55:$AD$55,AZ$39)/1000,1),""))</f>
        <v>0</v>
      </c>
      <c r="BA83" s="11">
        <f>IF(BA$39=0,"",IF(ISNUMBER(INDEX($D$55:$AD$55,BA$39)),REPT(_xlfn.UNICHAR(160),3)&amp;FIXED(INDEX($D$55:$AD$55,BA$39)/1000,1),""))</f>
        <v>0</v>
      </c>
      <c r="BB83" s="11">
        <f>IF(BB$39=0,"",IF(ISNUMBER(INDEX($D$55:$AD$55,BB$39)),REPT(_xlfn.UNICHAR(160),3)&amp;FIXED(INDEX($D$55:$AD$55,BB$39)/1000,1),""))</f>
        <v>0</v>
      </c>
      <c r="BC83" s="11">
        <f>IF(BC$39=0,"",IF(ISNUMBER(INDEX($D$55:$AD$55,BC$39)),REPT(_xlfn.UNICHAR(160),3)&amp;FIXED(INDEX($D$55:$AD$55,BC$39)/1000,1),""))</f>
        <v>0</v>
      </c>
      <c r="BD83" s="11">
        <f>IF(BD$39=0,"",IF(ISNUMBER(INDEX($D$55:$AD$55,BD$39)),REPT(_xlfn.UNICHAR(160),3)&amp;FIXED(INDEX($D$55:$AD$55,BD$39)/1000,1),""))</f>
        <v>0</v>
      </c>
      <c r="BE83" s="11">
        <f>IF(BE$39=0,"",IF(ISNUMBER(INDEX($D$55:$AD$55,BE$39)),REPT(_xlfn.UNICHAR(160),3)&amp;FIXED(INDEX($D$55:$AD$55,BE$39)/1000,1),""))</f>
        <v>0</v>
      </c>
      <c r="BF83" s="11">
        <f>IF(BF$39=0,"",IF(ISNUMBER(INDEX($D$55:$AD$55,BF$39)),REPT(_xlfn.UNICHAR(160),3)&amp;FIXED(INDEX($D$55:$AD$55,BF$39)/1000,1),""))</f>
        <v>0</v>
      </c>
      <c r="BG83" s="11">
        <f>IF(BG$39=0,"",IF(ISNUMBER(INDEX($D$55:$AD$55,BG$39)),REPT(_xlfn.UNICHAR(160),3)&amp;FIXED(INDEX($D$55:$AD$55,BG$39)/1000,1),""))</f>
        <v>0</v>
      </c>
      <c r="BH83" s="11">
        <f>IF(BH$39=0,"",IF(ISNUMBER(INDEX($D$55:$AD$55,BH$39)),REPT(_xlfn.UNICHAR(160),3)&amp;FIXED(INDEX($D$55:$AD$55,BH$39)/1000,1),""))</f>
        <v>0</v>
      </c>
      <c r="BI83" s="11">
        <f>IF(BI$39=0,"",IF(ISNUMBER(INDEX($D$55:$AD$55,BI$39)),REPT(_xlfn.UNICHAR(160),3)&amp;FIXED(INDEX($D$55:$AD$55,BI$39)/1000,1),""))</f>
        <v>0</v>
      </c>
      <c r="BJ83" s="11">
        <f>IF(BJ$39=0,"",IF(ISNUMBER(INDEX($D$55:$AD$55,BJ$39)),REPT(_xlfn.UNICHAR(160),3)&amp;FIXED(INDEX($D$55:$AD$55,BJ$39)/1000,1),""))</f>
        <v>0</v>
      </c>
      <c r="BK83" s="11">
        <f>IF(BK$39=0,"",IF(ISNUMBER(INDEX($D$55:$AD$55,BK$39)),REPT(_xlfn.UNICHAR(160),3)&amp;FIXED(INDEX($D$55:$AD$55,BK$39)/1000,1),""))</f>
        <v>0</v>
      </c>
      <c r="BL83" s="11">
        <f>IF(BL$39=0,"",IF(ISNUMBER(INDEX($D$55:$AD$55,BL$39)),REPT(_xlfn.UNICHAR(160),3)&amp;FIXED(INDEX($D$55:$AD$55,BL$39)/1000,1),""))</f>
        <v>0</v>
      </c>
      <c r="BM83" s="11">
        <f>IF(BM$39=0,"",IF(ISNUMBER(INDEX($D$55:$AD$55,BM$39)),REPT(_xlfn.UNICHAR(160),3)&amp;FIXED(INDEX($D$55:$AD$55,BM$39)/1000,1),""))</f>
        <v>0</v>
      </c>
      <c r="BN83" s="11">
        <f>IF(BN$39=0,"",IF(ISNUMBER(INDEX($D$55:$AD$55,BN$39)),REPT(_xlfn.UNICHAR(160),3)&amp;FIXED(INDEX($D$55:$AD$55,BN$39)/1000,1),""))</f>
        <v>0</v>
      </c>
      <c r="BO83" s="11">
        <f>IF(BO$39=0,"",IF(ISNUMBER(INDEX($D$55:$AD$55,BO$39)),REPT(_xlfn.UNICHAR(160),3)&amp;FIXED(INDEX($D$55:$AD$55,BO$39)/1000,1),""))</f>
        <v>0</v>
      </c>
      <c r="BP83" s="11">
        <f>IF(BP$39=0,"",IF(ISNUMBER(INDEX($D$55:$AD$55,BP$39)),REPT(_xlfn.UNICHAR(160),3)&amp;FIXED(INDEX($D$55:$AD$55,BP$39)/1000,1),""))</f>
        <v>0</v>
      </c>
    </row>
    <row r="84" spans="1:68">
      <c r="A84" s="11" t="s">
        <v>231</v>
      </c>
      <c r="B84" s="11" t="s">
        <v>232</v>
      </c>
      <c r="C84" s="3" t="s">
        <v>144</v>
      </c>
      <c r="AQ84" s="5">
        <f>IF(AQ$39=0,NA(),IF(ISNUMBER(INDEX($D$54:$AD$54,AQ$39)),IF(AND(AQ80&gt;=IFERROR(AQ82,-9),AQ80-IFERROR(AQ82,-9)&lt;0.28261),AQ82+0.28261,AQ80),NA()))</f>
        <v>0</v>
      </c>
      <c r="AR84" s="5">
        <f>IF(AR$39=0,NA(),IF(ISNUMBER(INDEX($D$54:$AD$54,AR$39)),IF(AND(AR80&gt;=IFERROR(AR82,-9),AR80-IFERROR(AR82,-9)&lt;0.28261),AR82+0.28261,AR80),NA()))</f>
        <v>0</v>
      </c>
      <c r="AS84" s="5">
        <f>IF(AS$39=0,NA(),IF(ISNUMBER(INDEX($D$54:$AD$54,AS$39)),IF(AND(AS80&gt;=IFERROR(AS82,-9),AS80-IFERROR(AS82,-9)&lt;0.28261),AS82+0.28261,AS80),NA()))</f>
        <v>0</v>
      </c>
      <c r="AT84" s="5">
        <f>IF(AT$39=0,NA(),IF(ISNUMBER(INDEX($D$54:$AD$54,AT$39)),IF(AND(AT80&gt;=IFERROR(AT82,-9),AT80-IFERROR(AT82,-9)&lt;0.28261),AT82+0.28261,AT80),NA()))</f>
        <v>0</v>
      </c>
      <c r="AU84" s="5">
        <f>IF(AU$39=0,NA(),IF(ISNUMBER(INDEX($D$54:$AD$54,AU$39)),IF(AND(AU80&gt;=IFERROR(AU82,-9),AU80-IFERROR(AU82,-9)&lt;0.28261),AU82+0.28261,AU80),NA()))</f>
        <v>0</v>
      </c>
      <c r="AV84" s="5">
        <f>IF(AV$39=0,NA(),IF(ISNUMBER(INDEX($D$54:$AD$54,AV$39)),IF(AND(AV80&gt;=IFERROR(AV82,-9),AV80-IFERROR(AV82,-9)&lt;0.28261),AV82+0.28261,AV80),NA()))</f>
        <v>0</v>
      </c>
      <c r="AW84" s="5">
        <f>IF(AW$39=0,NA(),IF(ISNUMBER(INDEX($D$54:$AD$54,AW$39)),IF(AND(AW80&gt;=IFERROR(AW82,-9),AW80-IFERROR(AW82,-9)&lt;0.28261),AW82+0.28261,AW80),NA()))</f>
        <v>0</v>
      </c>
      <c r="AX84" s="5">
        <f>IF(AX$39=0,NA(),IF(ISNUMBER(INDEX($D$54:$AD$54,AX$39)),IF(AND(AX80&gt;=IFERROR(AX82,-9),AX80-IFERROR(AX82,-9)&lt;0.28261),AX82+0.28261,AX80),NA()))</f>
        <v>0</v>
      </c>
      <c r="AY84" s="5">
        <f>IF(AY$39=0,NA(),IF(ISNUMBER(INDEX($D$54:$AD$54,AY$39)),IF(AND(AY80&gt;=IFERROR(AY82,-9),AY80-IFERROR(AY82,-9)&lt;0.28261),AY82+0.28261,AY80),NA()))</f>
        <v>0</v>
      </c>
      <c r="AZ84" s="5">
        <f>IF(AZ$39=0,NA(),IF(ISNUMBER(INDEX($D$54:$AD$54,AZ$39)),IF(AND(AZ80&gt;=IFERROR(AZ82,-9),AZ80-IFERROR(AZ82,-9)&lt;0.28261),AZ82+0.28261,AZ80),NA()))</f>
        <v>0</v>
      </c>
      <c r="BA84" s="5">
        <f>IF(BA$39=0,NA(),IF(ISNUMBER(INDEX($D$54:$AD$54,BA$39)),IF(AND(BA80&gt;=IFERROR(BA82,-9),BA80-IFERROR(BA82,-9)&lt;0.28261),BA82+0.28261,BA80),NA()))</f>
        <v>0</v>
      </c>
      <c r="BB84" s="5">
        <f>IF(BB$39=0,NA(),IF(ISNUMBER(INDEX($D$54:$AD$54,BB$39)),IF(AND(BB80&gt;=IFERROR(BB82,-9),BB80-IFERROR(BB82,-9)&lt;0.28261),BB82+0.28261,BB80),NA()))</f>
        <v>0</v>
      </c>
      <c r="BC84" s="5">
        <f>IF(BC$39=0,NA(),IF(ISNUMBER(INDEX($D$54:$AD$54,BC$39)),IF(AND(BC80&gt;=IFERROR(BC82,-9),BC80-IFERROR(BC82,-9)&lt;0.28261),BC82+0.28261,BC80),NA()))</f>
        <v>0</v>
      </c>
      <c r="BD84" s="5">
        <f>IF(BD$39=0,NA(),IF(ISNUMBER(INDEX($D$54:$AD$54,BD$39)),IF(AND(BD80&gt;=IFERROR(BD82,-9),BD80-IFERROR(BD82,-9)&lt;0.28261),BD82+0.28261,BD80),NA()))</f>
        <v>0</v>
      </c>
      <c r="BE84" s="5">
        <f>IF(BE$39=0,NA(),IF(ISNUMBER(INDEX($D$54:$AD$54,BE$39)),IF(AND(BE80&gt;=IFERROR(BE82,-9),BE80-IFERROR(BE82,-9)&lt;0.28261),BE82+0.28261,BE80),NA()))</f>
        <v>0</v>
      </c>
      <c r="BF84" s="5">
        <f>IF(BF$39=0,NA(),IF(ISNUMBER(INDEX($D$54:$AD$54,BF$39)),IF(AND(BF80&gt;=IFERROR(BF82,-9),BF80-IFERROR(BF82,-9)&lt;0.28261),BF82+0.28261,BF80),NA()))</f>
        <v>0</v>
      </c>
      <c r="BG84" s="5">
        <f>IF(BG$39=0,NA(),IF(ISNUMBER(INDEX($D$54:$AD$54,BG$39)),IF(AND(BG80&gt;=IFERROR(BG82,-9),BG80-IFERROR(BG82,-9)&lt;0.28261),BG82+0.28261,BG80),NA()))</f>
        <v>0</v>
      </c>
      <c r="BH84" s="5">
        <f>IF(BH$39=0,NA(),IF(ISNUMBER(INDEX($D$54:$AD$54,BH$39)),IF(AND(BH80&gt;=IFERROR(BH82,-9),BH80-IFERROR(BH82,-9)&lt;0.28261),BH82+0.28261,BH80),NA()))</f>
        <v>0</v>
      </c>
      <c r="BI84" s="5">
        <f>IF(BI$39=0,NA(),IF(ISNUMBER(INDEX($D$54:$AD$54,BI$39)),IF(AND(BI80&gt;=IFERROR(BI82,-9),BI80-IFERROR(BI82,-9)&lt;0.28261),BI82+0.28261,BI80),NA()))</f>
        <v>0</v>
      </c>
      <c r="BJ84" s="5">
        <f>IF(BJ$39=0,NA(),IF(ISNUMBER(INDEX($D$54:$AD$54,BJ$39)),IF(AND(BJ80&gt;=IFERROR(BJ82,-9),BJ80-IFERROR(BJ82,-9)&lt;0.28261),BJ82+0.28261,BJ80),NA()))</f>
        <v>0</v>
      </c>
      <c r="BK84" s="5">
        <f>IF(BK$39=0,NA(),IF(ISNUMBER(INDEX($D$54:$AD$54,BK$39)),IF(AND(BK80&gt;=IFERROR(BK82,-9),BK80-IFERROR(BK82,-9)&lt;0.28261),BK82+0.28261,BK80),NA()))</f>
        <v>0</v>
      </c>
      <c r="BL84" s="5">
        <f>IF(BL$39=0,NA(),IF(ISNUMBER(INDEX($D$54:$AD$54,BL$39)),IF(AND(BL80&gt;=IFERROR(BL82,-9),BL80-IFERROR(BL82,-9)&lt;0.28261),BL82+0.28261,BL80),NA()))</f>
        <v>0</v>
      </c>
      <c r="BM84" s="5">
        <f>IF(BM$39=0,NA(),IF(ISNUMBER(INDEX($D$54:$AD$54,BM$39)),IF(AND(BM80&gt;=IFERROR(BM82,-9),BM80-IFERROR(BM82,-9)&lt;0.28261),BM82+0.28261,BM80),NA()))</f>
        <v>0</v>
      </c>
      <c r="BN84" s="5">
        <f>IF(BN$39=0,NA(),IF(ISNUMBER(INDEX($D$54:$AD$54,BN$39)),IF(AND(BN80&gt;=IFERROR(BN82,-9),BN80-IFERROR(BN82,-9)&lt;0.28261),BN82+0.28261,BN80),NA()))</f>
        <v>0</v>
      </c>
      <c r="BO84" s="5">
        <f>IF(BO$39=0,NA(),IF(ISNUMBER(INDEX($D$54:$AD$54,BO$39)),IF(AND(BO80&gt;=IFERROR(BO82,-9),BO80-IFERROR(BO82,-9)&lt;0.28261),BO82+0.28261,BO80),NA()))</f>
        <v>0</v>
      </c>
      <c r="BP84" s="5">
        <f>IF(BP$39=0,NA(),IF(ISNUMBER(INDEX($D$54:$AD$54,BP$39)),IF(AND(BP80&gt;=IFERROR(BP82,-9),BP80-IFERROR(BP82,-9)&lt;0.28261),BP82+0.28261,BP80),NA()))</f>
        <v>0</v>
      </c>
    </row>
    <row r="85" spans="1:68">
      <c r="A85" s="11" t="s">
        <v>233</v>
      </c>
      <c r="B85" s="11" t="s">
        <v>234</v>
      </c>
      <c r="C85" s="3" t="s">
        <v>144</v>
      </c>
      <c r="AQ85" s="5">
        <f>IF(AQ$39=0,NA(),IF(ISNUMBER(INDEX($D$55:$AD$55,AQ$39)),IF(AND(AQ82&gt;IFERROR(AQ80,-9),AQ82-IFERROR(AQ80,-9)&lt;0.28261),AQ80+0.28261,AQ82),NA()))</f>
        <v>0</v>
      </c>
      <c r="AR85" s="5">
        <f>IF(AR$39=0,NA(),IF(ISNUMBER(INDEX($D$55:$AD$55,AR$39)),IF(AND(AR82&gt;IFERROR(AR80,-9),AR82-IFERROR(AR80,-9)&lt;0.28261),AR80+0.28261,AR82),NA()))</f>
        <v>0</v>
      </c>
      <c r="AS85" s="5">
        <f>IF(AS$39=0,NA(),IF(ISNUMBER(INDEX($D$55:$AD$55,AS$39)),IF(AND(AS82&gt;IFERROR(AS80,-9),AS82-IFERROR(AS80,-9)&lt;0.28261),AS80+0.28261,AS82),NA()))</f>
        <v>0</v>
      </c>
      <c r="AT85" s="5">
        <f>IF(AT$39=0,NA(),IF(ISNUMBER(INDEX($D$55:$AD$55,AT$39)),IF(AND(AT82&gt;IFERROR(AT80,-9),AT82-IFERROR(AT80,-9)&lt;0.28261),AT80+0.28261,AT82),NA()))</f>
        <v>0</v>
      </c>
      <c r="AU85" s="5">
        <f>IF(AU$39=0,NA(),IF(ISNUMBER(INDEX($D$55:$AD$55,AU$39)),IF(AND(AU82&gt;IFERROR(AU80,-9),AU82-IFERROR(AU80,-9)&lt;0.28261),AU80+0.28261,AU82),NA()))</f>
        <v>0</v>
      </c>
      <c r="AV85" s="5">
        <f>IF(AV$39=0,NA(),IF(ISNUMBER(INDEX($D$55:$AD$55,AV$39)),IF(AND(AV82&gt;IFERROR(AV80,-9),AV82-IFERROR(AV80,-9)&lt;0.28261),AV80+0.28261,AV82),NA()))</f>
        <v>0</v>
      </c>
      <c r="AW85" s="5">
        <f>IF(AW$39=0,NA(),IF(ISNUMBER(INDEX($D$55:$AD$55,AW$39)),IF(AND(AW82&gt;IFERROR(AW80,-9),AW82-IFERROR(AW80,-9)&lt;0.28261),AW80+0.28261,AW82),NA()))</f>
        <v>0</v>
      </c>
      <c r="AX85" s="5">
        <f>IF(AX$39=0,NA(),IF(ISNUMBER(INDEX($D$55:$AD$55,AX$39)),IF(AND(AX82&gt;IFERROR(AX80,-9),AX82-IFERROR(AX80,-9)&lt;0.28261),AX80+0.28261,AX82),NA()))</f>
        <v>0</v>
      </c>
      <c r="AY85" s="5">
        <f>IF(AY$39=0,NA(),IF(ISNUMBER(INDEX($D$55:$AD$55,AY$39)),IF(AND(AY82&gt;IFERROR(AY80,-9),AY82-IFERROR(AY80,-9)&lt;0.28261),AY80+0.28261,AY82),NA()))</f>
        <v>0</v>
      </c>
      <c r="AZ85" s="5">
        <f>IF(AZ$39=0,NA(),IF(ISNUMBER(INDEX($D$55:$AD$55,AZ$39)),IF(AND(AZ82&gt;IFERROR(AZ80,-9),AZ82-IFERROR(AZ80,-9)&lt;0.28261),AZ80+0.28261,AZ82),NA()))</f>
        <v>0</v>
      </c>
      <c r="BA85" s="5">
        <f>IF(BA$39=0,NA(),IF(ISNUMBER(INDEX($D$55:$AD$55,BA$39)),IF(AND(BA82&gt;IFERROR(BA80,-9),BA82-IFERROR(BA80,-9)&lt;0.28261),BA80+0.28261,BA82),NA()))</f>
        <v>0</v>
      </c>
      <c r="BB85" s="5">
        <f>IF(BB$39=0,NA(),IF(ISNUMBER(INDEX($D$55:$AD$55,BB$39)),IF(AND(BB82&gt;IFERROR(BB80,-9),BB82-IFERROR(BB80,-9)&lt;0.28261),BB80+0.28261,BB82),NA()))</f>
        <v>0</v>
      </c>
      <c r="BC85" s="5">
        <f>IF(BC$39=0,NA(),IF(ISNUMBER(INDEX($D$55:$AD$55,BC$39)),IF(AND(BC82&gt;IFERROR(BC80,-9),BC82-IFERROR(BC80,-9)&lt;0.28261),BC80+0.28261,BC82),NA()))</f>
        <v>0</v>
      </c>
      <c r="BD85" s="5">
        <f>IF(BD$39=0,NA(),IF(ISNUMBER(INDEX($D$55:$AD$55,BD$39)),IF(AND(BD82&gt;IFERROR(BD80,-9),BD82-IFERROR(BD80,-9)&lt;0.28261),BD80+0.28261,BD82),NA()))</f>
        <v>0</v>
      </c>
      <c r="BE85" s="5">
        <f>IF(BE$39=0,NA(),IF(ISNUMBER(INDEX($D$55:$AD$55,BE$39)),IF(AND(BE82&gt;IFERROR(BE80,-9),BE82-IFERROR(BE80,-9)&lt;0.28261),BE80+0.28261,BE82),NA()))</f>
        <v>0</v>
      </c>
      <c r="BF85" s="5">
        <f>IF(BF$39=0,NA(),IF(ISNUMBER(INDEX($D$55:$AD$55,BF$39)),IF(AND(BF82&gt;IFERROR(BF80,-9),BF82-IFERROR(BF80,-9)&lt;0.28261),BF80+0.28261,BF82),NA()))</f>
        <v>0</v>
      </c>
      <c r="BG85" s="5">
        <f>IF(BG$39=0,NA(),IF(ISNUMBER(INDEX($D$55:$AD$55,BG$39)),IF(AND(BG82&gt;IFERROR(BG80,-9),BG82-IFERROR(BG80,-9)&lt;0.28261),BG80+0.28261,BG82),NA()))</f>
        <v>0</v>
      </c>
      <c r="BH85" s="5">
        <f>IF(BH$39=0,NA(),IF(ISNUMBER(INDEX($D$55:$AD$55,BH$39)),IF(AND(BH82&gt;IFERROR(BH80,-9),BH82-IFERROR(BH80,-9)&lt;0.28261),BH80+0.28261,BH82),NA()))</f>
        <v>0</v>
      </c>
      <c r="BI85" s="5">
        <f>IF(BI$39=0,NA(),IF(ISNUMBER(INDEX($D$55:$AD$55,BI$39)),IF(AND(BI82&gt;IFERROR(BI80,-9),BI82-IFERROR(BI80,-9)&lt;0.28261),BI80+0.28261,BI82),NA()))</f>
        <v>0</v>
      </c>
      <c r="BJ85" s="5">
        <f>IF(BJ$39=0,NA(),IF(ISNUMBER(INDEX($D$55:$AD$55,BJ$39)),IF(AND(BJ82&gt;IFERROR(BJ80,-9),BJ82-IFERROR(BJ80,-9)&lt;0.28261),BJ80+0.28261,BJ82),NA()))</f>
        <v>0</v>
      </c>
      <c r="BK85" s="5">
        <f>IF(BK$39=0,NA(),IF(ISNUMBER(INDEX($D$55:$AD$55,BK$39)),IF(AND(BK82&gt;IFERROR(BK80,-9),BK82-IFERROR(BK80,-9)&lt;0.28261),BK80+0.28261,BK82),NA()))</f>
        <v>0</v>
      </c>
      <c r="BL85" s="5">
        <f>IF(BL$39=0,NA(),IF(ISNUMBER(INDEX($D$55:$AD$55,BL$39)),IF(AND(BL82&gt;IFERROR(BL80,-9),BL82-IFERROR(BL80,-9)&lt;0.28261),BL80+0.28261,BL82),NA()))</f>
        <v>0</v>
      </c>
      <c r="BM85" s="5">
        <f>IF(BM$39=0,NA(),IF(ISNUMBER(INDEX($D$55:$AD$55,BM$39)),IF(AND(BM82&gt;IFERROR(BM80,-9),BM82-IFERROR(BM80,-9)&lt;0.28261),BM80+0.28261,BM82),NA()))</f>
        <v>0</v>
      </c>
      <c r="BN85" s="5">
        <f>IF(BN$39=0,NA(),IF(ISNUMBER(INDEX($D$55:$AD$55,BN$39)),IF(AND(BN82&gt;IFERROR(BN80,-9),BN82-IFERROR(BN80,-9)&lt;0.28261),BN80+0.28261,BN82),NA()))</f>
        <v>0</v>
      </c>
      <c r="BO85" s="5">
        <f>IF(BO$39=0,NA(),IF(ISNUMBER(INDEX($D$55:$AD$55,BO$39)),IF(AND(BO82&gt;IFERROR(BO80,-9),BO82-IFERROR(BO80,-9)&lt;0.28261),BO80+0.28261,BO82),NA()))</f>
        <v>0</v>
      </c>
      <c r="BP85" s="5">
        <f>IF(BP$39=0,NA(),IF(ISNUMBER(INDEX($D$55:$AD$55,BP$39)),IF(AND(BP82&gt;IFERROR(BP80,-9),BP82-IFERROR(BP80,-9)&lt;0.28261),BP80+0.28261,BP82),NA()))</f>
        <v>0</v>
      </c>
    </row>
    <row r="86" spans="1:68">
      <c r="A86" s="11" t="s">
        <v>235</v>
      </c>
      <c r="B86" s="11" t="s">
        <v>236</v>
      </c>
      <c r="C86" s="3" t="s">
        <v>144</v>
      </c>
      <c r="AQ86" s="5">
        <f>IF(AQ$39=0,NA(),IF(ISNUMBER(INDEX($D$58:$AD$58,AQ$39)),IF(ROUND(INDEX($D$58:$AD$58,AQ$39)/1000,1)&gt;0,0.5,NA()),NA()))</f>
        <v>0</v>
      </c>
      <c r="AR86" s="5">
        <f>IF(AR$39=0,NA(),IF(ISNUMBER(INDEX($D$58:$AD$58,AR$39)),IF(ROUND(INDEX($D$58:$AD$58,AR$39)/1000,1)&gt;0,0.5,NA()),NA()))</f>
        <v>0</v>
      </c>
      <c r="AS86" s="5">
        <f>IF(AS$39=0,NA(),IF(ISNUMBER(INDEX($D$58:$AD$58,AS$39)),IF(ROUND(INDEX($D$58:$AD$58,AS$39)/1000,1)&gt;0,0.5,NA()),NA()))</f>
        <v>0</v>
      </c>
      <c r="AT86" s="5">
        <f>IF(AT$39=0,NA(),IF(ISNUMBER(INDEX($D$58:$AD$58,AT$39)),IF(ROUND(INDEX($D$58:$AD$58,AT$39)/1000,1)&gt;0,0.5,NA()),NA()))</f>
        <v>0</v>
      </c>
      <c r="AU86" s="5">
        <f>IF(AU$39=0,NA(),IF(ISNUMBER(INDEX($D$58:$AD$58,AU$39)),IF(ROUND(INDEX($D$58:$AD$58,AU$39)/1000,1)&gt;0,0.5,NA()),NA()))</f>
        <v>0</v>
      </c>
      <c r="AV86" s="5">
        <f>IF(AV$39=0,NA(),IF(ISNUMBER(INDEX($D$58:$AD$58,AV$39)),IF(ROUND(INDEX($D$58:$AD$58,AV$39)/1000,1)&gt;0,0.5,NA()),NA()))</f>
        <v>0</v>
      </c>
      <c r="AW86" s="5">
        <f>IF(AW$39=0,NA(),IF(ISNUMBER(INDEX($D$58:$AD$58,AW$39)),IF(ROUND(INDEX($D$58:$AD$58,AW$39)/1000,1)&gt;0,0.5,NA()),NA()))</f>
        <v>0</v>
      </c>
      <c r="AX86" s="5">
        <f>IF(AX$39=0,NA(),IF(ISNUMBER(INDEX($D$58:$AD$58,AX$39)),IF(ROUND(INDEX($D$58:$AD$58,AX$39)/1000,1)&gt;0,0.5,NA()),NA()))</f>
        <v>0</v>
      </c>
      <c r="AY86" s="5">
        <f>IF(AY$39=0,NA(),IF(ISNUMBER(INDEX($D$58:$AD$58,AY$39)),IF(ROUND(INDEX($D$58:$AD$58,AY$39)/1000,1)&gt;0,0.5,NA()),NA()))</f>
        <v>0</v>
      </c>
      <c r="AZ86" s="5">
        <f>IF(AZ$39=0,NA(),IF(ISNUMBER(INDEX($D$58:$AD$58,AZ$39)),IF(ROUND(INDEX($D$58:$AD$58,AZ$39)/1000,1)&gt;0,0.5,NA()),NA()))</f>
        <v>0</v>
      </c>
      <c r="BA86" s="5">
        <f>IF(BA$39=0,NA(),IF(ISNUMBER(INDEX($D$58:$AD$58,BA$39)),IF(ROUND(INDEX($D$58:$AD$58,BA$39)/1000,1)&gt;0,0.5,NA()),NA()))</f>
        <v>0</v>
      </c>
      <c r="BB86" s="5">
        <f>IF(BB$39=0,NA(),IF(ISNUMBER(INDEX($D$58:$AD$58,BB$39)),IF(ROUND(INDEX($D$58:$AD$58,BB$39)/1000,1)&gt;0,0.5,NA()),NA()))</f>
        <v>0</v>
      </c>
      <c r="BC86" s="5">
        <f>IF(BC$39=0,NA(),IF(ISNUMBER(INDEX($D$58:$AD$58,BC$39)),IF(ROUND(INDEX($D$58:$AD$58,BC$39)/1000,1)&gt;0,0.5,NA()),NA()))</f>
        <v>0</v>
      </c>
      <c r="BD86" s="5">
        <f>IF(BD$39=0,NA(),IF(ISNUMBER(INDEX($D$58:$AD$58,BD$39)),IF(ROUND(INDEX($D$58:$AD$58,BD$39)/1000,1)&gt;0,0.5,NA()),NA()))</f>
        <v>0</v>
      </c>
      <c r="BE86" s="5">
        <f>IF(BE$39=0,NA(),IF(ISNUMBER(INDEX($D$58:$AD$58,BE$39)),IF(ROUND(INDEX($D$58:$AD$58,BE$39)/1000,1)&gt;0,0.5,NA()),NA()))</f>
        <v>0</v>
      </c>
      <c r="BF86" s="5">
        <f>IF(BF$39=0,NA(),IF(ISNUMBER(INDEX($D$58:$AD$58,BF$39)),IF(ROUND(INDEX($D$58:$AD$58,BF$39)/1000,1)&gt;0,0.5,NA()),NA()))</f>
        <v>0</v>
      </c>
      <c r="BG86" s="5">
        <f>IF(BG$39=0,NA(),IF(ISNUMBER(INDEX($D$58:$AD$58,BG$39)),IF(ROUND(INDEX($D$58:$AD$58,BG$39)/1000,1)&gt;0,0.5,NA()),NA()))</f>
        <v>0</v>
      </c>
      <c r="BH86" s="5">
        <f>IF(BH$39=0,NA(),IF(ISNUMBER(INDEX($D$58:$AD$58,BH$39)),IF(ROUND(INDEX($D$58:$AD$58,BH$39)/1000,1)&gt;0,0.5,NA()),NA()))</f>
        <v>0</v>
      </c>
      <c r="BI86" s="5">
        <f>IF(BI$39=0,NA(),IF(ISNUMBER(INDEX($D$58:$AD$58,BI$39)),IF(ROUND(INDEX($D$58:$AD$58,BI$39)/1000,1)&gt;0,0.5,NA()),NA()))</f>
        <v>0</v>
      </c>
      <c r="BJ86" s="5">
        <f>IF(BJ$39=0,NA(),IF(ISNUMBER(INDEX($D$58:$AD$58,BJ$39)),IF(ROUND(INDEX($D$58:$AD$58,BJ$39)/1000,1)&gt;0,0.5,NA()),NA()))</f>
        <v>0</v>
      </c>
      <c r="BK86" s="5">
        <f>IF(BK$39=0,NA(),IF(ISNUMBER(INDEX($D$58:$AD$58,BK$39)),IF(ROUND(INDEX($D$58:$AD$58,BK$39)/1000,1)&gt;0,0.5,NA()),NA()))</f>
        <v>0</v>
      </c>
      <c r="BL86" s="5">
        <f>IF(BL$39=0,NA(),IF(ISNUMBER(INDEX($D$58:$AD$58,BL$39)),IF(ROUND(INDEX($D$58:$AD$58,BL$39)/1000,1)&gt;0,0.5,NA()),NA()))</f>
        <v>0</v>
      </c>
      <c r="BM86" s="5">
        <f>IF(BM$39=0,NA(),IF(ISNUMBER(INDEX($D$58:$AD$58,BM$39)),IF(ROUND(INDEX($D$58:$AD$58,BM$39)/1000,1)&gt;0,0.5,NA()),NA()))</f>
        <v>0</v>
      </c>
      <c r="BN86" s="5">
        <f>IF(BN$39=0,NA(),IF(ISNUMBER(INDEX($D$58:$AD$58,BN$39)),IF(ROUND(INDEX($D$58:$AD$58,BN$39)/1000,1)&gt;0,0.5,NA()),NA()))</f>
        <v>0</v>
      </c>
      <c r="BO86" s="5">
        <f>IF(BO$39=0,NA(),IF(ISNUMBER(INDEX($D$58:$AD$58,BO$39)),IF(ROUND(INDEX($D$58:$AD$58,BO$39)/1000,1)&gt;0,0.5,NA()),NA()))</f>
        <v>0</v>
      </c>
      <c r="BP86" s="5">
        <f>IF(BP$39=0,NA(),IF(ISNUMBER(INDEX($D$58:$AD$58,BP$39)),IF(ROUND(INDEX($D$58:$AD$58,BP$39)/1000,1)&gt;0,0.5,NA()),NA()))</f>
        <v>0</v>
      </c>
    </row>
    <row r="87" spans="1:68">
      <c r="A87" s="11" t="s">
        <v>237</v>
      </c>
      <c r="B87" s="11" t="s">
        <v>238</v>
      </c>
      <c r="C87" s="3" t="s">
        <v>144</v>
      </c>
      <c r="AQ87" s="5">
        <f>IF(AQ$39=0,NA(),IF(ISNUMBER(INDEX($D$58:$AD$58,AQ$39)),IF(ROUND(INDEX($D$58:$AD$58,AQ$39)/1000,1)&lt;0,0.5,NA()),NA()))</f>
        <v>0</v>
      </c>
      <c r="AR87" s="5">
        <f>IF(AR$39=0,NA(),IF(ISNUMBER(INDEX($D$58:$AD$58,AR$39)),IF(ROUND(INDEX($D$58:$AD$58,AR$39)/1000,1)&lt;0,0.5,NA()),NA()))</f>
        <v>0</v>
      </c>
      <c r="AS87" s="5">
        <f>IF(AS$39=0,NA(),IF(ISNUMBER(INDEX($D$58:$AD$58,AS$39)),IF(ROUND(INDEX($D$58:$AD$58,AS$39)/1000,1)&lt;0,0.5,NA()),NA()))</f>
        <v>0</v>
      </c>
      <c r="AT87" s="5">
        <f>IF(AT$39=0,NA(),IF(ISNUMBER(INDEX($D$58:$AD$58,AT$39)),IF(ROUND(INDEX($D$58:$AD$58,AT$39)/1000,1)&lt;0,0.5,NA()),NA()))</f>
        <v>0</v>
      </c>
      <c r="AU87" s="5">
        <f>IF(AU$39=0,NA(),IF(ISNUMBER(INDEX($D$58:$AD$58,AU$39)),IF(ROUND(INDEX($D$58:$AD$58,AU$39)/1000,1)&lt;0,0.5,NA()),NA()))</f>
        <v>0</v>
      </c>
      <c r="AV87" s="5">
        <f>IF(AV$39=0,NA(),IF(ISNUMBER(INDEX($D$58:$AD$58,AV$39)),IF(ROUND(INDEX($D$58:$AD$58,AV$39)/1000,1)&lt;0,0.5,NA()),NA()))</f>
        <v>0</v>
      </c>
      <c r="AW87" s="5">
        <f>IF(AW$39=0,NA(),IF(ISNUMBER(INDEX($D$58:$AD$58,AW$39)),IF(ROUND(INDEX($D$58:$AD$58,AW$39)/1000,1)&lt;0,0.5,NA()),NA()))</f>
        <v>0</v>
      </c>
      <c r="AX87" s="5">
        <f>IF(AX$39=0,NA(),IF(ISNUMBER(INDEX($D$58:$AD$58,AX$39)),IF(ROUND(INDEX($D$58:$AD$58,AX$39)/1000,1)&lt;0,0.5,NA()),NA()))</f>
        <v>0</v>
      </c>
      <c r="AY87" s="5">
        <f>IF(AY$39=0,NA(),IF(ISNUMBER(INDEX($D$58:$AD$58,AY$39)),IF(ROUND(INDEX($D$58:$AD$58,AY$39)/1000,1)&lt;0,0.5,NA()),NA()))</f>
        <v>0</v>
      </c>
      <c r="AZ87" s="5">
        <f>IF(AZ$39=0,NA(),IF(ISNUMBER(INDEX($D$58:$AD$58,AZ$39)),IF(ROUND(INDEX($D$58:$AD$58,AZ$39)/1000,1)&lt;0,0.5,NA()),NA()))</f>
        <v>0</v>
      </c>
      <c r="BA87" s="5">
        <f>IF(BA$39=0,NA(),IF(ISNUMBER(INDEX($D$58:$AD$58,BA$39)),IF(ROUND(INDEX($D$58:$AD$58,BA$39)/1000,1)&lt;0,0.5,NA()),NA()))</f>
        <v>0</v>
      </c>
      <c r="BB87" s="5">
        <f>IF(BB$39=0,NA(),IF(ISNUMBER(INDEX($D$58:$AD$58,BB$39)),IF(ROUND(INDEX($D$58:$AD$58,BB$39)/1000,1)&lt;0,0.5,NA()),NA()))</f>
        <v>0</v>
      </c>
      <c r="BC87" s="5">
        <f>IF(BC$39=0,NA(),IF(ISNUMBER(INDEX($D$58:$AD$58,BC$39)),IF(ROUND(INDEX($D$58:$AD$58,BC$39)/1000,1)&lt;0,0.5,NA()),NA()))</f>
        <v>0</v>
      </c>
      <c r="BD87" s="5">
        <f>IF(BD$39=0,NA(),IF(ISNUMBER(INDEX($D$58:$AD$58,BD$39)),IF(ROUND(INDEX($D$58:$AD$58,BD$39)/1000,1)&lt;0,0.5,NA()),NA()))</f>
        <v>0</v>
      </c>
      <c r="BE87" s="5">
        <f>IF(BE$39=0,NA(),IF(ISNUMBER(INDEX($D$58:$AD$58,BE$39)),IF(ROUND(INDEX($D$58:$AD$58,BE$39)/1000,1)&lt;0,0.5,NA()),NA()))</f>
        <v>0</v>
      </c>
      <c r="BF87" s="5">
        <f>IF(BF$39=0,NA(),IF(ISNUMBER(INDEX($D$58:$AD$58,BF$39)),IF(ROUND(INDEX($D$58:$AD$58,BF$39)/1000,1)&lt;0,0.5,NA()),NA()))</f>
        <v>0</v>
      </c>
      <c r="BG87" s="5">
        <f>IF(BG$39=0,NA(),IF(ISNUMBER(INDEX($D$58:$AD$58,BG$39)),IF(ROUND(INDEX($D$58:$AD$58,BG$39)/1000,1)&lt;0,0.5,NA()),NA()))</f>
        <v>0</v>
      </c>
      <c r="BH87" s="5">
        <f>IF(BH$39=0,NA(),IF(ISNUMBER(INDEX($D$58:$AD$58,BH$39)),IF(ROUND(INDEX($D$58:$AD$58,BH$39)/1000,1)&lt;0,0.5,NA()),NA()))</f>
        <v>0</v>
      </c>
      <c r="BI87" s="5">
        <f>IF(BI$39=0,NA(),IF(ISNUMBER(INDEX($D$58:$AD$58,BI$39)),IF(ROUND(INDEX($D$58:$AD$58,BI$39)/1000,1)&lt;0,0.5,NA()),NA()))</f>
        <v>0</v>
      </c>
      <c r="BJ87" s="5">
        <f>IF(BJ$39=0,NA(),IF(ISNUMBER(INDEX($D$58:$AD$58,BJ$39)),IF(ROUND(INDEX($D$58:$AD$58,BJ$39)/1000,1)&lt;0,0.5,NA()),NA()))</f>
        <v>0</v>
      </c>
      <c r="BK87" s="5">
        <f>IF(BK$39=0,NA(),IF(ISNUMBER(INDEX($D$58:$AD$58,BK$39)),IF(ROUND(INDEX($D$58:$AD$58,BK$39)/1000,1)&lt;0,0.5,NA()),NA()))</f>
        <v>0</v>
      </c>
      <c r="BL87" s="5">
        <f>IF(BL$39=0,NA(),IF(ISNUMBER(INDEX($D$58:$AD$58,BL$39)),IF(ROUND(INDEX($D$58:$AD$58,BL$39)/1000,1)&lt;0,0.5,NA()),NA()))</f>
        <v>0</v>
      </c>
      <c r="BM87" s="5">
        <f>IF(BM$39=0,NA(),IF(ISNUMBER(INDEX($D$58:$AD$58,BM$39)),IF(ROUND(INDEX($D$58:$AD$58,BM$39)/1000,1)&lt;0,0.5,NA()),NA()))</f>
        <v>0</v>
      </c>
      <c r="BN87" s="5">
        <f>IF(BN$39=0,NA(),IF(ISNUMBER(INDEX($D$58:$AD$58,BN$39)),IF(ROUND(INDEX($D$58:$AD$58,BN$39)/1000,1)&lt;0,0.5,NA()),NA()))</f>
        <v>0</v>
      </c>
      <c r="BO87" s="5">
        <f>IF(BO$39=0,NA(),IF(ISNUMBER(INDEX($D$58:$AD$58,BO$39)),IF(ROUND(INDEX($D$58:$AD$58,BO$39)/1000,1)&lt;0,0.5,NA()),NA()))</f>
        <v>0</v>
      </c>
      <c r="BP87" s="5">
        <f>IF(BP$39=0,NA(),IF(ISNUMBER(INDEX($D$58:$AD$58,BP$39)),IF(ROUND(INDEX($D$58:$AD$58,BP$39)/1000,1)&lt;0,0.5,NA()),NA()))</f>
        <v>0</v>
      </c>
    </row>
    <row r="88" spans="1:68">
      <c r="A88" s="11" t="s">
        <v>239</v>
      </c>
      <c r="B88" s="11" t="s">
        <v>240</v>
      </c>
      <c r="C88" s="3" t="s">
        <v>144</v>
      </c>
      <c r="AQ88" s="5">
        <f>IF(AQ$39=0,NA(),IF(ISNUMBER(INDEX($D$58:$AD$58,AQ$39)),IF(ROUND(INDEX($D$58:$AD$58,AQ$39)/1000,1)=0,0.5,NA()),NA()))</f>
        <v>0</v>
      </c>
      <c r="AR88" s="5">
        <f>IF(AR$39=0,NA(),IF(ISNUMBER(INDEX($D$58:$AD$58,AR$39)),IF(ROUND(INDEX($D$58:$AD$58,AR$39)/1000,1)=0,0.5,NA()),NA()))</f>
        <v>0</v>
      </c>
      <c r="AS88" s="5">
        <f>IF(AS$39=0,NA(),IF(ISNUMBER(INDEX($D$58:$AD$58,AS$39)),IF(ROUND(INDEX($D$58:$AD$58,AS$39)/1000,1)=0,0.5,NA()),NA()))</f>
        <v>0</v>
      </c>
      <c r="AT88" s="5">
        <f>IF(AT$39=0,NA(),IF(ISNUMBER(INDEX($D$58:$AD$58,AT$39)),IF(ROUND(INDEX($D$58:$AD$58,AT$39)/1000,1)=0,0.5,NA()),NA()))</f>
        <v>0</v>
      </c>
      <c r="AU88" s="5">
        <f>IF(AU$39=0,NA(),IF(ISNUMBER(INDEX($D$58:$AD$58,AU$39)),IF(ROUND(INDEX($D$58:$AD$58,AU$39)/1000,1)=0,0.5,NA()),NA()))</f>
        <v>0</v>
      </c>
      <c r="AV88" s="5">
        <f>IF(AV$39=0,NA(),IF(ISNUMBER(INDEX($D$58:$AD$58,AV$39)),IF(ROUND(INDEX($D$58:$AD$58,AV$39)/1000,1)=0,0.5,NA()),NA()))</f>
        <v>0</v>
      </c>
      <c r="AW88" s="5">
        <f>IF(AW$39=0,NA(),IF(ISNUMBER(INDEX($D$58:$AD$58,AW$39)),IF(ROUND(INDEX($D$58:$AD$58,AW$39)/1000,1)=0,0.5,NA()),NA()))</f>
        <v>0</v>
      </c>
      <c r="AX88" s="5">
        <f>IF(AX$39=0,NA(),IF(ISNUMBER(INDEX($D$58:$AD$58,AX$39)),IF(ROUND(INDEX($D$58:$AD$58,AX$39)/1000,1)=0,0.5,NA()),NA()))</f>
        <v>0</v>
      </c>
      <c r="AY88" s="5">
        <f>IF(AY$39=0,NA(),IF(ISNUMBER(INDEX($D$58:$AD$58,AY$39)),IF(ROUND(INDEX($D$58:$AD$58,AY$39)/1000,1)=0,0.5,NA()),NA()))</f>
        <v>0</v>
      </c>
      <c r="AZ88" s="5">
        <f>IF(AZ$39=0,NA(),IF(ISNUMBER(INDEX($D$58:$AD$58,AZ$39)),IF(ROUND(INDEX($D$58:$AD$58,AZ$39)/1000,1)=0,0.5,NA()),NA()))</f>
        <v>0</v>
      </c>
      <c r="BA88" s="5">
        <f>IF(BA$39=0,NA(),IF(ISNUMBER(INDEX($D$58:$AD$58,BA$39)),IF(ROUND(INDEX($D$58:$AD$58,BA$39)/1000,1)=0,0.5,NA()),NA()))</f>
        <v>0</v>
      </c>
      <c r="BB88" s="5">
        <f>IF(BB$39=0,NA(),IF(ISNUMBER(INDEX($D$58:$AD$58,BB$39)),IF(ROUND(INDEX($D$58:$AD$58,BB$39)/1000,1)=0,0.5,NA()),NA()))</f>
        <v>0</v>
      </c>
      <c r="BC88" s="5">
        <f>IF(BC$39=0,NA(),IF(ISNUMBER(INDEX($D$58:$AD$58,BC$39)),IF(ROUND(INDEX($D$58:$AD$58,BC$39)/1000,1)=0,0.5,NA()),NA()))</f>
        <v>0</v>
      </c>
      <c r="BD88" s="5">
        <f>IF(BD$39=0,NA(),IF(ISNUMBER(INDEX($D$58:$AD$58,BD$39)),IF(ROUND(INDEX($D$58:$AD$58,BD$39)/1000,1)=0,0.5,NA()),NA()))</f>
        <v>0</v>
      </c>
      <c r="BE88" s="5">
        <f>IF(BE$39=0,NA(),IF(ISNUMBER(INDEX($D$58:$AD$58,BE$39)),IF(ROUND(INDEX($D$58:$AD$58,BE$39)/1000,1)=0,0.5,NA()),NA()))</f>
        <v>0</v>
      </c>
      <c r="BF88" s="5">
        <f>IF(BF$39=0,NA(),IF(ISNUMBER(INDEX($D$58:$AD$58,BF$39)),IF(ROUND(INDEX($D$58:$AD$58,BF$39)/1000,1)=0,0.5,NA()),NA()))</f>
        <v>0</v>
      </c>
      <c r="BG88" s="5">
        <f>IF(BG$39=0,NA(),IF(ISNUMBER(INDEX($D$58:$AD$58,BG$39)),IF(ROUND(INDEX($D$58:$AD$58,BG$39)/1000,1)=0,0.5,NA()),NA()))</f>
        <v>0</v>
      </c>
      <c r="BH88" s="5">
        <f>IF(BH$39=0,NA(),IF(ISNUMBER(INDEX($D$58:$AD$58,BH$39)),IF(ROUND(INDEX($D$58:$AD$58,BH$39)/1000,1)=0,0.5,NA()),NA()))</f>
        <v>0</v>
      </c>
      <c r="BI88" s="5">
        <f>IF(BI$39=0,NA(),IF(ISNUMBER(INDEX($D$58:$AD$58,BI$39)),IF(ROUND(INDEX($D$58:$AD$58,BI$39)/1000,1)=0,0.5,NA()),NA()))</f>
        <v>0</v>
      </c>
      <c r="BJ88" s="5">
        <f>IF(BJ$39=0,NA(),IF(ISNUMBER(INDEX($D$58:$AD$58,BJ$39)),IF(ROUND(INDEX($D$58:$AD$58,BJ$39)/1000,1)=0,0.5,NA()),NA()))</f>
        <v>0</v>
      </c>
      <c r="BK88" s="5">
        <f>IF(BK$39=0,NA(),IF(ISNUMBER(INDEX($D$58:$AD$58,BK$39)),IF(ROUND(INDEX($D$58:$AD$58,BK$39)/1000,1)=0,0.5,NA()),NA()))</f>
        <v>0</v>
      </c>
      <c r="BL88" s="5">
        <f>IF(BL$39=0,NA(),IF(ISNUMBER(INDEX($D$58:$AD$58,BL$39)),IF(ROUND(INDEX($D$58:$AD$58,BL$39)/1000,1)=0,0.5,NA()),NA()))</f>
        <v>0</v>
      </c>
      <c r="BM88" s="5">
        <f>IF(BM$39=0,NA(),IF(ISNUMBER(INDEX($D$58:$AD$58,BM$39)),IF(ROUND(INDEX($D$58:$AD$58,BM$39)/1000,1)=0,0.5,NA()),NA()))</f>
        <v>0</v>
      </c>
      <c r="BN88" s="5">
        <f>IF(BN$39=0,NA(),IF(ISNUMBER(INDEX($D$58:$AD$58,BN$39)),IF(ROUND(INDEX($D$58:$AD$58,BN$39)/1000,1)=0,0.5,NA()),NA()))</f>
        <v>0</v>
      </c>
      <c r="BO88" s="5">
        <f>IF(BO$39=0,NA(),IF(ISNUMBER(INDEX($D$58:$AD$58,BO$39)),IF(ROUND(INDEX($D$58:$AD$58,BO$39)/1000,1)=0,0.5,NA()),NA()))</f>
        <v>0</v>
      </c>
      <c r="BP88" s="5">
        <f>IF(BP$39=0,NA(),IF(ISNUMBER(INDEX($D$58:$AD$58,BP$39)),IF(ROUND(INDEX($D$58:$AD$58,BP$39)/1000,1)=0,0.5,NA()),NA()))</f>
        <v>0</v>
      </c>
    </row>
    <row r="89" spans="1:68">
      <c r="A89" s="11" t="s">
        <v>241</v>
      </c>
      <c r="B89" s="11" t="s">
        <v>242</v>
      </c>
      <c r="C89" s="3" t="s">
        <v>144</v>
      </c>
      <c r="AQ89" s="11">
        <f>IF(AQ$39=0,"",IF(ISNUMBER(INDEX($D$58:$AD$58,AQ$39)),IF(ROUND(INDEX($D$58:$AD$58,AQ$39)/1000,1)&gt;0,"+"&amp;FIXED(ROUND(INDEX($D$58:$AD$58,AQ$39)/1000,1),1),IF(ROUND(INDEX($D$58:$AD$58,AQ$39)/1000,1)&lt;0,"−"&amp;FIXED(-ROUND(INDEX($D$58:$AD$58,AQ$39)/1000,1),1),"±0")),""))</f>
        <v>0</v>
      </c>
      <c r="AR89" s="11">
        <f>IF(AR$39=0,"",IF(ISNUMBER(INDEX($D$58:$AD$58,AR$39)),IF(ROUND(INDEX($D$58:$AD$58,AR$39)/1000,1)&gt;0,"+"&amp;FIXED(ROUND(INDEX($D$58:$AD$58,AR$39)/1000,1),1),IF(ROUND(INDEX($D$58:$AD$58,AR$39)/1000,1)&lt;0,"−"&amp;FIXED(-ROUND(INDEX($D$58:$AD$58,AR$39)/1000,1),1),"±0")),""))</f>
        <v>0</v>
      </c>
      <c r="AS89" s="11">
        <f>IF(AS$39=0,"",IF(ISNUMBER(INDEX($D$58:$AD$58,AS$39)),IF(ROUND(INDEX($D$58:$AD$58,AS$39)/1000,1)&gt;0,"+"&amp;FIXED(ROUND(INDEX($D$58:$AD$58,AS$39)/1000,1),1),IF(ROUND(INDEX($D$58:$AD$58,AS$39)/1000,1)&lt;0,"−"&amp;FIXED(-ROUND(INDEX($D$58:$AD$58,AS$39)/1000,1),1),"±0")),""))</f>
        <v>0</v>
      </c>
      <c r="AT89" s="11">
        <f>IF(AT$39=0,"",IF(ISNUMBER(INDEX($D$58:$AD$58,AT$39)),IF(ROUND(INDEX($D$58:$AD$58,AT$39)/1000,1)&gt;0,"+"&amp;FIXED(ROUND(INDEX($D$58:$AD$58,AT$39)/1000,1),1),IF(ROUND(INDEX($D$58:$AD$58,AT$39)/1000,1)&lt;0,"−"&amp;FIXED(-ROUND(INDEX($D$58:$AD$58,AT$39)/1000,1),1),"±0")),""))</f>
        <v>0</v>
      </c>
      <c r="AU89" s="11">
        <f>IF(AU$39=0,"",IF(ISNUMBER(INDEX($D$58:$AD$58,AU$39)),IF(ROUND(INDEX($D$58:$AD$58,AU$39)/1000,1)&gt;0,"+"&amp;FIXED(ROUND(INDEX($D$58:$AD$58,AU$39)/1000,1),1),IF(ROUND(INDEX($D$58:$AD$58,AU$39)/1000,1)&lt;0,"−"&amp;FIXED(-ROUND(INDEX($D$58:$AD$58,AU$39)/1000,1),1),"±0")),""))</f>
        <v>0</v>
      </c>
      <c r="AV89" s="11">
        <f>IF(AV$39=0,"",IF(ISNUMBER(INDEX($D$58:$AD$58,AV$39)),IF(ROUND(INDEX($D$58:$AD$58,AV$39)/1000,1)&gt;0,"+"&amp;FIXED(ROUND(INDEX($D$58:$AD$58,AV$39)/1000,1),1),IF(ROUND(INDEX($D$58:$AD$58,AV$39)/1000,1)&lt;0,"−"&amp;FIXED(-ROUND(INDEX($D$58:$AD$58,AV$39)/1000,1),1),"±0")),""))</f>
        <v>0</v>
      </c>
      <c r="AW89" s="11">
        <f>IF(AW$39=0,"",IF(ISNUMBER(INDEX($D$58:$AD$58,AW$39)),IF(ROUND(INDEX($D$58:$AD$58,AW$39)/1000,1)&gt;0,"+"&amp;FIXED(ROUND(INDEX($D$58:$AD$58,AW$39)/1000,1),1),IF(ROUND(INDEX($D$58:$AD$58,AW$39)/1000,1)&lt;0,"−"&amp;FIXED(-ROUND(INDEX($D$58:$AD$58,AW$39)/1000,1),1),"±0")),""))</f>
        <v>0</v>
      </c>
      <c r="AX89" s="11">
        <f>IF(AX$39=0,"",IF(ISNUMBER(INDEX($D$58:$AD$58,AX$39)),IF(ROUND(INDEX($D$58:$AD$58,AX$39)/1000,1)&gt;0,"+"&amp;FIXED(ROUND(INDEX($D$58:$AD$58,AX$39)/1000,1),1),IF(ROUND(INDEX($D$58:$AD$58,AX$39)/1000,1)&lt;0,"−"&amp;FIXED(-ROUND(INDEX($D$58:$AD$58,AX$39)/1000,1),1),"±0")),""))</f>
        <v>0</v>
      </c>
      <c r="AY89" s="11">
        <f>IF(AY$39=0,"",IF(ISNUMBER(INDEX($D$58:$AD$58,AY$39)),IF(ROUND(INDEX($D$58:$AD$58,AY$39)/1000,1)&gt;0,"+"&amp;FIXED(ROUND(INDEX($D$58:$AD$58,AY$39)/1000,1),1),IF(ROUND(INDEX($D$58:$AD$58,AY$39)/1000,1)&lt;0,"−"&amp;FIXED(-ROUND(INDEX($D$58:$AD$58,AY$39)/1000,1),1),"±0")),""))</f>
        <v>0</v>
      </c>
      <c r="AZ89" s="11">
        <f>IF(AZ$39=0,"",IF(ISNUMBER(INDEX($D$58:$AD$58,AZ$39)),IF(ROUND(INDEX($D$58:$AD$58,AZ$39)/1000,1)&gt;0,"+"&amp;FIXED(ROUND(INDEX($D$58:$AD$58,AZ$39)/1000,1),1),IF(ROUND(INDEX($D$58:$AD$58,AZ$39)/1000,1)&lt;0,"−"&amp;FIXED(-ROUND(INDEX($D$58:$AD$58,AZ$39)/1000,1),1),"±0")),""))</f>
        <v>0</v>
      </c>
      <c r="BA89" s="11">
        <f>IF(BA$39=0,"",IF(ISNUMBER(INDEX($D$58:$AD$58,BA$39)),IF(ROUND(INDEX($D$58:$AD$58,BA$39)/1000,1)&gt;0,"+"&amp;FIXED(ROUND(INDEX($D$58:$AD$58,BA$39)/1000,1),1),IF(ROUND(INDEX($D$58:$AD$58,BA$39)/1000,1)&lt;0,"−"&amp;FIXED(-ROUND(INDEX($D$58:$AD$58,BA$39)/1000,1),1),"±0")),""))</f>
        <v>0</v>
      </c>
      <c r="BB89" s="11">
        <f>IF(BB$39=0,"",IF(ISNUMBER(INDEX($D$58:$AD$58,BB$39)),IF(ROUND(INDEX($D$58:$AD$58,BB$39)/1000,1)&gt;0,"+"&amp;FIXED(ROUND(INDEX($D$58:$AD$58,BB$39)/1000,1),1),IF(ROUND(INDEX($D$58:$AD$58,BB$39)/1000,1)&lt;0,"−"&amp;FIXED(-ROUND(INDEX($D$58:$AD$58,BB$39)/1000,1),1),"±0")),""))</f>
        <v>0</v>
      </c>
      <c r="BC89" s="11">
        <f>IF(BC$39=0,"",IF(ISNUMBER(INDEX($D$58:$AD$58,BC$39)),IF(ROUND(INDEX($D$58:$AD$58,BC$39)/1000,1)&gt;0,"+"&amp;FIXED(ROUND(INDEX($D$58:$AD$58,BC$39)/1000,1),1),IF(ROUND(INDEX($D$58:$AD$58,BC$39)/1000,1)&lt;0,"−"&amp;FIXED(-ROUND(INDEX($D$58:$AD$58,BC$39)/1000,1),1),"±0")),""))</f>
        <v>0</v>
      </c>
      <c r="BD89" s="11">
        <f>IF(BD$39=0,"",IF(ISNUMBER(INDEX($D$58:$AD$58,BD$39)),IF(ROUND(INDEX($D$58:$AD$58,BD$39)/1000,1)&gt;0,"+"&amp;FIXED(ROUND(INDEX($D$58:$AD$58,BD$39)/1000,1),1),IF(ROUND(INDEX($D$58:$AD$58,BD$39)/1000,1)&lt;0,"−"&amp;FIXED(-ROUND(INDEX($D$58:$AD$58,BD$39)/1000,1),1),"±0")),""))</f>
        <v>0</v>
      </c>
      <c r="BE89" s="11">
        <f>IF(BE$39=0,"",IF(ISNUMBER(INDEX($D$58:$AD$58,BE$39)),IF(ROUND(INDEX($D$58:$AD$58,BE$39)/1000,1)&gt;0,"+"&amp;FIXED(ROUND(INDEX($D$58:$AD$58,BE$39)/1000,1),1),IF(ROUND(INDEX($D$58:$AD$58,BE$39)/1000,1)&lt;0,"−"&amp;FIXED(-ROUND(INDEX($D$58:$AD$58,BE$39)/1000,1),1),"±0")),""))</f>
        <v>0</v>
      </c>
      <c r="BF89" s="11">
        <f>IF(BF$39=0,"",IF(ISNUMBER(INDEX($D$58:$AD$58,BF$39)),IF(ROUND(INDEX($D$58:$AD$58,BF$39)/1000,1)&gt;0,"+"&amp;FIXED(ROUND(INDEX($D$58:$AD$58,BF$39)/1000,1),1),IF(ROUND(INDEX($D$58:$AD$58,BF$39)/1000,1)&lt;0,"−"&amp;FIXED(-ROUND(INDEX($D$58:$AD$58,BF$39)/1000,1),1),"±0")),""))</f>
        <v>0</v>
      </c>
      <c r="BG89" s="11">
        <f>IF(BG$39=0,"",IF(ISNUMBER(INDEX($D$58:$AD$58,BG$39)),IF(ROUND(INDEX($D$58:$AD$58,BG$39)/1000,1)&gt;0,"+"&amp;FIXED(ROUND(INDEX($D$58:$AD$58,BG$39)/1000,1),1),IF(ROUND(INDEX($D$58:$AD$58,BG$39)/1000,1)&lt;0,"−"&amp;FIXED(-ROUND(INDEX($D$58:$AD$58,BG$39)/1000,1),1),"±0")),""))</f>
        <v>0</v>
      </c>
      <c r="BH89" s="11">
        <f>IF(BH$39=0,"",IF(ISNUMBER(INDEX($D$58:$AD$58,BH$39)),IF(ROUND(INDEX($D$58:$AD$58,BH$39)/1000,1)&gt;0,"+"&amp;FIXED(ROUND(INDEX($D$58:$AD$58,BH$39)/1000,1),1),IF(ROUND(INDEX($D$58:$AD$58,BH$39)/1000,1)&lt;0,"−"&amp;FIXED(-ROUND(INDEX($D$58:$AD$58,BH$39)/1000,1),1),"±0")),""))</f>
        <v>0</v>
      </c>
      <c r="BI89" s="11">
        <f>IF(BI$39=0,"",IF(ISNUMBER(INDEX($D$58:$AD$58,BI$39)),IF(ROUND(INDEX($D$58:$AD$58,BI$39)/1000,1)&gt;0,"+"&amp;FIXED(ROUND(INDEX($D$58:$AD$58,BI$39)/1000,1),1),IF(ROUND(INDEX($D$58:$AD$58,BI$39)/1000,1)&lt;0,"−"&amp;FIXED(-ROUND(INDEX($D$58:$AD$58,BI$39)/1000,1),1),"±0")),""))</f>
        <v>0</v>
      </c>
      <c r="BJ89" s="11">
        <f>IF(BJ$39=0,"",IF(ISNUMBER(INDEX($D$58:$AD$58,BJ$39)),IF(ROUND(INDEX($D$58:$AD$58,BJ$39)/1000,1)&gt;0,"+"&amp;FIXED(ROUND(INDEX($D$58:$AD$58,BJ$39)/1000,1),1),IF(ROUND(INDEX($D$58:$AD$58,BJ$39)/1000,1)&lt;0,"−"&amp;FIXED(-ROUND(INDEX($D$58:$AD$58,BJ$39)/1000,1),1),"±0")),""))</f>
        <v>0</v>
      </c>
      <c r="BK89" s="11">
        <f>IF(BK$39=0,"",IF(ISNUMBER(INDEX($D$58:$AD$58,BK$39)),IF(ROUND(INDEX($D$58:$AD$58,BK$39)/1000,1)&gt;0,"+"&amp;FIXED(ROUND(INDEX($D$58:$AD$58,BK$39)/1000,1),1),IF(ROUND(INDEX($D$58:$AD$58,BK$39)/1000,1)&lt;0,"−"&amp;FIXED(-ROUND(INDEX($D$58:$AD$58,BK$39)/1000,1),1),"±0")),""))</f>
        <v>0</v>
      </c>
      <c r="BL89" s="11">
        <f>IF(BL$39=0,"",IF(ISNUMBER(INDEX($D$58:$AD$58,BL$39)),IF(ROUND(INDEX($D$58:$AD$58,BL$39)/1000,1)&gt;0,"+"&amp;FIXED(ROUND(INDEX($D$58:$AD$58,BL$39)/1000,1),1),IF(ROUND(INDEX($D$58:$AD$58,BL$39)/1000,1)&lt;0,"−"&amp;FIXED(-ROUND(INDEX($D$58:$AD$58,BL$39)/1000,1),1),"±0")),""))</f>
        <v>0</v>
      </c>
      <c r="BM89" s="11">
        <f>IF(BM$39=0,"",IF(ISNUMBER(INDEX($D$58:$AD$58,BM$39)),IF(ROUND(INDEX($D$58:$AD$58,BM$39)/1000,1)&gt;0,"+"&amp;FIXED(ROUND(INDEX($D$58:$AD$58,BM$39)/1000,1),1),IF(ROUND(INDEX($D$58:$AD$58,BM$39)/1000,1)&lt;0,"−"&amp;FIXED(-ROUND(INDEX($D$58:$AD$58,BM$39)/1000,1),1),"±0")),""))</f>
        <v>0</v>
      </c>
      <c r="BN89" s="11">
        <f>IF(BN$39=0,"",IF(ISNUMBER(INDEX($D$58:$AD$58,BN$39)),IF(ROUND(INDEX($D$58:$AD$58,BN$39)/1000,1)&gt;0,"+"&amp;FIXED(ROUND(INDEX($D$58:$AD$58,BN$39)/1000,1),1),IF(ROUND(INDEX($D$58:$AD$58,BN$39)/1000,1)&lt;0,"−"&amp;FIXED(-ROUND(INDEX($D$58:$AD$58,BN$39)/1000,1),1),"±0")),""))</f>
        <v>0</v>
      </c>
      <c r="BO89" s="11">
        <f>IF(BO$39=0,"",IF(ISNUMBER(INDEX($D$58:$AD$58,BO$39)),IF(ROUND(INDEX($D$58:$AD$58,BO$39)/1000,1)&gt;0,"+"&amp;FIXED(ROUND(INDEX($D$58:$AD$58,BO$39)/1000,1),1),IF(ROUND(INDEX($D$58:$AD$58,BO$39)/1000,1)&lt;0,"−"&amp;FIXED(-ROUND(INDEX($D$58:$AD$58,BO$39)/1000,1),1),"±0")),""))</f>
        <v>0</v>
      </c>
      <c r="BP89" s="11">
        <f>IF(BP$39=0,"",IF(ISNUMBER(INDEX($D$58:$AD$58,BP$39)),IF(ROUND(INDEX($D$58:$AD$58,BP$39)/1000,1)&gt;0,"+"&amp;FIXED(ROUND(INDEX($D$58:$AD$58,BP$39)/1000,1),1),IF(ROUND(INDEX($D$58:$AD$58,BP$39)/1000,1)&lt;0,"−"&amp;FIXED(-ROUND(INDEX($D$58:$AD$58,BP$39)/1000,1),1),"±0")),""))</f>
        <v>0</v>
      </c>
    </row>
    <row r="90" spans="1:68">
      <c r="A90" s="11" t="s">
        <v>243</v>
      </c>
      <c r="B90" s="11" t="s">
        <v>244</v>
      </c>
      <c r="C90" s="3" t="s">
        <v>134</v>
      </c>
      <c r="D90" s="5">
        <v>10</v>
      </c>
    </row>
    <row r="91" spans="1:68">
      <c r="A91" s="11" t="s">
        <v>245</v>
      </c>
      <c r="B91" s="11" t="s">
        <v>246</v>
      </c>
      <c r="C91" s="3" t="s">
        <v>137</v>
      </c>
      <c r="D91" s="5">
        <f>IF(MAX($D$92:$AD$92)=0,27,MAX($D$92:$AD$92))</f>
        <v>0</v>
      </c>
    </row>
    <row r="92" spans="1:68">
      <c r="A92" s="11" t="s">
        <v>247</v>
      </c>
      <c r="B92" s="11" t="s">
        <v>248</v>
      </c>
      <c r="C92" s="3" t="s">
        <v>137</v>
      </c>
      <c r="D92" s="5">
        <f>IF(OR(ISNUMBER(D107),ISNUMBER(D105),ISNUMBER(D106)),1,0)</f>
        <v>0</v>
      </c>
      <c r="E92" s="5">
        <f>IF(OR(ISNUMBER(E107),ISNUMBER(E105),ISNUMBER(E106)),2,0)</f>
        <v>0</v>
      </c>
      <c r="F92" s="5">
        <f>IF(OR(ISNUMBER(F107),ISNUMBER(F105),ISNUMBER(F106)),3,0)</f>
        <v>0</v>
      </c>
      <c r="G92" s="5">
        <f>IF(OR(ISNUMBER(G107),ISNUMBER(G105),ISNUMBER(G106)),4,0)</f>
        <v>0</v>
      </c>
      <c r="H92" s="5">
        <f>IF(OR(ISNUMBER(H107),ISNUMBER(H105),ISNUMBER(H106)),5,0)</f>
        <v>0</v>
      </c>
      <c r="I92" s="5">
        <f>IF(OR(ISNUMBER(I107),ISNUMBER(I105),ISNUMBER(I106)),6,0)</f>
        <v>0</v>
      </c>
      <c r="J92" s="5">
        <f>IF(OR(ISNUMBER(J107),ISNUMBER(J105),ISNUMBER(J106)),7,0)</f>
        <v>0</v>
      </c>
      <c r="K92" s="5">
        <f>IF(OR(ISNUMBER(K107),ISNUMBER(K105),ISNUMBER(K106)),8,0)</f>
        <v>0</v>
      </c>
      <c r="L92" s="5">
        <f>IF(OR(ISNUMBER(L107),ISNUMBER(L105),ISNUMBER(L106)),9,0)</f>
        <v>0</v>
      </c>
      <c r="M92" s="5">
        <f>IF(OR(ISNUMBER(M107),ISNUMBER(M105),ISNUMBER(M106)),10,0)</f>
        <v>0</v>
      </c>
      <c r="N92" s="5">
        <f>IF(OR(ISNUMBER(N107),ISNUMBER(N105),ISNUMBER(N106)),11,0)</f>
        <v>0</v>
      </c>
      <c r="O92" s="5">
        <f>IF(OR(ISNUMBER(O107),ISNUMBER(O105),ISNUMBER(O106)),12,0)</f>
        <v>0</v>
      </c>
      <c r="P92" s="5">
        <f>IF(OR(ISNUMBER(P107),ISNUMBER(P105),ISNUMBER(P106)),13,0)</f>
        <v>0</v>
      </c>
      <c r="Q92" s="5">
        <f>IF(OR(ISNUMBER(Q107),ISNUMBER(Q105),ISNUMBER(Q106)),14,0)</f>
        <v>0</v>
      </c>
      <c r="R92" s="5">
        <f>IF(OR(ISNUMBER(R107),ISNUMBER(R105),ISNUMBER(R106)),15,0)</f>
        <v>0</v>
      </c>
      <c r="S92" s="5">
        <f>IF(OR(ISNUMBER(S107),ISNUMBER(S105),ISNUMBER(S106)),16,0)</f>
        <v>0</v>
      </c>
      <c r="T92" s="5">
        <f>IF(OR(ISNUMBER(T107),ISNUMBER(T105),ISNUMBER(T106)),17,0)</f>
        <v>0</v>
      </c>
      <c r="U92" s="5">
        <f>IF(OR(ISNUMBER(U107),ISNUMBER(U105),ISNUMBER(U106)),18,0)</f>
        <v>0</v>
      </c>
      <c r="V92" s="5">
        <f>IF(OR(ISNUMBER(V107),ISNUMBER(V105),ISNUMBER(V106)),19,0)</f>
        <v>0</v>
      </c>
      <c r="W92" s="5">
        <f>IF(OR(ISNUMBER(W107),ISNUMBER(W105),ISNUMBER(W106)),20,0)</f>
        <v>0</v>
      </c>
      <c r="X92" s="5">
        <f>IF(OR(ISNUMBER(X107),ISNUMBER(X105),ISNUMBER(X106)),21,0)</f>
        <v>0</v>
      </c>
      <c r="Y92" s="5">
        <f>IF(OR(ISNUMBER(Y107),ISNUMBER(Y105),ISNUMBER(Y106)),22,0)</f>
        <v>0</v>
      </c>
      <c r="Z92" s="5">
        <f>IF(OR(ISNUMBER(Z107),ISNUMBER(Z105),ISNUMBER(Z106)),23,0)</f>
        <v>0</v>
      </c>
      <c r="AA92" s="5">
        <f>IF(OR(ISNUMBER(AA107),ISNUMBER(AA105),ISNUMBER(AA106)),24,0)</f>
        <v>0</v>
      </c>
      <c r="AB92" s="5">
        <f>IF(OR(ISNUMBER(AB107),ISNUMBER(AB105),ISNUMBER(AB106)),25,0)</f>
        <v>0</v>
      </c>
      <c r="AC92" s="5">
        <f>IF(OR(ISNUMBER(AC107),ISNUMBER(AC105),ISNUMBER(AC106)),26,0)</f>
        <v>0</v>
      </c>
      <c r="AD92" s="5">
        <f>IF(OR(ISNUMBER(AD107),ISNUMBER(AD105),ISNUMBER(AD106)),27,0)</f>
        <v>0</v>
      </c>
    </row>
    <row r="93" spans="1:68">
      <c r="A93" s="11" t="s">
        <v>249</v>
      </c>
      <c r="B93" s="11" t="s">
        <v>250</v>
      </c>
      <c r="C93" s="3" t="s">
        <v>137</v>
      </c>
      <c r="AQ93" s="5">
        <f>IF(AND(0&lt;$D$90,($D$91-$D$90+1)&gt;=1),($D$91-$D$90+1),0)</f>
        <v>0</v>
      </c>
      <c r="AR93" s="5">
        <f>IF(AND(1&lt;$D$90,($D$91-$D$90+2)&gt;=1),($D$91-$D$90+2),0)</f>
        <v>0</v>
      </c>
      <c r="AS93" s="5">
        <f>IF(AND(2&lt;$D$90,($D$91-$D$90+3)&gt;=1),($D$91-$D$90+3),0)</f>
        <v>0</v>
      </c>
      <c r="AT93" s="5">
        <f>IF(AND(3&lt;$D$90,($D$91-$D$90+4)&gt;=1),($D$91-$D$90+4),0)</f>
        <v>0</v>
      </c>
      <c r="AU93" s="5">
        <f>IF(AND(4&lt;$D$90,($D$91-$D$90+5)&gt;=1),($D$91-$D$90+5),0)</f>
        <v>0</v>
      </c>
      <c r="AV93" s="5">
        <f>IF(AND(5&lt;$D$90,($D$91-$D$90+6)&gt;=1),($D$91-$D$90+6),0)</f>
        <v>0</v>
      </c>
      <c r="AW93" s="5">
        <f>IF(AND(6&lt;$D$90,($D$91-$D$90+7)&gt;=1),($D$91-$D$90+7),0)</f>
        <v>0</v>
      </c>
      <c r="AX93" s="5">
        <f>IF(AND(7&lt;$D$90,($D$91-$D$90+8)&gt;=1),($D$91-$D$90+8),0)</f>
        <v>0</v>
      </c>
      <c r="AY93" s="5">
        <f>IF(AND(8&lt;$D$90,($D$91-$D$90+9)&gt;=1),($D$91-$D$90+9),0)</f>
        <v>0</v>
      </c>
      <c r="AZ93" s="5">
        <f>IF(AND(9&lt;$D$90,($D$91-$D$90+10)&gt;=1),($D$91-$D$90+10),0)</f>
        <v>0</v>
      </c>
      <c r="BA93" s="5">
        <f>IF(AND(10&lt;$D$90,($D$91-$D$90+11)&gt;=1),($D$91-$D$90+11),0)</f>
        <v>0</v>
      </c>
      <c r="BB93" s="5">
        <f>IF(AND(11&lt;$D$90,($D$91-$D$90+12)&gt;=1),($D$91-$D$90+12),0)</f>
        <v>0</v>
      </c>
      <c r="BC93" s="5">
        <f>IF(AND(12&lt;$D$90,($D$91-$D$90+13)&gt;=1),($D$91-$D$90+13),0)</f>
        <v>0</v>
      </c>
      <c r="BD93" s="5">
        <f>IF(AND(13&lt;$D$90,($D$91-$D$90+14)&gt;=1),($D$91-$D$90+14),0)</f>
        <v>0</v>
      </c>
      <c r="BE93" s="5">
        <f>IF(AND(14&lt;$D$90,($D$91-$D$90+15)&gt;=1),($D$91-$D$90+15),0)</f>
        <v>0</v>
      </c>
      <c r="BF93" s="5">
        <f>IF(AND(15&lt;$D$90,($D$91-$D$90+16)&gt;=1),($D$91-$D$90+16),0)</f>
        <v>0</v>
      </c>
      <c r="BG93" s="5">
        <f>IF(AND(16&lt;$D$90,($D$91-$D$90+17)&gt;=1),($D$91-$D$90+17),0)</f>
        <v>0</v>
      </c>
      <c r="BH93" s="5">
        <f>IF(AND(17&lt;$D$90,($D$91-$D$90+18)&gt;=1),($D$91-$D$90+18),0)</f>
        <v>0</v>
      </c>
      <c r="BI93" s="5">
        <f>IF(AND(18&lt;$D$90,($D$91-$D$90+19)&gt;=1),($D$91-$D$90+19),0)</f>
        <v>0</v>
      </c>
      <c r="BJ93" s="5">
        <f>IF(AND(19&lt;$D$90,($D$91-$D$90+20)&gt;=1),($D$91-$D$90+20),0)</f>
        <v>0</v>
      </c>
      <c r="BK93" s="5">
        <f>IF(AND(20&lt;$D$90,($D$91-$D$90+21)&gt;=1),($D$91-$D$90+21),0)</f>
        <v>0</v>
      </c>
      <c r="BL93" s="5">
        <f>IF(AND(21&lt;$D$90,($D$91-$D$90+22)&gt;=1),($D$91-$D$90+22),0)</f>
        <v>0</v>
      </c>
      <c r="BM93" s="5">
        <f>IF(AND(22&lt;$D$90,($D$91-$D$90+23)&gt;=1),($D$91-$D$90+23),0)</f>
        <v>0</v>
      </c>
      <c r="BN93" s="5">
        <f>IF(AND(23&lt;$D$90,($D$91-$D$90+24)&gt;=1),($D$91-$D$90+24),0)</f>
        <v>0</v>
      </c>
      <c r="BO93" s="5">
        <f>IF(AND(24&lt;$D$90,($D$91-$D$90+25)&gt;=1),($D$91-$D$90+25),0)</f>
        <v>0</v>
      </c>
      <c r="BP93" s="5">
        <f>IF(AND(25&lt;$D$90,($D$91-$D$90+26)&gt;=1),($D$91-$D$90+26),0)</f>
        <v>0</v>
      </c>
    </row>
    <row r="94" spans="1:68">
      <c r="A94" s="11" t="s">
        <v>251</v>
      </c>
      <c r="B94" s="11" t="s">
        <v>252</v>
      </c>
      <c r="C94" s="3" t="s">
        <v>144</v>
      </c>
      <c r="AQ94" s="11">
        <f>IF(AQ$93=0,"",""&amp;_xlfn.ISOWEEKNUM(INDEX($D$4:$AD$4,AQ$93)))</f>
        <v>0</v>
      </c>
      <c r="AR94" s="11">
        <f>IF(AR$93=0,"",""&amp;_xlfn.ISOWEEKNUM(INDEX($D$4:$AD$4,AR$93)))</f>
        <v>0</v>
      </c>
      <c r="AS94" s="11">
        <f>IF(AS$93=0,"",""&amp;_xlfn.ISOWEEKNUM(INDEX($D$4:$AD$4,AS$93)))</f>
        <v>0</v>
      </c>
      <c r="AT94" s="11">
        <f>IF(AT$93=0,"",""&amp;_xlfn.ISOWEEKNUM(INDEX($D$4:$AD$4,AT$93)))</f>
        <v>0</v>
      </c>
      <c r="AU94" s="11">
        <f>IF(AU$93=0,"",""&amp;_xlfn.ISOWEEKNUM(INDEX($D$4:$AD$4,AU$93)))</f>
        <v>0</v>
      </c>
      <c r="AV94" s="11">
        <f>IF(AV$93=0,"",""&amp;_xlfn.ISOWEEKNUM(INDEX($D$4:$AD$4,AV$93)))</f>
        <v>0</v>
      </c>
      <c r="AW94" s="11">
        <f>IF(AW$93=0,"",""&amp;_xlfn.ISOWEEKNUM(INDEX($D$4:$AD$4,AW$93)))</f>
        <v>0</v>
      </c>
      <c r="AX94" s="11">
        <f>IF(AX$93=0,"",""&amp;_xlfn.ISOWEEKNUM(INDEX($D$4:$AD$4,AX$93)))</f>
        <v>0</v>
      </c>
      <c r="AY94" s="11">
        <f>IF(AY$93=0,"",""&amp;_xlfn.ISOWEEKNUM(INDEX($D$4:$AD$4,AY$93)))</f>
        <v>0</v>
      </c>
      <c r="AZ94" s="11">
        <f>IF(AZ$93=0,"",""&amp;_xlfn.ISOWEEKNUM(INDEX($D$4:$AD$4,AZ$93)))</f>
        <v>0</v>
      </c>
      <c r="BA94" s="11">
        <f>IF(BA$93=0,"",""&amp;_xlfn.ISOWEEKNUM(INDEX($D$4:$AD$4,BA$93)))</f>
        <v>0</v>
      </c>
      <c r="BB94" s="11">
        <f>IF(BB$93=0,"",""&amp;_xlfn.ISOWEEKNUM(INDEX($D$4:$AD$4,BB$93)))</f>
        <v>0</v>
      </c>
      <c r="BC94" s="11">
        <f>IF(BC$93=0,"",""&amp;_xlfn.ISOWEEKNUM(INDEX($D$4:$AD$4,BC$93)))</f>
        <v>0</v>
      </c>
      <c r="BD94" s="11">
        <f>IF(BD$93=0,"",""&amp;_xlfn.ISOWEEKNUM(INDEX($D$4:$AD$4,BD$93)))</f>
        <v>0</v>
      </c>
      <c r="BE94" s="11">
        <f>IF(BE$93=0,"",""&amp;_xlfn.ISOWEEKNUM(INDEX($D$4:$AD$4,BE$93)))</f>
        <v>0</v>
      </c>
      <c r="BF94" s="11">
        <f>IF(BF$93=0,"",""&amp;_xlfn.ISOWEEKNUM(INDEX($D$4:$AD$4,BF$93)))</f>
        <v>0</v>
      </c>
      <c r="BG94" s="11">
        <f>IF(BG$93=0,"",""&amp;_xlfn.ISOWEEKNUM(INDEX($D$4:$AD$4,BG$93)))</f>
        <v>0</v>
      </c>
      <c r="BH94" s="11">
        <f>IF(BH$93=0,"",""&amp;_xlfn.ISOWEEKNUM(INDEX($D$4:$AD$4,BH$93)))</f>
        <v>0</v>
      </c>
      <c r="BI94" s="11">
        <f>IF(BI$93=0,"",""&amp;_xlfn.ISOWEEKNUM(INDEX($D$4:$AD$4,BI$93)))</f>
        <v>0</v>
      </c>
      <c r="BJ94" s="11">
        <f>IF(BJ$93=0,"",""&amp;_xlfn.ISOWEEKNUM(INDEX($D$4:$AD$4,BJ$93)))</f>
        <v>0</v>
      </c>
      <c r="BK94" s="11">
        <f>IF(BK$93=0,"",""&amp;_xlfn.ISOWEEKNUM(INDEX($D$4:$AD$4,BK$93)))</f>
        <v>0</v>
      </c>
      <c r="BL94" s="11">
        <f>IF(BL$93=0,"",""&amp;_xlfn.ISOWEEKNUM(INDEX($D$4:$AD$4,BL$93)))</f>
        <v>0</v>
      </c>
      <c r="BM94" s="11">
        <f>IF(BM$93=0,"",""&amp;_xlfn.ISOWEEKNUM(INDEX($D$4:$AD$4,BM$93)))</f>
        <v>0</v>
      </c>
      <c r="BN94" s="11">
        <f>IF(BN$93=0,"",""&amp;_xlfn.ISOWEEKNUM(INDEX($D$4:$AD$4,BN$93)))</f>
        <v>0</v>
      </c>
      <c r="BO94" s="11">
        <f>IF(BO$93=0,"",""&amp;_xlfn.ISOWEEKNUM(INDEX($D$4:$AD$4,BO$93)))</f>
        <v>0</v>
      </c>
      <c r="BP94" s="11">
        <f>IF(BP$93=0,"",""&amp;_xlfn.ISOWEEKNUM(INDEX($D$4:$AD$4,BP$93)))</f>
        <v>0</v>
      </c>
    </row>
    <row r="95" spans="1:68">
      <c r="A95" s="11" t="s">
        <v>253</v>
      </c>
      <c r="B95" s="11" t="s">
        <v>254</v>
      </c>
      <c r="C95" s="3" t="str">
        <f>"Rohdaten Z. "&amp;ROW(Rohdaten!$A$79)</f>
        <v>Rohdaten Z. 79</v>
      </c>
      <c r="D95" s="5">
        <f>IFERROR(IF(ISNUMBER(INDEX(Rohdaten!$A$79:$LJ$79,MATCH(D$4,RD_Kopf,0))),INDEX(Rohdaten!$A$79:$LJ$79,MATCH(D$4,RD_Kopf,0)),NA()),NA())</f>
        <v>0</v>
      </c>
      <c r="E95" s="5">
        <f>IFERROR(IF(ISNUMBER(INDEX(Rohdaten!$A$79:$LJ$79,MATCH(E$4,RD_Kopf,0))),INDEX(Rohdaten!$A$79:$LJ$79,MATCH(E$4,RD_Kopf,0)),NA()),NA())</f>
        <v>0</v>
      </c>
      <c r="F95" s="5">
        <f>IFERROR(IF(ISNUMBER(INDEX(Rohdaten!$A$79:$LJ$79,MATCH(F$4,RD_Kopf,0))),INDEX(Rohdaten!$A$79:$LJ$79,MATCH(F$4,RD_Kopf,0)),NA()),NA())</f>
        <v>0</v>
      </c>
      <c r="G95" s="5">
        <f>IFERROR(IF(ISNUMBER(INDEX(Rohdaten!$A$79:$LJ$79,MATCH(G$4,RD_Kopf,0))),INDEX(Rohdaten!$A$79:$LJ$79,MATCH(G$4,RD_Kopf,0)),NA()),NA())</f>
        <v>0</v>
      </c>
      <c r="H95" s="5">
        <f>IFERROR(IF(ISNUMBER(INDEX(Rohdaten!$A$79:$LJ$79,MATCH(H$4,RD_Kopf,0))),INDEX(Rohdaten!$A$79:$LJ$79,MATCH(H$4,RD_Kopf,0)),NA()),NA())</f>
        <v>0</v>
      </c>
      <c r="I95" s="5">
        <f>IFERROR(IF(ISNUMBER(INDEX(Rohdaten!$A$79:$LJ$79,MATCH(I$4,RD_Kopf,0))),INDEX(Rohdaten!$A$79:$LJ$79,MATCH(I$4,RD_Kopf,0)),NA()),NA())</f>
        <v>0</v>
      </c>
      <c r="J95" s="5">
        <f>IFERROR(IF(ISNUMBER(INDEX(Rohdaten!$A$79:$LJ$79,MATCH(J$4,RD_Kopf,0))),INDEX(Rohdaten!$A$79:$LJ$79,MATCH(J$4,RD_Kopf,0)),NA()),NA())</f>
        <v>0</v>
      </c>
      <c r="K95" s="5">
        <f>IFERROR(IF(ISNUMBER(INDEX(Rohdaten!$A$79:$LJ$79,MATCH(K$4,RD_Kopf,0))),INDEX(Rohdaten!$A$79:$LJ$79,MATCH(K$4,RD_Kopf,0)),NA()),NA())</f>
        <v>0</v>
      </c>
      <c r="L95" s="5">
        <f>IFERROR(IF(ISNUMBER(INDEX(Rohdaten!$A$79:$LJ$79,MATCH(L$4,RD_Kopf,0))),INDEX(Rohdaten!$A$79:$LJ$79,MATCH(L$4,RD_Kopf,0)),NA()),NA())</f>
        <v>0</v>
      </c>
      <c r="M95" s="5">
        <f>IFERROR(IF(ISNUMBER(INDEX(Rohdaten!$A$79:$LJ$79,MATCH(M$4,RD_Kopf,0))),INDEX(Rohdaten!$A$79:$LJ$79,MATCH(M$4,RD_Kopf,0)),NA()),NA())</f>
        <v>0</v>
      </c>
      <c r="N95" s="5">
        <f>IFERROR(IF(ISNUMBER(INDEX(Rohdaten!$A$79:$LJ$79,MATCH(N$4,RD_Kopf,0))),INDEX(Rohdaten!$A$79:$LJ$79,MATCH(N$4,RD_Kopf,0)),NA()),NA())</f>
        <v>0</v>
      </c>
      <c r="O95" s="5">
        <f>IFERROR(IF(ISNUMBER(INDEX(Rohdaten!$A$79:$LJ$79,MATCH(O$4,RD_Kopf,0))),INDEX(Rohdaten!$A$79:$LJ$79,MATCH(O$4,RD_Kopf,0)),NA()),NA())</f>
        <v>0</v>
      </c>
      <c r="P95" s="5">
        <f>IFERROR(IF(ISNUMBER(INDEX(Rohdaten!$A$79:$LJ$79,MATCH(P$4,RD_Kopf,0))),INDEX(Rohdaten!$A$79:$LJ$79,MATCH(P$4,RD_Kopf,0)),NA()),NA())</f>
        <v>0</v>
      </c>
      <c r="Q95" s="5">
        <f>IFERROR(IF(ISNUMBER(INDEX(Rohdaten!$A$79:$LJ$79,MATCH(Q$4,RD_Kopf,0))),INDEX(Rohdaten!$A$79:$LJ$79,MATCH(Q$4,RD_Kopf,0)),NA()),NA())</f>
        <v>0</v>
      </c>
      <c r="R95" s="5">
        <f>IFERROR(IF(ISNUMBER(INDEX(Rohdaten!$A$79:$LJ$79,MATCH(R$4,RD_Kopf,0))),INDEX(Rohdaten!$A$79:$LJ$79,MATCH(R$4,RD_Kopf,0)),NA()),NA())</f>
        <v>0</v>
      </c>
      <c r="S95" s="5">
        <f>IFERROR(IF(ISNUMBER(INDEX(Rohdaten!$A$79:$LJ$79,MATCH(S$4,RD_Kopf,0))),INDEX(Rohdaten!$A$79:$LJ$79,MATCH(S$4,RD_Kopf,0)),NA()),NA())</f>
        <v>0</v>
      </c>
      <c r="T95" s="5">
        <f>IFERROR(IF(ISNUMBER(INDEX(Rohdaten!$A$79:$LJ$79,MATCH(T$4,RD_Kopf,0))),INDEX(Rohdaten!$A$79:$LJ$79,MATCH(T$4,RD_Kopf,0)),NA()),NA())</f>
        <v>0</v>
      </c>
      <c r="U95" s="5">
        <f>IFERROR(IF(ISNUMBER(INDEX(Rohdaten!$A$79:$LJ$79,MATCH(U$4,RD_Kopf,0))),INDEX(Rohdaten!$A$79:$LJ$79,MATCH(U$4,RD_Kopf,0)),NA()),NA())</f>
        <v>0</v>
      </c>
      <c r="V95" s="5">
        <f>IFERROR(IF(ISNUMBER(INDEX(Rohdaten!$A$79:$LJ$79,MATCH(V$4,RD_Kopf,0))),INDEX(Rohdaten!$A$79:$LJ$79,MATCH(V$4,RD_Kopf,0)),NA()),NA())</f>
        <v>0</v>
      </c>
      <c r="W95" s="5">
        <f>IFERROR(IF(ISNUMBER(INDEX(Rohdaten!$A$79:$LJ$79,MATCH(W$4,RD_Kopf,0))),INDEX(Rohdaten!$A$79:$LJ$79,MATCH(W$4,RD_Kopf,0)),NA()),NA())</f>
        <v>0</v>
      </c>
      <c r="X95" s="5">
        <f>IFERROR(IF(ISNUMBER(INDEX(Rohdaten!$A$79:$LJ$79,MATCH(X$4,RD_Kopf,0))),INDEX(Rohdaten!$A$79:$LJ$79,MATCH(X$4,RD_Kopf,0)),NA()),NA())</f>
        <v>0</v>
      </c>
      <c r="Y95" s="5">
        <f>IFERROR(IF(ISNUMBER(INDEX(Rohdaten!$A$79:$LJ$79,MATCH(Y$4,RD_Kopf,0))),INDEX(Rohdaten!$A$79:$LJ$79,MATCH(Y$4,RD_Kopf,0)),NA()),NA())</f>
        <v>0</v>
      </c>
      <c r="Z95" s="5">
        <f>IFERROR(IF(ISNUMBER(INDEX(Rohdaten!$A$79:$LJ$79,MATCH(Z$4,RD_Kopf,0))),INDEX(Rohdaten!$A$79:$LJ$79,MATCH(Z$4,RD_Kopf,0)),NA()),NA())</f>
        <v>0</v>
      </c>
      <c r="AA95" s="5">
        <f>IFERROR(IF(ISNUMBER(INDEX(Rohdaten!$A$79:$LJ$79,MATCH(AA$4,RD_Kopf,0))),INDEX(Rohdaten!$A$79:$LJ$79,MATCH(AA$4,RD_Kopf,0)),NA()),NA())</f>
        <v>0</v>
      </c>
      <c r="AB95" s="5">
        <f>IFERROR(IF(ISNUMBER(INDEX(Rohdaten!$A$79:$LJ$79,MATCH(AB$4,RD_Kopf,0))),INDEX(Rohdaten!$A$79:$LJ$79,MATCH(AB$4,RD_Kopf,0)),NA()),NA())</f>
        <v>0</v>
      </c>
      <c r="AC95" s="5">
        <f>IFERROR(IF(ISNUMBER(INDEX(Rohdaten!$A$79:$LJ$79,MATCH(AC$4,RD_Kopf,0))),INDEX(Rohdaten!$A$79:$LJ$79,MATCH(AC$4,RD_Kopf,0)),NA()),NA())</f>
        <v>0</v>
      </c>
      <c r="AD95" s="5">
        <f>IFERROR(IF(ISNUMBER(INDEX(Rohdaten!$A$79:$LJ$79,MATCH(AD$4,RD_Kopf,0))),INDEX(Rohdaten!$A$79:$LJ$79,MATCH(AD$4,RD_Kopf,0)),NA()),NA())</f>
        <v>0</v>
      </c>
    </row>
    <row r="96" spans="1:68">
      <c r="A96" s="11" t="s">
        <v>255</v>
      </c>
      <c r="B96" s="11" t="s">
        <v>256</v>
      </c>
      <c r="C96" s="3" t="str">
        <f>"Rohdaten Z. "&amp;ROW(Rohdaten!$A$80)</f>
        <v>Rohdaten Z. 80</v>
      </c>
      <c r="D96" s="5">
        <f>IFERROR(IF(ISNUMBER(INDEX(Rohdaten!$A$80:$LJ$80,MATCH(D$4,RD_Kopf,0))),INDEX(Rohdaten!$A$80:$LJ$80,MATCH(D$4,RD_Kopf,0)),NA()),NA())</f>
        <v>0</v>
      </c>
      <c r="E96" s="5">
        <f>IFERROR(IF(ISNUMBER(INDEX(Rohdaten!$A$80:$LJ$80,MATCH(E$4,RD_Kopf,0))),INDEX(Rohdaten!$A$80:$LJ$80,MATCH(E$4,RD_Kopf,0)),NA()),NA())</f>
        <v>0</v>
      </c>
      <c r="F96" s="5">
        <f>IFERROR(IF(ISNUMBER(INDEX(Rohdaten!$A$80:$LJ$80,MATCH(F$4,RD_Kopf,0))),INDEX(Rohdaten!$A$80:$LJ$80,MATCH(F$4,RD_Kopf,0)),NA()),NA())</f>
        <v>0</v>
      </c>
      <c r="G96" s="5">
        <f>IFERROR(IF(ISNUMBER(INDEX(Rohdaten!$A$80:$LJ$80,MATCH(G$4,RD_Kopf,0))),INDEX(Rohdaten!$A$80:$LJ$80,MATCH(G$4,RD_Kopf,0)),NA()),NA())</f>
        <v>0</v>
      </c>
      <c r="H96" s="5">
        <f>IFERROR(IF(ISNUMBER(INDEX(Rohdaten!$A$80:$LJ$80,MATCH(H$4,RD_Kopf,0))),INDEX(Rohdaten!$A$80:$LJ$80,MATCH(H$4,RD_Kopf,0)),NA()),NA())</f>
        <v>0</v>
      </c>
      <c r="I96" s="5">
        <f>IFERROR(IF(ISNUMBER(INDEX(Rohdaten!$A$80:$LJ$80,MATCH(I$4,RD_Kopf,0))),INDEX(Rohdaten!$A$80:$LJ$80,MATCH(I$4,RD_Kopf,0)),NA()),NA())</f>
        <v>0</v>
      </c>
      <c r="J96" s="5">
        <f>IFERROR(IF(ISNUMBER(INDEX(Rohdaten!$A$80:$LJ$80,MATCH(J$4,RD_Kopf,0))),INDEX(Rohdaten!$A$80:$LJ$80,MATCH(J$4,RD_Kopf,0)),NA()),NA())</f>
        <v>0</v>
      </c>
      <c r="K96" s="5">
        <f>IFERROR(IF(ISNUMBER(INDEX(Rohdaten!$A$80:$LJ$80,MATCH(K$4,RD_Kopf,0))),INDEX(Rohdaten!$A$80:$LJ$80,MATCH(K$4,RD_Kopf,0)),NA()),NA())</f>
        <v>0</v>
      </c>
      <c r="L96" s="5">
        <f>IFERROR(IF(ISNUMBER(INDEX(Rohdaten!$A$80:$LJ$80,MATCH(L$4,RD_Kopf,0))),INDEX(Rohdaten!$A$80:$LJ$80,MATCH(L$4,RD_Kopf,0)),NA()),NA())</f>
        <v>0</v>
      </c>
      <c r="M96" s="5">
        <f>IFERROR(IF(ISNUMBER(INDEX(Rohdaten!$A$80:$LJ$80,MATCH(M$4,RD_Kopf,0))),INDEX(Rohdaten!$A$80:$LJ$80,MATCH(M$4,RD_Kopf,0)),NA()),NA())</f>
        <v>0</v>
      </c>
      <c r="N96" s="5">
        <f>IFERROR(IF(ISNUMBER(INDEX(Rohdaten!$A$80:$LJ$80,MATCH(N$4,RD_Kopf,0))),INDEX(Rohdaten!$A$80:$LJ$80,MATCH(N$4,RD_Kopf,0)),NA()),NA())</f>
        <v>0</v>
      </c>
      <c r="O96" s="5">
        <f>IFERROR(IF(ISNUMBER(INDEX(Rohdaten!$A$80:$LJ$80,MATCH(O$4,RD_Kopf,0))),INDEX(Rohdaten!$A$80:$LJ$80,MATCH(O$4,RD_Kopf,0)),NA()),NA())</f>
        <v>0</v>
      </c>
      <c r="P96" s="5">
        <f>IFERROR(IF(ISNUMBER(INDEX(Rohdaten!$A$80:$LJ$80,MATCH(P$4,RD_Kopf,0))),INDEX(Rohdaten!$A$80:$LJ$80,MATCH(P$4,RD_Kopf,0)),NA()),NA())</f>
        <v>0</v>
      </c>
      <c r="Q96" s="5">
        <f>IFERROR(IF(ISNUMBER(INDEX(Rohdaten!$A$80:$LJ$80,MATCH(Q$4,RD_Kopf,0))),INDEX(Rohdaten!$A$80:$LJ$80,MATCH(Q$4,RD_Kopf,0)),NA()),NA())</f>
        <v>0</v>
      </c>
      <c r="R96" s="5">
        <f>IFERROR(IF(ISNUMBER(INDEX(Rohdaten!$A$80:$LJ$80,MATCH(R$4,RD_Kopf,0))),INDEX(Rohdaten!$A$80:$LJ$80,MATCH(R$4,RD_Kopf,0)),NA()),NA())</f>
        <v>0</v>
      </c>
      <c r="S96" s="5">
        <f>IFERROR(IF(ISNUMBER(INDEX(Rohdaten!$A$80:$LJ$80,MATCH(S$4,RD_Kopf,0))),INDEX(Rohdaten!$A$80:$LJ$80,MATCH(S$4,RD_Kopf,0)),NA()),NA())</f>
        <v>0</v>
      </c>
      <c r="T96" s="5">
        <f>IFERROR(IF(ISNUMBER(INDEX(Rohdaten!$A$80:$LJ$80,MATCH(T$4,RD_Kopf,0))),INDEX(Rohdaten!$A$80:$LJ$80,MATCH(T$4,RD_Kopf,0)),NA()),NA())</f>
        <v>0</v>
      </c>
      <c r="U96" s="5">
        <f>IFERROR(IF(ISNUMBER(INDEX(Rohdaten!$A$80:$LJ$80,MATCH(U$4,RD_Kopf,0))),INDEX(Rohdaten!$A$80:$LJ$80,MATCH(U$4,RD_Kopf,0)),NA()),NA())</f>
        <v>0</v>
      </c>
      <c r="V96" s="5">
        <f>IFERROR(IF(ISNUMBER(INDEX(Rohdaten!$A$80:$LJ$80,MATCH(V$4,RD_Kopf,0))),INDEX(Rohdaten!$A$80:$LJ$80,MATCH(V$4,RD_Kopf,0)),NA()),NA())</f>
        <v>0</v>
      </c>
      <c r="W96" s="5">
        <f>IFERROR(IF(ISNUMBER(INDEX(Rohdaten!$A$80:$LJ$80,MATCH(W$4,RD_Kopf,0))),INDEX(Rohdaten!$A$80:$LJ$80,MATCH(W$4,RD_Kopf,0)),NA()),NA())</f>
        <v>0</v>
      </c>
      <c r="X96" s="5">
        <f>IFERROR(IF(ISNUMBER(INDEX(Rohdaten!$A$80:$LJ$80,MATCH(X$4,RD_Kopf,0))),INDEX(Rohdaten!$A$80:$LJ$80,MATCH(X$4,RD_Kopf,0)),NA()),NA())</f>
        <v>0</v>
      </c>
      <c r="Y96" s="5">
        <f>IFERROR(IF(ISNUMBER(INDEX(Rohdaten!$A$80:$LJ$80,MATCH(Y$4,RD_Kopf,0))),INDEX(Rohdaten!$A$80:$LJ$80,MATCH(Y$4,RD_Kopf,0)),NA()),NA())</f>
        <v>0</v>
      </c>
      <c r="Z96" s="5">
        <f>IFERROR(IF(ISNUMBER(INDEX(Rohdaten!$A$80:$LJ$80,MATCH(Z$4,RD_Kopf,0))),INDEX(Rohdaten!$A$80:$LJ$80,MATCH(Z$4,RD_Kopf,0)),NA()),NA())</f>
        <v>0</v>
      </c>
      <c r="AA96" s="5">
        <f>IFERROR(IF(ISNUMBER(INDEX(Rohdaten!$A$80:$LJ$80,MATCH(AA$4,RD_Kopf,0))),INDEX(Rohdaten!$A$80:$LJ$80,MATCH(AA$4,RD_Kopf,0)),NA()),NA())</f>
        <v>0</v>
      </c>
      <c r="AB96" s="5">
        <f>IFERROR(IF(ISNUMBER(INDEX(Rohdaten!$A$80:$LJ$80,MATCH(AB$4,RD_Kopf,0))),INDEX(Rohdaten!$A$80:$LJ$80,MATCH(AB$4,RD_Kopf,0)),NA()),NA())</f>
        <v>0</v>
      </c>
      <c r="AC96" s="5">
        <f>IFERROR(IF(ISNUMBER(INDEX(Rohdaten!$A$80:$LJ$80,MATCH(AC$4,RD_Kopf,0))),INDEX(Rohdaten!$A$80:$LJ$80,MATCH(AC$4,RD_Kopf,0)),NA()),NA())</f>
        <v>0</v>
      </c>
      <c r="AD96" s="5">
        <f>IFERROR(IF(ISNUMBER(INDEX(Rohdaten!$A$80:$LJ$80,MATCH(AD$4,RD_Kopf,0))),INDEX(Rohdaten!$A$80:$LJ$80,MATCH(AD$4,RD_Kopf,0)),NA()),NA())</f>
        <v>0</v>
      </c>
    </row>
    <row r="97" spans="1:68">
      <c r="A97" s="11" t="s">
        <v>257</v>
      </c>
      <c r="B97" s="11" t="s">
        <v>258</v>
      </c>
      <c r="C97" s="3" t="str">
        <f>"Rohdaten Z. "&amp;ROW(Rohdaten!$A$81)</f>
        <v>Rohdaten Z. 81</v>
      </c>
      <c r="D97" s="5">
        <f>IFERROR(IF(ISNUMBER(INDEX(Rohdaten!$A$81:$LJ$81,MATCH(D$4,RD_Kopf,0))),INDEX(Rohdaten!$A$81:$LJ$81,MATCH(D$4,RD_Kopf,0)),NA()),NA())</f>
        <v>0</v>
      </c>
      <c r="E97" s="5">
        <f>IFERROR(IF(ISNUMBER(INDEX(Rohdaten!$A$81:$LJ$81,MATCH(E$4,RD_Kopf,0))),INDEX(Rohdaten!$A$81:$LJ$81,MATCH(E$4,RD_Kopf,0)),NA()),NA())</f>
        <v>0</v>
      </c>
      <c r="F97" s="5">
        <f>IFERROR(IF(ISNUMBER(INDEX(Rohdaten!$A$81:$LJ$81,MATCH(F$4,RD_Kopf,0))),INDEX(Rohdaten!$A$81:$LJ$81,MATCH(F$4,RD_Kopf,0)),NA()),NA())</f>
        <v>0</v>
      </c>
      <c r="G97" s="5">
        <f>IFERROR(IF(ISNUMBER(INDEX(Rohdaten!$A$81:$LJ$81,MATCH(G$4,RD_Kopf,0))),INDEX(Rohdaten!$A$81:$LJ$81,MATCH(G$4,RD_Kopf,0)),NA()),NA())</f>
        <v>0</v>
      </c>
      <c r="H97" s="5">
        <f>IFERROR(IF(ISNUMBER(INDEX(Rohdaten!$A$81:$LJ$81,MATCH(H$4,RD_Kopf,0))),INDEX(Rohdaten!$A$81:$LJ$81,MATCH(H$4,RD_Kopf,0)),NA()),NA())</f>
        <v>0</v>
      </c>
      <c r="I97" s="5">
        <f>IFERROR(IF(ISNUMBER(INDEX(Rohdaten!$A$81:$LJ$81,MATCH(I$4,RD_Kopf,0))),INDEX(Rohdaten!$A$81:$LJ$81,MATCH(I$4,RD_Kopf,0)),NA()),NA())</f>
        <v>0</v>
      </c>
      <c r="J97" s="5">
        <f>IFERROR(IF(ISNUMBER(INDEX(Rohdaten!$A$81:$LJ$81,MATCH(J$4,RD_Kopf,0))),INDEX(Rohdaten!$A$81:$LJ$81,MATCH(J$4,RD_Kopf,0)),NA()),NA())</f>
        <v>0</v>
      </c>
      <c r="K97" s="5">
        <f>IFERROR(IF(ISNUMBER(INDEX(Rohdaten!$A$81:$LJ$81,MATCH(K$4,RD_Kopf,0))),INDEX(Rohdaten!$A$81:$LJ$81,MATCH(K$4,RD_Kopf,0)),NA()),NA())</f>
        <v>0</v>
      </c>
      <c r="L97" s="5">
        <f>IFERROR(IF(ISNUMBER(INDEX(Rohdaten!$A$81:$LJ$81,MATCH(L$4,RD_Kopf,0))),INDEX(Rohdaten!$A$81:$LJ$81,MATCH(L$4,RD_Kopf,0)),NA()),NA())</f>
        <v>0</v>
      </c>
      <c r="M97" s="5">
        <f>IFERROR(IF(ISNUMBER(INDEX(Rohdaten!$A$81:$LJ$81,MATCH(M$4,RD_Kopf,0))),INDEX(Rohdaten!$A$81:$LJ$81,MATCH(M$4,RD_Kopf,0)),NA()),NA())</f>
        <v>0</v>
      </c>
      <c r="N97" s="5">
        <f>IFERROR(IF(ISNUMBER(INDEX(Rohdaten!$A$81:$LJ$81,MATCH(N$4,RD_Kopf,0))),INDEX(Rohdaten!$A$81:$LJ$81,MATCH(N$4,RD_Kopf,0)),NA()),NA())</f>
        <v>0</v>
      </c>
      <c r="O97" s="5">
        <f>IFERROR(IF(ISNUMBER(INDEX(Rohdaten!$A$81:$LJ$81,MATCH(O$4,RD_Kopf,0))),INDEX(Rohdaten!$A$81:$LJ$81,MATCH(O$4,RD_Kopf,0)),NA()),NA())</f>
        <v>0</v>
      </c>
      <c r="P97" s="5">
        <f>IFERROR(IF(ISNUMBER(INDEX(Rohdaten!$A$81:$LJ$81,MATCH(P$4,RD_Kopf,0))),INDEX(Rohdaten!$A$81:$LJ$81,MATCH(P$4,RD_Kopf,0)),NA()),NA())</f>
        <v>0</v>
      </c>
      <c r="Q97" s="5">
        <f>IFERROR(IF(ISNUMBER(INDEX(Rohdaten!$A$81:$LJ$81,MATCH(Q$4,RD_Kopf,0))),INDEX(Rohdaten!$A$81:$LJ$81,MATCH(Q$4,RD_Kopf,0)),NA()),NA())</f>
        <v>0</v>
      </c>
      <c r="R97" s="5">
        <f>IFERROR(IF(ISNUMBER(INDEX(Rohdaten!$A$81:$LJ$81,MATCH(R$4,RD_Kopf,0))),INDEX(Rohdaten!$A$81:$LJ$81,MATCH(R$4,RD_Kopf,0)),NA()),NA())</f>
        <v>0</v>
      </c>
      <c r="S97" s="5">
        <f>IFERROR(IF(ISNUMBER(INDEX(Rohdaten!$A$81:$LJ$81,MATCH(S$4,RD_Kopf,0))),INDEX(Rohdaten!$A$81:$LJ$81,MATCH(S$4,RD_Kopf,0)),NA()),NA())</f>
        <v>0</v>
      </c>
      <c r="T97" s="5">
        <f>IFERROR(IF(ISNUMBER(INDEX(Rohdaten!$A$81:$LJ$81,MATCH(T$4,RD_Kopf,0))),INDEX(Rohdaten!$A$81:$LJ$81,MATCH(T$4,RD_Kopf,0)),NA()),NA())</f>
        <v>0</v>
      </c>
      <c r="U97" s="5">
        <f>IFERROR(IF(ISNUMBER(INDEX(Rohdaten!$A$81:$LJ$81,MATCH(U$4,RD_Kopf,0))),INDEX(Rohdaten!$A$81:$LJ$81,MATCH(U$4,RD_Kopf,0)),NA()),NA())</f>
        <v>0</v>
      </c>
      <c r="V97" s="5">
        <f>IFERROR(IF(ISNUMBER(INDEX(Rohdaten!$A$81:$LJ$81,MATCH(V$4,RD_Kopf,0))),INDEX(Rohdaten!$A$81:$LJ$81,MATCH(V$4,RD_Kopf,0)),NA()),NA())</f>
        <v>0</v>
      </c>
      <c r="W97" s="5">
        <f>IFERROR(IF(ISNUMBER(INDEX(Rohdaten!$A$81:$LJ$81,MATCH(W$4,RD_Kopf,0))),INDEX(Rohdaten!$A$81:$LJ$81,MATCH(W$4,RD_Kopf,0)),NA()),NA())</f>
        <v>0</v>
      </c>
      <c r="X97" s="5">
        <f>IFERROR(IF(ISNUMBER(INDEX(Rohdaten!$A$81:$LJ$81,MATCH(X$4,RD_Kopf,0))),INDEX(Rohdaten!$A$81:$LJ$81,MATCH(X$4,RD_Kopf,0)),NA()),NA())</f>
        <v>0</v>
      </c>
      <c r="Y97" s="5">
        <f>IFERROR(IF(ISNUMBER(INDEX(Rohdaten!$A$81:$LJ$81,MATCH(Y$4,RD_Kopf,0))),INDEX(Rohdaten!$A$81:$LJ$81,MATCH(Y$4,RD_Kopf,0)),NA()),NA())</f>
        <v>0</v>
      </c>
      <c r="Z97" s="5">
        <f>IFERROR(IF(ISNUMBER(INDEX(Rohdaten!$A$81:$LJ$81,MATCH(Z$4,RD_Kopf,0))),INDEX(Rohdaten!$A$81:$LJ$81,MATCH(Z$4,RD_Kopf,0)),NA()),NA())</f>
        <v>0</v>
      </c>
      <c r="AA97" s="5">
        <f>IFERROR(IF(ISNUMBER(INDEX(Rohdaten!$A$81:$LJ$81,MATCH(AA$4,RD_Kopf,0))),INDEX(Rohdaten!$A$81:$LJ$81,MATCH(AA$4,RD_Kopf,0)),NA()),NA())</f>
        <v>0</v>
      </c>
      <c r="AB97" s="5">
        <f>IFERROR(IF(ISNUMBER(INDEX(Rohdaten!$A$81:$LJ$81,MATCH(AB$4,RD_Kopf,0))),INDEX(Rohdaten!$A$81:$LJ$81,MATCH(AB$4,RD_Kopf,0)),NA()),NA())</f>
        <v>0</v>
      </c>
      <c r="AC97" s="5">
        <f>IFERROR(IF(ISNUMBER(INDEX(Rohdaten!$A$81:$LJ$81,MATCH(AC$4,RD_Kopf,0))),INDEX(Rohdaten!$A$81:$LJ$81,MATCH(AC$4,RD_Kopf,0)),NA()),NA())</f>
        <v>0</v>
      </c>
      <c r="AD97" s="5">
        <f>IFERROR(IF(ISNUMBER(INDEX(Rohdaten!$A$81:$LJ$81,MATCH(AD$4,RD_Kopf,0))),INDEX(Rohdaten!$A$81:$LJ$81,MATCH(AD$4,RD_Kopf,0)),NA()),NA())</f>
        <v>0</v>
      </c>
    </row>
    <row r="98" spans="1:68">
      <c r="A98" s="11" t="s">
        <v>259</v>
      </c>
      <c r="B98" s="11" t="s">
        <v>260</v>
      </c>
      <c r="C98" s="3" t="str">
        <f>"Rohdaten Z. "&amp;ROW(Rohdaten!$A$82)</f>
        <v>Rohdaten Z. 82</v>
      </c>
      <c r="D98" s="5">
        <f>IFERROR(IF(ISNUMBER(INDEX(Rohdaten!$A$82:$LJ$82,MATCH(D$4,RD_Kopf,0))),INDEX(Rohdaten!$A$82:$LJ$82,MATCH(D$4,RD_Kopf,0)),NA()),NA())</f>
        <v>0</v>
      </c>
      <c r="E98" s="5">
        <f>IFERROR(IF(ISNUMBER(INDEX(Rohdaten!$A$82:$LJ$82,MATCH(E$4,RD_Kopf,0))),INDEX(Rohdaten!$A$82:$LJ$82,MATCH(E$4,RD_Kopf,0)),NA()),NA())</f>
        <v>0</v>
      </c>
      <c r="F98" s="5">
        <f>IFERROR(IF(ISNUMBER(INDEX(Rohdaten!$A$82:$LJ$82,MATCH(F$4,RD_Kopf,0))),INDEX(Rohdaten!$A$82:$LJ$82,MATCH(F$4,RD_Kopf,0)),NA()),NA())</f>
        <v>0</v>
      </c>
      <c r="G98" s="5">
        <f>IFERROR(IF(ISNUMBER(INDEX(Rohdaten!$A$82:$LJ$82,MATCH(G$4,RD_Kopf,0))),INDEX(Rohdaten!$A$82:$LJ$82,MATCH(G$4,RD_Kopf,0)),NA()),NA())</f>
        <v>0</v>
      </c>
      <c r="H98" s="5">
        <f>IFERROR(IF(ISNUMBER(INDEX(Rohdaten!$A$82:$LJ$82,MATCH(H$4,RD_Kopf,0))),INDEX(Rohdaten!$A$82:$LJ$82,MATCH(H$4,RD_Kopf,0)),NA()),NA())</f>
        <v>0</v>
      </c>
      <c r="I98" s="5">
        <f>IFERROR(IF(ISNUMBER(INDEX(Rohdaten!$A$82:$LJ$82,MATCH(I$4,RD_Kopf,0))),INDEX(Rohdaten!$A$82:$LJ$82,MATCH(I$4,RD_Kopf,0)),NA()),NA())</f>
        <v>0</v>
      </c>
      <c r="J98" s="5">
        <f>IFERROR(IF(ISNUMBER(INDEX(Rohdaten!$A$82:$LJ$82,MATCH(J$4,RD_Kopf,0))),INDEX(Rohdaten!$A$82:$LJ$82,MATCH(J$4,RD_Kopf,0)),NA()),NA())</f>
        <v>0</v>
      </c>
      <c r="K98" s="5">
        <f>IFERROR(IF(ISNUMBER(INDEX(Rohdaten!$A$82:$LJ$82,MATCH(K$4,RD_Kopf,0))),INDEX(Rohdaten!$A$82:$LJ$82,MATCH(K$4,RD_Kopf,0)),NA()),NA())</f>
        <v>0</v>
      </c>
      <c r="L98" s="5">
        <f>IFERROR(IF(ISNUMBER(INDEX(Rohdaten!$A$82:$LJ$82,MATCH(L$4,RD_Kopf,0))),INDEX(Rohdaten!$A$82:$LJ$82,MATCH(L$4,RD_Kopf,0)),NA()),NA())</f>
        <v>0</v>
      </c>
      <c r="M98" s="5">
        <f>IFERROR(IF(ISNUMBER(INDEX(Rohdaten!$A$82:$LJ$82,MATCH(M$4,RD_Kopf,0))),INDEX(Rohdaten!$A$82:$LJ$82,MATCH(M$4,RD_Kopf,0)),NA()),NA())</f>
        <v>0</v>
      </c>
      <c r="N98" s="5">
        <f>IFERROR(IF(ISNUMBER(INDEX(Rohdaten!$A$82:$LJ$82,MATCH(N$4,RD_Kopf,0))),INDEX(Rohdaten!$A$82:$LJ$82,MATCH(N$4,RD_Kopf,0)),NA()),NA())</f>
        <v>0</v>
      </c>
      <c r="O98" s="5">
        <f>IFERROR(IF(ISNUMBER(INDEX(Rohdaten!$A$82:$LJ$82,MATCH(O$4,RD_Kopf,0))),INDEX(Rohdaten!$A$82:$LJ$82,MATCH(O$4,RD_Kopf,0)),NA()),NA())</f>
        <v>0</v>
      </c>
      <c r="P98" s="5">
        <f>IFERROR(IF(ISNUMBER(INDEX(Rohdaten!$A$82:$LJ$82,MATCH(P$4,RD_Kopf,0))),INDEX(Rohdaten!$A$82:$LJ$82,MATCH(P$4,RD_Kopf,0)),NA()),NA())</f>
        <v>0</v>
      </c>
      <c r="Q98" s="5">
        <f>IFERROR(IF(ISNUMBER(INDEX(Rohdaten!$A$82:$LJ$82,MATCH(Q$4,RD_Kopf,0))),INDEX(Rohdaten!$A$82:$LJ$82,MATCH(Q$4,RD_Kopf,0)),NA()),NA())</f>
        <v>0</v>
      </c>
      <c r="R98" s="5">
        <f>IFERROR(IF(ISNUMBER(INDEX(Rohdaten!$A$82:$LJ$82,MATCH(R$4,RD_Kopf,0))),INDEX(Rohdaten!$A$82:$LJ$82,MATCH(R$4,RD_Kopf,0)),NA()),NA())</f>
        <v>0</v>
      </c>
      <c r="S98" s="5">
        <f>IFERROR(IF(ISNUMBER(INDEX(Rohdaten!$A$82:$LJ$82,MATCH(S$4,RD_Kopf,0))),INDEX(Rohdaten!$A$82:$LJ$82,MATCH(S$4,RD_Kopf,0)),NA()),NA())</f>
        <v>0</v>
      </c>
      <c r="T98" s="5">
        <f>IFERROR(IF(ISNUMBER(INDEX(Rohdaten!$A$82:$LJ$82,MATCH(T$4,RD_Kopf,0))),INDEX(Rohdaten!$A$82:$LJ$82,MATCH(T$4,RD_Kopf,0)),NA()),NA())</f>
        <v>0</v>
      </c>
      <c r="U98" s="5">
        <f>IFERROR(IF(ISNUMBER(INDEX(Rohdaten!$A$82:$LJ$82,MATCH(U$4,RD_Kopf,0))),INDEX(Rohdaten!$A$82:$LJ$82,MATCH(U$4,RD_Kopf,0)),NA()),NA())</f>
        <v>0</v>
      </c>
      <c r="V98" s="5">
        <f>IFERROR(IF(ISNUMBER(INDEX(Rohdaten!$A$82:$LJ$82,MATCH(V$4,RD_Kopf,0))),INDEX(Rohdaten!$A$82:$LJ$82,MATCH(V$4,RD_Kopf,0)),NA()),NA())</f>
        <v>0</v>
      </c>
      <c r="W98" s="5">
        <f>IFERROR(IF(ISNUMBER(INDEX(Rohdaten!$A$82:$LJ$82,MATCH(W$4,RD_Kopf,0))),INDEX(Rohdaten!$A$82:$LJ$82,MATCH(W$4,RD_Kopf,0)),NA()),NA())</f>
        <v>0</v>
      </c>
      <c r="X98" s="5">
        <f>IFERROR(IF(ISNUMBER(INDEX(Rohdaten!$A$82:$LJ$82,MATCH(X$4,RD_Kopf,0))),INDEX(Rohdaten!$A$82:$LJ$82,MATCH(X$4,RD_Kopf,0)),NA()),NA())</f>
        <v>0</v>
      </c>
      <c r="Y98" s="5">
        <f>IFERROR(IF(ISNUMBER(INDEX(Rohdaten!$A$82:$LJ$82,MATCH(Y$4,RD_Kopf,0))),INDEX(Rohdaten!$A$82:$LJ$82,MATCH(Y$4,RD_Kopf,0)),NA()),NA())</f>
        <v>0</v>
      </c>
      <c r="Z98" s="5">
        <f>IFERROR(IF(ISNUMBER(INDEX(Rohdaten!$A$82:$LJ$82,MATCH(Z$4,RD_Kopf,0))),INDEX(Rohdaten!$A$82:$LJ$82,MATCH(Z$4,RD_Kopf,0)),NA()),NA())</f>
        <v>0</v>
      </c>
      <c r="AA98" s="5">
        <f>IFERROR(IF(ISNUMBER(INDEX(Rohdaten!$A$82:$LJ$82,MATCH(AA$4,RD_Kopf,0))),INDEX(Rohdaten!$A$82:$LJ$82,MATCH(AA$4,RD_Kopf,0)),NA()),NA())</f>
        <v>0</v>
      </c>
      <c r="AB98" s="5">
        <f>IFERROR(IF(ISNUMBER(INDEX(Rohdaten!$A$82:$LJ$82,MATCH(AB$4,RD_Kopf,0))),INDEX(Rohdaten!$A$82:$LJ$82,MATCH(AB$4,RD_Kopf,0)),NA()),NA())</f>
        <v>0</v>
      </c>
      <c r="AC98" s="5">
        <f>IFERROR(IF(ISNUMBER(INDEX(Rohdaten!$A$82:$LJ$82,MATCH(AC$4,RD_Kopf,0))),INDEX(Rohdaten!$A$82:$LJ$82,MATCH(AC$4,RD_Kopf,0)),NA()),NA())</f>
        <v>0</v>
      </c>
      <c r="AD98" s="5">
        <f>IFERROR(IF(ISNUMBER(INDEX(Rohdaten!$A$82:$LJ$82,MATCH(AD$4,RD_Kopf,0))),INDEX(Rohdaten!$A$82:$LJ$82,MATCH(AD$4,RD_Kopf,0)),NA()),NA())</f>
        <v>0</v>
      </c>
    </row>
    <row r="99" spans="1:68">
      <c r="A99" s="11" t="s">
        <v>261</v>
      </c>
      <c r="B99" s="11" t="s">
        <v>262</v>
      </c>
      <c r="C99" s="3" t="str">
        <f>"Rohdaten Z. "&amp;ROW(Rohdaten!$A$84)</f>
        <v>Rohdaten Z. 84</v>
      </c>
      <c r="D99" s="5">
        <f>IFERROR(IF(ISNUMBER(INDEX(Rohdaten!$A$84:$LJ$84,MATCH(D$4,RD_Kopf,0))),INDEX(Rohdaten!$A$84:$LJ$84,MATCH(D$4,RD_Kopf,0)),NA()),NA())</f>
        <v>0</v>
      </c>
      <c r="E99" s="5">
        <f>IFERROR(IF(ISNUMBER(INDEX(Rohdaten!$A$84:$LJ$84,MATCH(E$4,RD_Kopf,0))),INDEX(Rohdaten!$A$84:$LJ$84,MATCH(E$4,RD_Kopf,0)),NA()),NA())</f>
        <v>0</v>
      </c>
      <c r="F99" s="5">
        <f>IFERROR(IF(ISNUMBER(INDEX(Rohdaten!$A$84:$LJ$84,MATCH(F$4,RD_Kopf,0))),INDEX(Rohdaten!$A$84:$LJ$84,MATCH(F$4,RD_Kopf,0)),NA()),NA())</f>
        <v>0</v>
      </c>
      <c r="G99" s="5">
        <f>IFERROR(IF(ISNUMBER(INDEX(Rohdaten!$A$84:$LJ$84,MATCH(G$4,RD_Kopf,0))),INDEX(Rohdaten!$A$84:$LJ$84,MATCH(G$4,RD_Kopf,0)),NA()),NA())</f>
        <v>0</v>
      </c>
      <c r="H99" s="5">
        <f>IFERROR(IF(ISNUMBER(INDEX(Rohdaten!$A$84:$LJ$84,MATCH(H$4,RD_Kopf,0))),INDEX(Rohdaten!$A$84:$LJ$84,MATCH(H$4,RD_Kopf,0)),NA()),NA())</f>
        <v>0</v>
      </c>
      <c r="I99" s="5">
        <f>IFERROR(IF(ISNUMBER(INDEX(Rohdaten!$A$84:$LJ$84,MATCH(I$4,RD_Kopf,0))),INDEX(Rohdaten!$A$84:$LJ$84,MATCH(I$4,RD_Kopf,0)),NA()),NA())</f>
        <v>0</v>
      </c>
      <c r="J99" s="5">
        <f>IFERROR(IF(ISNUMBER(INDEX(Rohdaten!$A$84:$LJ$84,MATCH(J$4,RD_Kopf,0))),INDEX(Rohdaten!$A$84:$LJ$84,MATCH(J$4,RD_Kopf,0)),NA()),NA())</f>
        <v>0</v>
      </c>
      <c r="K99" s="5">
        <f>IFERROR(IF(ISNUMBER(INDEX(Rohdaten!$A$84:$LJ$84,MATCH(K$4,RD_Kopf,0))),INDEX(Rohdaten!$A$84:$LJ$84,MATCH(K$4,RD_Kopf,0)),NA()),NA())</f>
        <v>0</v>
      </c>
      <c r="L99" s="5">
        <f>IFERROR(IF(ISNUMBER(INDEX(Rohdaten!$A$84:$LJ$84,MATCH(L$4,RD_Kopf,0))),INDEX(Rohdaten!$A$84:$LJ$84,MATCH(L$4,RD_Kopf,0)),NA()),NA())</f>
        <v>0</v>
      </c>
      <c r="M99" s="5">
        <f>IFERROR(IF(ISNUMBER(INDEX(Rohdaten!$A$84:$LJ$84,MATCH(M$4,RD_Kopf,0))),INDEX(Rohdaten!$A$84:$LJ$84,MATCH(M$4,RD_Kopf,0)),NA()),NA())</f>
        <v>0</v>
      </c>
      <c r="N99" s="5">
        <f>IFERROR(IF(ISNUMBER(INDEX(Rohdaten!$A$84:$LJ$84,MATCH(N$4,RD_Kopf,0))),INDEX(Rohdaten!$A$84:$LJ$84,MATCH(N$4,RD_Kopf,0)),NA()),NA())</f>
        <v>0</v>
      </c>
      <c r="O99" s="5">
        <f>IFERROR(IF(ISNUMBER(INDEX(Rohdaten!$A$84:$LJ$84,MATCH(O$4,RD_Kopf,0))),INDEX(Rohdaten!$A$84:$LJ$84,MATCH(O$4,RD_Kopf,0)),NA()),NA())</f>
        <v>0</v>
      </c>
      <c r="P99" s="5">
        <f>IFERROR(IF(ISNUMBER(INDEX(Rohdaten!$A$84:$LJ$84,MATCH(P$4,RD_Kopf,0))),INDEX(Rohdaten!$A$84:$LJ$84,MATCH(P$4,RD_Kopf,0)),NA()),NA())</f>
        <v>0</v>
      </c>
      <c r="Q99" s="5">
        <f>IFERROR(IF(ISNUMBER(INDEX(Rohdaten!$A$84:$LJ$84,MATCH(Q$4,RD_Kopf,0))),INDEX(Rohdaten!$A$84:$LJ$84,MATCH(Q$4,RD_Kopf,0)),NA()),NA())</f>
        <v>0</v>
      </c>
      <c r="R99" s="5">
        <f>IFERROR(IF(ISNUMBER(INDEX(Rohdaten!$A$84:$LJ$84,MATCH(R$4,RD_Kopf,0))),INDEX(Rohdaten!$A$84:$LJ$84,MATCH(R$4,RD_Kopf,0)),NA()),NA())</f>
        <v>0</v>
      </c>
      <c r="S99" s="5">
        <f>IFERROR(IF(ISNUMBER(INDEX(Rohdaten!$A$84:$LJ$84,MATCH(S$4,RD_Kopf,0))),INDEX(Rohdaten!$A$84:$LJ$84,MATCH(S$4,RD_Kopf,0)),NA()),NA())</f>
        <v>0</v>
      </c>
      <c r="T99" s="5">
        <f>IFERROR(IF(ISNUMBER(INDEX(Rohdaten!$A$84:$LJ$84,MATCH(T$4,RD_Kopf,0))),INDEX(Rohdaten!$A$84:$LJ$84,MATCH(T$4,RD_Kopf,0)),NA()),NA())</f>
        <v>0</v>
      </c>
      <c r="U99" s="5">
        <f>IFERROR(IF(ISNUMBER(INDEX(Rohdaten!$A$84:$LJ$84,MATCH(U$4,RD_Kopf,0))),INDEX(Rohdaten!$A$84:$LJ$84,MATCH(U$4,RD_Kopf,0)),NA()),NA())</f>
        <v>0</v>
      </c>
      <c r="V99" s="5">
        <f>IFERROR(IF(ISNUMBER(INDEX(Rohdaten!$A$84:$LJ$84,MATCH(V$4,RD_Kopf,0))),INDEX(Rohdaten!$A$84:$LJ$84,MATCH(V$4,RD_Kopf,0)),NA()),NA())</f>
        <v>0</v>
      </c>
      <c r="W99" s="5">
        <f>IFERROR(IF(ISNUMBER(INDEX(Rohdaten!$A$84:$LJ$84,MATCH(W$4,RD_Kopf,0))),INDEX(Rohdaten!$A$84:$LJ$84,MATCH(W$4,RD_Kopf,0)),NA()),NA())</f>
        <v>0</v>
      </c>
      <c r="X99" s="5">
        <f>IFERROR(IF(ISNUMBER(INDEX(Rohdaten!$A$84:$LJ$84,MATCH(X$4,RD_Kopf,0))),INDEX(Rohdaten!$A$84:$LJ$84,MATCH(X$4,RD_Kopf,0)),NA()),NA())</f>
        <v>0</v>
      </c>
      <c r="Y99" s="5">
        <f>IFERROR(IF(ISNUMBER(INDEX(Rohdaten!$A$84:$LJ$84,MATCH(Y$4,RD_Kopf,0))),INDEX(Rohdaten!$A$84:$LJ$84,MATCH(Y$4,RD_Kopf,0)),NA()),NA())</f>
        <v>0</v>
      </c>
      <c r="Z99" s="5">
        <f>IFERROR(IF(ISNUMBER(INDEX(Rohdaten!$A$84:$LJ$84,MATCH(Z$4,RD_Kopf,0))),INDEX(Rohdaten!$A$84:$LJ$84,MATCH(Z$4,RD_Kopf,0)),NA()),NA())</f>
        <v>0</v>
      </c>
      <c r="AA99" s="5">
        <f>IFERROR(IF(ISNUMBER(INDEX(Rohdaten!$A$84:$LJ$84,MATCH(AA$4,RD_Kopf,0))),INDEX(Rohdaten!$A$84:$LJ$84,MATCH(AA$4,RD_Kopf,0)),NA()),NA())</f>
        <v>0</v>
      </c>
      <c r="AB99" s="5">
        <f>IFERROR(IF(ISNUMBER(INDEX(Rohdaten!$A$84:$LJ$84,MATCH(AB$4,RD_Kopf,0))),INDEX(Rohdaten!$A$84:$LJ$84,MATCH(AB$4,RD_Kopf,0)),NA()),NA())</f>
        <v>0</v>
      </c>
      <c r="AC99" s="5">
        <f>IFERROR(IF(ISNUMBER(INDEX(Rohdaten!$A$84:$LJ$84,MATCH(AC$4,RD_Kopf,0))),INDEX(Rohdaten!$A$84:$LJ$84,MATCH(AC$4,RD_Kopf,0)),NA()),NA())</f>
        <v>0</v>
      </c>
      <c r="AD99" s="5">
        <f>IFERROR(IF(ISNUMBER(INDEX(Rohdaten!$A$84:$LJ$84,MATCH(AD$4,RD_Kopf,0))),INDEX(Rohdaten!$A$84:$LJ$84,MATCH(AD$4,RD_Kopf,0)),NA()),NA())</f>
        <v>0</v>
      </c>
    </row>
    <row r="100" spans="1:68">
      <c r="A100" s="11" t="s">
        <v>263</v>
      </c>
      <c r="B100" s="11" t="s">
        <v>264</v>
      </c>
      <c r="C100" s="3" t="str">
        <f>"Rohdaten Z. "&amp;ROW(Rohdaten!$A$88)</f>
        <v>Rohdaten Z. 88</v>
      </c>
      <c r="D100" s="5">
        <f>IFERROR(IF(ISNUMBER(INDEX(Rohdaten!$A$88:$LJ$88,MATCH(D$4,RD_Kopf,0))),INDEX(Rohdaten!$A$88:$LJ$88,MATCH(D$4,RD_Kopf,0)),NA()),NA())</f>
        <v>0</v>
      </c>
      <c r="E100" s="5">
        <f>IFERROR(IF(ISNUMBER(INDEX(Rohdaten!$A$88:$LJ$88,MATCH(E$4,RD_Kopf,0))),INDEX(Rohdaten!$A$88:$LJ$88,MATCH(E$4,RD_Kopf,0)),NA()),NA())</f>
        <v>0</v>
      </c>
      <c r="F100" s="5">
        <f>IFERROR(IF(ISNUMBER(INDEX(Rohdaten!$A$88:$LJ$88,MATCH(F$4,RD_Kopf,0))),INDEX(Rohdaten!$A$88:$LJ$88,MATCH(F$4,RD_Kopf,0)),NA()),NA())</f>
        <v>0</v>
      </c>
      <c r="G100" s="5">
        <f>IFERROR(IF(ISNUMBER(INDEX(Rohdaten!$A$88:$LJ$88,MATCH(G$4,RD_Kopf,0))),INDEX(Rohdaten!$A$88:$LJ$88,MATCH(G$4,RD_Kopf,0)),NA()),NA())</f>
        <v>0</v>
      </c>
      <c r="H100" s="5">
        <f>IFERROR(IF(ISNUMBER(INDEX(Rohdaten!$A$88:$LJ$88,MATCH(H$4,RD_Kopf,0))),INDEX(Rohdaten!$A$88:$LJ$88,MATCH(H$4,RD_Kopf,0)),NA()),NA())</f>
        <v>0</v>
      </c>
      <c r="I100" s="5">
        <f>IFERROR(IF(ISNUMBER(INDEX(Rohdaten!$A$88:$LJ$88,MATCH(I$4,RD_Kopf,0))),INDEX(Rohdaten!$A$88:$LJ$88,MATCH(I$4,RD_Kopf,0)),NA()),NA())</f>
        <v>0</v>
      </c>
      <c r="J100" s="5">
        <f>IFERROR(IF(ISNUMBER(INDEX(Rohdaten!$A$88:$LJ$88,MATCH(J$4,RD_Kopf,0))),INDEX(Rohdaten!$A$88:$LJ$88,MATCH(J$4,RD_Kopf,0)),NA()),NA())</f>
        <v>0</v>
      </c>
      <c r="K100" s="5">
        <f>IFERROR(IF(ISNUMBER(INDEX(Rohdaten!$A$88:$LJ$88,MATCH(K$4,RD_Kopf,0))),INDEX(Rohdaten!$A$88:$LJ$88,MATCH(K$4,RD_Kopf,0)),NA()),NA())</f>
        <v>0</v>
      </c>
      <c r="L100" s="5">
        <f>IFERROR(IF(ISNUMBER(INDEX(Rohdaten!$A$88:$LJ$88,MATCH(L$4,RD_Kopf,0))),INDEX(Rohdaten!$A$88:$LJ$88,MATCH(L$4,RD_Kopf,0)),NA()),NA())</f>
        <v>0</v>
      </c>
      <c r="M100" s="5">
        <f>IFERROR(IF(ISNUMBER(INDEX(Rohdaten!$A$88:$LJ$88,MATCH(M$4,RD_Kopf,0))),INDEX(Rohdaten!$A$88:$LJ$88,MATCH(M$4,RD_Kopf,0)),NA()),NA())</f>
        <v>0</v>
      </c>
      <c r="N100" s="5">
        <f>IFERROR(IF(ISNUMBER(INDEX(Rohdaten!$A$88:$LJ$88,MATCH(N$4,RD_Kopf,0))),INDEX(Rohdaten!$A$88:$LJ$88,MATCH(N$4,RD_Kopf,0)),NA()),NA())</f>
        <v>0</v>
      </c>
      <c r="O100" s="5">
        <f>IFERROR(IF(ISNUMBER(INDEX(Rohdaten!$A$88:$LJ$88,MATCH(O$4,RD_Kopf,0))),INDEX(Rohdaten!$A$88:$LJ$88,MATCH(O$4,RD_Kopf,0)),NA()),NA())</f>
        <v>0</v>
      </c>
      <c r="P100" s="5">
        <f>IFERROR(IF(ISNUMBER(INDEX(Rohdaten!$A$88:$LJ$88,MATCH(P$4,RD_Kopf,0))),INDEX(Rohdaten!$A$88:$LJ$88,MATCH(P$4,RD_Kopf,0)),NA()),NA())</f>
        <v>0</v>
      </c>
      <c r="Q100" s="5">
        <f>IFERROR(IF(ISNUMBER(INDEX(Rohdaten!$A$88:$LJ$88,MATCH(Q$4,RD_Kopf,0))),INDEX(Rohdaten!$A$88:$LJ$88,MATCH(Q$4,RD_Kopf,0)),NA()),NA())</f>
        <v>0</v>
      </c>
      <c r="R100" s="5">
        <f>IFERROR(IF(ISNUMBER(INDEX(Rohdaten!$A$88:$LJ$88,MATCH(R$4,RD_Kopf,0))),INDEX(Rohdaten!$A$88:$LJ$88,MATCH(R$4,RD_Kopf,0)),NA()),NA())</f>
        <v>0</v>
      </c>
      <c r="S100" s="5">
        <f>IFERROR(IF(ISNUMBER(INDEX(Rohdaten!$A$88:$LJ$88,MATCH(S$4,RD_Kopf,0))),INDEX(Rohdaten!$A$88:$LJ$88,MATCH(S$4,RD_Kopf,0)),NA()),NA())</f>
        <v>0</v>
      </c>
      <c r="T100" s="5">
        <f>IFERROR(IF(ISNUMBER(INDEX(Rohdaten!$A$88:$LJ$88,MATCH(T$4,RD_Kopf,0))),INDEX(Rohdaten!$A$88:$LJ$88,MATCH(T$4,RD_Kopf,0)),NA()),NA())</f>
        <v>0</v>
      </c>
      <c r="U100" s="5">
        <f>IFERROR(IF(ISNUMBER(INDEX(Rohdaten!$A$88:$LJ$88,MATCH(U$4,RD_Kopf,0))),INDEX(Rohdaten!$A$88:$LJ$88,MATCH(U$4,RD_Kopf,0)),NA()),NA())</f>
        <v>0</v>
      </c>
      <c r="V100" s="5">
        <f>IFERROR(IF(ISNUMBER(INDEX(Rohdaten!$A$88:$LJ$88,MATCH(V$4,RD_Kopf,0))),INDEX(Rohdaten!$A$88:$LJ$88,MATCH(V$4,RD_Kopf,0)),NA()),NA())</f>
        <v>0</v>
      </c>
      <c r="W100" s="5">
        <f>IFERROR(IF(ISNUMBER(INDEX(Rohdaten!$A$88:$LJ$88,MATCH(W$4,RD_Kopf,0))),INDEX(Rohdaten!$A$88:$LJ$88,MATCH(W$4,RD_Kopf,0)),NA()),NA())</f>
        <v>0</v>
      </c>
      <c r="X100" s="5">
        <f>IFERROR(IF(ISNUMBER(INDEX(Rohdaten!$A$88:$LJ$88,MATCH(X$4,RD_Kopf,0))),INDEX(Rohdaten!$A$88:$LJ$88,MATCH(X$4,RD_Kopf,0)),NA()),NA())</f>
        <v>0</v>
      </c>
      <c r="Y100" s="5">
        <f>IFERROR(IF(ISNUMBER(INDEX(Rohdaten!$A$88:$LJ$88,MATCH(Y$4,RD_Kopf,0))),INDEX(Rohdaten!$A$88:$LJ$88,MATCH(Y$4,RD_Kopf,0)),NA()),NA())</f>
        <v>0</v>
      </c>
      <c r="Z100" s="5">
        <f>IFERROR(IF(ISNUMBER(INDEX(Rohdaten!$A$88:$LJ$88,MATCH(Z$4,RD_Kopf,0))),INDEX(Rohdaten!$A$88:$LJ$88,MATCH(Z$4,RD_Kopf,0)),NA()),NA())</f>
        <v>0</v>
      </c>
      <c r="AA100" s="5">
        <f>IFERROR(IF(ISNUMBER(INDEX(Rohdaten!$A$88:$LJ$88,MATCH(AA$4,RD_Kopf,0))),INDEX(Rohdaten!$A$88:$LJ$88,MATCH(AA$4,RD_Kopf,0)),NA()),NA())</f>
        <v>0</v>
      </c>
      <c r="AB100" s="5">
        <f>IFERROR(IF(ISNUMBER(INDEX(Rohdaten!$A$88:$LJ$88,MATCH(AB$4,RD_Kopf,0))),INDEX(Rohdaten!$A$88:$LJ$88,MATCH(AB$4,RD_Kopf,0)),NA()),NA())</f>
        <v>0</v>
      </c>
      <c r="AC100" s="5">
        <f>IFERROR(IF(ISNUMBER(INDEX(Rohdaten!$A$88:$LJ$88,MATCH(AC$4,RD_Kopf,0))),INDEX(Rohdaten!$A$88:$LJ$88,MATCH(AC$4,RD_Kopf,0)),NA()),NA())</f>
        <v>0</v>
      </c>
      <c r="AD100" s="5">
        <f>IFERROR(IF(ISNUMBER(INDEX(Rohdaten!$A$88:$LJ$88,MATCH(AD$4,RD_Kopf,0))),INDEX(Rohdaten!$A$88:$LJ$88,MATCH(AD$4,RD_Kopf,0)),NA()),NA())</f>
        <v>0</v>
      </c>
    </row>
    <row r="101" spans="1:68">
      <c r="A101" s="11" t="s">
        <v>265</v>
      </c>
      <c r="B101" s="11" t="s">
        <v>266</v>
      </c>
      <c r="C101" s="3" t="str">
        <f>"Rohdaten Z. "&amp;ROW(Rohdaten!$A$85)</f>
        <v>Rohdaten Z. 85</v>
      </c>
      <c r="D101" s="5">
        <f>IFERROR(IF(ISNUMBER(INDEX(Rohdaten!$A$85:$LJ$85,MATCH(D$4,RD_Kopf,0))),INDEX(Rohdaten!$A$85:$LJ$85,MATCH(D$4,RD_Kopf,0)),NA()),NA())</f>
        <v>0</v>
      </c>
      <c r="E101" s="5">
        <f>IFERROR(IF(ISNUMBER(INDEX(Rohdaten!$A$85:$LJ$85,MATCH(E$4,RD_Kopf,0))),INDEX(Rohdaten!$A$85:$LJ$85,MATCH(E$4,RD_Kopf,0)),NA()),NA())</f>
        <v>0</v>
      </c>
      <c r="F101" s="5">
        <f>IFERROR(IF(ISNUMBER(INDEX(Rohdaten!$A$85:$LJ$85,MATCH(F$4,RD_Kopf,0))),INDEX(Rohdaten!$A$85:$LJ$85,MATCH(F$4,RD_Kopf,0)),NA()),NA())</f>
        <v>0</v>
      </c>
      <c r="G101" s="5">
        <f>IFERROR(IF(ISNUMBER(INDEX(Rohdaten!$A$85:$LJ$85,MATCH(G$4,RD_Kopf,0))),INDEX(Rohdaten!$A$85:$LJ$85,MATCH(G$4,RD_Kopf,0)),NA()),NA())</f>
        <v>0</v>
      </c>
      <c r="H101" s="5">
        <f>IFERROR(IF(ISNUMBER(INDEX(Rohdaten!$A$85:$LJ$85,MATCH(H$4,RD_Kopf,0))),INDEX(Rohdaten!$A$85:$LJ$85,MATCH(H$4,RD_Kopf,0)),NA()),NA())</f>
        <v>0</v>
      </c>
      <c r="I101" s="5">
        <f>IFERROR(IF(ISNUMBER(INDEX(Rohdaten!$A$85:$LJ$85,MATCH(I$4,RD_Kopf,0))),INDEX(Rohdaten!$A$85:$LJ$85,MATCH(I$4,RD_Kopf,0)),NA()),NA())</f>
        <v>0</v>
      </c>
      <c r="J101" s="5">
        <f>IFERROR(IF(ISNUMBER(INDEX(Rohdaten!$A$85:$LJ$85,MATCH(J$4,RD_Kopf,0))),INDEX(Rohdaten!$A$85:$LJ$85,MATCH(J$4,RD_Kopf,0)),NA()),NA())</f>
        <v>0</v>
      </c>
      <c r="K101" s="5">
        <f>IFERROR(IF(ISNUMBER(INDEX(Rohdaten!$A$85:$LJ$85,MATCH(K$4,RD_Kopf,0))),INDEX(Rohdaten!$A$85:$LJ$85,MATCH(K$4,RD_Kopf,0)),NA()),NA())</f>
        <v>0</v>
      </c>
      <c r="L101" s="5">
        <f>IFERROR(IF(ISNUMBER(INDEX(Rohdaten!$A$85:$LJ$85,MATCH(L$4,RD_Kopf,0))),INDEX(Rohdaten!$A$85:$LJ$85,MATCH(L$4,RD_Kopf,0)),NA()),NA())</f>
        <v>0</v>
      </c>
      <c r="M101" s="5">
        <f>IFERROR(IF(ISNUMBER(INDEX(Rohdaten!$A$85:$LJ$85,MATCH(M$4,RD_Kopf,0))),INDEX(Rohdaten!$A$85:$LJ$85,MATCH(M$4,RD_Kopf,0)),NA()),NA())</f>
        <v>0</v>
      </c>
      <c r="N101" s="5">
        <f>IFERROR(IF(ISNUMBER(INDEX(Rohdaten!$A$85:$LJ$85,MATCH(N$4,RD_Kopf,0))),INDEX(Rohdaten!$A$85:$LJ$85,MATCH(N$4,RD_Kopf,0)),NA()),NA())</f>
        <v>0</v>
      </c>
      <c r="O101" s="5">
        <f>IFERROR(IF(ISNUMBER(INDEX(Rohdaten!$A$85:$LJ$85,MATCH(O$4,RD_Kopf,0))),INDEX(Rohdaten!$A$85:$LJ$85,MATCH(O$4,RD_Kopf,0)),NA()),NA())</f>
        <v>0</v>
      </c>
      <c r="P101" s="5">
        <f>IFERROR(IF(ISNUMBER(INDEX(Rohdaten!$A$85:$LJ$85,MATCH(P$4,RD_Kopf,0))),INDEX(Rohdaten!$A$85:$LJ$85,MATCH(P$4,RD_Kopf,0)),NA()),NA())</f>
        <v>0</v>
      </c>
      <c r="Q101" s="5">
        <f>IFERROR(IF(ISNUMBER(INDEX(Rohdaten!$A$85:$LJ$85,MATCH(Q$4,RD_Kopf,0))),INDEX(Rohdaten!$A$85:$LJ$85,MATCH(Q$4,RD_Kopf,0)),NA()),NA())</f>
        <v>0</v>
      </c>
      <c r="R101" s="5">
        <f>IFERROR(IF(ISNUMBER(INDEX(Rohdaten!$A$85:$LJ$85,MATCH(R$4,RD_Kopf,0))),INDEX(Rohdaten!$A$85:$LJ$85,MATCH(R$4,RD_Kopf,0)),NA()),NA())</f>
        <v>0</v>
      </c>
      <c r="S101" s="5">
        <f>IFERROR(IF(ISNUMBER(INDEX(Rohdaten!$A$85:$LJ$85,MATCH(S$4,RD_Kopf,0))),INDEX(Rohdaten!$A$85:$LJ$85,MATCH(S$4,RD_Kopf,0)),NA()),NA())</f>
        <v>0</v>
      </c>
      <c r="T101" s="5">
        <f>IFERROR(IF(ISNUMBER(INDEX(Rohdaten!$A$85:$LJ$85,MATCH(T$4,RD_Kopf,0))),INDEX(Rohdaten!$A$85:$LJ$85,MATCH(T$4,RD_Kopf,0)),NA()),NA())</f>
        <v>0</v>
      </c>
      <c r="U101" s="5">
        <f>IFERROR(IF(ISNUMBER(INDEX(Rohdaten!$A$85:$LJ$85,MATCH(U$4,RD_Kopf,0))),INDEX(Rohdaten!$A$85:$LJ$85,MATCH(U$4,RD_Kopf,0)),NA()),NA())</f>
        <v>0</v>
      </c>
      <c r="V101" s="5">
        <f>IFERROR(IF(ISNUMBER(INDEX(Rohdaten!$A$85:$LJ$85,MATCH(V$4,RD_Kopf,0))),INDEX(Rohdaten!$A$85:$LJ$85,MATCH(V$4,RD_Kopf,0)),NA()),NA())</f>
        <v>0</v>
      </c>
      <c r="W101" s="5">
        <f>IFERROR(IF(ISNUMBER(INDEX(Rohdaten!$A$85:$LJ$85,MATCH(W$4,RD_Kopf,0))),INDEX(Rohdaten!$A$85:$LJ$85,MATCH(W$4,RD_Kopf,0)),NA()),NA())</f>
        <v>0</v>
      </c>
      <c r="X101" s="5">
        <f>IFERROR(IF(ISNUMBER(INDEX(Rohdaten!$A$85:$LJ$85,MATCH(X$4,RD_Kopf,0))),INDEX(Rohdaten!$A$85:$LJ$85,MATCH(X$4,RD_Kopf,0)),NA()),NA())</f>
        <v>0</v>
      </c>
      <c r="Y101" s="5">
        <f>IFERROR(IF(ISNUMBER(INDEX(Rohdaten!$A$85:$LJ$85,MATCH(Y$4,RD_Kopf,0))),INDEX(Rohdaten!$A$85:$LJ$85,MATCH(Y$4,RD_Kopf,0)),NA()),NA())</f>
        <v>0</v>
      </c>
      <c r="Z101" s="5">
        <f>IFERROR(IF(ISNUMBER(INDEX(Rohdaten!$A$85:$LJ$85,MATCH(Z$4,RD_Kopf,0))),INDEX(Rohdaten!$A$85:$LJ$85,MATCH(Z$4,RD_Kopf,0)),NA()),NA())</f>
        <v>0</v>
      </c>
      <c r="AA101" s="5">
        <f>IFERROR(IF(ISNUMBER(INDEX(Rohdaten!$A$85:$LJ$85,MATCH(AA$4,RD_Kopf,0))),INDEX(Rohdaten!$A$85:$LJ$85,MATCH(AA$4,RD_Kopf,0)),NA()),NA())</f>
        <v>0</v>
      </c>
      <c r="AB101" s="5">
        <f>IFERROR(IF(ISNUMBER(INDEX(Rohdaten!$A$85:$LJ$85,MATCH(AB$4,RD_Kopf,0))),INDEX(Rohdaten!$A$85:$LJ$85,MATCH(AB$4,RD_Kopf,0)),NA()),NA())</f>
        <v>0</v>
      </c>
      <c r="AC101" s="5">
        <f>IFERROR(IF(ISNUMBER(INDEX(Rohdaten!$A$85:$LJ$85,MATCH(AC$4,RD_Kopf,0))),INDEX(Rohdaten!$A$85:$LJ$85,MATCH(AC$4,RD_Kopf,0)),NA()),NA())</f>
        <v>0</v>
      </c>
      <c r="AD101" s="5">
        <f>IFERROR(IF(ISNUMBER(INDEX(Rohdaten!$A$85:$LJ$85,MATCH(AD$4,RD_Kopf,0))),INDEX(Rohdaten!$A$85:$LJ$85,MATCH(AD$4,RD_Kopf,0)),NA()),NA())</f>
        <v>0</v>
      </c>
    </row>
    <row r="102" spans="1:68">
      <c r="A102" s="11" t="s">
        <v>267</v>
      </c>
      <c r="B102" s="11" t="s">
        <v>268</v>
      </c>
      <c r="C102" s="3" t="str">
        <f>"Rohdaten Z. "&amp;ROW(Rohdaten!$A$89)</f>
        <v>Rohdaten Z. 89</v>
      </c>
      <c r="D102" s="5">
        <f>IFERROR(IF(ISNUMBER(INDEX(Rohdaten!$A$89:$LJ$89,MATCH(D$4,RD_Kopf,0))),INDEX(Rohdaten!$A$89:$LJ$89,MATCH(D$4,RD_Kopf,0)),NA()),NA())</f>
        <v>0</v>
      </c>
      <c r="E102" s="5">
        <f>IFERROR(IF(ISNUMBER(INDEX(Rohdaten!$A$89:$LJ$89,MATCH(E$4,RD_Kopf,0))),INDEX(Rohdaten!$A$89:$LJ$89,MATCH(E$4,RD_Kopf,0)),NA()),NA())</f>
        <v>0</v>
      </c>
      <c r="F102" s="5">
        <f>IFERROR(IF(ISNUMBER(INDEX(Rohdaten!$A$89:$LJ$89,MATCH(F$4,RD_Kopf,0))),INDEX(Rohdaten!$A$89:$LJ$89,MATCH(F$4,RD_Kopf,0)),NA()),NA())</f>
        <v>0</v>
      </c>
      <c r="G102" s="5">
        <f>IFERROR(IF(ISNUMBER(INDEX(Rohdaten!$A$89:$LJ$89,MATCH(G$4,RD_Kopf,0))),INDEX(Rohdaten!$A$89:$LJ$89,MATCH(G$4,RD_Kopf,0)),NA()),NA())</f>
        <v>0</v>
      </c>
      <c r="H102" s="5">
        <f>IFERROR(IF(ISNUMBER(INDEX(Rohdaten!$A$89:$LJ$89,MATCH(H$4,RD_Kopf,0))),INDEX(Rohdaten!$A$89:$LJ$89,MATCH(H$4,RD_Kopf,0)),NA()),NA())</f>
        <v>0</v>
      </c>
      <c r="I102" s="5">
        <f>IFERROR(IF(ISNUMBER(INDEX(Rohdaten!$A$89:$LJ$89,MATCH(I$4,RD_Kopf,0))),INDEX(Rohdaten!$A$89:$LJ$89,MATCH(I$4,RD_Kopf,0)),NA()),NA())</f>
        <v>0</v>
      </c>
      <c r="J102" s="5">
        <f>IFERROR(IF(ISNUMBER(INDEX(Rohdaten!$A$89:$LJ$89,MATCH(J$4,RD_Kopf,0))),INDEX(Rohdaten!$A$89:$LJ$89,MATCH(J$4,RD_Kopf,0)),NA()),NA())</f>
        <v>0</v>
      </c>
      <c r="K102" s="5">
        <f>IFERROR(IF(ISNUMBER(INDEX(Rohdaten!$A$89:$LJ$89,MATCH(K$4,RD_Kopf,0))),INDEX(Rohdaten!$A$89:$LJ$89,MATCH(K$4,RD_Kopf,0)),NA()),NA())</f>
        <v>0</v>
      </c>
      <c r="L102" s="5">
        <f>IFERROR(IF(ISNUMBER(INDEX(Rohdaten!$A$89:$LJ$89,MATCH(L$4,RD_Kopf,0))),INDEX(Rohdaten!$A$89:$LJ$89,MATCH(L$4,RD_Kopf,0)),NA()),NA())</f>
        <v>0</v>
      </c>
      <c r="M102" s="5">
        <f>IFERROR(IF(ISNUMBER(INDEX(Rohdaten!$A$89:$LJ$89,MATCH(M$4,RD_Kopf,0))),INDEX(Rohdaten!$A$89:$LJ$89,MATCH(M$4,RD_Kopf,0)),NA()),NA())</f>
        <v>0</v>
      </c>
      <c r="N102" s="5">
        <f>IFERROR(IF(ISNUMBER(INDEX(Rohdaten!$A$89:$LJ$89,MATCH(N$4,RD_Kopf,0))),INDEX(Rohdaten!$A$89:$LJ$89,MATCH(N$4,RD_Kopf,0)),NA()),NA())</f>
        <v>0</v>
      </c>
      <c r="O102" s="5">
        <f>IFERROR(IF(ISNUMBER(INDEX(Rohdaten!$A$89:$LJ$89,MATCH(O$4,RD_Kopf,0))),INDEX(Rohdaten!$A$89:$LJ$89,MATCH(O$4,RD_Kopf,0)),NA()),NA())</f>
        <v>0</v>
      </c>
      <c r="P102" s="5">
        <f>IFERROR(IF(ISNUMBER(INDEX(Rohdaten!$A$89:$LJ$89,MATCH(P$4,RD_Kopf,0))),INDEX(Rohdaten!$A$89:$LJ$89,MATCH(P$4,RD_Kopf,0)),NA()),NA())</f>
        <v>0</v>
      </c>
      <c r="Q102" s="5">
        <f>IFERROR(IF(ISNUMBER(INDEX(Rohdaten!$A$89:$LJ$89,MATCH(Q$4,RD_Kopf,0))),INDEX(Rohdaten!$A$89:$LJ$89,MATCH(Q$4,RD_Kopf,0)),NA()),NA())</f>
        <v>0</v>
      </c>
      <c r="R102" s="5">
        <f>IFERROR(IF(ISNUMBER(INDEX(Rohdaten!$A$89:$LJ$89,MATCH(R$4,RD_Kopf,0))),INDEX(Rohdaten!$A$89:$LJ$89,MATCH(R$4,RD_Kopf,0)),NA()),NA())</f>
        <v>0</v>
      </c>
      <c r="S102" s="5">
        <f>IFERROR(IF(ISNUMBER(INDEX(Rohdaten!$A$89:$LJ$89,MATCH(S$4,RD_Kopf,0))),INDEX(Rohdaten!$A$89:$LJ$89,MATCH(S$4,RD_Kopf,0)),NA()),NA())</f>
        <v>0</v>
      </c>
      <c r="T102" s="5">
        <f>IFERROR(IF(ISNUMBER(INDEX(Rohdaten!$A$89:$LJ$89,MATCH(T$4,RD_Kopf,0))),INDEX(Rohdaten!$A$89:$LJ$89,MATCH(T$4,RD_Kopf,0)),NA()),NA())</f>
        <v>0</v>
      </c>
      <c r="U102" s="5">
        <f>IFERROR(IF(ISNUMBER(INDEX(Rohdaten!$A$89:$LJ$89,MATCH(U$4,RD_Kopf,0))),INDEX(Rohdaten!$A$89:$LJ$89,MATCH(U$4,RD_Kopf,0)),NA()),NA())</f>
        <v>0</v>
      </c>
      <c r="V102" s="5">
        <f>IFERROR(IF(ISNUMBER(INDEX(Rohdaten!$A$89:$LJ$89,MATCH(V$4,RD_Kopf,0))),INDEX(Rohdaten!$A$89:$LJ$89,MATCH(V$4,RD_Kopf,0)),NA()),NA())</f>
        <v>0</v>
      </c>
      <c r="W102" s="5">
        <f>IFERROR(IF(ISNUMBER(INDEX(Rohdaten!$A$89:$LJ$89,MATCH(W$4,RD_Kopf,0))),INDEX(Rohdaten!$A$89:$LJ$89,MATCH(W$4,RD_Kopf,0)),NA()),NA())</f>
        <v>0</v>
      </c>
      <c r="X102" s="5">
        <f>IFERROR(IF(ISNUMBER(INDEX(Rohdaten!$A$89:$LJ$89,MATCH(X$4,RD_Kopf,0))),INDEX(Rohdaten!$A$89:$LJ$89,MATCH(X$4,RD_Kopf,0)),NA()),NA())</f>
        <v>0</v>
      </c>
      <c r="Y102" s="5">
        <f>IFERROR(IF(ISNUMBER(INDEX(Rohdaten!$A$89:$LJ$89,MATCH(Y$4,RD_Kopf,0))),INDEX(Rohdaten!$A$89:$LJ$89,MATCH(Y$4,RD_Kopf,0)),NA()),NA())</f>
        <v>0</v>
      </c>
      <c r="Z102" s="5">
        <f>IFERROR(IF(ISNUMBER(INDEX(Rohdaten!$A$89:$LJ$89,MATCH(Z$4,RD_Kopf,0))),INDEX(Rohdaten!$A$89:$LJ$89,MATCH(Z$4,RD_Kopf,0)),NA()),NA())</f>
        <v>0</v>
      </c>
      <c r="AA102" s="5">
        <f>IFERROR(IF(ISNUMBER(INDEX(Rohdaten!$A$89:$LJ$89,MATCH(AA$4,RD_Kopf,0))),INDEX(Rohdaten!$A$89:$LJ$89,MATCH(AA$4,RD_Kopf,0)),NA()),NA())</f>
        <v>0</v>
      </c>
      <c r="AB102" s="5">
        <f>IFERROR(IF(ISNUMBER(INDEX(Rohdaten!$A$89:$LJ$89,MATCH(AB$4,RD_Kopf,0))),INDEX(Rohdaten!$A$89:$LJ$89,MATCH(AB$4,RD_Kopf,0)),NA()),NA())</f>
        <v>0</v>
      </c>
      <c r="AC102" s="5">
        <f>IFERROR(IF(ISNUMBER(INDEX(Rohdaten!$A$89:$LJ$89,MATCH(AC$4,RD_Kopf,0))),INDEX(Rohdaten!$A$89:$LJ$89,MATCH(AC$4,RD_Kopf,0)),NA()),NA())</f>
        <v>0</v>
      </c>
      <c r="AD102" s="5">
        <f>IFERROR(IF(ISNUMBER(INDEX(Rohdaten!$A$89:$LJ$89,MATCH(AD$4,RD_Kopf,0))),INDEX(Rohdaten!$A$89:$LJ$89,MATCH(AD$4,RD_Kopf,0)),NA()),NA())</f>
        <v>0</v>
      </c>
    </row>
    <row r="103" spans="1:68">
      <c r="A103" s="11" t="s">
        <v>269</v>
      </c>
      <c r="B103" s="11" t="s">
        <v>270</v>
      </c>
      <c r="C103" s="3" t="str">
        <f>"Rohdaten Z. "&amp;ROW(Rohdaten!$A$86)</f>
        <v>Rohdaten Z. 86</v>
      </c>
      <c r="D103" s="5">
        <f>IFERROR(IF(ISNUMBER(INDEX(Rohdaten!$A$86:$LJ$86,MATCH(D$4,RD_Kopf,0))),INDEX(Rohdaten!$A$86:$LJ$86,MATCH(D$4,RD_Kopf,0)),NA()),NA())</f>
        <v>0</v>
      </c>
      <c r="E103" s="5">
        <f>IFERROR(IF(ISNUMBER(INDEX(Rohdaten!$A$86:$LJ$86,MATCH(E$4,RD_Kopf,0))),INDEX(Rohdaten!$A$86:$LJ$86,MATCH(E$4,RD_Kopf,0)),NA()),NA())</f>
        <v>0</v>
      </c>
      <c r="F103" s="5">
        <f>IFERROR(IF(ISNUMBER(INDEX(Rohdaten!$A$86:$LJ$86,MATCH(F$4,RD_Kopf,0))),INDEX(Rohdaten!$A$86:$LJ$86,MATCH(F$4,RD_Kopf,0)),NA()),NA())</f>
        <v>0</v>
      </c>
      <c r="G103" s="5">
        <f>IFERROR(IF(ISNUMBER(INDEX(Rohdaten!$A$86:$LJ$86,MATCH(G$4,RD_Kopf,0))),INDEX(Rohdaten!$A$86:$LJ$86,MATCH(G$4,RD_Kopf,0)),NA()),NA())</f>
        <v>0</v>
      </c>
      <c r="H103" s="5">
        <f>IFERROR(IF(ISNUMBER(INDEX(Rohdaten!$A$86:$LJ$86,MATCH(H$4,RD_Kopf,0))),INDEX(Rohdaten!$A$86:$LJ$86,MATCH(H$4,RD_Kopf,0)),NA()),NA())</f>
        <v>0</v>
      </c>
      <c r="I103" s="5">
        <f>IFERROR(IF(ISNUMBER(INDEX(Rohdaten!$A$86:$LJ$86,MATCH(I$4,RD_Kopf,0))),INDEX(Rohdaten!$A$86:$LJ$86,MATCH(I$4,RD_Kopf,0)),NA()),NA())</f>
        <v>0</v>
      </c>
      <c r="J103" s="5">
        <f>IFERROR(IF(ISNUMBER(INDEX(Rohdaten!$A$86:$LJ$86,MATCH(J$4,RD_Kopf,0))),INDEX(Rohdaten!$A$86:$LJ$86,MATCH(J$4,RD_Kopf,0)),NA()),NA())</f>
        <v>0</v>
      </c>
      <c r="K103" s="5">
        <f>IFERROR(IF(ISNUMBER(INDEX(Rohdaten!$A$86:$LJ$86,MATCH(K$4,RD_Kopf,0))),INDEX(Rohdaten!$A$86:$LJ$86,MATCH(K$4,RD_Kopf,0)),NA()),NA())</f>
        <v>0</v>
      </c>
      <c r="L103" s="5">
        <f>IFERROR(IF(ISNUMBER(INDEX(Rohdaten!$A$86:$LJ$86,MATCH(L$4,RD_Kopf,0))),INDEX(Rohdaten!$A$86:$LJ$86,MATCH(L$4,RD_Kopf,0)),NA()),NA())</f>
        <v>0</v>
      </c>
      <c r="M103" s="5">
        <f>IFERROR(IF(ISNUMBER(INDEX(Rohdaten!$A$86:$LJ$86,MATCH(M$4,RD_Kopf,0))),INDEX(Rohdaten!$A$86:$LJ$86,MATCH(M$4,RD_Kopf,0)),NA()),NA())</f>
        <v>0</v>
      </c>
      <c r="N103" s="5">
        <f>IFERROR(IF(ISNUMBER(INDEX(Rohdaten!$A$86:$LJ$86,MATCH(N$4,RD_Kopf,0))),INDEX(Rohdaten!$A$86:$LJ$86,MATCH(N$4,RD_Kopf,0)),NA()),NA())</f>
        <v>0</v>
      </c>
      <c r="O103" s="5">
        <f>IFERROR(IF(ISNUMBER(INDEX(Rohdaten!$A$86:$LJ$86,MATCH(O$4,RD_Kopf,0))),INDEX(Rohdaten!$A$86:$LJ$86,MATCH(O$4,RD_Kopf,0)),NA()),NA())</f>
        <v>0</v>
      </c>
      <c r="P103" s="5">
        <f>IFERROR(IF(ISNUMBER(INDEX(Rohdaten!$A$86:$LJ$86,MATCH(P$4,RD_Kopf,0))),INDEX(Rohdaten!$A$86:$LJ$86,MATCH(P$4,RD_Kopf,0)),NA()),NA())</f>
        <v>0</v>
      </c>
      <c r="Q103" s="5">
        <f>IFERROR(IF(ISNUMBER(INDEX(Rohdaten!$A$86:$LJ$86,MATCH(Q$4,RD_Kopf,0))),INDEX(Rohdaten!$A$86:$LJ$86,MATCH(Q$4,RD_Kopf,0)),NA()),NA())</f>
        <v>0</v>
      </c>
      <c r="R103" s="5">
        <f>IFERROR(IF(ISNUMBER(INDEX(Rohdaten!$A$86:$LJ$86,MATCH(R$4,RD_Kopf,0))),INDEX(Rohdaten!$A$86:$LJ$86,MATCH(R$4,RD_Kopf,0)),NA()),NA())</f>
        <v>0</v>
      </c>
      <c r="S103" s="5">
        <f>IFERROR(IF(ISNUMBER(INDEX(Rohdaten!$A$86:$LJ$86,MATCH(S$4,RD_Kopf,0))),INDEX(Rohdaten!$A$86:$LJ$86,MATCH(S$4,RD_Kopf,0)),NA()),NA())</f>
        <v>0</v>
      </c>
      <c r="T103" s="5">
        <f>IFERROR(IF(ISNUMBER(INDEX(Rohdaten!$A$86:$LJ$86,MATCH(T$4,RD_Kopf,0))),INDEX(Rohdaten!$A$86:$LJ$86,MATCH(T$4,RD_Kopf,0)),NA()),NA())</f>
        <v>0</v>
      </c>
      <c r="U103" s="5">
        <f>IFERROR(IF(ISNUMBER(INDEX(Rohdaten!$A$86:$LJ$86,MATCH(U$4,RD_Kopf,0))),INDEX(Rohdaten!$A$86:$LJ$86,MATCH(U$4,RD_Kopf,0)),NA()),NA())</f>
        <v>0</v>
      </c>
      <c r="V103" s="5">
        <f>IFERROR(IF(ISNUMBER(INDEX(Rohdaten!$A$86:$LJ$86,MATCH(V$4,RD_Kopf,0))),INDEX(Rohdaten!$A$86:$LJ$86,MATCH(V$4,RD_Kopf,0)),NA()),NA())</f>
        <v>0</v>
      </c>
      <c r="W103" s="5">
        <f>IFERROR(IF(ISNUMBER(INDEX(Rohdaten!$A$86:$LJ$86,MATCH(W$4,RD_Kopf,0))),INDEX(Rohdaten!$A$86:$LJ$86,MATCH(W$4,RD_Kopf,0)),NA()),NA())</f>
        <v>0</v>
      </c>
      <c r="X103" s="5">
        <f>IFERROR(IF(ISNUMBER(INDEX(Rohdaten!$A$86:$LJ$86,MATCH(X$4,RD_Kopf,0))),INDEX(Rohdaten!$A$86:$LJ$86,MATCH(X$4,RD_Kopf,0)),NA()),NA())</f>
        <v>0</v>
      </c>
      <c r="Y103" s="5">
        <f>IFERROR(IF(ISNUMBER(INDEX(Rohdaten!$A$86:$LJ$86,MATCH(Y$4,RD_Kopf,0))),INDEX(Rohdaten!$A$86:$LJ$86,MATCH(Y$4,RD_Kopf,0)),NA()),NA())</f>
        <v>0</v>
      </c>
      <c r="Z103" s="5">
        <f>IFERROR(IF(ISNUMBER(INDEX(Rohdaten!$A$86:$LJ$86,MATCH(Z$4,RD_Kopf,0))),INDEX(Rohdaten!$A$86:$LJ$86,MATCH(Z$4,RD_Kopf,0)),NA()),NA())</f>
        <v>0</v>
      </c>
      <c r="AA103" s="5">
        <f>IFERROR(IF(ISNUMBER(INDEX(Rohdaten!$A$86:$LJ$86,MATCH(AA$4,RD_Kopf,0))),INDEX(Rohdaten!$A$86:$LJ$86,MATCH(AA$4,RD_Kopf,0)),NA()),NA())</f>
        <v>0</v>
      </c>
      <c r="AB103" s="5">
        <f>IFERROR(IF(ISNUMBER(INDEX(Rohdaten!$A$86:$LJ$86,MATCH(AB$4,RD_Kopf,0))),INDEX(Rohdaten!$A$86:$LJ$86,MATCH(AB$4,RD_Kopf,0)),NA()),NA())</f>
        <v>0</v>
      </c>
      <c r="AC103" s="5">
        <f>IFERROR(IF(ISNUMBER(INDEX(Rohdaten!$A$86:$LJ$86,MATCH(AC$4,RD_Kopf,0))),INDEX(Rohdaten!$A$86:$LJ$86,MATCH(AC$4,RD_Kopf,0)),NA()),NA())</f>
        <v>0</v>
      </c>
      <c r="AD103" s="5">
        <f>IFERROR(IF(ISNUMBER(INDEX(Rohdaten!$A$86:$LJ$86,MATCH(AD$4,RD_Kopf,0))),INDEX(Rohdaten!$A$86:$LJ$86,MATCH(AD$4,RD_Kopf,0)),NA()),NA())</f>
        <v>0</v>
      </c>
    </row>
    <row r="104" spans="1:68">
      <c r="A104" s="11" t="s">
        <v>271</v>
      </c>
      <c r="B104" s="11" t="s">
        <v>272</v>
      </c>
      <c r="C104" s="3" t="str">
        <f>"Rohdaten Z. "&amp;ROW(Rohdaten!$A$90)</f>
        <v>Rohdaten Z. 90</v>
      </c>
      <c r="D104" s="5">
        <f>IFERROR(IF(ISNUMBER(INDEX(Rohdaten!$A$90:$LJ$90,MATCH(D$4,RD_Kopf,0))),INDEX(Rohdaten!$A$90:$LJ$90,MATCH(D$4,RD_Kopf,0)),NA()),NA())</f>
        <v>0</v>
      </c>
      <c r="E104" s="5">
        <f>IFERROR(IF(ISNUMBER(INDEX(Rohdaten!$A$90:$LJ$90,MATCH(E$4,RD_Kopf,0))),INDEX(Rohdaten!$A$90:$LJ$90,MATCH(E$4,RD_Kopf,0)),NA()),NA())</f>
        <v>0</v>
      </c>
      <c r="F104" s="5">
        <f>IFERROR(IF(ISNUMBER(INDEX(Rohdaten!$A$90:$LJ$90,MATCH(F$4,RD_Kopf,0))),INDEX(Rohdaten!$A$90:$LJ$90,MATCH(F$4,RD_Kopf,0)),NA()),NA())</f>
        <v>0</v>
      </c>
      <c r="G104" s="5">
        <f>IFERROR(IF(ISNUMBER(INDEX(Rohdaten!$A$90:$LJ$90,MATCH(G$4,RD_Kopf,0))),INDEX(Rohdaten!$A$90:$LJ$90,MATCH(G$4,RD_Kopf,0)),NA()),NA())</f>
        <v>0</v>
      </c>
      <c r="H104" s="5">
        <f>IFERROR(IF(ISNUMBER(INDEX(Rohdaten!$A$90:$LJ$90,MATCH(H$4,RD_Kopf,0))),INDEX(Rohdaten!$A$90:$LJ$90,MATCH(H$4,RD_Kopf,0)),NA()),NA())</f>
        <v>0</v>
      </c>
      <c r="I104" s="5">
        <f>IFERROR(IF(ISNUMBER(INDEX(Rohdaten!$A$90:$LJ$90,MATCH(I$4,RD_Kopf,0))),INDEX(Rohdaten!$A$90:$LJ$90,MATCH(I$4,RD_Kopf,0)),NA()),NA())</f>
        <v>0</v>
      </c>
      <c r="J104" s="5">
        <f>IFERROR(IF(ISNUMBER(INDEX(Rohdaten!$A$90:$LJ$90,MATCH(J$4,RD_Kopf,0))),INDEX(Rohdaten!$A$90:$LJ$90,MATCH(J$4,RD_Kopf,0)),NA()),NA())</f>
        <v>0</v>
      </c>
      <c r="K104" s="5">
        <f>IFERROR(IF(ISNUMBER(INDEX(Rohdaten!$A$90:$LJ$90,MATCH(K$4,RD_Kopf,0))),INDEX(Rohdaten!$A$90:$LJ$90,MATCH(K$4,RD_Kopf,0)),NA()),NA())</f>
        <v>0</v>
      </c>
      <c r="L104" s="5">
        <f>IFERROR(IF(ISNUMBER(INDEX(Rohdaten!$A$90:$LJ$90,MATCH(L$4,RD_Kopf,0))),INDEX(Rohdaten!$A$90:$LJ$90,MATCH(L$4,RD_Kopf,0)),NA()),NA())</f>
        <v>0</v>
      </c>
      <c r="M104" s="5">
        <f>IFERROR(IF(ISNUMBER(INDEX(Rohdaten!$A$90:$LJ$90,MATCH(M$4,RD_Kopf,0))),INDEX(Rohdaten!$A$90:$LJ$90,MATCH(M$4,RD_Kopf,0)),NA()),NA())</f>
        <v>0</v>
      </c>
      <c r="N104" s="5">
        <f>IFERROR(IF(ISNUMBER(INDEX(Rohdaten!$A$90:$LJ$90,MATCH(N$4,RD_Kopf,0))),INDEX(Rohdaten!$A$90:$LJ$90,MATCH(N$4,RD_Kopf,0)),NA()),NA())</f>
        <v>0</v>
      </c>
      <c r="O104" s="5">
        <f>IFERROR(IF(ISNUMBER(INDEX(Rohdaten!$A$90:$LJ$90,MATCH(O$4,RD_Kopf,0))),INDEX(Rohdaten!$A$90:$LJ$90,MATCH(O$4,RD_Kopf,0)),NA()),NA())</f>
        <v>0</v>
      </c>
      <c r="P104" s="5">
        <f>IFERROR(IF(ISNUMBER(INDEX(Rohdaten!$A$90:$LJ$90,MATCH(P$4,RD_Kopf,0))),INDEX(Rohdaten!$A$90:$LJ$90,MATCH(P$4,RD_Kopf,0)),NA()),NA())</f>
        <v>0</v>
      </c>
      <c r="Q104" s="5">
        <f>IFERROR(IF(ISNUMBER(INDEX(Rohdaten!$A$90:$LJ$90,MATCH(Q$4,RD_Kopf,0))),INDEX(Rohdaten!$A$90:$LJ$90,MATCH(Q$4,RD_Kopf,0)),NA()),NA())</f>
        <v>0</v>
      </c>
      <c r="R104" s="5">
        <f>IFERROR(IF(ISNUMBER(INDEX(Rohdaten!$A$90:$LJ$90,MATCH(R$4,RD_Kopf,0))),INDEX(Rohdaten!$A$90:$LJ$90,MATCH(R$4,RD_Kopf,0)),NA()),NA())</f>
        <v>0</v>
      </c>
      <c r="S104" s="5">
        <f>IFERROR(IF(ISNUMBER(INDEX(Rohdaten!$A$90:$LJ$90,MATCH(S$4,RD_Kopf,0))),INDEX(Rohdaten!$A$90:$LJ$90,MATCH(S$4,RD_Kopf,0)),NA()),NA())</f>
        <v>0</v>
      </c>
      <c r="T104" s="5">
        <f>IFERROR(IF(ISNUMBER(INDEX(Rohdaten!$A$90:$LJ$90,MATCH(T$4,RD_Kopf,0))),INDEX(Rohdaten!$A$90:$LJ$90,MATCH(T$4,RD_Kopf,0)),NA()),NA())</f>
        <v>0</v>
      </c>
      <c r="U104" s="5">
        <f>IFERROR(IF(ISNUMBER(INDEX(Rohdaten!$A$90:$LJ$90,MATCH(U$4,RD_Kopf,0))),INDEX(Rohdaten!$A$90:$LJ$90,MATCH(U$4,RD_Kopf,0)),NA()),NA())</f>
        <v>0</v>
      </c>
      <c r="V104" s="5">
        <f>IFERROR(IF(ISNUMBER(INDEX(Rohdaten!$A$90:$LJ$90,MATCH(V$4,RD_Kopf,0))),INDEX(Rohdaten!$A$90:$LJ$90,MATCH(V$4,RD_Kopf,0)),NA()),NA())</f>
        <v>0</v>
      </c>
      <c r="W104" s="5">
        <f>IFERROR(IF(ISNUMBER(INDEX(Rohdaten!$A$90:$LJ$90,MATCH(W$4,RD_Kopf,0))),INDEX(Rohdaten!$A$90:$LJ$90,MATCH(W$4,RD_Kopf,0)),NA()),NA())</f>
        <v>0</v>
      </c>
      <c r="X104" s="5">
        <f>IFERROR(IF(ISNUMBER(INDEX(Rohdaten!$A$90:$LJ$90,MATCH(X$4,RD_Kopf,0))),INDEX(Rohdaten!$A$90:$LJ$90,MATCH(X$4,RD_Kopf,0)),NA()),NA())</f>
        <v>0</v>
      </c>
      <c r="Y104" s="5">
        <f>IFERROR(IF(ISNUMBER(INDEX(Rohdaten!$A$90:$LJ$90,MATCH(Y$4,RD_Kopf,0))),INDEX(Rohdaten!$A$90:$LJ$90,MATCH(Y$4,RD_Kopf,0)),NA()),NA())</f>
        <v>0</v>
      </c>
      <c r="Z104" s="5">
        <f>IFERROR(IF(ISNUMBER(INDEX(Rohdaten!$A$90:$LJ$90,MATCH(Z$4,RD_Kopf,0))),INDEX(Rohdaten!$A$90:$LJ$90,MATCH(Z$4,RD_Kopf,0)),NA()),NA())</f>
        <v>0</v>
      </c>
      <c r="AA104" s="5">
        <f>IFERROR(IF(ISNUMBER(INDEX(Rohdaten!$A$90:$LJ$90,MATCH(AA$4,RD_Kopf,0))),INDEX(Rohdaten!$A$90:$LJ$90,MATCH(AA$4,RD_Kopf,0)),NA()),NA())</f>
        <v>0</v>
      </c>
      <c r="AB104" s="5">
        <f>IFERROR(IF(ISNUMBER(INDEX(Rohdaten!$A$90:$LJ$90,MATCH(AB$4,RD_Kopf,0))),INDEX(Rohdaten!$A$90:$LJ$90,MATCH(AB$4,RD_Kopf,0)),NA()),NA())</f>
        <v>0</v>
      </c>
      <c r="AC104" s="5">
        <f>IFERROR(IF(ISNUMBER(INDEX(Rohdaten!$A$90:$LJ$90,MATCH(AC$4,RD_Kopf,0))),INDEX(Rohdaten!$A$90:$LJ$90,MATCH(AC$4,RD_Kopf,0)),NA()),NA())</f>
        <v>0</v>
      </c>
      <c r="AD104" s="5">
        <f>IFERROR(IF(ISNUMBER(INDEX(Rohdaten!$A$90:$LJ$90,MATCH(AD$4,RD_Kopf,0))),INDEX(Rohdaten!$A$90:$LJ$90,MATCH(AD$4,RD_Kopf,0)),NA()),NA())</f>
        <v>0</v>
      </c>
    </row>
    <row r="105" spans="1:68">
      <c r="A105" s="11" t="s">
        <v>273</v>
      </c>
      <c r="B105" s="11" t="s">
        <v>274</v>
      </c>
      <c r="C105" s="3" t="s">
        <v>137</v>
      </c>
      <c r="D105" s="5">
        <f>IF(COUNT(D99,D101,D103)=0,NA(),SUM(D99,D101,D103))</f>
        <v>0</v>
      </c>
      <c r="E105" s="5">
        <f>IF(COUNT(E99,E101,E103)=0,NA(),SUM(E99,E101,E103))</f>
        <v>0</v>
      </c>
      <c r="F105" s="5">
        <f>IF(COUNT(F99,F101,F103)=0,NA(),SUM(F99,F101,F103))</f>
        <v>0</v>
      </c>
      <c r="G105" s="5">
        <f>IF(COUNT(G99,G101,G103)=0,NA(),SUM(G99,G101,G103))</f>
        <v>0</v>
      </c>
      <c r="H105" s="5">
        <f>IF(COUNT(H99,H101,H103)=0,NA(),SUM(H99,H101,H103))</f>
        <v>0</v>
      </c>
      <c r="I105" s="5">
        <f>IF(COUNT(I99,I101,I103)=0,NA(),SUM(I99,I101,I103))</f>
        <v>0</v>
      </c>
      <c r="J105" s="5">
        <f>IF(COUNT(J99,J101,J103)=0,NA(),SUM(J99,J101,J103))</f>
        <v>0</v>
      </c>
      <c r="K105" s="5">
        <f>IF(COUNT(K99,K101,K103)=0,NA(),SUM(K99,K101,K103))</f>
        <v>0</v>
      </c>
      <c r="L105" s="5">
        <f>IF(COUNT(L99,L101,L103)=0,NA(),SUM(L99,L101,L103))</f>
        <v>0</v>
      </c>
      <c r="M105" s="5">
        <f>IF(COUNT(M99,M101,M103)=0,NA(),SUM(M99,M101,M103))</f>
        <v>0</v>
      </c>
      <c r="N105" s="5">
        <f>IF(COUNT(N99,N101,N103)=0,NA(),SUM(N99,N101,N103))</f>
        <v>0</v>
      </c>
      <c r="O105" s="5">
        <f>IF(COUNT(O99,O101,O103)=0,NA(),SUM(O99,O101,O103))</f>
        <v>0</v>
      </c>
      <c r="P105" s="5">
        <f>IF(COUNT(P99,P101,P103)=0,NA(),SUM(P99,P101,P103))</f>
        <v>0</v>
      </c>
      <c r="Q105" s="5">
        <f>IF(COUNT(Q99,Q101,Q103)=0,NA(),SUM(Q99,Q101,Q103))</f>
        <v>0</v>
      </c>
      <c r="R105" s="5">
        <f>IF(COUNT(R99,R101,R103)=0,NA(),SUM(R99,R101,R103))</f>
        <v>0</v>
      </c>
      <c r="S105" s="5">
        <f>IF(COUNT(S99,S101,S103)=0,NA(),SUM(S99,S101,S103))</f>
        <v>0</v>
      </c>
      <c r="T105" s="5">
        <f>IF(COUNT(T99,T101,T103)=0,NA(),SUM(T99,T101,T103))</f>
        <v>0</v>
      </c>
      <c r="U105" s="5">
        <f>IF(COUNT(U99,U101,U103)=0,NA(),SUM(U99,U101,U103))</f>
        <v>0</v>
      </c>
      <c r="V105" s="5">
        <f>IF(COUNT(V99,V101,V103)=0,NA(),SUM(V99,V101,V103))</f>
        <v>0</v>
      </c>
      <c r="W105" s="5">
        <f>IF(COUNT(W99,W101,W103)=0,NA(),SUM(W99,W101,W103))</f>
        <v>0</v>
      </c>
      <c r="X105" s="5">
        <f>IF(COUNT(X99,X101,X103)=0,NA(),SUM(X99,X101,X103))</f>
        <v>0</v>
      </c>
      <c r="Y105" s="5">
        <f>IF(COUNT(Y99,Y101,Y103)=0,NA(),SUM(Y99,Y101,Y103))</f>
        <v>0</v>
      </c>
      <c r="Z105" s="5">
        <f>IF(COUNT(Z99,Z101,Z103)=0,NA(),SUM(Z99,Z101,Z103))</f>
        <v>0</v>
      </c>
      <c r="AA105" s="5">
        <f>IF(COUNT(AA99,AA101,AA103)=0,NA(),SUM(AA99,AA101,AA103))</f>
        <v>0</v>
      </c>
      <c r="AB105" s="5">
        <f>IF(COUNT(AB99,AB101,AB103)=0,NA(),SUM(AB99,AB101,AB103))</f>
        <v>0</v>
      </c>
      <c r="AC105" s="5">
        <f>IF(COUNT(AC99,AC101,AC103)=0,NA(),SUM(AC99,AC101,AC103))</f>
        <v>0</v>
      </c>
      <c r="AD105" s="5">
        <f>IF(COUNT(AD99,AD101,AD103)=0,NA(),SUM(AD99,AD101,AD103))</f>
        <v>0</v>
      </c>
    </row>
    <row r="106" spans="1:68">
      <c r="A106" s="11" t="s">
        <v>275</v>
      </c>
      <c r="B106" s="11" t="s">
        <v>276</v>
      </c>
      <c r="C106" s="3" t="s">
        <v>137</v>
      </c>
      <c r="D106" s="5">
        <f>IF(COUNT(D100,D102,D104)=0,NA(),SUM(D100,D102,D104))</f>
        <v>0</v>
      </c>
      <c r="E106" s="5">
        <f>IF(COUNT(E100,E102,E104)=0,NA(),SUM(E100,E102,E104))</f>
        <v>0</v>
      </c>
      <c r="F106" s="5">
        <f>IF(COUNT(F100,F102,F104)=0,NA(),SUM(F100,F102,F104))</f>
        <v>0</v>
      </c>
      <c r="G106" s="5">
        <f>IF(COUNT(G100,G102,G104)=0,NA(),SUM(G100,G102,G104))</f>
        <v>0</v>
      </c>
      <c r="H106" s="5">
        <f>IF(COUNT(H100,H102,H104)=0,NA(),SUM(H100,H102,H104))</f>
        <v>0</v>
      </c>
      <c r="I106" s="5">
        <f>IF(COUNT(I100,I102,I104)=0,NA(),SUM(I100,I102,I104))</f>
        <v>0</v>
      </c>
      <c r="J106" s="5">
        <f>IF(COUNT(J100,J102,J104)=0,NA(),SUM(J100,J102,J104))</f>
        <v>0</v>
      </c>
      <c r="K106" s="5">
        <f>IF(COUNT(K100,K102,K104)=0,NA(),SUM(K100,K102,K104))</f>
        <v>0</v>
      </c>
      <c r="L106" s="5">
        <f>IF(COUNT(L100,L102,L104)=0,NA(),SUM(L100,L102,L104))</f>
        <v>0</v>
      </c>
      <c r="M106" s="5">
        <f>IF(COUNT(M100,M102,M104)=0,NA(),SUM(M100,M102,M104))</f>
        <v>0</v>
      </c>
      <c r="N106" s="5">
        <f>IF(COUNT(N100,N102,N104)=0,NA(),SUM(N100,N102,N104))</f>
        <v>0</v>
      </c>
      <c r="O106" s="5">
        <f>IF(COUNT(O100,O102,O104)=0,NA(),SUM(O100,O102,O104))</f>
        <v>0</v>
      </c>
      <c r="P106" s="5">
        <f>IF(COUNT(P100,P102,P104)=0,NA(),SUM(P100,P102,P104))</f>
        <v>0</v>
      </c>
      <c r="Q106" s="5">
        <f>IF(COUNT(Q100,Q102,Q104)=0,NA(),SUM(Q100,Q102,Q104))</f>
        <v>0</v>
      </c>
      <c r="R106" s="5">
        <f>IF(COUNT(R100,R102,R104)=0,NA(),SUM(R100,R102,R104))</f>
        <v>0</v>
      </c>
      <c r="S106" s="5">
        <f>IF(COUNT(S100,S102,S104)=0,NA(),SUM(S100,S102,S104))</f>
        <v>0</v>
      </c>
      <c r="T106" s="5">
        <f>IF(COUNT(T100,T102,T104)=0,NA(),SUM(T100,T102,T104))</f>
        <v>0</v>
      </c>
      <c r="U106" s="5">
        <f>IF(COUNT(U100,U102,U104)=0,NA(),SUM(U100,U102,U104))</f>
        <v>0</v>
      </c>
      <c r="V106" s="5">
        <f>IF(COUNT(V100,V102,V104)=0,NA(),SUM(V100,V102,V104))</f>
        <v>0</v>
      </c>
      <c r="W106" s="5">
        <f>IF(COUNT(W100,W102,W104)=0,NA(),SUM(W100,W102,W104))</f>
        <v>0</v>
      </c>
      <c r="X106" s="5">
        <f>IF(COUNT(X100,X102,X104)=0,NA(),SUM(X100,X102,X104))</f>
        <v>0</v>
      </c>
      <c r="Y106" s="5">
        <f>IF(COUNT(Y100,Y102,Y104)=0,NA(),SUM(Y100,Y102,Y104))</f>
        <v>0</v>
      </c>
      <c r="Z106" s="5">
        <f>IF(COUNT(Z100,Z102,Z104)=0,NA(),SUM(Z100,Z102,Z104))</f>
        <v>0</v>
      </c>
      <c r="AA106" s="5">
        <f>IF(COUNT(AA100,AA102,AA104)=0,NA(),SUM(AA100,AA102,AA104))</f>
        <v>0</v>
      </c>
      <c r="AB106" s="5">
        <f>IF(COUNT(AB100,AB102,AB104)=0,NA(),SUM(AB100,AB102,AB104))</f>
        <v>0</v>
      </c>
      <c r="AC106" s="5">
        <f>IF(COUNT(AC100,AC102,AC104)=0,NA(),SUM(AC100,AC102,AC104))</f>
        <v>0</v>
      </c>
      <c r="AD106" s="5">
        <f>IF(COUNT(AD100,AD102,AD104)=0,NA(),SUM(AD100,AD102,AD104))</f>
        <v>0</v>
      </c>
    </row>
    <row r="107" spans="1:68">
      <c r="A107" s="11" t="s">
        <v>277</v>
      </c>
      <c r="B107" s="11" t="s">
        <v>278</v>
      </c>
      <c r="C107" s="3" t="s">
        <v>137</v>
      </c>
      <c r="D107" s="5">
        <f>IF(COUNT(D96,D97,D98)=0,NA(),SUM(D96,D97,D98))</f>
        <v>0</v>
      </c>
      <c r="E107" s="5">
        <f>IF(COUNT(E96,E97,E98)=0,NA(),SUM(E96,E97,E98))</f>
        <v>0</v>
      </c>
      <c r="F107" s="5">
        <f>IF(COUNT(F96,F97,F98)=0,NA(),SUM(F96,F97,F98))</f>
        <v>0</v>
      </c>
      <c r="G107" s="5">
        <f>IF(COUNT(G96,G97,G98)=0,NA(),SUM(G96,G97,G98))</f>
        <v>0</v>
      </c>
      <c r="H107" s="5">
        <f>IF(COUNT(H96,H97,H98)=0,NA(),SUM(H96,H97,H98))</f>
        <v>0</v>
      </c>
      <c r="I107" s="5">
        <f>IF(COUNT(I96,I97,I98)=0,NA(),SUM(I96,I97,I98))</f>
        <v>0</v>
      </c>
      <c r="J107" s="5">
        <f>IF(COUNT(J96,J97,J98)=0,NA(),SUM(J96,J97,J98))</f>
        <v>0</v>
      </c>
      <c r="K107" s="5">
        <f>IF(COUNT(K96,K97,K98)=0,NA(),SUM(K96,K97,K98))</f>
        <v>0</v>
      </c>
      <c r="L107" s="5">
        <f>IF(COUNT(L96,L97,L98)=0,NA(),SUM(L96,L97,L98))</f>
        <v>0</v>
      </c>
      <c r="M107" s="5">
        <f>IF(COUNT(M96,M97,M98)=0,NA(),SUM(M96,M97,M98))</f>
        <v>0</v>
      </c>
      <c r="N107" s="5">
        <f>IF(COUNT(N96,N97,N98)=0,NA(),SUM(N96,N97,N98))</f>
        <v>0</v>
      </c>
      <c r="O107" s="5">
        <f>IF(COUNT(O96,O97,O98)=0,NA(),SUM(O96,O97,O98))</f>
        <v>0</v>
      </c>
      <c r="P107" s="5">
        <f>IF(COUNT(P96,P97,P98)=0,NA(),SUM(P96,P97,P98))</f>
        <v>0</v>
      </c>
      <c r="Q107" s="5">
        <f>IF(COUNT(Q96,Q97,Q98)=0,NA(),SUM(Q96,Q97,Q98))</f>
        <v>0</v>
      </c>
      <c r="R107" s="5">
        <f>IF(COUNT(R96,R97,R98)=0,NA(),SUM(R96,R97,R98))</f>
        <v>0</v>
      </c>
      <c r="S107" s="5">
        <f>IF(COUNT(S96,S97,S98)=0,NA(),SUM(S96,S97,S98))</f>
        <v>0</v>
      </c>
      <c r="T107" s="5">
        <f>IF(COUNT(T96,T97,T98)=0,NA(),SUM(T96,T97,T98))</f>
        <v>0</v>
      </c>
      <c r="U107" s="5">
        <f>IF(COUNT(U96,U97,U98)=0,NA(),SUM(U96,U97,U98))</f>
        <v>0</v>
      </c>
      <c r="V107" s="5">
        <f>IF(COUNT(V96,V97,V98)=0,NA(),SUM(V96,V97,V98))</f>
        <v>0</v>
      </c>
      <c r="W107" s="5">
        <f>IF(COUNT(W96,W97,W98)=0,NA(),SUM(W96,W97,W98))</f>
        <v>0</v>
      </c>
      <c r="X107" s="5">
        <f>IF(COUNT(X96,X97,X98)=0,NA(),SUM(X96,X97,X98))</f>
        <v>0</v>
      </c>
      <c r="Y107" s="5">
        <f>IF(COUNT(Y96,Y97,Y98)=0,NA(),SUM(Y96,Y97,Y98))</f>
        <v>0</v>
      </c>
      <c r="Z107" s="5">
        <f>IF(COUNT(Z96,Z97,Z98)=0,NA(),SUM(Z96,Z97,Z98))</f>
        <v>0</v>
      </c>
      <c r="AA107" s="5">
        <f>IF(COUNT(AA96,AA97,AA98)=0,NA(),SUM(AA96,AA97,AA98))</f>
        <v>0</v>
      </c>
      <c r="AB107" s="5">
        <f>IF(COUNT(AB96,AB97,AB98)=0,NA(),SUM(AB96,AB97,AB98))</f>
        <v>0</v>
      </c>
      <c r="AC107" s="5">
        <f>IF(COUNT(AC96,AC97,AC98)=0,NA(),SUM(AC96,AC97,AC98))</f>
        <v>0</v>
      </c>
      <c r="AD107" s="5">
        <f>IF(COUNT(AD96,AD97,AD98)=0,NA(),SUM(AD96,AD97,AD98))</f>
        <v>0</v>
      </c>
    </row>
    <row r="108" spans="1:68">
      <c r="A108" s="11" t="s">
        <v>279</v>
      </c>
      <c r="B108" s="11" t="s">
        <v>280</v>
      </c>
      <c r="C108" s="3" t="s">
        <v>137</v>
      </c>
      <c r="D108" s="5">
        <f>IF(AND(ISNUMBER(D105),ISNUMBER(D106)),D105-D106,NA())</f>
        <v>0</v>
      </c>
      <c r="E108" s="5">
        <f>IF(AND(ISNUMBER(E105),ISNUMBER(E106)),E105-E106,NA())</f>
        <v>0</v>
      </c>
      <c r="F108" s="5">
        <f>IF(AND(ISNUMBER(F105),ISNUMBER(F106)),F105-F106,NA())</f>
        <v>0</v>
      </c>
      <c r="G108" s="5">
        <f>IF(AND(ISNUMBER(G105),ISNUMBER(G106)),G105-G106,NA())</f>
        <v>0</v>
      </c>
      <c r="H108" s="5">
        <f>IF(AND(ISNUMBER(H105),ISNUMBER(H106)),H105-H106,NA())</f>
        <v>0</v>
      </c>
      <c r="I108" s="5">
        <f>IF(AND(ISNUMBER(I105),ISNUMBER(I106)),I105-I106,NA())</f>
        <v>0</v>
      </c>
      <c r="J108" s="5">
        <f>IF(AND(ISNUMBER(J105),ISNUMBER(J106)),J105-J106,NA())</f>
        <v>0</v>
      </c>
      <c r="K108" s="5">
        <f>IF(AND(ISNUMBER(K105),ISNUMBER(K106)),K105-K106,NA())</f>
        <v>0</v>
      </c>
      <c r="L108" s="5">
        <f>IF(AND(ISNUMBER(L105),ISNUMBER(L106)),L105-L106,NA())</f>
        <v>0</v>
      </c>
      <c r="M108" s="5">
        <f>IF(AND(ISNUMBER(M105),ISNUMBER(M106)),M105-M106,NA())</f>
        <v>0</v>
      </c>
      <c r="N108" s="5">
        <f>IF(AND(ISNUMBER(N105),ISNUMBER(N106)),N105-N106,NA())</f>
        <v>0</v>
      </c>
      <c r="O108" s="5">
        <f>IF(AND(ISNUMBER(O105),ISNUMBER(O106)),O105-O106,NA())</f>
        <v>0</v>
      </c>
      <c r="P108" s="5">
        <f>IF(AND(ISNUMBER(P105),ISNUMBER(P106)),P105-P106,NA())</f>
        <v>0</v>
      </c>
      <c r="Q108" s="5">
        <f>IF(AND(ISNUMBER(Q105),ISNUMBER(Q106)),Q105-Q106,NA())</f>
        <v>0</v>
      </c>
      <c r="R108" s="5">
        <f>IF(AND(ISNUMBER(R105),ISNUMBER(R106)),R105-R106,NA())</f>
        <v>0</v>
      </c>
      <c r="S108" s="5">
        <f>IF(AND(ISNUMBER(S105),ISNUMBER(S106)),S105-S106,NA())</f>
        <v>0</v>
      </c>
      <c r="T108" s="5">
        <f>IF(AND(ISNUMBER(T105),ISNUMBER(T106)),T105-T106,NA())</f>
        <v>0</v>
      </c>
      <c r="U108" s="5">
        <f>IF(AND(ISNUMBER(U105),ISNUMBER(U106)),U105-U106,NA())</f>
        <v>0</v>
      </c>
      <c r="V108" s="5">
        <f>IF(AND(ISNUMBER(V105),ISNUMBER(V106)),V105-V106,NA())</f>
        <v>0</v>
      </c>
      <c r="W108" s="5">
        <f>IF(AND(ISNUMBER(W105),ISNUMBER(W106)),W105-W106,NA())</f>
        <v>0</v>
      </c>
      <c r="X108" s="5">
        <f>IF(AND(ISNUMBER(X105),ISNUMBER(X106)),X105-X106,NA())</f>
        <v>0</v>
      </c>
      <c r="Y108" s="5">
        <f>IF(AND(ISNUMBER(Y105),ISNUMBER(Y106)),Y105-Y106,NA())</f>
        <v>0</v>
      </c>
      <c r="Z108" s="5">
        <f>IF(AND(ISNUMBER(Z105),ISNUMBER(Z106)),Z105-Z106,NA())</f>
        <v>0</v>
      </c>
      <c r="AA108" s="5">
        <f>IF(AND(ISNUMBER(AA105),ISNUMBER(AA106)),AA105-AA106,NA())</f>
        <v>0</v>
      </c>
      <c r="AB108" s="5">
        <f>IF(AND(ISNUMBER(AB105),ISNUMBER(AB106)),AB105-AB106,NA())</f>
        <v>0</v>
      </c>
      <c r="AC108" s="5">
        <f>IF(AND(ISNUMBER(AC105),ISNUMBER(AC106)),AC105-AC106,NA())</f>
        <v>0</v>
      </c>
      <c r="AD108" s="5">
        <f>IF(AND(ISNUMBER(AD105),ISNUMBER(AD106)),AD105-AD106,NA())</f>
        <v>0</v>
      </c>
    </row>
    <row r="109" spans="1:68">
      <c r="A109" s="11" t="s">
        <v>281</v>
      </c>
      <c r="B109" s="11" t="s">
        <v>282</v>
      </c>
      <c r="C109" s="3" t="s">
        <v>144</v>
      </c>
      <c r="AQ109" s="5">
        <f>IF(AQ$93=0,NA(),MAX(1,_xlfn.AGGREGATE(4,6,INDEX($D$107:$AD$107,MAX(1,$D$91+1-$D$90)):INDEX($D$107:$AD$107,$D$91)),N(Konfiguration!$F$11)))</f>
        <v>0</v>
      </c>
      <c r="AR109" s="5">
        <f>IF(AR$93=0,NA(),MAX(1,_xlfn.AGGREGATE(4,6,INDEX($D$107:$AD$107,MAX(1,$D$91+1-$D$90)):INDEX($D$107:$AD$107,$D$91)),N(Konfiguration!$F$11)))</f>
        <v>0</v>
      </c>
      <c r="AS109" s="5">
        <f>IF(AS$93=0,NA(),MAX(1,_xlfn.AGGREGATE(4,6,INDEX($D$107:$AD$107,MAX(1,$D$91+1-$D$90)):INDEX($D$107:$AD$107,$D$91)),N(Konfiguration!$F$11)))</f>
        <v>0</v>
      </c>
      <c r="AT109" s="5">
        <f>IF(AT$93=0,NA(),MAX(1,_xlfn.AGGREGATE(4,6,INDEX($D$107:$AD$107,MAX(1,$D$91+1-$D$90)):INDEX($D$107:$AD$107,$D$91)),N(Konfiguration!$F$11)))</f>
        <v>0</v>
      </c>
      <c r="AU109" s="5">
        <f>IF(AU$93=0,NA(),MAX(1,_xlfn.AGGREGATE(4,6,INDEX($D$107:$AD$107,MAX(1,$D$91+1-$D$90)):INDEX($D$107:$AD$107,$D$91)),N(Konfiguration!$F$11)))</f>
        <v>0</v>
      </c>
      <c r="AV109" s="5">
        <f>IF(AV$93=0,NA(),MAX(1,_xlfn.AGGREGATE(4,6,INDEX($D$107:$AD$107,MAX(1,$D$91+1-$D$90)):INDEX($D$107:$AD$107,$D$91)),N(Konfiguration!$F$11)))</f>
        <v>0</v>
      </c>
      <c r="AW109" s="5">
        <f>IF(AW$93=0,NA(),MAX(1,_xlfn.AGGREGATE(4,6,INDEX($D$107:$AD$107,MAX(1,$D$91+1-$D$90)):INDEX($D$107:$AD$107,$D$91)),N(Konfiguration!$F$11)))</f>
        <v>0</v>
      </c>
      <c r="AX109" s="5">
        <f>IF(AX$93=0,NA(),MAX(1,_xlfn.AGGREGATE(4,6,INDEX($D$107:$AD$107,MAX(1,$D$91+1-$D$90)):INDEX($D$107:$AD$107,$D$91)),N(Konfiguration!$F$11)))</f>
        <v>0</v>
      </c>
      <c r="AY109" s="5">
        <f>IF(AY$93=0,NA(),MAX(1,_xlfn.AGGREGATE(4,6,INDEX($D$107:$AD$107,MAX(1,$D$91+1-$D$90)):INDEX($D$107:$AD$107,$D$91)),N(Konfiguration!$F$11)))</f>
        <v>0</v>
      </c>
      <c r="AZ109" s="5">
        <f>IF(AZ$93=0,NA(),MAX(1,_xlfn.AGGREGATE(4,6,INDEX($D$107:$AD$107,MAX(1,$D$91+1-$D$90)):INDEX($D$107:$AD$107,$D$91)),N(Konfiguration!$F$11)))</f>
        <v>0</v>
      </c>
      <c r="BA109" s="5">
        <f>IF(BA$93=0,NA(),MAX(1,_xlfn.AGGREGATE(4,6,INDEX($D$107:$AD$107,MAX(1,$D$91+1-$D$90)):INDEX($D$107:$AD$107,$D$91)),N(Konfiguration!$F$11)))</f>
        <v>0</v>
      </c>
      <c r="BB109" s="5">
        <f>IF(BB$93=0,NA(),MAX(1,_xlfn.AGGREGATE(4,6,INDEX($D$107:$AD$107,MAX(1,$D$91+1-$D$90)):INDEX($D$107:$AD$107,$D$91)),N(Konfiguration!$F$11)))</f>
        <v>0</v>
      </c>
      <c r="BC109" s="5">
        <f>IF(BC$93=0,NA(),MAX(1,_xlfn.AGGREGATE(4,6,INDEX($D$107:$AD$107,MAX(1,$D$91+1-$D$90)):INDEX($D$107:$AD$107,$D$91)),N(Konfiguration!$F$11)))</f>
        <v>0</v>
      </c>
      <c r="BD109" s="5">
        <f>IF(BD$93=0,NA(),MAX(1,_xlfn.AGGREGATE(4,6,INDEX($D$107:$AD$107,MAX(1,$D$91+1-$D$90)):INDEX($D$107:$AD$107,$D$91)),N(Konfiguration!$F$11)))</f>
        <v>0</v>
      </c>
      <c r="BE109" s="5">
        <f>IF(BE$93=0,NA(),MAX(1,_xlfn.AGGREGATE(4,6,INDEX($D$107:$AD$107,MAX(1,$D$91+1-$D$90)):INDEX($D$107:$AD$107,$D$91)),N(Konfiguration!$F$11)))</f>
        <v>0</v>
      </c>
      <c r="BF109" s="5">
        <f>IF(BF$93=0,NA(),MAX(1,_xlfn.AGGREGATE(4,6,INDEX($D$107:$AD$107,MAX(1,$D$91+1-$D$90)):INDEX($D$107:$AD$107,$D$91)),N(Konfiguration!$F$11)))</f>
        <v>0</v>
      </c>
      <c r="BG109" s="5">
        <f>IF(BG$93=0,NA(),MAX(1,_xlfn.AGGREGATE(4,6,INDEX($D$107:$AD$107,MAX(1,$D$91+1-$D$90)):INDEX($D$107:$AD$107,$D$91)),N(Konfiguration!$F$11)))</f>
        <v>0</v>
      </c>
      <c r="BH109" s="5">
        <f>IF(BH$93=0,NA(),MAX(1,_xlfn.AGGREGATE(4,6,INDEX($D$107:$AD$107,MAX(1,$D$91+1-$D$90)):INDEX($D$107:$AD$107,$D$91)),N(Konfiguration!$F$11)))</f>
        <v>0</v>
      </c>
      <c r="BI109" s="5">
        <f>IF(BI$93=0,NA(),MAX(1,_xlfn.AGGREGATE(4,6,INDEX($D$107:$AD$107,MAX(1,$D$91+1-$D$90)):INDEX($D$107:$AD$107,$D$91)),N(Konfiguration!$F$11)))</f>
        <v>0</v>
      </c>
      <c r="BJ109" s="5">
        <f>IF(BJ$93=0,NA(),MAX(1,_xlfn.AGGREGATE(4,6,INDEX($D$107:$AD$107,MAX(1,$D$91+1-$D$90)):INDEX($D$107:$AD$107,$D$91)),N(Konfiguration!$F$11)))</f>
        <v>0</v>
      </c>
      <c r="BK109" s="5">
        <f>IF(BK$93=0,NA(),MAX(1,_xlfn.AGGREGATE(4,6,INDEX($D$107:$AD$107,MAX(1,$D$91+1-$D$90)):INDEX($D$107:$AD$107,$D$91)),N(Konfiguration!$F$11)))</f>
        <v>0</v>
      </c>
      <c r="BL109" s="5">
        <f>IF(BL$93=0,NA(),MAX(1,_xlfn.AGGREGATE(4,6,INDEX($D$107:$AD$107,MAX(1,$D$91+1-$D$90)):INDEX($D$107:$AD$107,$D$91)),N(Konfiguration!$F$11)))</f>
        <v>0</v>
      </c>
      <c r="BM109" s="5">
        <f>IF(BM$93=0,NA(),MAX(1,_xlfn.AGGREGATE(4,6,INDEX($D$107:$AD$107,MAX(1,$D$91+1-$D$90)):INDEX($D$107:$AD$107,$D$91)),N(Konfiguration!$F$11)))</f>
        <v>0</v>
      </c>
      <c r="BN109" s="5">
        <f>IF(BN$93=0,NA(),MAX(1,_xlfn.AGGREGATE(4,6,INDEX($D$107:$AD$107,MAX(1,$D$91+1-$D$90)):INDEX($D$107:$AD$107,$D$91)),N(Konfiguration!$F$11)))</f>
        <v>0</v>
      </c>
      <c r="BO109" s="5">
        <f>IF(BO$93=0,NA(),MAX(1,_xlfn.AGGREGATE(4,6,INDEX($D$107:$AD$107,MAX(1,$D$91+1-$D$90)):INDEX($D$107:$AD$107,$D$91)),N(Konfiguration!$F$11)))</f>
        <v>0</v>
      </c>
      <c r="BP109" s="5">
        <f>IF(BP$93=0,NA(),MAX(1,_xlfn.AGGREGATE(4,6,INDEX($D$107:$AD$107,MAX(1,$D$91+1-$D$90)):INDEX($D$107:$AD$107,$D$91)),N(Konfiguration!$F$11)))</f>
        <v>0</v>
      </c>
    </row>
    <row r="110" spans="1:68">
      <c r="A110" s="11" t="s">
        <v>283</v>
      </c>
      <c r="B110" s="11" t="s">
        <v>284</v>
      </c>
      <c r="C110" s="3" t="s">
        <v>144</v>
      </c>
      <c r="AQ110" s="5">
        <f>IF(AQ$93=0,NA(),IF(ISNUMBER(INDEX($D$97:$AD$97,AQ$93)),INDEX($D$97:$AD$97,AQ$93)/AQ109,NA()))</f>
        <v>0</v>
      </c>
      <c r="AR110" s="5">
        <f>IF(AR$93=0,NA(),IF(ISNUMBER(INDEX($D$97:$AD$97,AR$93)),INDEX($D$97:$AD$97,AR$93)/AR109,NA()))</f>
        <v>0</v>
      </c>
      <c r="AS110" s="5">
        <f>IF(AS$93=0,NA(),IF(ISNUMBER(INDEX($D$97:$AD$97,AS$93)),INDEX($D$97:$AD$97,AS$93)/AS109,NA()))</f>
        <v>0</v>
      </c>
      <c r="AT110" s="5">
        <f>IF(AT$93=0,NA(),IF(ISNUMBER(INDEX($D$97:$AD$97,AT$93)),INDEX($D$97:$AD$97,AT$93)/AT109,NA()))</f>
        <v>0</v>
      </c>
      <c r="AU110" s="5">
        <f>IF(AU$93=0,NA(),IF(ISNUMBER(INDEX($D$97:$AD$97,AU$93)),INDEX($D$97:$AD$97,AU$93)/AU109,NA()))</f>
        <v>0</v>
      </c>
      <c r="AV110" s="5">
        <f>IF(AV$93=0,NA(),IF(ISNUMBER(INDEX($D$97:$AD$97,AV$93)),INDEX($D$97:$AD$97,AV$93)/AV109,NA()))</f>
        <v>0</v>
      </c>
      <c r="AW110" s="5">
        <f>IF(AW$93=0,NA(),IF(ISNUMBER(INDEX($D$97:$AD$97,AW$93)),INDEX($D$97:$AD$97,AW$93)/AW109,NA()))</f>
        <v>0</v>
      </c>
      <c r="AX110" s="5">
        <f>IF(AX$93=0,NA(),IF(ISNUMBER(INDEX($D$97:$AD$97,AX$93)),INDEX($D$97:$AD$97,AX$93)/AX109,NA()))</f>
        <v>0</v>
      </c>
      <c r="AY110" s="5">
        <f>IF(AY$93=0,NA(),IF(ISNUMBER(INDEX($D$97:$AD$97,AY$93)),INDEX($D$97:$AD$97,AY$93)/AY109,NA()))</f>
        <v>0</v>
      </c>
      <c r="AZ110" s="5">
        <f>IF(AZ$93=0,NA(),IF(ISNUMBER(INDEX($D$97:$AD$97,AZ$93)),INDEX($D$97:$AD$97,AZ$93)/AZ109,NA()))</f>
        <v>0</v>
      </c>
      <c r="BA110" s="5">
        <f>IF(BA$93=0,NA(),IF(ISNUMBER(INDEX($D$97:$AD$97,BA$93)),INDEX($D$97:$AD$97,BA$93)/BA109,NA()))</f>
        <v>0</v>
      </c>
      <c r="BB110" s="5">
        <f>IF(BB$93=0,NA(),IF(ISNUMBER(INDEX($D$97:$AD$97,BB$93)),INDEX($D$97:$AD$97,BB$93)/BB109,NA()))</f>
        <v>0</v>
      </c>
      <c r="BC110" s="5">
        <f>IF(BC$93=0,NA(),IF(ISNUMBER(INDEX($D$97:$AD$97,BC$93)),INDEX($D$97:$AD$97,BC$93)/BC109,NA()))</f>
        <v>0</v>
      </c>
      <c r="BD110" s="5">
        <f>IF(BD$93=0,NA(),IF(ISNUMBER(INDEX($D$97:$AD$97,BD$93)),INDEX($D$97:$AD$97,BD$93)/BD109,NA()))</f>
        <v>0</v>
      </c>
      <c r="BE110" s="5">
        <f>IF(BE$93=0,NA(),IF(ISNUMBER(INDEX($D$97:$AD$97,BE$93)),INDEX($D$97:$AD$97,BE$93)/BE109,NA()))</f>
        <v>0</v>
      </c>
      <c r="BF110" s="5">
        <f>IF(BF$93=0,NA(),IF(ISNUMBER(INDEX($D$97:$AD$97,BF$93)),INDEX($D$97:$AD$97,BF$93)/BF109,NA()))</f>
        <v>0</v>
      </c>
      <c r="BG110" s="5">
        <f>IF(BG$93=0,NA(),IF(ISNUMBER(INDEX($D$97:$AD$97,BG$93)),INDEX($D$97:$AD$97,BG$93)/BG109,NA()))</f>
        <v>0</v>
      </c>
      <c r="BH110" s="5">
        <f>IF(BH$93=0,NA(),IF(ISNUMBER(INDEX($D$97:$AD$97,BH$93)),INDEX($D$97:$AD$97,BH$93)/BH109,NA()))</f>
        <v>0</v>
      </c>
      <c r="BI110" s="5">
        <f>IF(BI$93=0,NA(),IF(ISNUMBER(INDEX($D$97:$AD$97,BI$93)),INDEX($D$97:$AD$97,BI$93)/BI109,NA()))</f>
        <v>0</v>
      </c>
      <c r="BJ110" s="5">
        <f>IF(BJ$93=0,NA(),IF(ISNUMBER(INDEX($D$97:$AD$97,BJ$93)),INDEX($D$97:$AD$97,BJ$93)/BJ109,NA()))</f>
        <v>0</v>
      </c>
      <c r="BK110" s="5">
        <f>IF(BK$93=0,NA(),IF(ISNUMBER(INDEX($D$97:$AD$97,BK$93)),INDEX($D$97:$AD$97,BK$93)/BK109,NA()))</f>
        <v>0</v>
      </c>
      <c r="BL110" s="5">
        <f>IF(BL$93=0,NA(),IF(ISNUMBER(INDEX($D$97:$AD$97,BL$93)),INDEX($D$97:$AD$97,BL$93)/BL109,NA()))</f>
        <v>0</v>
      </c>
      <c r="BM110" s="5">
        <f>IF(BM$93=0,NA(),IF(ISNUMBER(INDEX($D$97:$AD$97,BM$93)),INDEX($D$97:$AD$97,BM$93)/BM109,NA()))</f>
        <v>0</v>
      </c>
      <c r="BN110" s="5">
        <f>IF(BN$93=0,NA(),IF(ISNUMBER(INDEX($D$97:$AD$97,BN$93)),INDEX($D$97:$AD$97,BN$93)/BN109,NA()))</f>
        <v>0</v>
      </c>
      <c r="BO110" s="5">
        <f>IF(BO$93=0,NA(),IF(ISNUMBER(INDEX($D$97:$AD$97,BO$93)),INDEX($D$97:$AD$97,BO$93)/BO109,NA()))</f>
        <v>0</v>
      </c>
      <c r="BP110" s="5">
        <f>IF(BP$93=0,NA(),IF(ISNUMBER(INDEX($D$97:$AD$97,BP$93)),INDEX($D$97:$AD$97,BP$93)/BP109,NA()))</f>
        <v>0</v>
      </c>
    </row>
    <row r="111" spans="1:68">
      <c r="A111" s="11" t="s">
        <v>285</v>
      </c>
      <c r="B111" s="11" t="s">
        <v>286</v>
      </c>
      <c r="C111" s="3" t="s">
        <v>144</v>
      </c>
      <c r="AQ111" s="5">
        <f>IF(AQ$93=0,NA(),IF(ISNUMBER(INDEX($D$96:$AD$96,AQ$93)),INDEX($D$96:$AD$96,AQ$93)/AQ109,NA()))</f>
        <v>0</v>
      </c>
      <c r="AR111" s="5">
        <f>IF(AR$93=0,NA(),IF(ISNUMBER(INDEX($D$96:$AD$96,AR$93)),INDEX($D$96:$AD$96,AR$93)/AR109,NA()))</f>
        <v>0</v>
      </c>
      <c r="AS111" s="5">
        <f>IF(AS$93=0,NA(),IF(ISNUMBER(INDEX($D$96:$AD$96,AS$93)),INDEX($D$96:$AD$96,AS$93)/AS109,NA()))</f>
        <v>0</v>
      </c>
      <c r="AT111" s="5">
        <f>IF(AT$93=0,NA(),IF(ISNUMBER(INDEX($D$96:$AD$96,AT$93)),INDEX($D$96:$AD$96,AT$93)/AT109,NA()))</f>
        <v>0</v>
      </c>
      <c r="AU111" s="5">
        <f>IF(AU$93=0,NA(),IF(ISNUMBER(INDEX($D$96:$AD$96,AU$93)),INDEX($D$96:$AD$96,AU$93)/AU109,NA()))</f>
        <v>0</v>
      </c>
      <c r="AV111" s="5">
        <f>IF(AV$93=0,NA(),IF(ISNUMBER(INDEX($D$96:$AD$96,AV$93)),INDEX($D$96:$AD$96,AV$93)/AV109,NA()))</f>
        <v>0</v>
      </c>
      <c r="AW111" s="5">
        <f>IF(AW$93=0,NA(),IF(ISNUMBER(INDEX($D$96:$AD$96,AW$93)),INDEX($D$96:$AD$96,AW$93)/AW109,NA()))</f>
        <v>0</v>
      </c>
      <c r="AX111" s="5">
        <f>IF(AX$93=0,NA(),IF(ISNUMBER(INDEX($D$96:$AD$96,AX$93)),INDEX($D$96:$AD$96,AX$93)/AX109,NA()))</f>
        <v>0</v>
      </c>
      <c r="AY111" s="5">
        <f>IF(AY$93=0,NA(),IF(ISNUMBER(INDEX($D$96:$AD$96,AY$93)),INDEX($D$96:$AD$96,AY$93)/AY109,NA()))</f>
        <v>0</v>
      </c>
      <c r="AZ111" s="5">
        <f>IF(AZ$93=0,NA(),IF(ISNUMBER(INDEX($D$96:$AD$96,AZ$93)),INDEX($D$96:$AD$96,AZ$93)/AZ109,NA()))</f>
        <v>0</v>
      </c>
      <c r="BA111" s="5">
        <f>IF(BA$93=0,NA(),IF(ISNUMBER(INDEX($D$96:$AD$96,BA$93)),INDEX($D$96:$AD$96,BA$93)/BA109,NA()))</f>
        <v>0</v>
      </c>
      <c r="BB111" s="5">
        <f>IF(BB$93=0,NA(),IF(ISNUMBER(INDEX($D$96:$AD$96,BB$93)),INDEX($D$96:$AD$96,BB$93)/BB109,NA()))</f>
        <v>0</v>
      </c>
      <c r="BC111" s="5">
        <f>IF(BC$93=0,NA(),IF(ISNUMBER(INDEX($D$96:$AD$96,BC$93)),INDEX($D$96:$AD$96,BC$93)/BC109,NA()))</f>
        <v>0</v>
      </c>
      <c r="BD111" s="5">
        <f>IF(BD$93=0,NA(),IF(ISNUMBER(INDEX($D$96:$AD$96,BD$93)),INDEX($D$96:$AD$96,BD$93)/BD109,NA()))</f>
        <v>0</v>
      </c>
      <c r="BE111" s="5">
        <f>IF(BE$93=0,NA(),IF(ISNUMBER(INDEX($D$96:$AD$96,BE$93)),INDEX($D$96:$AD$96,BE$93)/BE109,NA()))</f>
        <v>0</v>
      </c>
      <c r="BF111" s="5">
        <f>IF(BF$93=0,NA(),IF(ISNUMBER(INDEX($D$96:$AD$96,BF$93)),INDEX($D$96:$AD$96,BF$93)/BF109,NA()))</f>
        <v>0</v>
      </c>
      <c r="BG111" s="5">
        <f>IF(BG$93=0,NA(),IF(ISNUMBER(INDEX($D$96:$AD$96,BG$93)),INDEX($D$96:$AD$96,BG$93)/BG109,NA()))</f>
        <v>0</v>
      </c>
      <c r="BH111" s="5">
        <f>IF(BH$93=0,NA(),IF(ISNUMBER(INDEX($D$96:$AD$96,BH$93)),INDEX($D$96:$AD$96,BH$93)/BH109,NA()))</f>
        <v>0</v>
      </c>
      <c r="BI111" s="5">
        <f>IF(BI$93=0,NA(),IF(ISNUMBER(INDEX($D$96:$AD$96,BI$93)),INDEX($D$96:$AD$96,BI$93)/BI109,NA()))</f>
        <v>0</v>
      </c>
      <c r="BJ111" s="5">
        <f>IF(BJ$93=0,NA(),IF(ISNUMBER(INDEX($D$96:$AD$96,BJ$93)),INDEX($D$96:$AD$96,BJ$93)/BJ109,NA()))</f>
        <v>0</v>
      </c>
      <c r="BK111" s="5">
        <f>IF(BK$93=0,NA(),IF(ISNUMBER(INDEX($D$96:$AD$96,BK$93)),INDEX($D$96:$AD$96,BK$93)/BK109,NA()))</f>
        <v>0</v>
      </c>
      <c r="BL111" s="5">
        <f>IF(BL$93=0,NA(),IF(ISNUMBER(INDEX($D$96:$AD$96,BL$93)),INDEX($D$96:$AD$96,BL$93)/BL109,NA()))</f>
        <v>0</v>
      </c>
      <c r="BM111" s="5">
        <f>IF(BM$93=0,NA(),IF(ISNUMBER(INDEX($D$96:$AD$96,BM$93)),INDEX($D$96:$AD$96,BM$93)/BM109,NA()))</f>
        <v>0</v>
      </c>
      <c r="BN111" s="5">
        <f>IF(BN$93=0,NA(),IF(ISNUMBER(INDEX($D$96:$AD$96,BN$93)),INDEX($D$96:$AD$96,BN$93)/BN109,NA()))</f>
        <v>0</v>
      </c>
      <c r="BO111" s="5">
        <f>IF(BO$93=0,NA(),IF(ISNUMBER(INDEX($D$96:$AD$96,BO$93)),INDEX($D$96:$AD$96,BO$93)/BO109,NA()))</f>
        <v>0</v>
      </c>
      <c r="BP111" s="5">
        <f>IF(BP$93=0,NA(),IF(ISNUMBER(INDEX($D$96:$AD$96,BP$93)),INDEX($D$96:$AD$96,BP$93)/BP109,NA()))</f>
        <v>0</v>
      </c>
    </row>
    <row r="112" spans="1:68">
      <c r="A112" s="11" t="s">
        <v>287</v>
      </c>
      <c r="B112" s="11" t="s">
        <v>288</v>
      </c>
      <c r="C112" s="3" t="s">
        <v>144</v>
      </c>
      <c r="AQ112" s="5">
        <f>IF(AQ$93=0,NA(),IF(ISNUMBER(INDEX($D$98:$AD$98,AQ$93)),INDEX($D$98:$AD$98,AQ$93)/AQ109,NA()))</f>
        <v>0</v>
      </c>
      <c r="AR112" s="5">
        <f>IF(AR$93=0,NA(),IF(ISNUMBER(INDEX($D$98:$AD$98,AR$93)),INDEX($D$98:$AD$98,AR$93)/AR109,NA()))</f>
        <v>0</v>
      </c>
      <c r="AS112" s="5">
        <f>IF(AS$93=0,NA(),IF(ISNUMBER(INDEX($D$98:$AD$98,AS$93)),INDEX($D$98:$AD$98,AS$93)/AS109,NA()))</f>
        <v>0</v>
      </c>
      <c r="AT112" s="5">
        <f>IF(AT$93=0,NA(),IF(ISNUMBER(INDEX($D$98:$AD$98,AT$93)),INDEX($D$98:$AD$98,AT$93)/AT109,NA()))</f>
        <v>0</v>
      </c>
      <c r="AU112" s="5">
        <f>IF(AU$93=0,NA(),IF(ISNUMBER(INDEX($D$98:$AD$98,AU$93)),INDEX($D$98:$AD$98,AU$93)/AU109,NA()))</f>
        <v>0</v>
      </c>
      <c r="AV112" s="5">
        <f>IF(AV$93=0,NA(),IF(ISNUMBER(INDEX($D$98:$AD$98,AV$93)),INDEX($D$98:$AD$98,AV$93)/AV109,NA()))</f>
        <v>0</v>
      </c>
      <c r="AW112" s="5">
        <f>IF(AW$93=0,NA(),IF(ISNUMBER(INDEX($D$98:$AD$98,AW$93)),INDEX($D$98:$AD$98,AW$93)/AW109,NA()))</f>
        <v>0</v>
      </c>
      <c r="AX112" s="5">
        <f>IF(AX$93=0,NA(),IF(ISNUMBER(INDEX($D$98:$AD$98,AX$93)),INDEX($D$98:$AD$98,AX$93)/AX109,NA()))</f>
        <v>0</v>
      </c>
      <c r="AY112" s="5">
        <f>IF(AY$93=0,NA(),IF(ISNUMBER(INDEX($D$98:$AD$98,AY$93)),INDEX($D$98:$AD$98,AY$93)/AY109,NA()))</f>
        <v>0</v>
      </c>
      <c r="AZ112" s="5">
        <f>IF(AZ$93=0,NA(),IF(ISNUMBER(INDEX($D$98:$AD$98,AZ$93)),INDEX($D$98:$AD$98,AZ$93)/AZ109,NA()))</f>
        <v>0</v>
      </c>
      <c r="BA112" s="5">
        <f>IF(BA$93=0,NA(),IF(ISNUMBER(INDEX($D$98:$AD$98,BA$93)),INDEX($D$98:$AD$98,BA$93)/BA109,NA()))</f>
        <v>0</v>
      </c>
      <c r="BB112" s="5">
        <f>IF(BB$93=0,NA(),IF(ISNUMBER(INDEX($D$98:$AD$98,BB$93)),INDEX($D$98:$AD$98,BB$93)/BB109,NA()))</f>
        <v>0</v>
      </c>
      <c r="BC112" s="5">
        <f>IF(BC$93=0,NA(),IF(ISNUMBER(INDEX($D$98:$AD$98,BC$93)),INDEX($D$98:$AD$98,BC$93)/BC109,NA()))</f>
        <v>0</v>
      </c>
      <c r="BD112" s="5">
        <f>IF(BD$93=0,NA(),IF(ISNUMBER(INDEX($D$98:$AD$98,BD$93)),INDEX($D$98:$AD$98,BD$93)/BD109,NA()))</f>
        <v>0</v>
      </c>
      <c r="BE112" s="5">
        <f>IF(BE$93=0,NA(),IF(ISNUMBER(INDEX($D$98:$AD$98,BE$93)),INDEX($D$98:$AD$98,BE$93)/BE109,NA()))</f>
        <v>0</v>
      </c>
      <c r="BF112" s="5">
        <f>IF(BF$93=0,NA(),IF(ISNUMBER(INDEX($D$98:$AD$98,BF$93)),INDEX($D$98:$AD$98,BF$93)/BF109,NA()))</f>
        <v>0</v>
      </c>
      <c r="BG112" s="5">
        <f>IF(BG$93=0,NA(),IF(ISNUMBER(INDEX($D$98:$AD$98,BG$93)),INDEX($D$98:$AD$98,BG$93)/BG109,NA()))</f>
        <v>0</v>
      </c>
      <c r="BH112" s="5">
        <f>IF(BH$93=0,NA(),IF(ISNUMBER(INDEX($D$98:$AD$98,BH$93)),INDEX($D$98:$AD$98,BH$93)/BH109,NA()))</f>
        <v>0</v>
      </c>
      <c r="BI112" s="5">
        <f>IF(BI$93=0,NA(),IF(ISNUMBER(INDEX($D$98:$AD$98,BI$93)),INDEX($D$98:$AD$98,BI$93)/BI109,NA()))</f>
        <v>0</v>
      </c>
      <c r="BJ112" s="5">
        <f>IF(BJ$93=0,NA(),IF(ISNUMBER(INDEX($D$98:$AD$98,BJ$93)),INDEX($D$98:$AD$98,BJ$93)/BJ109,NA()))</f>
        <v>0</v>
      </c>
      <c r="BK112" s="5">
        <f>IF(BK$93=0,NA(),IF(ISNUMBER(INDEX($D$98:$AD$98,BK$93)),INDEX($D$98:$AD$98,BK$93)/BK109,NA()))</f>
        <v>0</v>
      </c>
      <c r="BL112" s="5">
        <f>IF(BL$93=0,NA(),IF(ISNUMBER(INDEX($D$98:$AD$98,BL$93)),INDEX($D$98:$AD$98,BL$93)/BL109,NA()))</f>
        <v>0</v>
      </c>
      <c r="BM112" s="5">
        <f>IF(BM$93=0,NA(),IF(ISNUMBER(INDEX($D$98:$AD$98,BM$93)),INDEX($D$98:$AD$98,BM$93)/BM109,NA()))</f>
        <v>0</v>
      </c>
      <c r="BN112" s="5">
        <f>IF(BN$93=0,NA(),IF(ISNUMBER(INDEX($D$98:$AD$98,BN$93)),INDEX($D$98:$AD$98,BN$93)/BN109,NA()))</f>
        <v>0</v>
      </c>
      <c r="BO112" s="5">
        <f>IF(BO$93=0,NA(),IF(ISNUMBER(INDEX($D$98:$AD$98,BO$93)),INDEX($D$98:$AD$98,BO$93)/BO109,NA()))</f>
        <v>0</v>
      </c>
      <c r="BP112" s="5">
        <f>IF(BP$93=0,NA(),IF(ISNUMBER(INDEX($D$98:$AD$98,BP$93)),INDEX($D$98:$AD$98,BP$93)/BP109,NA()))</f>
        <v>0</v>
      </c>
    </row>
    <row r="113" spans="1:68">
      <c r="A113" s="11" t="s">
        <v>289</v>
      </c>
      <c r="B113" s="11" t="s">
        <v>290</v>
      </c>
      <c r="C113" s="3" t="s">
        <v>144</v>
      </c>
      <c r="AQ113" s="5">
        <f>IF(AQ$93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R113" s="5">
        <f>IF(AR$93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S113" s="5">
        <f>IF(AS$93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T113" s="5">
        <f>IF(AT$93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U113" s="5">
        <f>IF(AU$93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V113" s="5">
        <f>IF(AV$93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W113" s="5">
        <f>IF(AW$93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X113" s="5">
        <f>IF(AX$93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Y113" s="5">
        <f>IF(AY$93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Z113" s="5">
        <f>IF(AZ$93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A113" s="5">
        <f>IF(BA$93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B113" s="5">
        <f>IF(BB$93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C113" s="5">
        <f>IF(BC$93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D113" s="5">
        <f>IF(BD$93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E113" s="5">
        <f>IF(BE$93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F113" s="5">
        <f>IF(BF$93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G113" s="5">
        <f>IF(BG$93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H113" s="5">
        <f>IF(BH$93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I113" s="5">
        <f>IF(BI$93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J113" s="5">
        <f>IF(BJ$93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K113" s="5">
        <f>IF(BK$93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L113" s="5">
        <f>IF(BL$93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M113" s="5">
        <f>IF(BM$93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N113" s="5">
        <f>IF(BN$93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O113" s="5">
        <f>IF(BO$93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P113" s="5">
        <f>IF(BP$93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row>
    <row r="114" spans="1:68">
      <c r="A114" s="11" t="s">
        <v>291</v>
      </c>
      <c r="B114" s="11" t="s">
        <v>292</v>
      </c>
      <c r="C114" s="3" t="s">
        <v>144</v>
      </c>
      <c r="AQ114" s="11">
        <f>IF(AQ$93=0,"",IF(ISNUMBER(INDEX($D$97:$AD$97,AQ$93)),FIXED(INDEX($D$97:$AD$97,AQ$93)/1000,1),""))</f>
        <v>0</v>
      </c>
      <c r="AR114" s="11">
        <f>IF(AR$93=0,"",IF(ISNUMBER(INDEX($D$97:$AD$97,AR$93)),FIXED(INDEX($D$97:$AD$97,AR$93)/1000,1),""))</f>
        <v>0</v>
      </c>
      <c r="AS114" s="11">
        <f>IF(AS$93=0,"",IF(ISNUMBER(INDEX($D$97:$AD$97,AS$93)),FIXED(INDEX($D$97:$AD$97,AS$93)/1000,1),""))</f>
        <v>0</v>
      </c>
      <c r="AT114" s="11">
        <f>IF(AT$93=0,"",IF(ISNUMBER(INDEX($D$97:$AD$97,AT$93)),FIXED(INDEX($D$97:$AD$97,AT$93)/1000,1),""))</f>
        <v>0</v>
      </c>
      <c r="AU114" s="11">
        <f>IF(AU$93=0,"",IF(ISNUMBER(INDEX($D$97:$AD$97,AU$93)),FIXED(INDEX($D$97:$AD$97,AU$93)/1000,1),""))</f>
        <v>0</v>
      </c>
      <c r="AV114" s="11">
        <f>IF(AV$93=0,"",IF(ISNUMBER(INDEX($D$97:$AD$97,AV$93)),FIXED(INDEX($D$97:$AD$97,AV$93)/1000,1),""))</f>
        <v>0</v>
      </c>
      <c r="AW114" s="11">
        <f>IF(AW$93=0,"",IF(ISNUMBER(INDEX($D$97:$AD$97,AW$93)),FIXED(INDEX($D$97:$AD$97,AW$93)/1000,1),""))</f>
        <v>0</v>
      </c>
      <c r="AX114" s="11">
        <f>IF(AX$93=0,"",IF(ISNUMBER(INDEX($D$97:$AD$97,AX$93)),FIXED(INDEX($D$97:$AD$97,AX$93)/1000,1),""))</f>
        <v>0</v>
      </c>
      <c r="AY114" s="11">
        <f>IF(AY$93=0,"",IF(ISNUMBER(INDEX($D$97:$AD$97,AY$93)),FIXED(INDEX($D$97:$AD$97,AY$93)/1000,1),""))</f>
        <v>0</v>
      </c>
      <c r="AZ114" s="11">
        <f>IF(AZ$93=0,"",IF(ISNUMBER(INDEX($D$97:$AD$97,AZ$93)),FIXED(INDEX($D$97:$AD$97,AZ$93)/1000,1),""))</f>
        <v>0</v>
      </c>
      <c r="BA114" s="11">
        <f>IF(BA$93=0,"",IF(ISNUMBER(INDEX($D$97:$AD$97,BA$93)),FIXED(INDEX($D$97:$AD$97,BA$93)/1000,1),""))</f>
        <v>0</v>
      </c>
      <c r="BB114" s="11">
        <f>IF(BB$93=0,"",IF(ISNUMBER(INDEX($D$97:$AD$97,BB$93)),FIXED(INDEX($D$97:$AD$97,BB$93)/1000,1),""))</f>
        <v>0</v>
      </c>
      <c r="BC114" s="11">
        <f>IF(BC$93=0,"",IF(ISNUMBER(INDEX($D$97:$AD$97,BC$93)),FIXED(INDEX($D$97:$AD$97,BC$93)/1000,1),""))</f>
        <v>0</v>
      </c>
      <c r="BD114" s="11">
        <f>IF(BD$93=0,"",IF(ISNUMBER(INDEX($D$97:$AD$97,BD$93)),FIXED(INDEX($D$97:$AD$97,BD$93)/1000,1),""))</f>
        <v>0</v>
      </c>
      <c r="BE114" s="11">
        <f>IF(BE$93=0,"",IF(ISNUMBER(INDEX($D$97:$AD$97,BE$93)),FIXED(INDEX($D$97:$AD$97,BE$93)/1000,1),""))</f>
        <v>0</v>
      </c>
      <c r="BF114" s="11">
        <f>IF(BF$93=0,"",IF(ISNUMBER(INDEX($D$97:$AD$97,BF$93)),FIXED(INDEX($D$97:$AD$97,BF$93)/1000,1),""))</f>
        <v>0</v>
      </c>
      <c r="BG114" s="11">
        <f>IF(BG$93=0,"",IF(ISNUMBER(INDEX($D$97:$AD$97,BG$93)),FIXED(INDEX($D$97:$AD$97,BG$93)/1000,1),""))</f>
        <v>0</v>
      </c>
      <c r="BH114" s="11">
        <f>IF(BH$93=0,"",IF(ISNUMBER(INDEX($D$97:$AD$97,BH$93)),FIXED(INDEX($D$97:$AD$97,BH$93)/1000,1),""))</f>
        <v>0</v>
      </c>
      <c r="BI114" s="11">
        <f>IF(BI$93=0,"",IF(ISNUMBER(INDEX($D$97:$AD$97,BI$93)),FIXED(INDEX($D$97:$AD$97,BI$93)/1000,1),""))</f>
        <v>0</v>
      </c>
      <c r="BJ114" s="11">
        <f>IF(BJ$93=0,"",IF(ISNUMBER(INDEX($D$97:$AD$97,BJ$93)),FIXED(INDEX($D$97:$AD$97,BJ$93)/1000,1),""))</f>
        <v>0</v>
      </c>
      <c r="BK114" s="11">
        <f>IF(BK$93=0,"",IF(ISNUMBER(INDEX($D$97:$AD$97,BK$93)),FIXED(INDEX($D$97:$AD$97,BK$93)/1000,1),""))</f>
        <v>0</v>
      </c>
      <c r="BL114" s="11">
        <f>IF(BL$93=0,"",IF(ISNUMBER(INDEX($D$97:$AD$97,BL$93)),FIXED(INDEX($D$97:$AD$97,BL$93)/1000,1),""))</f>
        <v>0</v>
      </c>
      <c r="BM114" s="11">
        <f>IF(BM$93=0,"",IF(ISNUMBER(INDEX($D$97:$AD$97,BM$93)),FIXED(INDEX($D$97:$AD$97,BM$93)/1000,1),""))</f>
        <v>0</v>
      </c>
      <c r="BN114" s="11">
        <f>IF(BN$93=0,"",IF(ISNUMBER(INDEX($D$97:$AD$97,BN$93)),FIXED(INDEX($D$97:$AD$97,BN$93)/1000,1),""))</f>
        <v>0</v>
      </c>
      <c r="BO114" s="11">
        <f>IF(BO$93=0,"",IF(ISNUMBER(INDEX($D$97:$AD$97,BO$93)),FIXED(INDEX($D$97:$AD$97,BO$93)/1000,1),""))</f>
        <v>0</v>
      </c>
      <c r="BP114" s="11">
        <f>IF(BP$93=0,"",IF(ISNUMBER(INDEX($D$97:$AD$97,BP$93)),FIXED(INDEX($D$97:$AD$97,BP$93)/1000,1),""))</f>
        <v>0</v>
      </c>
    </row>
    <row r="115" spans="1:68">
      <c r="A115" s="11" t="s">
        <v>293</v>
      </c>
      <c r="B115" s="11" t="s">
        <v>294</v>
      </c>
      <c r="C115" s="3" t="s">
        <v>144</v>
      </c>
      <c r="AQ115" s="5">
        <f>IF(AQ$93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R115" s="5">
        <f>IF(AR$93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S115" s="5">
        <f>IF(AS$93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T115" s="5">
        <f>IF(AT$93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U115" s="5">
        <f>IF(AU$93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V115" s="5">
        <f>IF(AV$93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W115" s="5">
        <f>IF(AW$93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X115" s="5">
        <f>IF(AX$93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Y115" s="5">
        <f>IF(AY$93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Z115" s="5">
        <f>IF(AZ$93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A115" s="5">
        <f>IF(BA$93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B115" s="5">
        <f>IF(BB$93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C115" s="5">
        <f>IF(BC$93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D115" s="5">
        <f>IF(BD$93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E115" s="5">
        <f>IF(BE$93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F115" s="5">
        <f>IF(BF$93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G115" s="5">
        <f>IF(BG$93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H115" s="5">
        <f>IF(BH$93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I115" s="5">
        <f>IF(BI$93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J115" s="5">
        <f>IF(BJ$93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K115" s="5">
        <f>IF(BK$93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L115" s="5">
        <f>IF(BL$93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M115" s="5">
        <f>IF(BM$93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N115" s="5">
        <f>IF(BN$93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O115" s="5">
        <f>IF(BO$93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P115" s="5">
        <f>IF(BP$93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row>
    <row r="116" spans="1:68">
      <c r="A116" s="11" t="s">
        <v>295</v>
      </c>
      <c r="B116" s="11" t="s">
        <v>296</v>
      </c>
      <c r="C116" s="3" t="s">
        <v>144</v>
      </c>
      <c r="AQ116" s="11">
        <f>IF(AQ$93=0,"",IF(ISNUMBER(INDEX($D$96:$AD$96,AQ$93)),FIXED(INDEX($D$96:$AD$96,AQ$93)/1000,1),""))</f>
        <v>0</v>
      </c>
      <c r="AR116" s="11">
        <f>IF(AR$93=0,"",IF(ISNUMBER(INDEX($D$96:$AD$96,AR$93)),FIXED(INDEX($D$96:$AD$96,AR$93)/1000,1),""))</f>
        <v>0</v>
      </c>
      <c r="AS116" s="11">
        <f>IF(AS$93=0,"",IF(ISNUMBER(INDEX($D$96:$AD$96,AS$93)),FIXED(INDEX($D$96:$AD$96,AS$93)/1000,1),""))</f>
        <v>0</v>
      </c>
      <c r="AT116" s="11">
        <f>IF(AT$93=0,"",IF(ISNUMBER(INDEX($D$96:$AD$96,AT$93)),FIXED(INDEX($D$96:$AD$96,AT$93)/1000,1),""))</f>
        <v>0</v>
      </c>
      <c r="AU116" s="11">
        <f>IF(AU$93=0,"",IF(ISNUMBER(INDEX($D$96:$AD$96,AU$93)),FIXED(INDEX($D$96:$AD$96,AU$93)/1000,1),""))</f>
        <v>0</v>
      </c>
      <c r="AV116" s="11">
        <f>IF(AV$93=0,"",IF(ISNUMBER(INDEX($D$96:$AD$96,AV$93)),FIXED(INDEX($D$96:$AD$96,AV$93)/1000,1),""))</f>
        <v>0</v>
      </c>
      <c r="AW116" s="11">
        <f>IF(AW$93=0,"",IF(ISNUMBER(INDEX($D$96:$AD$96,AW$93)),FIXED(INDEX($D$96:$AD$96,AW$93)/1000,1),""))</f>
        <v>0</v>
      </c>
      <c r="AX116" s="11">
        <f>IF(AX$93=0,"",IF(ISNUMBER(INDEX($D$96:$AD$96,AX$93)),FIXED(INDEX($D$96:$AD$96,AX$93)/1000,1),""))</f>
        <v>0</v>
      </c>
      <c r="AY116" s="11">
        <f>IF(AY$93=0,"",IF(ISNUMBER(INDEX($D$96:$AD$96,AY$93)),FIXED(INDEX($D$96:$AD$96,AY$93)/1000,1),""))</f>
        <v>0</v>
      </c>
      <c r="AZ116" s="11">
        <f>IF(AZ$93=0,"",IF(ISNUMBER(INDEX($D$96:$AD$96,AZ$93)),FIXED(INDEX($D$96:$AD$96,AZ$93)/1000,1),""))</f>
        <v>0</v>
      </c>
      <c r="BA116" s="11">
        <f>IF(BA$93=0,"",IF(ISNUMBER(INDEX($D$96:$AD$96,BA$93)),FIXED(INDEX($D$96:$AD$96,BA$93)/1000,1),""))</f>
        <v>0</v>
      </c>
      <c r="BB116" s="11">
        <f>IF(BB$93=0,"",IF(ISNUMBER(INDEX($D$96:$AD$96,BB$93)),FIXED(INDEX($D$96:$AD$96,BB$93)/1000,1),""))</f>
        <v>0</v>
      </c>
      <c r="BC116" s="11">
        <f>IF(BC$93=0,"",IF(ISNUMBER(INDEX($D$96:$AD$96,BC$93)),FIXED(INDEX($D$96:$AD$96,BC$93)/1000,1),""))</f>
        <v>0</v>
      </c>
      <c r="BD116" s="11">
        <f>IF(BD$93=0,"",IF(ISNUMBER(INDEX($D$96:$AD$96,BD$93)),FIXED(INDEX($D$96:$AD$96,BD$93)/1000,1),""))</f>
        <v>0</v>
      </c>
      <c r="BE116" s="11">
        <f>IF(BE$93=0,"",IF(ISNUMBER(INDEX($D$96:$AD$96,BE$93)),FIXED(INDEX($D$96:$AD$96,BE$93)/1000,1),""))</f>
        <v>0</v>
      </c>
      <c r="BF116" s="11">
        <f>IF(BF$93=0,"",IF(ISNUMBER(INDEX($D$96:$AD$96,BF$93)),FIXED(INDEX($D$96:$AD$96,BF$93)/1000,1),""))</f>
        <v>0</v>
      </c>
      <c r="BG116" s="11">
        <f>IF(BG$93=0,"",IF(ISNUMBER(INDEX($D$96:$AD$96,BG$93)),FIXED(INDEX($D$96:$AD$96,BG$93)/1000,1),""))</f>
        <v>0</v>
      </c>
      <c r="BH116" s="11">
        <f>IF(BH$93=0,"",IF(ISNUMBER(INDEX($D$96:$AD$96,BH$93)),FIXED(INDEX($D$96:$AD$96,BH$93)/1000,1),""))</f>
        <v>0</v>
      </c>
      <c r="BI116" s="11">
        <f>IF(BI$93=0,"",IF(ISNUMBER(INDEX($D$96:$AD$96,BI$93)),FIXED(INDEX($D$96:$AD$96,BI$93)/1000,1),""))</f>
        <v>0</v>
      </c>
      <c r="BJ116" s="11">
        <f>IF(BJ$93=0,"",IF(ISNUMBER(INDEX($D$96:$AD$96,BJ$93)),FIXED(INDEX($D$96:$AD$96,BJ$93)/1000,1),""))</f>
        <v>0</v>
      </c>
      <c r="BK116" s="11">
        <f>IF(BK$93=0,"",IF(ISNUMBER(INDEX($D$96:$AD$96,BK$93)),FIXED(INDEX($D$96:$AD$96,BK$93)/1000,1),""))</f>
        <v>0</v>
      </c>
      <c r="BL116" s="11">
        <f>IF(BL$93=0,"",IF(ISNUMBER(INDEX($D$96:$AD$96,BL$93)),FIXED(INDEX($D$96:$AD$96,BL$93)/1000,1),""))</f>
        <v>0</v>
      </c>
      <c r="BM116" s="11">
        <f>IF(BM$93=0,"",IF(ISNUMBER(INDEX($D$96:$AD$96,BM$93)),FIXED(INDEX($D$96:$AD$96,BM$93)/1000,1),""))</f>
        <v>0</v>
      </c>
      <c r="BN116" s="11">
        <f>IF(BN$93=0,"",IF(ISNUMBER(INDEX($D$96:$AD$96,BN$93)),FIXED(INDEX($D$96:$AD$96,BN$93)/1000,1),""))</f>
        <v>0</v>
      </c>
      <c r="BO116" s="11">
        <f>IF(BO$93=0,"",IF(ISNUMBER(INDEX($D$96:$AD$96,BO$93)),FIXED(INDEX($D$96:$AD$96,BO$93)/1000,1),""))</f>
        <v>0</v>
      </c>
      <c r="BP116" s="11">
        <f>IF(BP$93=0,"",IF(ISNUMBER(INDEX($D$96:$AD$96,BP$93)),FIXED(INDEX($D$96:$AD$96,BP$93)/1000,1),""))</f>
        <v>0</v>
      </c>
    </row>
    <row r="117" spans="1:68">
      <c r="A117" s="11" t="s">
        <v>297</v>
      </c>
      <c r="B117" s="11" t="s">
        <v>298</v>
      </c>
      <c r="C117" s="3" t="s">
        <v>144</v>
      </c>
      <c r="AQ117" s="5">
        <f>IF(AQ$93=0,NA(),(_xlfn.AGGREGATE(9,6,INDEX($D$98:$AD$98,MAX(1,$D$91+1-$D$90)):INDEX($D$98:$AD$98,$D$91))&gt;_xlfn.AGGREGATE(9,6,INDEX($D$96:$AD$96,MAX(1,$D$91+1-$D$90)):INDEX($D$96:$AD$96,$D$91)))+(_xlfn.AGGREGATE(9,6,INDEX($D$98:$AD$98,MAX(1,$D$91+1-$D$90)):INDEX($D$98:$AD$98,$D$91))&gt;_xlfn.AGGREGATE(9,6,INDEX($D$97:$AD$97,MAX(1,$D$91+1-$D$90)):INDEX($D$97:$AD$97,$D$91))))</f>
        <v>0</v>
      </c>
      <c r="AR117" s="5">
        <f>IF(AR$93=0,NA(),(_xlfn.AGGREGATE(9,6,INDEX($D$98:$AD$98,MAX(1,$D$91+1-$D$90)):INDEX($D$98:$AD$98,$D$91))&gt;_xlfn.AGGREGATE(9,6,INDEX($D$96:$AD$96,MAX(1,$D$91+1-$D$90)):INDEX($D$96:$AD$96,$D$91)))+(_xlfn.AGGREGATE(9,6,INDEX($D$98:$AD$98,MAX(1,$D$91+1-$D$90)):INDEX($D$98:$AD$98,$D$91))&gt;_xlfn.AGGREGATE(9,6,INDEX($D$97:$AD$97,MAX(1,$D$91+1-$D$90)):INDEX($D$97:$AD$97,$D$91))))</f>
        <v>0</v>
      </c>
      <c r="AS117" s="5">
        <f>IF(AS$93=0,NA(),(_xlfn.AGGREGATE(9,6,INDEX($D$98:$AD$98,MAX(1,$D$91+1-$D$90)):INDEX($D$98:$AD$98,$D$91))&gt;_xlfn.AGGREGATE(9,6,INDEX($D$96:$AD$96,MAX(1,$D$91+1-$D$90)):INDEX($D$96:$AD$96,$D$91)))+(_xlfn.AGGREGATE(9,6,INDEX($D$98:$AD$98,MAX(1,$D$91+1-$D$90)):INDEX($D$98:$AD$98,$D$91))&gt;_xlfn.AGGREGATE(9,6,INDEX($D$97:$AD$97,MAX(1,$D$91+1-$D$90)):INDEX($D$97:$AD$97,$D$91))))</f>
        <v>0</v>
      </c>
      <c r="AT117" s="5">
        <f>IF(AT$93=0,NA(),(_xlfn.AGGREGATE(9,6,INDEX($D$98:$AD$98,MAX(1,$D$91+1-$D$90)):INDEX($D$98:$AD$98,$D$91))&gt;_xlfn.AGGREGATE(9,6,INDEX($D$96:$AD$96,MAX(1,$D$91+1-$D$90)):INDEX($D$96:$AD$96,$D$91)))+(_xlfn.AGGREGATE(9,6,INDEX($D$98:$AD$98,MAX(1,$D$91+1-$D$90)):INDEX($D$98:$AD$98,$D$91))&gt;_xlfn.AGGREGATE(9,6,INDEX($D$97:$AD$97,MAX(1,$D$91+1-$D$90)):INDEX($D$97:$AD$97,$D$91))))</f>
        <v>0</v>
      </c>
      <c r="AU117" s="5">
        <f>IF(AU$93=0,NA(),(_xlfn.AGGREGATE(9,6,INDEX($D$98:$AD$98,MAX(1,$D$91+1-$D$90)):INDEX($D$98:$AD$98,$D$91))&gt;_xlfn.AGGREGATE(9,6,INDEX($D$96:$AD$96,MAX(1,$D$91+1-$D$90)):INDEX($D$96:$AD$96,$D$91)))+(_xlfn.AGGREGATE(9,6,INDEX($D$98:$AD$98,MAX(1,$D$91+1-$D$90)):INDEX($D$98:$AD$98,$D$91))&gt;_xlfn.AGGREGATE(9,6,INDEX($D$97:$AD$97,MAX(1,$D$91+1-$D$90)):INDEX($D$97:$AD$97,$D$91))))</f>
        <v>0</v>
      </c>
      <c r="AV117" s="5">
        <f>IF(AV$93=0,NA(),(_xlfn.AGGREGATE(9,6,INDEX($D$98:$AD$98,MAX(1,$D$91+1-$D$90)):INDEX($D$98:$AD$98,$D$91))&gt;_xlfn.AGGREGATE(9,6,INDEX($D$96:$AD$96,MAX(1,$D$91+1-$D$90)):INDEX($D$96:$AD$96,$D$91)))+(_xlfn.AGGREGATE(9,6,INDEX($D$98:$AD$98,MAX(1,$D$91+1-$D$90)):INDEX($D$98:$AD$98,$D$91))&gt;_xlfn.AGGREGATE(9,6,INDEX($D$97:$AD$97,MAX(1,$D$91+1-$D$90)):INDEX($D$97:$AD$97,$D$91))))</f>
        <v>0</v>
      </c>
      <c r="AW117" s="5">
        <f>IF(AW$93=0,NA(),(_xlfn.AGGREGATE(9,6,INDEX($D$98:$AD$98,MAX(1,$D$91+1-$D$90)):INDEX($D$98:$AD$98,$D$91))&gt;_xlfn.AGGREGATE(9,6,INDEX($D$96:$AD$96,MAX(1,$D$91+1-$D$90)):INDEX($D$96:$AD$96,$D$91)))+(_xlfn.AGGREGATE(9,6,INDEX($D$98:$AD$98,MAX(1,$D$91+1-$D$90)):INDEX($D$98:$AD$98,$D$91))&gt;_xlfn.AGGREGATE(9,6,INDEX($D$97:$AD$97,MAX(1,$D$91+1-$D$90)):INDEX($D$97:$AD$97,$D$91))))</f>
        <v>0</v>
      </c>
      <c r="AX117" s="5">
        <f>IF(AX$93=0,NA(),(_xlfn.AGGREGATE(9,6,INDEX($D$98:$AD$98,MAX(1,$D$91+1-$D$90)):INDEX($D$98:$AD$98,$D$91))&gt;_xlfn.AGGREGATE(9,6,INDEX($D$96:$AD$96,MAX(1,$D$91+1-$D$90)):INDEX($D$96:$AD$96,$D$91)))+(_xlfn.AGGREGATE(9,6,INDEX($D$98:$AD$98,MAX(1,$D$91+1-$D$90)):INDEX($D$98:$AD$98,$D$91))&gt;_xlfn.AGGREGATE(9,6,INDEX($D$97:$AD$97,MAX(1,$D$91+1-$D$90)):INDEX($D$97:$AD$97,$D$91))))</f>
        <v>0</v>
      </c>
      <c r="AY117" s="5">
        <f>IF(AY$93=0,NA(),(_xlfn.AGGREGATE(9,6,INDEX($D$98:$AD$98,MAX(1,$D$91+1-$D$90)):INDEX($D$98:$AD$98,$D$91))&gt;_xlfn.AGGREGATE(9,6,INDEX($D$96:$AD$96,MAX(1,$D$91+1-$D$90)):INDEX($D$96:$AD$96,$D$91)))+(_xlfn.AGGREGATE(9,6,INDEX($D$98:$AD$98,MAX(1,$D$91+1-$D$90)):INDEX($D$98:$AD$98,$D$91))&gt;_xlfn.AGGREGATE(9,6,INDEX($D$97:$AD$97,MAX(1,$D$91+1-$D$90)):INDEX($D$97:$AD$97,$D$91))))</f>
        <v>0</v>
      </c>
      <c r="AZ117" s="5">
        <f>IF(AZ$93=0,NA(),(_xlfn.AGGREGATE(9,6,INDEX($D$98:$AD$98,MAX(1,$D$91+1-$D$90)):INDEX($D$98:$AD$98,$D$91))&gt;_xlfn.AGGREGATE(9,6,INDEX($D$96:$AD$96,MAX(1,$D$91+1-$D$90)):INDEX($D$96:$AD$96,$D$91)))+(_xlfn.AGGREGATE(9,6,INDEX($D$98:$AD$98,MAX(1,$D$91+1-$D$90)):INDEX($D$98:$AD$98,$D$91))&gt;_xlfn.AGGREGATE(9,6,INDEX($D$97:$AD$97,MAX(1,$D$91+1-$D$90)):INDEX($D$97:$AD$97,$D$91))))</f>
        <v>0</v>
      </c>
      <c r="BA117" s="5">
        <f>IF(BA$93=0,NA(),(_xlfn.AGGREGATE(9,6,INDEX($D$98:$AD$98,MAX(1,$D$91+1-$D$90)):INDEX($D$98:$AD$98,$D$91))&gt;_xlfn.AGGREGATE(9,6,INDEX($D$96:$AD$96,MAX(1,$D$91+1-$D$90)):INDEX($D$96:$AD$96,$D$91)))+(_xlfn.AGGREGATE(9,6,INDEX($D$98:$AD$98,MAX(1,$D$91+1-$D$90)):INDEX($D$98:$AD$98,$D$91))&gt;_xlfn.AGGREGATE(9,6,INDEX($D$97:$AD$97,MAX(1,$D$91+1-$D$90)):INDEX($D$97:$AD$97,$D$91))))</f>
        <v>0</v>
      </c>
      <c r="BB117" s="5">
        <f>IF(BB$93=0,NA(),(_xlfn.AGGREGATE(9,6,INDEX($D$98:$AD$98,MAX(1,$D$91+1-$D$90)):INDEX($D$98:$AD$98,$D$91))&gt;_xlfn.AGGREGATE(9,6,INDEX($D$96:$AD$96,MAX(1,$D$91+1-$D$90)):INDEX($D$96:$AD$96,$D$91)))+(_xlfn.AGGREGATE(9,6,INDEX($D$98:$AD$98,MAX(1,$D$91+1-$D$90)):INDEX($D$98:$AD$98,$D$91))&gt;_xlfn.AGGREGATE(9,6,INDEX($D$97:$AD$97,MAX(1,$D$91+1-$D$90)):INDEX($D$97:$AD$97,$D$91))))</f>
        <v>0</v>
      </c>
      <c r="BC117" s="5">
        <f>IF(BC$93=0,NA(),(_xlfn.AGGREGATE(9,6,INDEX($D$98:$AD$98,MAX(1,$D$91+1-$D$90)):INDEX($D$98:$AD$98,$D$91))&gt;_xlfn.AGGREGATE(9,6,INDEX($D$96:$AD$96,MAX(1,$D$91+1-$D$90)):INDEX($D$96:$AD$96,$D$91)))+(_xlfn.AGGREGATE(9,6,INDEX($D$98:$AD$98,MAX(1,$D$91+1-$D$90)):INDEX($D$98:$AD$98,$D$91))&gt;_xlfn.AGGREGATE(9,6,INDEX($D$97:$AD$97,MAX(1,$D$91+1-$D$90)):INDEX($D$97:$AD$97,$D$91))))</f>
        <v>0</v>
      </c>
      <c r="BD117" s="5">
        <f>IF(BD$93=0,NA(),(_xlfn.AGGREGATE(9,6,INDEX($D$98:$AD$98,MAX(1,$D$91+1-$D$90)):INDEX($D$98:$AD$98,$D$91))&gt;_xlfn.AGGREGATE(9,6,INDEX($D$96:$AD$96,MAX(1,$D$91+1-$D$90)):INDEX($D$96:$AD$96,$D$91)))+(_xlfn.AGGREGATE(9,6,INDEX($D$98:$AD$98,MAX(1,$D$91+1-$D$90)):INDEX($D$98:$AD$98,$D$91))&gt;_xlfn.AGGREGATE(9,6,INDEX($D$97:$AD$97,MAX(1,$D$91+1-$D$90)):INDEX($D$97:$AD$97,$D$91))))</f>
        <v>0</v>
      </c>
      <c r="BE117" s="5">
        <f>IF(BE$93=0,NA(),(_xlfn.AGGREGATE(9,6,INDEX($D$98:$AD$98,MAX(1,$D$91+1-$D$90)):INDEX($D$98:$AD$98,$D$91))&gt;_xlfn.AGGREGATE(9,6,INDEX($D$96:$AD$96,MAX(1,$D$91+1-$D$90)):INDEX($D$96:$AD$96,$D$91)))+(_xlfn.AGGREGATE(9,6,INDEX($D$98:$AD$98,MAX(1,$D$91+1-$D$90)):INDEX($D$98:$AD$98,$D$91))&gt;_xlfn.AGGREGATE(9,6,INDEX($D$97:$AD$97,MAX(1,$D$91+1-$D$90)):INDEX($D$97:$AD$97,$D$91))))</f>
        <v>0</v>
      </c>
      <c r="BF117" s="5">
        <f>IF(BF$93=0,NA(),(_xlfn.AGGREGATE(9,6,INDEX($D$98:$AD$98,MAX(1,$D$91+1-$D$90)):INDEX($D$98:$AD$98,$D$91))&gt;_xlfn.AGGREGATE(9,6,INDEX($D$96:$AD$96,MAX(1,$D$91+1-$D$90)):INDEX($D$96:$AD$96,$D$91)))+(_xlfn.AGGREGATE(9,6,INDEX($D$98:$AD$98,MAX(1,$D$91+1-$D$90)):INDEX($D$98:$AD$98,$D$91))&gt;_xlfn.AGGREGATE(9,6,INDEX($D$97:$AD$97,MAX(1,$D$91+1-$D$90)):INDEX($D$97:$AD$97,$D$91))))</f>
        <v>0</v>
      </c>
      <c r="BG117" s="5">
        <f>IF(BG$93=0,NA(),(_xlfn.AGGREGATE(9,6,INDEX($D$98:$AD$98,MAX(1,$D$91+1-$D$90)):INDEX($D$98:$AD$98,$D$91))&gt;_xlfn.AGGREGATE(9,6,INDEX($D$96:$AD$96,MAX(1,$D$91+1-$D$90)):INDEX($D$96:$AD$96,$D$91)))+(_xlfn.AGGREGATE(9,6,INDEX($D$98:$AD$98,MAX(1,$D$91+1-$D$90)):INDEX($D$98:$AD$98,$D$91))&gt;_xlfn.AGGREGATE(9,6,INDEX($D$97:$AD$97,MAX(1,$D$91+1-$D$90)):INDEX($D$97:$AD$97,$D$91))))</f>
        <v>0</v>
      </c>
      <c r="BH117" s="5">
        <f>IF(BH$93=0,NA(),(_xlfn.AGGREGATE(9,6,INDEX($D$98:$AD$98,MAX(1,$D$91+1-$D$90)):INDEX($D$98:$AD$98,$D$91))&gt;_xlfn.AGGREGATE(9,6,INDEX($D$96:$AD$96,MAX(1,$D$91+1-$D$90)):INDEX($D$96:$AD$96,$D$91)))+(_xlfn.AGGREGATE(9,6,INDEX($D$98:$AD$98,MAX(1,$D$91+1-$D$90)):INDEX($D$98:$AD$98,$D$91))&gt;_xlfn.AGGREGATE(9,6,INDEX($D$97:$AD$97,MAX(1,$D$91+1-$D$90)):INDEX($D$97:$AD$97,$D$91))))</f>
        <v>0</v>
      </c>
      <c r="BI117" s="5">
        <f>IF(BI$93=0,NA(),(_xlfn.AGGREGATE(9,6,INDEX($D$98:$AD$98,MAX(1,$D$91+1-$D$90)):INDEX($D$98:$AD$98,$D$91))&gt;_xlfn.AGGREGATE(9,6,INDEX($D$96:$AD$96,MAX(1,$D$91+1-$D$90)):INDEX($D$96:$AD$96,$D$91)))+(_xlfn.AGGREGATE(9,6,INDEX($D$98:$AD$98,MAX(1,$D$91+1-$D$90)):INDEX($D$98:$AD$98,$D$91))&gt;_xlfn.AGGREGATE(9,6,INDEX($D$97:$AD$97,MAX(1,$D$91+1-$D$90)):INDEX($D$97:$AD$97,$D$91))))</f>
        <v>0</v>
      </c>
      <c r="BJ117" s="5">
        <f>IF(BJ$93=0,NA(),(_xlfn.AGGREGATE(9,6,INDEX($D$98:$AD$98,MAX(1,$D$91+1-$D$90)):INDEX($D$98:$AD$98,$D$91))&gt;_xlfn.AGGREGATE(9,6,INDEX($D$96:$AD$96,MAX(1,$D$91+1-$D$90)):INDEX($D$96:$AD$96,$D$91)))+(_xlfn.AGGREGATE(9,6,INDEX($D$98:$AD$98,MAX(1,$D$91+1-$D$90)):INDEX($D$98:$AD$98,$D$91))&gt;_xlfn.AGGREGATE(9,6,INDEX($D$97:$AD$97,MAX(1,$D$91+1-$D$90)):INDEX($D$97:$AD$97,$D$91))))</f>
        <v>0</v>
      </c>
      <c r="BK117" s="5">
        <f>IF(BK$93=0,NA(),(_xlfn.AGGREGATE(9,6,INDEX($D$98:$AD$98,MAX(1,$D$91+1-$D$90)):INDEX($D$98:$AD$98,$D$91))&gt;_xlfn.AGGREGATE(9,6,INDEX($D$96:$AD$96,MAX(1,$D$91+1-$D$90)):INDEX($D$96:$AD$96,$D$91)))+(_xlfn.AGGREGATE(9,6,INDEX($D$98:$AD$98,MAX(1,$D$91+1-$D$90)):INDEX($D$98:$AD$98,$D$91))&gt;_xlfn.AGGREGATE(9,6,INDEX($D$97:$AD$97,MAX(1,$D$91+1-$D$90)):INDEX($D$97:$AD$97,$D$91))))</f>
        <v>0</v>
      </c>
      <c r="BL117" s="5">
        <f>IF(BL$93=0,NA(),(_xlfn.AGGREGATE(9,6,INDEX($D$98:$AD$98,MAX(1,$D$91+1-$D$90)):INDEX($D$98:$AD$98,$D$91))&gt;_xlfn.AGGREGATE(9,6,INDEX($D$96:$AD$96,MAX(1,$D$91+1-$D$90)):INDEX($D$96:$AD$96,$D$91)))+(_xlfn.AGGREGATE(9,6,INDEX($D$98:$AD$98,MAX(1,$D$91+1-$D$90)):INDEX($D$98:$AD$98,$D$91))&gt;_xlfn.AGGREGATE(9,6,INDEX($D$97:$AD$97,MAX(1,$D$91+1-$D$90)):INDEX($D$97:$AD$97,$D$91))))</f>
        <v>0</v>
      </c>
      <c r="BM117" s="5">
        <f>IF(BM$93=0,NA(),(_xlfn.AGGREGATE(9,6,INDEX($D$98:$AD$98,MAX(1,$D$91+1-$D$90)):INDEX($D$98:$AD$98,$D$91))&gt;_xlfn.AGGREGATE(9,6,INDEX($D$96:$AD$96,MAX(1,$D$91+1-$D$90)):INDEX($D$96:$AD$96,$D$91)))+(_xlfn.AGGREGATE(9,6,INDEX($D$98:$AD$98,MAX(1,$D$91+1-$D$90)):INDEX($D$98:$AD$98,$D$91))&gt;_xlfn.AGGREGATE(9,6,INDEX($D$97:$AD$97,MAX(1,$D$91+1-$D$90)):INDEX($D$97:$AD$97,$D$91))))</f>
        <v>0</v>
      </c>
      <c r="BN117" s="5">
        <f>IF(BN$93=0,NA(),(_xlfn.AGGREGATE(9,6,INDEX($D$98:$AD$98,MAX(1,$D$91+1-$D$90)):INDEX($D$98:$AD$98,$D$91))&gt;_xlfn.AGGREGATE(9,6,INDEX($D$96:$AD$96,MAX(1,$D$91+1-$D$90)):INDEX($D$96:$AD$96,$D$91)))+(_xlfn.AGGREGATE(9,6,INDEX($D$98:$AD$98,MAX(1,$D$91+1-$D$90)):INDEX($D$98:$AD$98,$D$91))&gt;_xlfn.AGGREGATE(9,6,INDEX($D$97:$AD$97,MAX(1,$D$91+1-$D$90)):INDEX($D$97:$AD$97,$D$91))))</f>
        <v>0</v>
      </c>
      <c r="BO117" s="5">
        <f>IF(BO$93=0,NA(),(_xlfn.AGGREGATE(9,6,INDEX($D$98:$AD$98,MAX(1,$D$91+1-$D$90)):INDEX($D$98:$AD$98,$D$91))&gt;_xlfn.AGGREGATE(9,6,INDEX($D$96:$AD$96,MAX(1,$D$91+1-$D$90)):INDEX($D$96:$AD$96,$D$91)))+(_xlfn.AGGREGATE(9,6,INDEX($D$98:$AD$98,MAX(1,$D$91+1-$D$90)):INDEX($D$98:$AD$98,$D$91))&gt;_xlfn.AGGREGATE(9,6,INDEX($D$97:$AD$97,MAX(1,$D$91+1-$D$90)):INDEX($D$97:$AD$97,$D$91))))</f>
        <v>0</v>
      </c>
      <c r="BP117" s="5">
        <f>IF(BP$93=0,NA(),(_xlfn.AGGREGATE(9,6,INDEX($D$98:$AD$98,MAX(1,$D$91+1-$D$90)):INDEX($D$98:$AD$98,$D$91))&gt;_xlfn.AGGREGATE(9,6,INDEX($D$96:$AD$96,MAX(1,$D$91+1-$D$90)):INDEX($D$96:$AD$96,$D$91)))+(_xlfn.AGGREGATE(9,6,INDEX($D$98:$AD$98,MAX(1,$D$91+1-$D$90)):INDEX($D$98:$AD$98,$D$91))&gt;_xlfn.AGGREGATE(9,6,INDEX($D$97:$AD$97,MAX(1,$D$91+1-$D$90)):INDEX($D$97:$AD$97,$D$91))))</f>
        <v>0</v>
      </c>
    </row>
    <row r="118" spans="1:68">
      <c r="A118" s="11" t="s">
        <v>299</v>
      </c>
      <c r="B118" s="11" t="s">
        <v>300</v>
      </c>
      <c r="C118" s="3" t="s">
        <v>144</v>
      </c>
      <c r="AQ118" s="11">
        <f>IF(AQ$93=0,"",IF(ISNUMBER(INDEX($D$98:$AD$98,AQ$93)),FIXED(INDEX($D$98:$AD$98,AQ$93)/1000,1),""))</f>
        <v>0</v>
      </c>
      <c r="AR118" s="11">
        <f>IF(AR$93=0,"",IF(ISNUMBER(INDEX($D$98:$AD$98,AR$93)),FIXED(INDEX($D$98:$AD$98,AR$93)/1000,1),""))</f>
        <v>0</v>
      </c>
      <c r="AS118" s="11">
        <f>IF(AS$93=0,"",IF(ISNUMBER(INDEX($D$98:$AD$98,AS$93)),FIXED(INDEX($D$98:$AD$98,AS$93)/1000,1),""))</f>
        <v>0</v>
      </c>
      <c r="AT118" s="11">
        <f>IF(AT$93=0,"",IF(ISNUMBER(INDEX($D$98:$AD$98,AT$93)),FIXED(INDEX($D$98:$AD$98,AT$93)/1000,1),""))</f>
        <v>0</v>
      </c>
      <c r="AU118" s="11">
        <f>IF(AU$93=0,"",IF(ISNUMBER(INDEX($D$98:$AD$98,AU$93)),FIXED(INDEX($D$98:$AD$98,AU$93)/1000,1),""))</f>
        <v>0</v>
      </c>
      <c r="AV118" s="11">
        <f>IF(AV$93=0,"",IF(ISNUMBER(INDEX($D$98:$AD$98,AV$93)),FIXED(INDEX($D$98:$AD$98,AV$93)/1000,1),""))</f>
        <v>0</v>
      </c>
      <c r="AW118" s="11">
        <f>IF(AW$93=0,"",IF(ISNUMBER(INDEX($D$98:$AD$98,AW$93)),FIXED(INDEX($D$98:$AD$98,AW$93)/1000,1),""))</f>
        <v>0</v>
      </c>
      <c r="AX118" s="11">
        <f>IF(AX$93=0,"",IF(ISNUMBER(INDEX($D$98:$AD$98,AX$93)),FIXED(INDEX($D$98:$AD$98,AX$93)/1000,1),""))</f>
        <v>0</v>
      </c>
      <c r="AY118" s="11">
        <f>IF(AY$93=0,"",IF(ISNUMBER(INDEX($D$98:$AD$98,AY$93)),FIXED(INDEX($D$98:$AD$98,AY$93)/1000,1),""))</f>
        <v>0</v>
      </c>
      <c r="AZ118" s="11">
        <f>IF(AZ$93=0,"",IF(ISNUMBER(INDEX($D$98:$AD$98,AZ$93)),FIXED(INDEX($D$98:$AD$98,AZ$93)/1000,1),""))</f>
        <v>0</v>
      </c>
      <c r="BA118" s="11">
        <f>IF(BA$93=0,"",IF(ISNUMBER(INDEX($D$98:$AD$98,BA$93)),FIXED(INDEX($D$98:$AD$98,BA$93)/1000,1),""))</f>
        <v>0</v>
      </c>
      <c r="BB118" s="11">
        <f>IF(BB$93=0,"",IF(ISNUMBER(INDEX($D$98:$AD$98,BB$93)),FIXED(INDEX($D$98:$AD$98,BB$93)/1000,1),""))</f>
        <v>0</v>
      </c>
      <c r="BC118" s="11">
        <f>IF(BC$93=0,"",IF(ISNUMBER(INDEX($D$98:$AD$98,BC$93)),FIXED(INDEX($D$98:$AD$98,BC$93)/1000,1),""))</f>
        <v>0</v>
      </c>
      <c r="BD118" s="11">
        <f>IF(BD$93=0,"",IF(ISNUMBER(INDEX($D$98:$AD$98,BD$93)),FIXED(INDEX($D$98:$AD$98,BD$93)/1000,1),""))</f>
        <v>0</v>
      </c>
      <c r="BE118" s="11">
        <f>IF(BE$93=0,"",IF(ISNUMBER(INDEX($D$98:$AD$98,BE$93)),FIXED(INDEX($D$98:$AD$98,BE$93)/1000,1),""))</f>
        <v>0</v>
      </c>
      <c r="BF118" s="11">
        <f>IF(BF$93=0,"",IF(ISNUMBER(INDEX($D$98:$AD$98,BF$93)),FIXED(INDEX($D$98:$AD$98,BF$93)/1000,1),""))</f>
        <v>0</v>
      </c>
      <c r="BG118" s="11">
        <f>IF(BG$93=0,"",IF(ISNUMBER(INDEX($D$98:$AD$98,BG$93)),FIXED(INDEX($D$98:$AD$98,BG$93)/1000,1),""))</f>
        <v>0</v>
      </c>
      <c r="BH118" s="11">
        <f>IF(BH$93=0,"",IF(ISNUMBER(INDEX($D$98:$AD$98,BH$93)),FIXED(INDEX($D$98:$AD$98,BH$93)/1000,1),""))</f>
        <v>0</v>
      </c>
      <c r="BI118" s="11">
        <f>IF(BI$93=0,"",IF(ISNUMBER(INDEX($D$98:$AD$98,BI$93)),FIXED(INDEX($D$98:$AD$98,BI$93)/1000,1),""))</f>
        <v>0</v>
      </c>
      <c r="BJ118" s="11">
        <f>IF(BJ$93=0,"",IF(ISNUMBER(INDEX($D$98:$AD$98,BJ$93)),FIXED(INDEX($D$98:$AD$98,BJ$93)/1000,1),""))</f>
        <v>0</v>
      </c>
      <c r="BK118" s="11">
        <f>IF(BK$93=0,"",IF(ISNUMBER(INDEX($D$98:$AD$98,BK$93)),FIXED(INDEX($D$98:$AD$98,BK$93)/1000,1),""))</f>
        <v>0</v>
      </c>
      <c r="BL118" s="11">
        <f>IF(BL$93=0,"",IF(ISNUMBER(INDEX($D$98:$AD$98,BL$93)),FIXED(INDEX($D$98:$AD$98,BL$93)/1000,1),""))</f>
        <v>0</v>
      </c>
      <c r="BM118" s="11">
        <f>IF(BM$93=0,"",IF(ISNUMBER(INDEX($D$98:$AD$98,BM$93)),FIXED(INDEX($D$98:$AD$98,BM$93)/1000,1),""))</f>
        <v>0</v>
      </c>
      <c r="BN118" s="11">
        <f>IF(BN$93=0,"",IF(ISNUMBER(INDEX($D$98:$AD$98,BN$93)),FIXED(INDEX($D$98:$AD$98,BN$93)/1000,1),""))</f>
        <v>0</v>
      </c>
      <c r="BO118" s="11">
        <f>IF(BO$93=0,"",IF(ISNUMBER(INDEX($D$98:$AD$98,BO$93)),FIXED(INDEX($D$98:$AD$98,BO$93)/1000,1),""))</f>
        <v>0</v>
      </c>
      <c r="BP118" s="11">
        <f>IF(BP$93=0,"",IF(ISNUMBER(INDEX($D$98:$AD$98,BP$93)),FIXED(INDEX($D$98:$AD$98,BP$93)/1000,1),""))</f>
        <v>0</v>
      </c>
    </row>
    <row r="119" spans="1:68">
      <c r="A119" s="11" t="s">
        <v>301</v>
      </c>
      <c r="B119" s="11" t="s">
        <v>302</v>
      </c>
      <c r="C119" s="3" t="s">
        <v>144</v>
      </c>
      <c r="AQ119" s="5">
        <f>IF(AQ$93=0,NA(),IF(ISNUMBER(INDEX($D$97:$AD$97,AQ$93)),(IF(AQ115&gt;AQ113,N(INDEX($D$96:$AD$96,AQ$93)),0)+IF(AQ117&gt;AQ113,N(INDEX($D$98:$AD$98,AQ$93)),0)+INDEX($D$97:$AD$97,AQ$93)/2)/AQ109,NA()))</f>
        <v>0</v>
      </c>
      <c r="AR119" s="5">
        <f>IF(AR$93=0,NA(),IF(ISNUMBER(INDEX($D$97:$AD$97,AR$93)),(IF(AR115&gt;AR113,N(INDEX($D$96:$AD$96,AR$93)),0)+IF(AR117&gt;AR113,N(INDEX($D$98:$AD$98,AR$93)),0)+INDEX($D$97:$AD$97,AR$93)/2)/AR109,NA()))</f>
        <v>0</v>
      </c>
      <c r="AS119" s="5">
        <f>IF(AS$93=0,NA(),IF(ISNUMBER(INDEX($D$97:$AD$97,AS$93)),(IF(AS115&gt;AS113,N(INDEX($D$96:$AD$96,AS$93)),0)+IF(AS117&gt;AS113,N(INDEX($D$98:$AD$98,AS$93)),0)+INDEX($D$97:$AD$97,AS$93)/2)/AS109,NA()))</f>
        <v>0</v>
      </c>
      <c r="AT119" s="5">
        <f>IF(AT$93=0,NA(),IF(ISNUMBER(INDEX($D$97:$AD$97,AT$93)),(IF(AT115&gt;AT113,N(INDEX($D$96:$AD$96,AT$93)),0)+IF(AT117&gt;AT113,N(INDEX($D$98:$AD$98,AT$93)),0)+INDEX($D$97:$AD$97,AT$93)/2)/AT109,NA()))</f>
        <v>0</v>
      </c>
      <c r="AU119" s="5">
        <f>IF(AU$93=0,NA(),IF(ISNUMBER(INDEX($D$97:$AD$97,AU$93)),(IF(AU115&gt;AU113,N(INDEX($D$96:$AD$96,AU$93)),0)+IF(AU117&gt;AU113,N(INDEX($D$98:$AD$98,AU$93)),0)+INDEX($D$97:$AD$97,AU$93)/2)/AU109,NA()))</f>
        <v>0</v>
      </c>
      <c r="AV119" s="5">
        <f>IF(AV$93=0,NA(),IF(ISNUMBER(INDEX($D$97:$AD$97,AV$93)),(IF(AV115&gt;AV113,N(INDEX($D$96:$AD$96,AV$93)),0)+IF(AV117&gt;AV113,N(INDEX($D$98:$AD$98,AV$93)),0)+INDEX($D$97:$AD$97,AV$93)/2)/AV109,NA()))</f>
        <v>0</v>
      </c>
      <c r="AW119" s="5">
        <f>IF(AW$93=0,NA(),IF(ISNUMBER(INDEX($D$97:$AD$97,AW$93)),(IF(AW115&gt;AW113,N(INDEX($D$96:$AD$96,AW$93)),0)+IF(AW117&gt;AW113,N(INDEX($D$98:$AD$98,AW$93)),0)+INDEX($D$97:$AD$97,AW$93)/2)/AW109,NA()))</f>
        <v>0</v>
      </c>
      <c r="AX119" s="5">
        <f>IF(AX$93=0,NA(),IF(ISNUMBER(INDEX($D$97:$AD$97,AX$93)),(IF(AX115&gt;AX113,N(INDEX($D$96:$AD$96,AX$93)),0)+IF(AX117&gt;AX113,N(INDEX($D$98:$AD$98,AX$93)),0)+INDEX($D$97:$AD$97,AX$93)/2)/AX109,NA()))</f>
        <v>0</v>
      </c>
      <c r="AY119" s="5">
        <f>IF(AY$93=0,NA(),IF(ISNUMBER(INDEX($D$97:$AD$97,AY$93)),(IF(AY115&gt;AY113,N(INDEX($D$96:$AD$96,AY$93)),0)+IF(AY117&gt;AY113,N(INDEX($D$98:$AD$98,AY$93)),0)+INDEX($D$97:$AD$97,AY$93)/2)/AY109,NA()))</f>
        <v>0</v>
      </c>
      <c r="AZ119" s="5">
        <f>IF(AZ$93=0,NA(),IF(ISNUMBER(INDEX($D$97:$AD$97,AZ$93)),(IF(AZ115&gt;AZ113,N(INDEX($D$96:$AD$96,AZ$93)),0)+IF(AZ117&gt;AZ113,N(INDEX($D$98:$AD$98,AZ$93)),0)+INDEX($D$97:$AD$97,AZ$93)/2)/AZ109,NA()))</f>
        <v>0</v>
      </c>
      <c r="BA119" s="5">
        <f>IF(BA$93=0,NA(),IF(ISNUMBER(INDEX($D$97:$AD$97,BA$93)),(IF(BA115&gt;BA113,N(INDEX($D$96:$AD$96,BA$93)),0)+IF(BA117&gt;BA113,N(INDEX($D$98:$AD$98,BA$93)),0)+INDEX($D$97:$AD$97,BA$93)/2)/BA109,NA()))</f>
        <v>0</v>
      </c>
      <c r="BB119" s="5">
        <f>IF(BB$93=0,NA(),IF(ISNUMBER(INDEX($D$97:$AD$97,BB$93)),(IF(BB115&gt;BB113,N(INDEX($D$96:$AD$96,BB$93)),0)+IF(BB117&gt;BB113,N(INDEX($D$98:$AD$98,BB$93)),0)+INDEX($D$97:$AD$97,BB$93)/2)/BB109,NA()))</f>
        <v>0</v>
      </c>
      <c r="BC119" s="5">
        <f>IF(BC$93=0,NA(),IF(ISNUMBER(INDEX($D$97:$AD$97,BC$93)),(IF(BC115&gt;BC113,N(INDEX($D$96:$AD$96,BC$93)),0)+IF(BC117&gt;BC113,N(INDEX($D$98:$AD$98,BC$93)),0)+INDEX($D$97:$AD$97,BC$93)/2)/BC109,NA()))</f>
        <v>0</v>
      </c>
      <c r="BD119" s="5">
        <f>IF(BD$93=0,NA(),IF(ISNUMBER(INDEX($D$97:$AD$97,BD$93)),(IF(BD115&gt;BD113,N(INDEX($D$96:$AD$96,BD$93)),0)+IF(BD117&gt;BD113,N(INDEX($D$98:$AD$98,BD$93)),0)+INDEX($D$97:$AD$97,BD$93)/2)/BD109,NA()))</f>
        <v>0</v>
      </c>
      <c r="BE119" s="5">
        <f>IF(BE$93=0,NA(),IF(ISNUMBER(INDEX($D$97:$AD$97,BE$93)),(IF(BE115&gt;BE113,N(INDEX($D$96:$AD$96,BE$93)),0)+IF(BE117&gt;BE113,N(INDEX($D$98:$AD$98,BE$93)),0)+INDEX($D$97:$AD$97,BE$93)/2)/BE109,NA()))</f>
        <v>0</v>
      </c>
      <c r="BF119" s="5">
        <f>IF(BF$93=0,NA(),IF(ISNUMBER(INDEX($D$97:$AD$97,BF$93)),(IF(BF115&gt;BF113,N(INDEX($D$96:$AD$96,BF$93)),0)+IF(BF117&gt;BF113,N(INDEX($D$98:$AD$98,BF$93)),0)+INDEX($D$97:$AD$97,BF$93)/2)/BF109,NA()))</f>
        <v>0</v>
      </c>
      <c r="BG119" s="5">
        <f>IF(BG$93=0,NA(),IF(ISNUMBER(INDEX($D$97:$AD$97,BG$93)),(IF(BG115&gt;BG113,N(INDEX($D$96:$AD$96,BG$93)),0)+IF(BG117&gt;BG113,N(INDEX($D$98:$AD$98,BG$93)),0)+INDEX($D$97:$AD$97,BG$93)/2)/BG109,NA()))</f>
        <v>0</v>
      </c>
      <c r="BH119" s="5">
        <f>IF(BH$93=0,NA(),IF(ISNUMBER(INDEX($D$97:$AD$97,BH$93)),(IF(BH115&gt;BH113,N(INDEX($D$96:$AD$96,BH$93)),0)+IF(BH117&gt;BH113,N(INDEX($D$98:$AD$98,BH$93)),0)+INDEX($D$97:$AD$97,BH$93)/2)/BH109,NA()))</f>
        <v>0</v>
      </c>
      <c r="BI119" s="5">
        <f>IF(BI$93=0,NA(),IF(ISNUMBER(INDEX($D$97:$AD$97,BI$93)),(IF(BI115&gt;BI113,N(INDEX($D$96:$AD$96,BI$93)),0)+IF(BI117&gt;BI113,N(INDEX($D$98:$AD$98,BI$93)),0)+INDEX($D$97:$AD$97,BI$93)/2)/BI109,NA()))</f>
        <v>0</v>
      </c>
      <c r="BJ119" s="5">
        <f>IF(BJ$93=0,NA(),IF(ISNUMBER(INDEX($D$97:$AD$97,BJ$93)),(IF(BJ115&gt;BJ113,N(INDEX($D$96:$AD$96,BJ$93)),0)+IF(BJ117&gt;BJ113,N(INDEX($D$98:$AD$98,BJ$93)),0)+INDEX($D$97:$AD$97,BJ$93)/2)/BJ109,NA()))</f>
        <v>0</v>
      </c>
      <c r="BK119" s="5">
        <f>IF(BK$93=0,NA(),IF(ISNUMBER(INDEX($D$97:$AD$97,BK$93)),(IF(BK115&gt;BK113,N(INDEX($D$96:$AD$96,BK$93)),0)+IF(BK117&gt;BK113,N(INDEX($D$98:$AD$98,BK$93)),0)+INDEX($D$97:$AD$97,BK$93)/2)/BK109,NA()))</f>
        <v>0</v>
      </c>
      <c r="BL119" s="5">
        <f>IF(BL$93=0,NA(),IF(ISNUMBER(INDEX($D$97:$AD$97,BL$93)),(IF(BL115&gt;BL113,N(INDEX($D$96:$AD$96,BL$93)),0)+IF(BL117&gt;BL113,N(INDEX($D$98:$AD$98,BL$93)),0)+INDEX($D$97:$AD$97,BL$93)/2)/BL109,NA()))</f>
        <v>0</v>
      </c>
      <c r="BM119" s="5">
        <f>IF(BM$93=0,NA(),IF(ISNUMBER(INDEX($D$97:$AD$97,BM$93)),(IF(BM115&gt;BM113,N(INDEX($D$96:$AD$96,BM$93)),0)+IF(BM117&gt;BM113,N(INDEX($D$98:$AD$98,BM$93)),0)+INDEX($D$97:$AD$97,BM$93)/2)/BM109,NA()))</f>
        <v>0</v>
      </c>
      <c r="BN119" s="5">
        <f>IF(BN$93=0,NA(),IF(ISNUMBER(INDEX($D$97:$AD$97,BN$93)),(IF(BN115&gt;BN113,N(INDEX($D$96:$AD$96,BN$93)),0)+IF(BN117&gt;BN113,N(INDEX($D$98:$AD$98,BN$93)),0)+INDEX($D$97:$AD$97,BN$93)/2)/BN109,NA()))</f>
        <v>0</v>
      </c>
      <c r="BO119" s="5">
        <f>IF(BO$93=0,NA(),IF(ISNUMBER(INDEX($D$97:$AD$97,BO$93)),(IF(BO115&gt;BO113,N(INDEX($D$96:$AD$96,BO$93)),0)+IF(BO117&gt;BO113,N(INDEX($D$98:$AD$98,BO$93)),0)+INDEX($D$97:$AD$97,BO$93)/2)/BO109,NA()))</f>
        <v>0</v>
      </c>
      <c r="BP119" s="5">
        <f>IF(BP$93=0,NA(),IF(ISNUMBER(INDEX($D$97:$AD$97,BP$93)),(IF(BP115&gt;BP113,N(INDEX($D$96:$AD$96,BP$93)),0)+IF(BP117&gt;BP113,N(INDEX($D$98:$AD$98,BP$93)),0)+INDEX($D$97:$AD$97,BP$93)/2)/BP109,NA()))</f>
        <v>0</v>
      </c>
    </row>
    <row r="120" spans="1:68">
      <c r="A120" s="11" t="s">
        <v>303</v>
      </c>
      <c r="B120" s="11" t="s">
        <v>304</v>
      </c>
      <c r="C120" s="3" t="s">
        <v>144</v>
      </c>
      <c r="AQ120" s="5">
        <f>IF(AQ$93=0,NA(),IF(ISNUMBER(INDEX($D$96:$AD$96,AQ$93)),(IF(AQ113&gt;AQ115,N(INDEX($D$97:$AD$97,AQ$93)),0)+IF(AQ117&gt;AQ115,N(INDEX($D$98:$AD$98,AQ$93)),0)+INDEX($D$96:$AD$96,AQ$93)/2)/AQ109,NA()))</f>
        <v>0</v>
      </c>
      <c r="AR120" s="5">
        <f>IF(AR$93=0,NA(),IF(ISNUMBER(INDEX($D$96:$AD$96,AR$93)),(IF(AR113&gt;AR115,N(INDEX($D$97:$AD$97,AR$93)),0)+IF(AR117&gt;AR115,N(INDEX($D$98:$AD$98,AR$93)),0)+INDEX($D$96:$AD$96,AR$93)/2)/AR109,NA()))</f>
        <v>0</v>
      </c>
      <c r="AS120" s="5">
        <f>IF(AS$93=0,NA(),IF(ISNUMBER(INDEX($D$96:$AD$96,AS$93)),(IF(AS113&gt;AS115,N(INDEX($D$97:$AD$97,AS$93)),0)+IF(AS117&gt;AS115,N(INDEX($D$98:$AD$98,AS$93)),0)+INDEX($D$96:$AD$96,AS$93)/2)/AS109,NA()))</f>
        <v>0</v>
      </c>
      <c r="AT120" s="5">
        <f>IF(AT$93=0,NA(),IF(ISNUMBER(INDEX($D$96:$AD$96,AT$93)),(IF(AT113&gt;AT115,N(INDEX($D$97:$AD$97,AT$93)),0)+IF(AT117&gt;AT115,N(INDEX($D$98:$AD$98,AT$93)),0)+INDEX($D$96:$AD$96,AT$93)/2)/AT109,NA()))</f>
        <v>0</v>
      </c>
      <c r="AU120" s="5">
        <f>IF(AU$93=0,NA(),IF(ISNUMBER(INDEX($D$96:$AD$96,AU$93)),(IF(AU113&gt;AU115,N(INDEX($D$97:$AD$97,AU$93)),0)+IF(AU117&gt;AU115,N(INDEX($D$98:$AD$98,AU$93)),0)+INDEX($D$96:$AD$96,AU$93)/2)/AU109,NA()))</f>
        <v>0</v>
      </c>
      <c r="AV120" s="5">
        <f>IF(AV$93=0,NA(),IF(ISNUMBER(INDEX($D$96:$AD$96,AV$93)),(IF(AV113&gt;AV115,N(INDEX($D$97:$AD$97,AV$93)),0)+IF(AV117&gt;AV115,N(INDEX($D$98:$AD$98,AV$93)),0)+INDEX($D$96:$AD$96,AV$93)/2)/AV109,NA()))</f>
        <v>0</v>
      </c>
      <c r="AW120" s="5">
        <f>IF(AW$93=0,NA(),IF(ISNUMBER(INDEX($D$96:$AD$96,AW$93)),(IF(AW113&gt;AW115,N(INDEX($D$97:$AD$97,AW$93)),0)+IF(AW117&gt;AW115,N(INDEX($D$98:$AD$98,AW$93)),0)+INDEX($D$96:$AD$96,AW$93)/2)/AW109,NA()))</f>
        <v>0</v>
      </c>
      <c r="AX120" s="5">
        <f>IF(AX$93=0,NA(),IF(ISNUMBER(INDEX($D$96:$AD$96,AX$93)),(IF(AX113&gt;AX115,N(INDEX($D$97:$AD$97,AX$93)),0)+IF(AX117&gt;AX115,N(INDEX($D$98:$AD$98,AX$93)),0)+INDEX($D$96:$AD$96,AX$93)/2)/AX109,NA()))</f>
        <v>0</v>
      </c>
      <c r="AY120" s="5">
        <f>IF(AY$93=0,NA(),IF(ISNUMBER(INDEX($D$96:$AD$96,AY$93)),(IF(AY113&gt;AY115,N(INDEX($D$97:$AD$97,AY$93)),0)+IF(AY117&gt;AY115,N(INDEX($D$98:$AD$98,AY$93)),0)+INDEX($D$96:$AD$96,AY$93)/2)/AY109,NA()))</f>
        <v>0</v>
      </c>
      <c r="AZ120" s="5">
        <f>IF(AZ$93=0,NA(),IF(ISNUMBER(INDEX($D$96:$AD$96,AZ$93)),(IF(AZ113&gt;AZ115,N(INDEX($D$97:$AD$97,AZ$93)),0)+IF(AZ117&gt;AZ115,N(INDEX($D$98:$AD$98,AZ$93)),0)+INDEX($D$96:$AD$96,AZ$93)/2)/AZ109,NA()))</f>
        <v>0</v>
      </c>
      <c r="BA120" s="5">
        <f>IF(BA$93=0,NA(),IF(ISNUMBER(INDEX($D$96:$AD$96,BA$93)),(IF(BA113&gt;BA115,N(INDEX($D$97:$AD$97,BA$93)),0)+IF(BA117&gt;BA115,N(INDEX($D$98:$AD$98,BA$93)),0)+INDEX($D$96:$AD$96,BA$93)/2)/BA109,NA()))</f>
        <v>0</v>
      </c>
      <c r="BB120" s="5">
        <f>IF(BB$93=0,NA(),IF(ISNUMBER(INDEX($D$96:$AD$96,BB$93)),(IF(BB113&gt;BB115,N(INDEX($D$97:$AD$97,BB$93)),0)+IF(BB117&gt;BB115,N(INDEX($D$98:$AD$98,BB$93)),0)+INDEX($D$96:$AD$96,BB$93)/2)/BB109,NA()))</f>
        <v>0</v>
      </c>
      <c r="BC120" s="5">
        <f>IF(BC$93=0,NA(),IF(ISNUMBER(INDEX($D$96:$AD$96,BC$93)),(IF(BC113&gt;BC115,N(INDEX($D$97:$AD$97,BC$93)),0)+IF(BC117&gt;BC115,N(INDEX($D$98:$AD$98,BC$93)),0)+INDEX($D$96:$AD$96,BC$93)/2)/BC109,NA()))</f>
        <v>0</v>
      </c>
      <c r="BD120" s="5">
        <f>IF(BD$93=0,NA(),IF(ISNUMBER(INDEX($D$96:$AD$96,BD$93)),(IF(BD113&gt;BD115,N(INDEX($D$97:$AD$97,BD$93)),0)+IF(BD117&gt;BD115,N(INDEX($D$98:$AD$98,BD$93)),0)+INDEX($D$96:$AD$96,BD$93)/2)/BD109,NA()))</f>
        <v>0</v>
      </c>
      <c r="BE120" s="5">
        <f>IF(BE$93=0,NA(),IF(ISNUMBER(INDEX($D$96:$AD$96,BE$93)),(IF(BE113&gt;BE115,N(INDEX($D$97:$AD$97,BE$93)),0)+IF(BE117&gt;BE115,N(INDEX($D$98:$AD$98,BE$93)),0)+INDEX($D$96:$AD$96,BE$93)/2)/BE109,NA()))</f>
        <v>0</v>
      </c>
      <c r="BF120" s="5">
        <f>IF(BF$93=0,NA(),IF(ISNUMBER(INDEX($D$96:$AD$96,BF$93)),(IF(BF113&gt;BF115,N(INDEX($D$97:$AD$97,BF$93)),0)+IF(BF117&gt;BF115,N(INDEX($D$98:$AD$98,BF$93)),0)+INDEX($D$96:$AD$96,BF$93)/2)/BF109,NA()))</f>
        <v>0</v>
      </c>
      <c r="BG120" s="5">
        <f>IF(BG$93=0,NA(),IF(ISNUMBER(INDEX($D$96:$AD$96,BG$93)),(IF(BG113&gt;BG115,N(INDEX($D$97:$AD$97,BG$93)),0)+IF(BG117&gt;BG115,N(INDEX($D$98:$AD$98,BG$93)),0)+INDEX($D$96:$AD$96,BG$93)/2)/BG109,NA()))</f>
        <v>0</v>
      </c>
      <c r="BH120" s="5">
        <f>IF(BH$93=0,NA(),IF(ISNUMBER(INDEX($D$96:$AD$96,BH$93)),(IF(BH113&gt;BH115,N(INDEX($D$97:$AD$97,BH$93)),0)+IF(BH117&gt;BH115,N(INDEX($D$98:$AD$98,BH$93)),0)+INDEX($D$96:$AD$96,BH$93)/2)/BH109,NA()))</f>
        <v>0</v>
      </c>
      <c r="BI120" s="5">
        <f>IF(BI$93=0,NA(),IF(ISNUMBER(INDEX($D$96:$AD$96,BI$93)),(IF(BI113&gt;BI115,N(INDEX($D$97:$AD$97,BI$93)),0)+IF(BI117&gt;BI115,N(INDEX($D$98:$AD$98,BI$93)),0)+INDEX($D$96:$AD$96,BI$93)/2)/BI109,NA()))</f>
        <v>0</v>
      </c>
      <c r="BJ120" s="5">
        <f>IF(BJ$93=0,NA(),IF(ISNUMBER(INDEX($D$96:$AD$96,BJ$93)),(IF(BJ113&gt;BJ115,N(INDEX($D$97:$AD$97,BJ$93)),0)+IF(BJ117&gt;BJ115,N(INDEX($D$98:$AD$98,BJ$93)),0)+INDEX($D$96:$AD$96,BJ$93)/2)/BJ109,NA()))</f>
        <v>0</v>
      </c>
      <c r="BK120" s="5">
        <f>IF(BK$93=0,NA(),IF(ISNUMBER(INDEX($D$96:$AD$96,BK$93)),(IF(BK113&gt;BK115,N(INDEX($D$97:$AD$97,BK$93)),0)+IF(BK117&gt;BK115,N(INDEX($D$98:$AD$98,BK$93)),0)+INDEX($D$96:$AD$96,BK$93)/2)/BK109,NA()))</f>
        <v>0</v>
      </c>
      <c r="BL120" s="5">
        <f>IF(BL$93=0,NA(),IF(ISNUMBER(INDEX($D$96:$AD$96,BL$93)),(IF(BL113&gt;BL115,N(INDEX($D$97:$AD$97,BL$93)),0)+IF(BL117&gt;BL115,N(INDEX($D$98:$AD$98,BL$93)),0)+INDEX($D$96:$AD$96,BL$93)/2)/BL109,NA()))</f>
        <v>0</v>
      </c>
      <c r="BM120" s="5">
        <f>IF(BM$93=0,NA(),IF(ISNUMBER(INDEX($D$96:$AD$96,BM$93)),(IF(BM113&gt;BM115,N(INDEX($D$97:$AD$97,BM$93)),0)+IF(BM117&gt;BM115,N(INDEX($D$98:$AD$98,BM$93)),0)+INDEX($D$96:$AD$96,BM$93)/2)/BM109,NA()))</f>
        <v>0</v>
      </c>
      <c r="BN120" s="5">
        <f>IF(BN$93=0,NA(),IF(ISNUMBER(INDEX($D$96:$AD$96,BN$93)),(IF(BN113&gt;BN115,N(INDEX($D$97:$AD$97,BN$93)),0)+IF(BN117&gt;BN115,N(INDEX($D$98:$AD$98,BN$93)),0)+INDEX($D$96:$AD$96,BN$93)/2)/BN109,NA()))</f>
        <v>0</v>
      </c>
      <c r="BO120" s="5">
        <f>IF(BO$93=0,NA(),IF(ISNUMBER(INDEX($D$96:$AD$96,BO$93)),(IF(BO113&gt;BO115,N(INDEX($D$97:$AD$97,BO$93)),0)+IF(BO117&gt;BO115,N(INDEX($D$98:$AD$98,BO$93)),0)+INDEX($D$96:$AD$96,BO$93)/2)/BO109,NA()))</f>
        <v>0</v>
      </c>
      <c r="BP120" s="5">
        <f>IF(BP$93=0,NA(),IF(ISNUMBER(INDEX($D$96:$AD$96,BP$93)),(IF(BP113&gt;BP115,N(INDEX($D$97:$AD$97,BP$93)),0)+IF(BP117&gt;BP115,N(INDEX($D$98:$AD$98,BP$93)),0)+INDEX($D$96:$AD$96,BP$93)/2)/BP109,NA()))</f>
        <v>0</v>
      </c>
    </row>
    <row r="121" spans="1:68">
      <c r="A121" s="11" t="s">
        <v>305</v>
      </c>
      <c r="B121" s="11" t="s">
        <v>306</v>
      </c>
      <c r="C121" s="3" t="s">
        <v>144</v>
      </c>
      <c r="AQ121" s="5">
        <f>IF(AQ$93=0,NA(),IF(ISNUMBER(INDEX($D$98:$AD$98,AQ$93)),(IF(AQ115&gt;AQ117,N(INDEX($D$96:$AD$96,AQ$93)),0)+IF(AQ113&gt;AQ117,N(INDEX($D$97:$AD$97,AQ$93)),0)+INDEX($D$98:$AD$98,AQ$93)/2)/AQ109,NA()))</f>
        <v>0</v>
      </c>
      <c r="AR121" s="5">
        <f>IF(AR$93=0,NA(),IF(ISNUMBER(INDEX($D$98:$AD$98,AR$93)),(IF(AR115&gt;AR117,N(INDEX($D$96:$AD$96,AR$93)),0)+IF(AR113&gt;AR117,N(INDEX($D$97:$AD$97,AR$93)),0)+INDEX($D$98:$AD$98,AR$93)/2)/AR109,NA()))</f>
        <v>0</v>
      </c>
      <c r="AS121" s="5">
        <f>IF(AS$93=0,NA(),IF(ISNUMBER(INDEX($D$98:$AD$98,AS$93)),(IF(AS115&gt;AS117,N(INDEX($D$96:$AD$96,AS$93)),0)+IF(AS113&gt;AS117,N(INDEX($D$97:$AD$97,AS$93)),0)+INDEX($D$98:$AD$98,AS$93)/2)/AS109,NA()))</f>
        <v>0</v>
      </c>
      <c r="AT121" s="5">
        <f>IF(AT$93=0,NA(),IF(ISNUMBER(INDEX($D$98:$AD$98,AT$93)),(IF(AT115&gt;AT117,N(INDEX($D$96:$AD$96,AT$93)),0)+IF(AT113&gt;AT117,N(INDEX($D$97:$AD$97,AT$93)),0)+INDEX($D$98:$AD$98,AT$93)/2)/AT109,NA()))</f>
        <v>0</v>
      </c>
      <c r="AU121" s="5">
        <f>IF(AU$93=0,NA(),IF(ISNUMBER(INDEX($D$98:$AD$98,AU$93)),(IF(AU115&gt;AU117,N(INDEX($D$96:$AD$96,AU$93)),0)+IF(AU113&gt;AU117,N(INDEX($D$97:$AD$97,AU$93)),0)+INDEX($D$98:$AD$98,AU$93)/2)/AU109,NA()))</f>
        <v>0</v>
      </c>
      <c r="AV121" s="5">
        <f>IF(AV$93=0,NA(),IF(ISNUMBER(INDEX($D$98:$AD$98,AV$93)),(IF(AV115&gt;AV117,N(INDEX($D$96:$AD$96,AV$93)),0)+IF(AV113&gt;AV117,N(INDEX($D$97:$AD$97,AV$93)),0)+INDEX($D$98:$AD$98,AV$93)/2)/AV109,NA()))</f>
        <v>0</v>
      </c>
      <c r="AW121" s="5">
        <f>IF(AW$93=0,NA(),IF(ISNUMBER(INDEX($D$98:$AD$98,AW$93)),(IF(AW115&gt;AW117,N(INDEX($D$96:$AD$96,AW$93)),0)+IF(AW113&gt;AW117,N(INDEX($D$97:$AD$97,AW$93)),0)+INDEX($D$98:$AD$98,AW$93)/2)/AW109,NA()))</f>
        <v>0</v>
      </c>
      <c r="AX121" s="5">
        <f>IF(AX$93=0,NA(),IF(ISNUMBER(INDEX($D$98:$AD$98,AX$93)),(IF(AX115&gt;AX117,N(INDEX($D$96:$AD$96,AX$93)),0)+IF(AX113&gt;AX117,N(INDEX($D$97:$AD$97,AX$93)),0)+INDEX($D$98:$AD$98,AX$93)/2)/AX109,NA()))</f>
        <v>0</v>
      </c>
      <c r="AY121" s="5">
        <f>IF(AY$93=0,NA(),IF(ISNUMBER(INDEX($D$98:$AD$98,AY$93)),(IF(AY115&gt;AY117,N(INDEX($D$96:$AD$96,AY$93)),0)+IF(AY113&gt;AY117,N(INDEX($D$97:$AD$97,AY$93)),0)+INDEX($D$98:$AD$98,AY$93)/2)/AY109,NA()))</f>
        <v>0</v>
      </c>
      <c r="AZ121" s="5">
        <f>IF(AZ$93=0,NA(),IF(ISNUMBER(INDEX($D$98:$AD$98,AZ$93)),(IF(AZ115&gt;AZ117,N(INDEX($D$96:$AD$96,AZ$93)),0)+IF(AZ113&gt;AZ117,N(INDEX($D$97:$AD$97,AZ$93)),0)+INDEX($D$98:$AD$98,AZ$93)/2)/AZ109,NA()))</f>
        <v>0</v>
      </c>
      <c r="BA121" s="5">
        <f>IF(BA$93=0,NA(),IF(ISNUMBER(INDEX($D$98:$AD$98,BA$93)),(IF(BA115&gt;BA117,N(INDEX($D$96:$AD$96,BA$93)),0)+IF(BA113&gt;BA117,N(INDEX($D$97:$AD$97,BA$93)),0)+INDEX($D$98:$AD$98,BA$93)/2)/BA109,NA()))</f>
        <v>0</v>
      </c>
      <c r="BB121" s="5">
        <f>IF(BB$93=0,NA(),IF(ISNUMBER(INDEX($D$98:$AD$98,BB$93)),(IF(BB115&gt;BB117,N(INDEX($D$96:$AD$96,BB$93)),0)+IF(BB113&gt;BB117,N(INDEX($D$97:$AD$97,BB$93)),0)+INDEX($D$98:$AD$98,BB$93)/2)/BB109,NA()))</f>
        <v>0</v>
      </c>
      <c r="BC121" s="5">
        <f>IF(BC$93=0,NA(),IF(ISNUMBER(INDEX($D$98:$AD$98,BC$93)),(IF(BC115&gt;BC117,N(INDEX($D$96:$AD$96,BC$93)),0)+IF(BC113&gt;BC117,N(INDEX($D$97:$AD$97,BC$93)),0)+INDEX($D$98:$AD$98,BC$93)/2)/BC109,NA()))</f>
        <v>0</v>
      </c>
      <c r="BD121" s="5">
        <f>IF(BD$93=0,NA(),IF(ISNUMBER(INDEX($D$98:$AD$98,BD$93)),(IF(BD115&gt;BD117,N(INDEX($D$96:$AD$96,BD$93)),0)+IF(BD113&gt;BD117,N(INDEX($D$97:$AD$97,BD$93)),0)+INDEX($D$98:$AD$98,BD$93)/2)/BD109,NA()))</f>
        <v>0</v>
      </c>
      <c r="BE121" s="5">
        <f>IF(BE$93=0,NA(),IF(ISNUMBER(INDEX($D$98:$AD$98,BE$93)),(IF(BE115&gt;BE117,N(INDEX($D$96:$AD$96,BE$93)),0)+IF(BE113&gt;BE117,N(INDEX($D$97:$AD$97,BE$93)),0)+INDEX($D$98:$AD$98,BE$93)/2)/BE109,NA()))</f>
        <v>0</v>
      </c>
      <c r="BF121" s="5">
        <f>IF(BF$93=0,NA(),IF(ISNUMBER(INDEX($D$98:$AD$98,BF$93)),(IF(BF115&gt;BF117,N(INDEX($D$96:$AD$96,BF$93)),0)+IF(BF113&gt;BF117,N(INDEX($D$97:$AD$97,BF$93)),0)+INDEX($D$98:$AD$98,BF$93)/2)/BF109,NA()))</f>
        <v>0</v>
      </c>
      <c r="BG121" s="5">
        <f>IF(BG$93=0,NA(),IF(ISNUMBER(INDEX($D$98:$AD$98,BG$93)),(IF(BG115&gt;BG117,N(INDEX($D$96:$AD$96,BG$93)),0)+IF(BG113&gt;BG117,N(INDEX($D$97:$AD$97,BG$93)),0)+INDEX($D$98:$AD$98,BG$93)/2)/BG109,NA()))</f>
        <v>0</v>
      </c>
      <c r="BH121" s="5">
        <f>IF(BH$93=0,NA(),IF(ISNUMBER(INDEX($D$98:$AD$98,BH$93)),(IF(BH115&gt;BH117,N(INDEX($D$96:$AD$96,BH$93)),0)+IF(BH113&gt;BH117,N(INDEX($D$97:$AD$97,BH$93)),0)+INDEX($D$98:$AD$98,BH$93)/2)/BH109,NA()))</f>
        <v>0</v>
      </c>
      <c r="BI121" s="5">
        <f>IF(BI$93=0,NA(),IF(ISNUMBER(INDEX($D$98:$AD$98,BI$93)),(IF(BI115&gt;BI117,N(INDEX($D$96:$AD$96,BI$93)),0)+IF(BI113&gt;BI117,N(INDEX($D$97:$AD$97,BI$93)),0)+INDEX($D$98:$AD$98,BI$93)/2)/BI109,NA()))</f>
        <v>0</v>
      </c>
      <c r="BJ121" s="5">
        <f>IF(BJ$93=0,NA(),IF(ISNUMBER(INDEX($D$98:$AD$98,BJ$93)),(IF(BJ115&gt;BJ117,N(INDEX($D$96:$AD$96,BJ$93)),0)+IF(BJ113&gt;BJ117,N(INDEX($D$97:$AD$97,BJ$93)),0)+INDEX($D$98:$AD$98,BJ$93)/2)/BJ109,NA()))</f>
        <v>0</v>
      </c>
      <c r="BK121" s="5">
        <f>IF(BK$93=0,NA(),IF(ISNUMBER(INDEX($D$98:$AD$98,BK$93)),(IF(BK115&gt;BK117,N(INDEX($D$96:$AD$96,BK$93)),0)+IF(BK113&gt;BK117,N(INDEX($D$97:$AD$97,BK$93)),0)+INDEX($D$98:$AD$98,BK$93)/2)/BK109,NA()))</f>
        <v>0</v>
      </c>
      <c r="BL121" s="5">
        <f>IF(BL$93=0,NA(),IF(ISNUMBER(INDEX($D$98:$AD$98,BL$93)),(IF(BL115&gt;BL117,N(INDEX($D$96:$AD$96,BL$93)),0)+IF(BL113&gt;BL117,N(INDEX($D$97:$AD$97,BL$93)),0)+INDEX($D$98:$AD$98,BL$93)/2)/BL109,NA()))</f>
        <v>0</v>
      </c>
      <c r="BM121" s="5">
        <f>IF(BM$93=0,NA(),IF(ISNUMBER(INDEX($D$98:$AD$98,BM$93)),(IF(BM115&gt;BM117,N(INDEX($D$96:$AD$96,BM$93)),0)+IF(BM113&gt;BM117,N(INDEX($D$97:$AD$97,BM$93)),0)+INDEX($D$98:$AD$98,BM$93)/2)/BM109,NA()))</f>
        <v>0</v>
      </c>
      <c r="BN121" s="5">
        <f>IF(BN$93=0,NA(),IF(ISNUMBER(INDEX($D$98:$AD$98,BN$93)),(IF(BN115&gt;BN117,N(INDEX($D$96:$AD$96,BN$93)),0)+IF(BN113&gt;BN117,N(INDEX($D$97:$AD$97,BN$93)),0)+INDEX($D$98:$AD$98,BN$93)/2)/BN109,NA()))</f>
        <v>0</v>
      </c>
      <c r="BO121" s="5">
        <f>IF(BO$93=0,NA(),IF(ISNUMBER(INDEX($D$98:$AD$98,BO$93)),(IF(BO115&gt;BO117,N(INDEX($D$96:$AD$96,BO$93)),0)+IF(BO113&gt;BO117,N(INDEX($D$97:$AD$97,BO$93)),0)+INDEX($D$98:$AD$98,BO$93)/2)/BO109,NA()))</f>
        <v>0</v>
      </c>
      <c r="BP121" s="5">
        <f>IF(BP$93=0,NA(),IF(ISNUMBER(INDEX($D$98:$AD$98,BP$93)),(IF(BP115&gt;BP117,N(INDEX($D$96:$AD$96,BP$93)),0)+IF(BP113&gt;BP117,N(INDEX($D$97:$AD$97,BP$93)),0)+INDEX($D$98:$AD$98,BP$93)/2)/BP109,NA()))</f>
        <v>0</v>
      </c>
    </row>
    <row r="122" spans="1:68">
      <c r="A122" s="11" t="s">
        <v>307</v>
      </c>
      <c r="B122" s="11" t="s">
        <v>308</v>
      </c>
      <c r="C122" s="3" t="s">
        <v>144</v>
      </c>
      <c r="AQ122" s="5">
        <f>IF(AQ$93=0,NA(),IF(ISNUMBER(INDEX($D$97:$AD$97,AQ$93)),MAX(MIN(AQ119,IFERROR(INDEX($D$107:$AD$107,AQ$93)/AQ109,1)-0.08721-AQ113*0.17442,IF(AQ115&lt;AQ113,IFERROR(AQ120,9)-(AQ113-AQ115)*0.17442,9),IF(AQ117&lt;AQ113,IFERROR(AQ121,9)-(AQ113-AQ117)*0.17442,9)),0.08721+(2-AQ113)*0.17442),NA()))</f>
        <v>0</v>
      </c>
      <c r="AR122" s="5">
        <f>IF(AR$93=0,NA(),IF(ISNUMBER(INDEX($D$97:$AD$97,AR$93)),MAX(MIN(AR119,IFERROR(INDEX($D$107:$AD$107,AR$93)/AR109,1)-0.08721-AR113*0.17442,IF(AR115&lt;AR113,IFERROR(AR120,9)-(AR113-AR115)*0.17442,9),IF(AR117&lt;AR113,IFERROR(AR121,9)-(AR113-AR117)*0.17442,9)),0.08721+(2-AR113)*0.17442),NA()))</f>
        <v>0</v>
      </c>
      <c r="AS122" s="5">
        <f>IF(AS$93=0,NA(),IF(ISNUMBER(INDEX($D$97:$AD$97,AS$93)),MAX(MIN(AS119,IFERROR(INDEX($D$107:$AD$107,AS$93)/AS109,1)-0.08721-AS113*0.17442,IF(AS115&lt;AS113,IFERROR(AS120,9)-(AS113-AS115)*0.17442,9),IF(AS117&lt;AS113,IFERROR(AS121,9)-(AS113-AS117)*0.17442,9)),0.08721+(2-AS113)*0.17442),NA()))</f>
        <v>0</v>
      </c>
      <c r="AT122" s="5">
        <f>IF(AT$93=0,NA(),IF(ISNUMBER(INDEX($D$97:$AD$97,AT$93)),MAX(MIN(AT119,IFERROR(INDEX($D$107:$AD$107,AT$93)/AT109,1)-0.08721-AT113*0.17442,IF(AT115&lt;AT113,IFERROR(AT120,9)-(AT113-AT115)*0.17442,9),IF(AT117&lt;AT113,IFERROR(AT121,9)-(AT113-AT117)*0.17442,9)),0.08721+(2-AT113)*0.17442),NA()))</f>
        <v>0</v>
      </c>
      <c r="AU122" s="5">
        <f>IF(AU$93=0,NA(),IF(ISNUMBER(INDEX($D$97:$AD$97,AU$93)),MAX(MIN(AU119,IFERROR(INDEX($D$107:$AD$107,AU$93)/AU109,1)-0.08721-AU113*0.17442,IF(AU115&lt;AU113,IFERROR(AU120,9)-(AU113-AU115)*0.17442,9),IF(AU117&lt;AU113,IFERROR(AU121,9)-(AU113-AU117)*0.17442,9)),0.08721+(2-AU113)*0.17442),NA()))</f>
        <v>0</v>
      </c>
      <c r="AV122" s="5">
        <f>IF(AV$93=0,NA(),IF(ISNUMBER(INDEX($D$97:$AD$97,AV$93)),MAX(MIN(AV119,IFERROR(INDEX($D$107:$AD$107,AV$93)/AV109,1)-0.08721-AV113*0.17442,IF(AV115&lt;AV113,IFERROR(AV120,9)-(AV113-AV115)*0.17442,9),IF(AV117&lt;AV113,IFERROR(AV121,9)-(AV113-AV117)*0.17442,9)),0.08721+(2-AV113)*0.17442),NA()))</f>
        <v>0</v>
      </c>
      <c r="AW122" s="5">
        <f>IF(AW$93=0,NA(),IF(ISNUMBER(INDEX($D$97:$AD$97,AW$93)),MAX(MIN(AW119,IFERROR(INDEX($D$107:$AD$107,AW$93)/AW109,1)-0.08721-AW113*0.17442,IF(AW115&lt;AW113,IFERROR(AW120,9)-(AW113-AW115)*0.17442,9),IF(AW117&lt;AW113,IFERROR(AW121,9)-(AW113-AW117)*0.17442,9)),0.08721+(2-AW113)*0.17442),NA()))</f>
        <v>0</v>
      </c>
      <c r="AX122" s="5">
        <f>IF(AX$93=0,NA(),IF(ISNUMBER(INDEX($D$97:$AD$97,AX$93)),MAX(MIN(AX119,IFERROR(INDEX($D$107:$AD$107,AX$93)/AX109,1)-0.08721-AX113*0.17442,IF(AX115&lt;AX113,IFERROR(AX120,9)-(AX113-AX115)*0.17442,9),IF(AX117&lt;AX113,IFERROR(AX121,9)-(AX113-AX117)*0.17442,9)),0.08721+(2-AX113)*0.17442),NA()))</f>
        <v>0</v>
      </c>
      <c r="AY122" s="5">
        <f>IF(AY$93=0,NA(),IF(ISNUMBER(INDEX($D$97:$AD$97,AY$93)),MAX(MIN(AY119,IFERROR(INDEX($D$107:$AD$107,AY$93)/AY109,1)-0.08721-AY113*0.17442,IF(AY115&lt;AY113,IFERROR(AY120,9)-(AY113-AY115)*0.17442,9),IF(AY117&lt;AY113,IFERROR(AY121,9)-(AY113-AY117)*0.17442,9)),0.08721+(2-AY113)*0.17442),NA()))</f>
        <v>0</v>
      </c>
      <c r="AZ122" s="5">
        <f>IF(AZ$93=0,NA(),IF(ISNUMBER(INDEX($D$97:$AD$97,AZ$93)),MAX(MIN(AZ119,IFERROR(INDEX($D$107:$AD$107,AZ$93)/AZ109,1)-0.08721-AZ113*0.17442,IF(AZ115&lt;AZ113,IFERROR(AZ120,9)-(AZ113-AZ115)*0.17442,9),IF(AZ117&lt;AZ113,IFERROR(AZ121,9)-(AZ113-AZ117)*0.17442,9)),0.08721+(2-AZ113)*0.17442),NA()))</f>
        <v>0</v>
      </c>
      <c r="BA122" s="5">
        <f>IF(BA$93=0,NA(),IF(ISNUMBER(INDEX($D$97:$AD$97,BA$93)),MAX(MIN(BA119,IFERROR(INDEX($D$107:$AD$107,BA$93)/BA109,1)-0.08721-BA113*0.17442,IF(BA115&lt;BA113,IFERROR(BA120,9)-(BA113-BA115)*0.17442,9),IF(BA117&lt;BA113,IFERROR(BA121,9)-(BA113-BA117)*0.17442,9)),0.08721+(2-BA113)*0.17442),NA()))</f>
        <v>0</v>
      </c>
      <c r="BB122" s="5">
        <f>IF(BB$93=0,NA(),IF(ISNUMBER(INDEX($D$97:$AD$97,BB$93)),MAX(MIN(BB119,IFERROR(INDEX($D$107:$AD$107,BB$93)/BB109,1)-0.08721-BB113*0.17442,IF(BB115&lt;BB113,IFERROR(BB120,9)-(BB113-BB115)*0.17442,9),IF(BB117&lt;BB113,IFERROR(BB121,9)-(BB113-BB117)*0.17442,9)),0.08721+(2-BB113)*0.17442),NA()))</f>
        <v>0</v>
      </c>
      <c r="BC122" s="5">
        <f>IF(BC$93=0,NA(),IF(ISNUMBER(INDEX($D$97:$AD$97,BC$93)),MAX(MIN(BC119,IFERROR(INDEX($D$107:$AD$107,BC$93)/BC109,1)-0.08721-BC113*0.17442,IF(BC115&lt;BC113,IFERROR(BC120,9)-(BC113-BC115)*0.17442,9),IF(BC117&lt;BC113,IFERROR(BC121,9)-(BC113-BC117)*0.17442,9)),0.08721+(2-BC113)*0.17442),NA()))</f>
        <v>0</v>
      </c>
      <c r="BD122" s="5">
        <f>IF(BD$93=0,NA(),IF(ISNUMBER(INDEX($D$97:$AD$97,BD$93)),MAX(MIN(BD119,IFERROR(INDEX($D$107:$AD$107,BD$93)/BD109,1)-0.08721-BD113*0.17442,IF(BD115&lt;BD113,IFERROR(BD120,9)-(BD113-BD115)*0.17442,9),IF(BD117&lt;BD113,IFERROR(BD121,9)-(BD113-BD117)*0.17442,9)),0.08721+(2-BD113)*0.17442),NA()))</f>
        <v>0</v>
      </c>
      <c r="BE122" s="5">
        <f>IF(BE$93=0,NA(),IF(ISNUMBER(INDEX($D$97:$AD$97,BE$93)),MAX(MIN(BE119,IFERROR(INDEX($D$107:$AD$107,BE$93)/BE109,1)-0.08721-BE113*0.17442,IF(BE115&lt;BE113,IFERROR(BE120,9)-(BE113-BE115)*0.17442,9),IF(BE117&lt;BE113,IFERROR(BE121,9)-(BE113-BE117)*0.17442,9)),0.08721+(2-BE113)*0.17442),NA()))</f>
        <v>0</v>
      </c>
      <c r="BF122" s="5">
        <f>IF(BF$93=0,NA(),IF(ISNUMBER(INDEX($D$97:$AD$97,BF$93)),MAX(MIN(BF119,IFERROR(INDEX($D$107:$AD$107,BF$93)/BF109,1)-0.08721-BF113*0.17442,IF(BF115&lt;BF113,IFERROR(BF120,9)-(BF113-BF115)*0.17442,9),IF(BF117&lt;BF113,IFERROR(BF121,9)-(BF113-BF117)*0.17442,9)),0.08721+(2-BF113)*0.17442),NA()))</f>
        <v>0</v>
      </c>
      <c r="BG122" s="5">
        <f>IF(BG$93=0,NA(),IF(ISNUMBER(INDEX($D$97:$AD$97,BG$93)),MAX(MIN(BG119,IFERROR(INDEX($D$107:$AD$107,BG$93)/BG109,1)-0.08721-BG113*0.17442,IF(BG115&lt;BG113,IFERROR(BG120,9)-(BG113-BG115)*0.17442,9),IF(BG117&lt;BG113,IFERROR(BG121,9)-(BG113-BG117)*0.17442,9)),0.08721+(2-BG113)*0.17442),NA()))</f>
        <v>0</v>
      </c>
      <c r="BH122" s="5">
        <f>IF(BH$93=0,NA(),IF(ISNUMBER(INDEX($D$97:$AD$97,BH$93)),MAX(MIN(BH119,IFERROR(INDEX($D$107:$AD$107,BH$93)/BH109,1)-0.08721-BH113*0.17442,IF(BH115&lt;BH113,IFERROR(BH120,9)-(BH113-BH115)*0.17442,9),IF(BH117&lt;BH113,IFERROR(BH121,9)-(BH113-BH117)*0.17442,9)),0.08721+(2-BH113)*0.17442),NA()))</f>
        <v>0</v>
      </c>
      <c r="BI122" s="5">
        <f>IF(BI$93=0,NA(),IF(ISNUMBER(INDEX($D$97:$AD$97,BI$93)),MAX(MIN(BI119,IFERROR(INDEX($D$107:$AD$107,BI$93)/BI109,1)-0.08721-BI113*0.17442,IF(BI115&lt;BI113,IFERROR(BI120,9)-(BI113-BI115)*0.17442,9),IF(BI117&lt;BI113,IFERROR(BI121,9)-(BI113-BI117)*0.17442,9)),0.08721+(2-BI113)*0.17442),NA()))</f>
        <v>0</v>
      </c>
      <c r="BJ122" s="5">
        <f>IF(BJ$93=0,NA(),IF(ISNUMBER(INDEX($D$97:$AD$97,BJ$93)),MAX(MIN(BJ119,IFERROR(INDEX($D$107:$AD$107,BJ$93)/BJ109,1)-0.08721-BJ113*0.17442,IF(BJ115&lt;BJ113,IFERROR(BJ120,9)-(BJ113-BJ115)*0.17442,9),IF(BJ117&lt;BJ113,IFERROR(BJ121,9)-(BJ113-BJ117)*0.17442,9)),0.08721+(2-BJ113)*0.17442),NA()))</f>
        <v>0</v>
      </c>
      <c r="BK122" s="5">
        <f>IF(BK$93=0,NA(),IF(ISNUMBER(INDEX($D$97:$AD$97,BK$93)),MAX(MIN(BK119,IFERROR(INDEX($D$107:$AD$107,BK$93)/BK109,1)-0.08721-BK113*0.17442,IF(BK115&lt;BK113,IFERROR(BK120,9)-(BK113-BK115)*0.17442,9),IF(BK117&lt;BK113,IFERROR(BK121,9)-(BK113-BK117)*0.17442,9)),0.08721+(2-BK113)*0.17442),NA()))</f>
        <v>0</v>
      </c>
      <c r="BL122" s="5">
        <f>IF(BL$93=0,NA(),IF(ISNUMBER(INDEX($D$97:$AD$97,BL$93)),MAX(MIN(BL119,IFERROR(INDEX($D$107:$AD$107,BL$93)/BL109,1)-0.08721-BL113*0.17442,IF(BL115&lt;BL113,IFERROR(BL120,9)-(BL113-BL115)*0.17442,9),IF(BL117&lt;BL113,IFERROR(BL121,9)-(BL113-BL117)*0.17442,9)),0.08721+(2-BL113)*0.17442),NA()))</f>
        <v>0</v>
      </c>
      <c r="BM122" s="5">
        <f>IF(BM$93=0,NA(),IF(ISNUMBER(INDEX($D$97:$AD$97,BM$93)),MAX(MIN(BM119,IFERROR(INDEX($D$107:$AD$107,BM$93)/BM109,1)-0.08721-BM113*0.17442,IF(BM115&lt;BM113,IFERROR(BM120,9)-(BM113-BM115)*0.17442,9),IF(BM117&lt;BM113,IFERROR(BM121,9)-(BM113-BM117)*0.17442,9)),0.08721+(2-BM113)*0.17442),NA()))</f>
        <v>0</v>
      </c>
      <c r="BN122" s="5">
        <f>IF(BN$93=0,NA(),IF(ISNUMBER(INDEX($D$97:$AD$97,BN$93)),MAX(MIN(BN119,IFERROR(INDEX($D$107:$AD$107,BN$93)/BN109,1)-0.08721-BN113*0.17442,IF(BN115&lt;BN113,IFERROR(BN120,9)-(BN113-BN115)*0.17442,9),IF(BN117&lt;BN113,IFERROR(BN121,9)-(BN113-BN117)*0.17442,9)),0.08721+(2-BN113)*0.17442),NA()))</f>
        <v>0</v>
      </c>
      <c r="BO122" s="5">
        <f>IF(BO$93=0,NA(),IF(ISNUMBER(INDEX($D$97:$AD$97,BO$93)),MAX(MIN(BO119,IFERROR(INDEX($D$107:$AD$107,BO$93)/BO109,1)-0.08721-BO113*0.17442,IF(BO115&lt;BO113,IFERROR(BO120,9)-(BO113-BO115)*0.17442,9),IF(BO117&lt;BO113,IFERROR(BO121,9)-(BO113-BO117)*0.17442,9)),0.08721+(2-BO113)*0.17442),NA()))</f>
        <v>0</v>
      </c>
      <c r="BP122" s="5">
        <f>IF(BP$93=0,NA(),IF(ISNUMBER(INDEX($D$97:$AD$97,BP$93)),MAX(MIN(BP119,IFERROR(INDEX($D$107:$AD$107,BP$93)/BP109,1)-0.08721-BP113*0.17442,IF(BP115&lt;BP113,IFERROR(BP120,9)-(BP113-BP115)*0.17442,9),IF(BP117&lt;BP113,IFERROR(BP121,9)-(BP113-BP117)*0.17442,9)),0.08721+(2-BP113)*0.17442),NA()))</f>
        <v>0</v>
      </c>
    </row>
    <row r="123" spans="1:68">
      <c r="A123" s="11" t="s">
        <v>309</v>
      </c>
      <c r="B123" s="11" t="s">
        <v>310</v>
      </c>
      <c r="C123" s="3" t="s">
        <v>144</v>
      </c>
      <c r="AQ123" s="5">
        <f>IF(AQ$93=0,NA(),IF(ISNUMBER(INDEX($D$96:$AD$96,AQ$93)),MAX(MIN(AQ120,IFERROR(INDEX($D$107:$AD$107,AQ$93)/AQ109,1)-0.08721-AQ115*0.17442,IF(AQ113&lt;AQ115,IFERROR(AQ119,9)-(AQ115-AQ113)*0.17442,9),IF(AQ117&lt;AQ115,IFERROR(AQ121,9)-(AQ115-AQ117)*0.17442,9)),0.08721+(2-AQ115)*0.17442),NA()))</f>
        <v>0</v>
      </c>
      <c r="AR123" s="5">
        <f>IF(AR$93=0,NA(),IF(ISNUMBER(INDEX($D$96:$AD$96,AR$93)),MAX(MIN(AR120,IFERROR(INDEX($D$107:$AD$107,AR$93)/AR109,1)-0.08721-AR115*0.17442,IF(AR113&lt;AR115,IFERROR(AR119,9)-(AR115-AR113)*0.17442,9),IF(AR117&lt;AR115,IFERROR(AR121,9)-(AR115-AR117)*0.17442,9)),0.08721+(2-AR115)*0.17442),NA()))</f>
        <v>0</v>
      </c>
      <c r="AS123" s="5">
        <f>IF(AS$93=0,NA(),IF(ISNUMBER(INDEX($D$96:$AD$96,AS$93)),MAX(MIN(AS120,IFERROR(INDEX($D$107:$AD$107,AS$93)/AS109,1)-0.08721-AS115*0.17442,IF(AS113&lt;AS115,IFERROR(AS119,9)-(AS115-AS113)*0.17442,9),IF(AS117&lt;AS115,IFERROR(AS121,9)-(AS115-AS117)*0.17442,9)),0.08721+(2-AS115)*0.17442),NA()))</f>
        <v>0</v>
      </c>
      <c r="AT123" s="5">
        <f>IF(AT$93=0,NA(),IF(ISNUMBER(INDEX($D$96:$AD$96,AT$93)),MAX(MIN(AT120,IFERROR(INDEX($D$107:$AD$107,AT$93)/AT109,1)-0.08721-AT115*0.17442,IF(AT113&lt;AT115,IFERROR(AT119,9)-(AT115-AT113)*0.17442,9),IF(AT117&lt;AT115,IFERROR(AT121,9)-(AT115-AT117)*0.17442,9)),0.08721+(2-AT115)*0.17442),NA()))</f>
        <v>0</v>
      </c>
      <c r="AU123" s="5">
        <f>IF(AU$93=0,NA(),IF(ISNUMBER(INDEX($D$96:$AD$96,AU$93)),MAX(MIN(AU120,IFERROR(INDEX($D$107:$AD$107,AU$93)/AU109,1)-0.08721-AU115*0.17442,IF(AU113&lt;AU115,IFERROR(AU119,9)-(AU115-AU113)*0.17442,9),IF(AU117&lt;AU115,IFERROR(AU121,9)-(AU115-AU117)*0.17442,9)),0.08721+(2-AU115)*0.17442),NA()))</f>
        <v>0</v>
      </c>
      <c r="AV123" s="5">
        <f>IF(AV$93=0,NA(),IF(ISNUMBER(INDEX($D$96:$AD$96,AV$93)),MAX(MIN(AV120,IFERROR(INDEX($D$107:$AD$107,AV$93)/AV109,1)-0.08721-AV115*0.17442,IF(AV113&lt;AV115,IFERROR(AV119,9)-(AV115-AV113)*0.17442,9),IF(AV117&lt;AV115,IFERROR(AV121,9)-(AV115-AV117)*0.17442,9)),0.08721+(2-AV115)*0.17442),NA()))</f>
        <v>0</v>
      </c>
      <c r="AW123" s="5">
        <f>IF(AW$93=0,NA(),IF(ISNUMBER(INDEX($D$96:$AD$96,AW$93)),MAX(MIN(AW120,IFERROR(INDEX($D$107:$AD$107,AW$93)/AW109,1)-0.08721-AW115*0.17442,IF(AW113&lt;AW115,IFERROR(AW119,9)-(AW115-AW113)*0.17442,9),IF(AW117&lt;AW115,IFERROR(AW121,9)-(AW115-AW117)*0.17442,9)),0.08721+(2-AW115)*0.17442),NA()))</f>
        <v>0</v>
      </c>
      <c r="AX123" s="5">
        <f>IF(AX$93=0,NA(),IF(ISNUMBER(INDEX($D$96:$AD$96,AX$93)),MAX(MIN(AX120,IFERROR(INDEX($D$107:$AD$107,AX$93)/AX109,1)-0.08721-AX115*0.17442,IF(AX113&lt;AX115,IFERROR(AX119,9)-(AX115-AX113)*0.17442,9),IF(AX117&lt;AX115,IFERROR(AX121,9)-(AX115-AX117)*0.17442,9)),0.08721+(2-AX115)*0.17442),NA()))</f>
        <v>0</v>
      </c>
      <c r="AY123" s="5">
        <f>IF(AY$93=0,NA(),IF(ISNUMBER(INDEX($D$96:$AD$96,AY$93)),MAX(MIN(AY120,IFERROR(INDEX($D$107:$AD$107,AY$93)/AY109,1)-0.08721-AY115*0.17442,IF(AY113&lt;AY115,IFERROR(AY119,9)-(AY115-AY113)*0.17442,9),IF(AY117&lt;AY115,IFERROR(AY121,9)-(AY115-AY117)*0.17442,9)),0.08721+(2-AY115)*0.17442),NA()))</f>
        <v>0</v>
      </c>
      <c r="AZ123" s="5">
        <f>IF(AZ$93=0,NA(),IF(ISNUMBER(INDEX($D$96:$AD$96,AZ$93)),MAX(MIN(AZ120,IFERROR(INDEX($D$107:$AD$107,AZ$93)/AZ109,1)-0.08721-AZ115*0.17442,IF(AZ113&lt;AZ115,IFERROR(AZ119,9)-(AZ115-AZ113)*0.17442,9),IF(AZ117&lt;AZ115,IFERROR(AZ121,9)-(AZ115-AZ117)*0.17442,9)),0.08721+(2-AZ115)*0.17442),NA()))</f>
        <v>0</v>
      </c>
      <c r="BA123" s="5">
        <f>IF(BA$93=0,NA(),IF(ISNUMBER(INDEX($D$96:$AD$96,BA$93)),MAX(MIN(BA120,IFERROR(INDEX($D$107:$AD$107,BA$93)/BA109,1)-0.08721-BA115*0.17442,IF(BA113&lt;BA115,IFERROR(BA119,9)-(BA115-BA113)*0.17442,9),IF(BA117&lt;BA115,IFERROR(BA121,9)-(BA115-BA117)*0.17442,9)),0.08721+(2-BA115)*0.17442),NA()))</f>
        <v>0</v>
      </c>
      <c r="BB123" s="5">
        <f>IF(BB$93=0,NA(),IF(ISNUMBER(INDEX($D$96:$AD$96,BB$93)),MAX(MIN(BB120,IFERROR(INDEX($D$107:$AD$107,BB$93)/BB109,1)-0.08721-BB115*0.17442,IF(BB113&lt;BB115,IFERROR(BB119,9)-(BB115-BB113)*0.17442,9),IF(BB117&lt;BB115,IFERROR(BB121,9)-(BB115-BB117)*0.17442,9)),0.08721+(2-BB115)*0.17442),NA()))</f>
        <v>0</v>
      </c>
      <c r="BC123" s="5">
        <f>IF(BC$93=0,NA(),IF(ISNUMBER(INDEX($D$96:$AD$96,BC$93)),MAX(MIN(BC120,IFERROR(INDEX($D$107:$AD$107,BC$93)/BC109,1)-0.08721-BC115*0.17442,IF(BC113&lt;BC115,IFERROR(BC119,9)-(BC115-BC113)*0.17442,9),IF(BC117&lt;BC115,IFERROR(BC121,9)-(BC115-BC117)*0.17442,9)),0.08721+(2-BC115)*0.17442),NA()))</f>
        <v>0</v>
      </c>
      <c r="BD123" s="5">
        <f>IF(BD$93=0,NA(),IF(ISNUMBER(INDEX($D$96:$AD$96,BD$93)),MAX(MIN(BD120,IFERROR(INDEX($D$107:$AD$107,BD$93)/BD109,1)-0.08721-BD115*0.17442,IF(BD113&lt;BD115,IFERROR(BD119,9)-(BD115-BD113)*0.17442,9),IF(BD117&lt;BD115,IFERROR(BD121,9)-(BD115-BD117)*0.17442,9)),0.08721+(2-BD115)*0.17442),NA()))</f>
        <v>0</v>
      </c>
      <c r="BE123" s="5">
        <f>IF(BE$93=0,NA(),IF(ISNUMBER(INDEX($D$96:$AD$96,BE$93)),MAX(MIN(BE120,IFERROR(INDEX($D$107:$AD$107,BE$93)/BE109,1)-0.08721-BE115*0.17442,IF(BE113&lt;BE115,IFERROR(BE119,9)-(BE115-BE113)*0.17442,9),IF(BE117&lt;BE115,IFERROR(BE121,9)-(BE115-BE117)*0.17442,9)),0.08721+(2-BE115)*0.17442),NA()))</f>
        <v>0</v>
      </c>
      <c r="BF123" s="5">
        <f>IF(BF$93=0,NA(),IF(ISNUMBER(INDEX($D$96:$AD$96,BF$93)),MAX(MIN(BF120,IFERROR(INDEX($D$107:$AD$107,BF$93)/BF109,1)-0.08721-BF115*0.17442,IF(BF113&lt;BF115,IFERROR(BF119,9)-(BF115-BF113)*0.17442,9),IF(BF117&lt;BF115,IFERROR(BF121,9)-(BF115-BF117)*0.17442,9)),0.08721+(2-BF115)*0.17442),NA()))</f>
        <v>0</v>
      </c>
      <c r="BG123" s="5">
        <f>IF(BG$93=0,NA(),IF(ISNUMBER(INDEX($D$96:$AD$96,BG$93)),MAX(MIN(BG120,IFERROR(INDEX($D$107:$AD$107,BG$93)/BG109,1)-0.08721-BG115*0.17442,IF(BG113&lt;BG115,IFERROR(BG119,9)-(BG115-BG113)*0.17442,9),IF(BG117&lt;BG115,IFERROR(BG121,9)-(BG115-BG117)*0.17442,9)),0.08721+(2-BG115)*0.17442),NA()))</f>
        <v>0</v>
      </c>
      <c r="BH123" s="5">
        <f>IF(BH$93=0,NA(),IF(ISNUMBER(INDEX($D$96:$AD$96,BH$93)),MAX(MIN(BH120,IFERROR(INDEX($D$107:$AD$107,BH$93)/BH109,1)-0.08721-BH115*0.17442,IF(BH113&lt;BH115,IFERROR(BH119,9)-(BH115-BH113)*0.17442,9),IF(BH117&lt;BH115,IFERROR(BH121,9)-(BH115-BH117)*0.17442,9)),0.08721+(2-BH115)*0.17442),NA()))</f>
        <v>0</v>
      </c>
      <c r="BI123" s="5">
        <f>IF(BI$93=0,NA(),IF(ISNUMBER(INDEX($D$96:$AD$96,BI$93)),MAX(MIN(BI120,IFERROR(INDEX($D$107:$AD$107,BI$93)/BI109,1)-0.08721-BI115*0.17442,IF(BI113&lt;BI115,IFERROR(BI119,9)-(BI115-BI113)*0.17442,9),IF(BI117&lt;BI115,IFERROR(BI121,9)-(BI115-BI117)*0.17442,9)),0.08721+(2-BI115)*0.17442),NA()))</f>
        <v>0</v>
      </c>
      <c r="BJ123" s="5">
        <f>IF(BJ$93=0,NA(),IF(ISNUMBER(INDEX($D$96:$AD$96,BJ$93)),MAX(MIN(BJ120,IFERROR(INDEX($D$107:$AD$107,BJ$93)/BJ109,1)-0.08721-BJ115*0.17442,IF(BJ113&lt;BJ115,IFERROR(BJ119,9)-(BJ115-BJ113)*0.17442,9),IF(BJ117&lt;BJ115,IFERROR(BJ121,9)-(BJ115-BJ117)*0.17442,9)),0.08721+(2-BJ115)*0.17442),NA()))</f>
        <v>0</v>
      </c>
      <c r="BK123" s="5">
        <f>IF(BK$93=0,NA(),IF(ISNUMBER(INDEX($D$96:$AD$96,BK$93)),MAX(MIN(BK120,IFERROR(INDEX($D$107:$AD$107,BK$93)/BK109,1)-0.08721-BK115*0.17442,IF(BK113&lt;BK115,IFERROR(BK119,9)-(BK115-BK113)*0.17442,9),IF(BK117&lt;BK115,IFERROR(BK121,9)-(BK115-BK117)*0.17442,9)),0.08721+(2-BK115)*0.17442),NA()))</f>
        <v>0</v>
      </c>
      <c r="BL123" s="5">
        <f>IF(BL$93=0,NA(),IF(ISNUMBER(INDEX($D$96:$AD$96,BL$93)),MAX(MIN(BL120,IFERROR(INDEX($D$107:$AD$107,BL$93)/BL109,1)-0.08721-BL115*0.17442,IF(BL113&lt;BL115,IFERROR(BL119,9)-(BL115-BL113)*0.17442,9),IF(BL117&lt;BL115,IFERROR(BL121,9)-(BL115-BL117)*0.17442,9)),0.08721+(2-BL115)*0.17442),NA()))</f>
        <v>0</v>
      </c>
      <c r="BM123" s="5">
        <f>IF(BM$93=0,NA(),IF(ISNUMBER(INDEX($D$96:$AD$96,BM$93)),MAX(MIN(BM120,IFERROR(INDEX($D$107:$AD$107,BM$93)/BM109,1)-0.08721-BM115*0.17442,IF(BM113&lt;BM115,IFERROR(BM119,9)-(BM115-BM113)*0.17442,9),IF(BM117&lt;BM115,IFERROR(BM121,9)-(BM115-BM117)*0.17442,9)),0.08721+(2-BM115)*0.17442),NA()))</f>
        <v>0</v>
      </c>
      <c r="BN123" s="5">
        <f>IF(BN$93=0,NA(),IF(ISNUMBER(INDEX($D$96:$AD$96,BN$93)),MAX(MIN(BN120,IFERROR(INDEX($D$107:$AD$107,BN$93)/BN109,1)-0.08721-BN115*0.17442,IF(BN113&lt;BN115,IFERROR(BN119,9)-(BN115-BN113)*0.17442,9),IF(BN117&lt;BN115,IFERROR(BN121,9)-(BN115-BN117)*0.17442,9)),0.08721+(2-BN115)*0.17442),NA()))</f>
        <v>0</v>
      </c>
      <c r="BO123" s="5">
        <f>IF(BO$93=0,NA(),IF(ISNUMBER(INDEX($D$96:$AD$96,BO$93)),MAX(MIN(BO120,IFERROR(INDEX($D$107:$AD$107,BO$93)/BO109,1)-0.08721-BO115*0.17442,IF(BO113&lt;BO115,IFERROR(BO119,9)-(BO115-BO113)*0.17442,9),IF(BO117&lt;BO115,IFERROR(BO121,9)-(BO115-BO117)*0.17442,9)),0.08721+(2-BO115)*0.17442),NA()))</f>
        <v>0</v>
      </c>
      <c r="BP123" s="5">
        <f>IF(BP$93=0,NA(),IF(ISNUMBER(INDEX($D$96:$AD$96,BP$93)),MAX(MIN(BP120,IFERROR(INDEX($D$107:$AD$107,BP$93)/BP109,1)-0.08721-BP115*0.17442,IF(BP113&lt;BP115,IFERROR(BP119,9)-(BP115-BP113)*0.17442,9),IF(BP117&lt;BP115,IFERROR(BP121,9)-(BP115-BP117)*0.17442,9)),0.08721+(2-BP115)*0.17442),NA()))</f>
        <v>0</v>
      </c>
    </row>
    <row r="124" spans="1:68">
      <c r="A124" s="11" t="s">
        <v>311</v>
      </c>
      <c r="B124" s="11" t="s">
        <v>312</v>
      </c>
      <c r="C124" s="3" t="s">
        <v>144</v>
      </c>
      <c r="AQ124" s="5">
        <f>IF(AQ$93=0,NA(),IF(ISNUMBER(INDEX($D$98:$AD$98,AQ$93)),MAX(MIN(AQ121,IFERROR(INDEX($D$107:$AD$107,AQ$93)/AQ109,1)-0.08721-AQ117*0.17442,IF(AQ115&lt;AQ117,IFERROR(AQ120,9)-(AQ117-AQ115)*0.17442,9),IF(AQ113&lt;AQ117,IFERROR(AQ119,9)-(AQ117-AQ113)*0.17442,9)),0.08721+(2-AQ117)*0.17442),NA()))</f>
        <v>0</v>
      </c>
      <c r="AR124" s="5">
        <f>IF(AR$93=0,NA(),IF(ISNUMBER(INDEX($D$98:$AD$98,AR$93)),MAX(MIN(AR121,IFERROR(INDEX($D$107:$AD$107,AR$93)/AR109,1)-0.08721-AR117*0.17442,IF(AR115&lt;AR117,IFERROR(AR120,9)-(AR117-AR115)*0.17442,9),IF(AR113&lt;AR117,IFERROR(AR119,9)-(AR117-AR113)*0.17442,9)),0.08721+(2-AR117)*0.17442),NA()))</f>
        <v>0</v>
      </c>
      <c r="AS124" s="5">
        <f>IF(AS$93=0,NA(),IF(ISNUMBER(INDEX($D$98:$AD$98,AS$93)),MAX(MIN(AS121,IFERROR(INDEX($D$107:$AD$107,AS$93)/AS109,1)-0.08721-AS117*0.17442,IF(AS115&lt;AS117,IFERROR(AS120,9)-(AS117-AS115)*0.17442,9),IF(AS113&lt;AS117,IFERROR(AS119,9)-(AS117-AS113)*0.17442,9)),0.08721+(2-AS117)*0.17442),NA()))</f>
        <v>0</v>
      </c>
      <c r="AT124" s="5">
        <f>IF(AT$93=0,NA(),IF(ISNUMBER(INDEX($D$98:$AD$98,AT$93)),MAX(MIN(AT121,IFERROR(INDEX($D$107:$AD$107,AT$93)/AT109,1)-0.08721-AT117*0.17442,IF(AT115&lt;AT117,IFERROR(AT120,9)-(AT117-AT115)*0.17442,9),IF(AT113&lt;AT117,IFERROR(AT119,9)-(AT117-AT113)*0.17442,9)),0.08721+(2-AT117)*0.17442),NA()))</f>
        <v>0</v>
      </c>
      <c r="AU124" s="5">
        <f>IF(AU$93=0,NA(),IF(ISNUMBER(INDEX($D$98:$AD$98,AU$93)),MAX(MIN(AU121,IFERROR(INDEX($D$107:$AD$107,AU$93)/AU109,1)-0.08721-AU117*0.17442,IF(AU115&lt;AU117,IFERROR(AU120,9)-(AU117-AU115)*0.17442,9),IF(AU113&lt;AU117,IFERROR(AU119,9)-(AU117-AU113)*0.17442,9)),0.08721+(2-AU117)*0.17442),NA()))</f>
        <v>0</v>
      </c>
      <c r="AV124" s="5">
        <f>IF(AV$93=0,NA(),IF(ISNUMBER(INDEX($D$98:$AD$98,AV$93)),MAX(MIN(AV121,IFERROR(INDEX($D$107:$AD$107,AV$93)/AV109,1)-0.08721-AV117*0.17442,IF(AV115&lt;AV117,IFERROR(AV120,9)-(AV117-AV115)*0.17442,9),IF(AV113&lt;AV117,IFERROR(AV119,9)-(AV117-AV113)*0.17442,9)),0.08721+(2-AV117)*0.17442),NA()))</f>
        <v>0</v>
      </c>
      <c r="AW124" s="5">
        <f>IF(AW$93=0,NA(),IF(ISNUMBER(INDEX($D$98:$AD$98,AW$93)),MAX(MIN(AW121,IFERROR(INDEX($D$107:$AD$107,AW$93)/AW109,1)-0.08721-AW117*0.17442,IF(AW115&lt;AW117,IFERROR(AW120,9)-(AW117-AW115)*0.17442,9),IF(AW113&lt;AW117,IFERROR(AW119,9)-(AW117-AW113)*0.17442,9)),0.08721+(2-AW117)*0.17442),NA()))</f>
        <v>0</v>
      </c>
      <c r="AX124" s="5">
        <f>IF(AX$93=0,NA(),IF(ISNUMBER(INDEX($D$98:$AD$98,AX$93)),MAX(MIN(AX121,IFERROR(INDEX($D$107:$AD$107,AX$93)/AX109,1)-0.08721-AX117*0.17442,IF(AX115&lt;AX117,IFERROR(AX120,9)-(AX117-AX115)*0.17442,9),IF(AX113&lt;AX117,IFERROR(AX119,9)-(AX117-AX113)*0.17442,9)),0.08721+(2-AX117)*0.17442),NA()))</f>
        <v>0</v>
      </c>
      <c r="AY124" s="5">
        <f>IF(AY$93=0,NA(),IF(ISNUMBER(INDEX($D$98:$AD$98,AY$93)),MAX(MIN(AY121,IFERROR(INDEX($D$107:$AD$107,AY$93)/AY109,1)-0.08721-AY117*0.17442,IF(AY115&lt;AY117,IFERROR(AY120,9)-(AY117-AY115)*0.17442,9),IF(AY113&lt;AY117,IFERROR(AY119,9)-(AY117-AY113)*0.17442,9)),0.08721+(2-AY117)*0.17442),NA()))</f>
        <v>0</v>
      </c>
      <c r="AZ124" s="5">
        <f>IF(AZ$93=0,NA(),IF(ISNUMBER(INDEX($D$98:$AD$98,AZ$93)),MAX(MIN(AZ121,IFERROR(INDEX($D$107:$AD$107,AZ$93)/AZ109,1)-0.08721-AZ117*0.17442,IF(AZ115&lt;AZ117,IFERROR(AZ120,9)-(AZ117-AZ115)*0.17442,9),IF(AZ113&lt;AZ117,IFERROR(AZ119,9)-(AZ117-AZ113)*0.17442,9)),0.08721+(2-AZ117)*0.17442),NA()))</f>
        <v>0</v>
      </c>
      <c r="BA124" s="5">
        <f>IF(BA$93=0,NA(),IF(ISNUMBER(INDEX($D$98:$AD$98,BA$93)),MAX(MIN(BA121,IFERROR(INDEX($D$107:$AD$107,BA$93)/BA109,1)-0.08721-BA117*0.17442,IF(BA115&lt;BA117,IFERROR(BA120,9)-(BA117-BA115)*0.17442,9),IF(BA113&lt;BA117,IFERROR(BA119,9)-(BA117-BA113)*0.17442,9)),0.08721+(2-BA117)*0.17442),NA()))</f>
        <v>0</v>
      </c>
      <c r="BB124" s="5">
        <f>IF(BB$93=0,NA(),IF(ISNUMBER(INDEX($D$98:$AD$98,BB$93)),MAX(MIN(BB121,IFERROR(INDEX($D$107:$AD$107,BB$93)/BB109,1)-0.08721-BB117*0.17442,IF(BB115&lt;BB117,IFERROR(BB120,9)-(BB117-BB115)*0.17442,9),IF(BB113&lt;BB117,IFERROR(BB119,9)-(BB117-BB113)*0.17442,9)),0.08721+(2-BB117)*0.17442),NA()))</f>
        <v>0</v>
      </c>
      <c r="BC124" s="5">
        <f>IF(BC$93=0,NA(),IF(ISNUMBER(INDEX($D$98:$AD$98,BC$93)),MAX(MIN(BC121,IFERROR(INDEX($D$107:$AD$107,BC$93)/BC109,1)-0.08721-BC117*0.17442,IF(BC115&lt;BC117,IFERROR(BC120,9)-(BC117-BC115)*0.17442,9),IF(BC113&lt;BC117,IFERROR(BC119,9)-(BC117-BC113)*0.17442,9)),0.08721+(2-BC117)*0.17442),NA()))</f>
        <v>0</v>
      </c>
      <c r="BD124" s="5">
        <f>IF(BD$93=0,NA(),IF(ISNUMBER(INDEX($D$98:$AD$98,BD$93)),MAX(MIN(BD121,IFERROR(INDEX($D$107:$AD$107,BD$93)/BD109,1)-0.08721-BD117*0.17442,IF(BD115&lt;BD117,IFERROR(BD120,9)-(BD117-BD115)*0.17442,9),IF(BD113&lt;BD117,IFERROR(BD119,9)-(BD117-BD113)*0.17442,9)),0.08721+(2-BD117)*0.17442),NA()))</f>
        <v>0</v>
      </c>
      <c r="BE124" s="5">
        <f>IF(BE$93=0,NA(),IF(ISNUMBER(INDEX($D$98:$AD$98,BE$93)),MAX(MIN(BE121,IFERROR(INDEX($D$107:$AD$107,BE$93)/BE109,1)-0.08721-BE117*0.17442,IF(BE115&lt;BE117,IFERROR(BE120,9)-(BE117-BE115)*0.17442,9),IF(BE113&lt;BE117,IFERROR(BE119,9)-(BE117-BE113)*0.17442,9)),0.08721+(2-BE117)*0.17442),NA()))</f>
        <v>0</v>
      </c>
      <c r="BF124" s="5">
        <f>IF(BF$93=0,NA(),IF(ISNUMBER(INDEX($D$98:$AD$98,BF$93)),MAX(MIN(BF121,IFERROR(INDEX($D$107:$AD$107,BF$93)/BF109,1)-0.08721-BF117*0.17442,IF(BF115&lt;BF117,IFERROR(BF120,9)-(BF117-BF115)*0.17442,9),IF(BF113&lt;BF117,IFERROR(BF119,9)-(BF117-BF113)*0.17442,9)),0.08721+(2-BF117)*0.17442),NA()))</f>
        <v>0</v>
      </c>
      <c r="BG124" s="5">
        <f>IF(BG$93=0,NA(),IF(ISNUMBER(INDEX($D$98:$AD$98,BG$93)),MAX(MIN(BG121,IFERROR(INDEX($D$107:$AD$107,BG$93)/BG109,1)-0.08721-BG117*0.17442,IF(BG115&lt;BG117,IFERROR(BG120,9)-(BG117-BG115)*0.17442,9),IF(BG113&lt;BG117,IFERROR(BG119,9)-(BG117-BG113)*0.17442,9)),0.08721+(2-BG117)*0.17442),NA()))</f>
        <v>0</v>
      </c>
      <c r="BH124" s="5">
        <f>IF(BH$93=0,NA(),IF(ISNUMBER(INDEX($D$98:$AD$98,BH$93)),MAX(MIN(BH121,IFERROR(INDEX($D$107:$AD$107,BH$93)/BH109,1)-0.08721-BH117*0.17442,IF(BH115&lt;BH117,IFERROR(BH120,9)-(BH117-BH115)*0.17442,9),IF(BH113&lt;BH117,IFERROR(BH119,9)-(BH117-BH113)*0.17442,9)),0.08721+(2-BH117)*0.17442),NA()))</f>
        <v>0</v>
      </c>
      <c r="BI124" s="5">
        <f>IF(BI$93=0,NA(),IF(ISNUMBER(INDEX($D$98:$AD$98,BI$93)),MAX(MIN(BI121,IFERROR(INDEX($D$107:$AD$107,BI$93)/BI109,1)-0.08721-BI117*0.17442,IF(BI115&lt;BI117,IFERROR(BI120,9)-(BI117-BI115)*0.17442,9),IF(BI113&lt;BI117,IFERROR(BI119,9)-(BI117-BI113)*0.17442,9)),0.08721+(2-BI117)*0.17442),NA()))</f>
        <v>0</v>
      </c>
      <c r="BJ124" s="5">
        <f>IF(BJ$93=0,NA(),IF(ISNUMBER(INDEX($D$98:$AD$98,BJ$93)),MAX(MIN(BJ121,IFERROR(INDEX($D$107:$AD$107,BJ$93)/BJ109,1)-0.08721-BJ117*0.17442,IF(BJ115&lt;BJ117,IFERROR(BJ120,9)-(BJ117-BJ115)*0.17442,9),IF(BJ113&lt;BJ117,IFERROR(BJ119,9)-(BJ117-BJ113)*0.17442,9)),0.08721+(2-BJ117)*0.17442),NA()))</f>
        <v>0</v>
      </c>
      <c r="BK124" s="5">
        <f>IF(BK$93=0,NA(),IF(ISNUMBER(INDEX($D$98:$AD$98,BK$93)),MAX(MIN(BK121,IFERROR(INDEX($D$107:$AD$107,BK$93)/BK109,1)-0.08721-BK117*0.17442,IF(BK115&lt;BK117,IFERROR(BK120,9)-(BK117-BK115)*0.17442,9),IF(BK113&lt;BK117,IFERROR(BK119,9)-(BK117-BK113)*0.17442,9)),0.08721+(2-BK117)*0.17442),NA()))</f>
        <v>0</v>
      </c>
      <c r="BL124" s="5">
        <f>IF(BL$93=0,NA(),IF(ISNUMBER(INDEX($D$98:$AD$98,BL$93)),MAX(MIN(BL121,IFERROR(INDEX($D$107:$AD$107,BL$93)/BL109,1)-0.08721-BL117*0.17442,IF(BL115&lt;BL117,IFERROR(BL120,9)-(BL117-BL115)*0.17442,9),IF(BL113&lt;BL117,IFERROR(BL119,9)-(BL117-BL113)*0.17442,9)),0.08721+(2-BL117)*0.17442),NA()))</f>
        <v>0</v>
      </c>
      <c r="BM124" s="5">
        <f>IF(BM$93=0,NA(),IF(ISNUMBER(INDEX($D$98:$AD$98,BM$93)),MAX(MIN(BM121,IFERROR(INDEX($D$107:$AD$107,BM$93)/BM109,1)-0.08721-BM117*0.17442,IF(BM115&lt;BM117,IFERROR(BM120,9)-(BM117-BM115)*0.17442,9),IF(BM113&lt;BM117,IFERROR(BM119,9)-(BM117-BM113)*0.17442,9)),0.08721+(2-BM117)*0.17442),NA()))</f>
        <v>0</v>
      </c>
      <c r="BN124" s="5">
        <f>IF(BN$93=0,NA(),IF(ISNUMBER(INDEX($D$98:$AD$98,BN$93)),MAX(MIN(BN121,IFERROR(INDEX($D$107:$AD$107,BN$93)/BN109,1)-0.08721-BN117*0.17442,IF(BN115&lt;BN117,IFERROR(BN120,9)-(BN117-BN115)*0.17442,9),IF(BN113&lt;BN117,IFERROR(BN119,9)-(BN117-BN113)*0.17442,9)),0.08721+(2-BN117)*0.17442),NA()))</f>
        <v>0</v>
      </c>
      <c r="BO124" s="5">
        <f>IF(BO$93=0,NA(),IF(ISNUMBER(INDEX($D$98:$AD$98,BO$93)),MAX(MIN(BO121,IFERROR(INDEX($D$107:$AD$107,BO$93)/BO109,1)-0.08721-BO117*0.17442,IF(BO115&lt;BO117,IFERROR(BO120,9)-(BO117-BO115)*0.17442,9),IF(BO113&lt;BO117,IFERROR(BO119,9)-(BO117-BO113)*0.17442,9)),0.08721+(2-BO117)*0.17442),NA()))</f>
        <v>0</v>
      </c>
      <c r="BP124" s="5">
        <f>IF(BP$93=0,NA(),IF(ISNUMBER(INDEX($D$98:$AD$98,BP$93)),MAX(MIN(BP121,IFERROR(INDEX($D$107:$AD$107,BP$93)/BP109,1)-0.08721-BP117*0.17442,IF(BP115&lt;BP117,IFERROR(BP120,9)-(BP117-BP115)*0.17442,9),IF(BP113&lt;BP117,IFERROR(BP119,9)-(BP117-BP113)*0.17442,9)),0.08721+(2-BP117)*0.17442),NA()))</f>
        <v>0</v>
      </c>
    </row>
    <row r="125" spans="1:68">
      <c r="A125" s="11" t="s">
        <v>313</v>
      </c>
      <c r="B125" s="11" t="s">
        <v>314</v>
      </c>
      <c r="C125" s="3" t="s">
        <v>144</v>
      </c>
      <c r="AQ125" s="5">
        <f>IF(AQ$93=0,NA(),IF(ISNUMBER(INDEX($D$107:$AD$107,AQ$93)),MAX(INDEX($D$107:$AD$107,AQ$93)/AQ109,IFERROR(_xlfn.AGGREGATE(4,6,AQ123,AQ122,AQ124),0)+0.08721),NA()))</f>
        <v>0</v>
      </c>
      <c r="AR125" s="5">
        <f>IF(AR$93=0,NA(),IF(ISNUMBER(INDEX($D$107:$AD$107,AR$93)),MAX(INDEX($D$107:$AD$107,AR$93)/AR109,IFERROR(_xlfn.AGGREGATE(4,6,AR123,AR122,AR124),0)+0.08721),NA()))</f>
        <v>0</v>
      </c>
      <c r="AS125" s="5">
        <f>IF(AS$93=0,NA(),IF(ISNUMBER(INDEX($D$107:$AD$107,AS$93)),MAX(INDEX($D$107:$AD$107,AS$93)/AS109,IFERROR(_xlfn.AGGREGATE(4,6,AS123,AS122,AS124),0)+0.08721),NA()))</f>
        <v>0</v>
      </c>
      <c r="AT125" s="5">
        <f>IF(AT$93=0,NA(),IF(ISNUMBER(INDEX($D$107:$AD$107,AT$93)),MAX(INDEX($D$107:$AD$107,AT$93)/AT109,IFERROR(_xlfn.AGGREGATE(4,6,AT123,AT122,AT124),0)+0.08721),NA()))</f>
        <v>0</v>
      </c>
      <c r="AU125" s="5">
        <f>IF(AU$93=0,NA(),IF(ISNUMBER(INDEX($D$107:$AD$107,AU$93)),MAX(INDEX($D$107:$AD$107,AU$93)/AU109,IFERROR(_xlfn.AGGREGATE(4,6,AU123,AU122,AU124),0)+0.08721),NA()))</f>
        <v>0</v>
      </c>
      <c r="AV125" s="5">
        <f>IF(AV$93=0,NA(),IF(ISNUMBER(INDEX($D$107:$AD$107,AV$93)),MAX(INDEX($D$107:$AD$107,AV$93)/AV109,IFERROR(_xlfn.AGGREGATE(4,6,AV123,AV122,AV124),0)+0.08721),NA()))</f>
        <v>0</v>
      </c>
      <c r="AW125" s="5">
        <f>IF(AW$93=0,NA(),IF(ISNUMBER(INDEX($D$107:$AD$107,AW$93)),MAX(INDEX($D$107:$AD$107,AW$93)/AW109,IFERROR(_xlfn.AGGREGATE(4,6,AW123,AW122,AW124),0)+0.08721),NA()))</f>
        <v>0</v>
      </c>
      <c r="AX125" s="5">
        <f>IF(AX$93=0,NA(),IF(ISNUMBER(INDEX($D$107:$AD$107,AX$93)),MAX(INDEX($D$107:$AD$107,AX$93)/AX109,IFERROR(_xlfn.AGGREGATE(4,6,AX123,AX122,AX124),0)+0.08721),NA()))</f>
        <v>0</v>
      </c>
      <c r="AY125" s="5">
        <f>IF(AY$93=0,NA(),IF(ISNUMBER(INDEX($D$107:$AD$107,AY$93)),MAX(INDEX($D$107:$AD$107,AY$93)/AY109,IFERROR(_xlfn.AGGREGATE(4,6,AY123,AY122,AY124),0)+0.08721),NA()))</f>
        <v>0</v>
      </c>
      <c r="AZ125" s="5">
        <f>IF(AZ$93=0,NA(),IF(ISNUMBER(INDEX($D$107:$AD$107,AZ$93)),MAX(INDEX($D$107:$AD$107,AZ$93)/AZ109,IFERROR(_xlfn.AGGREGATE(4,6,AZ123,AZ122,AZ124),0)+0.08721),NA()))</f>
        <v>0</v>
      </c>
      <c r="BA125" s="5">
        <f>IF(BA$93=0,NA(),IF(ISNUMBER(INDEX($D$107:$AD$107,BA$93)),MAX(INDEX($D$107:$AD$107,BA$93)/BA109,IFERROR(_xlfn.AGGREGATE(4,6,BA123,BA122,BA124),0)+0.08721),NA()))</f>
        <v>0</v>
      </c>
      <c r="BB125" s="5">
        <f>IF(BB$93=0,NA(),IF(ISNUMBER(INDEX($D$107:$AD$107,BB$93)),MAX(INDEX($D$107:$AD$107,BB$93)/BB109,IFERROR(_xlfn.AGGREGATE(4,6,BB123,BB122,BB124),0)+0.08721),NA()))</f>
        <v>0</v>
      </c>
      <c r="BC125" s="5">
        <f>IF(BC$93=0,NA(),IF(ISNUMBER(INDEX($D$107:$AD$107,BC$93)),MAX(INDEX($D$107:$AD$107,BC$93)/BC109,IFERROR(_xlfn.AGGREGATE(4,6,BC123,BC122,BC124),0)+0.08721),NA()))</f>
        <v>0</v>
      </c>
      <c r="BD125" s="5">
        <f>IF(BD$93=0,NA(),IF(ISNUMBER(INDEX($D$107:$AD$107,BD$93)),MAX(INDEX($D$107:$AD$107,BD$93)/BD109,IFERROR(_xlfn.AGGREGATE(4,6,BD123,BD122,BD124),0)+0.08721),NA()))</f>
        <v>0</v>
      </c>
      <c r="BE125" s="5">
        <f>IF(BE$93=0,NA(),IF(ISNUMBER(INDEX($D$107:$AD$107,BE$93)),MAX(INDEX($D$107:$AD$107,BE$93)/BE109,IFERROR(_xlfn.AGGREGATE(4,6,BE123,BE122,BE124),0)+0.08721),NA()))</f>
        <v>0</v>
      </c>
      <c r="BF125" s="5">
        <f>IF(BF$93=0,NA(),IF(ISNUMBER(INDEX($D$107:$AD$107,BF$93)),MAX(INDEX($D$107:$AD$107,BF$93)/BF109,IFERROR(_xlfn.AGGREGATE(4,6,BF123,BF122,BF124),0)+0.08721),NA()))</f>
        <v>0</v>
      </c>
      <c r="BG125" s="5">
        <f>IF(BG$93=0,NA(),IF(ISNUMBER(INDEX($D$107:$AD$107,BG$93)),MAX(INDEX($D$107:$AD$107,BG$93)/BG109,IFERROR(_xlfn.AGGREGATE(4,6,BG123,BG122,BG124),0)+0.08721),NA()))</f>
        <v>0</v>
      </c>
      <c r="BH125" s="5">
        <f>IF(BH$93=0,NA(),IF(ISNUMBER(INDEX($D$107:$AD$107,BH$93)),MAX(INDEX($D$107:$AD$107,BH$93)/BH109,IFERROR(_xlfn.AGGREGATE(4,6,BH123,BH122,BH124),0)+0.08721),NA()))</f>
        <v>0</v>
      </c>
      <c r="BI125" s="5">
        <f>IF(BI$93=0,NA(),IF(ISNUMBER(INDEX($D$107:$AD$107,BI$93)),MAX(INDEX($D$107:$AD$107,BI$93)/BI109,IFERROR(_xlfn.AGGREGATE(4,6,BI123,BI122,BI124),0)+0.08721),NA()))</f>
        <v>0</v>
      </c>
      <c r="BJ125" s="5">
        <f>IF(BJ$93=0,NA(),IF(ISNUMBER(INDEX($D$107:$AD$107,BJ$93)),MAX(INDEX($D$107:$AD$107,BJ$93)/BJ109,IFERROR(_xlfn.AGGREGATE(4,6,BJ123,BJ122,BJ124),0)+0.08721),NA()))</f>
        <v>0</v>
      </c>
      <c r="BK125" s="5">
        <f>IF(BK$93=0,NA(),IF(ISNUMBER(INDEX($D$107:$AD$107,BK$93)),MAX(INDEX($D$107:$AD$107,BK$93)/BK109,IFERROR(_xlfn.AGGREGATE(4,6,BK123,BK122,BK124),0)+0.08721),NA()))</f>
        <v>0</v>
      </c>
      <c r="BL125" s="5">
        <f>IF(BL$93=0,NA(),IF(ISNUMBER(INDEX($D$107:$AD$107,BL$93)),MAX(INDEX($D$107:$AD$107,BL$93)/BL109,IFERROR(_xlfn.AGGREGATE(4,6,BL123,BL122,BL124),0)+0.08721),NA()))</f>
        <v>0</v>
      </c>
      <c r="BM125" s="5">
        <f>IF(BM$93=0,NA(),IF(ISNUMBER(INDEX($D$107:$AD$107,BM$93)),MAX(INDEX($D$107:$AD$107,BM$93)/BM109,IFERROR(_xlfn.AGGREGATE(4,6,BM123,BM122,BM124),0)+0.08721),NA()))</f>
        <v>0</v>
      </c>
      <c r="BN125" s="5">
        <f>IF(BN$93=0,NA(),IF(ISNUMBER(INDEX($D$107:$AD$107,BN$93)),MAX(INDEX($D$107:$AD$107,BN$93)/BN109,IFERROR(_xlfn.AGGREGATE(4,6,BN123,BN122,BN124),0)+0.08721),NA()))</f>
        <v>0</v>
      </c>
      <c r="BO125" s="5">
        <f>IF(BO$93=0,NA(),IF(ISNUMBER(INDEX($D$107:$AD$107,BO$93)),MAX(INDEX($D$107:$AD$107,BO$93)/BO109,IFERROR(_xlfn.AGGREGATE(4,6,BO123,BO122,BO124),0)+0.08721),NA()))</f>
        <v>0</v>
      </c>
      <c r="BP125" s="5">
        <f>IF(BP$93=0,NA(),IF(ISNUMBER(INDEX($D$107:$AD$107,BP$93)),MAX(INDEX($D$107:$AD$107,BP$93)/BP109,IFERROR(_xlfn.AGGREGATE(4,6,BP123,BP122,BP124),0)+0.08721),NA()))</f>
        <v>0</v>
      </c>
    </row>
    <row r="126" spans="1:68">
      <c r="A126" s="11" t="s">
        <v>315</v>
      </c>
      <c r="B126" s="11" t="s">
        <v>316</v>
      </c>
      <c r="C126" s="3" t="s">
        <v>144</v>
      </c>
      <c r="AQ126" s="11">
        <f>IF(AQ$93=0,"",IF(ISNUMBER(INDEX($D$107:$AD$107,AQ$93)),FIXED(INDEX($D$107:$AD$107,AQ$93)/1000,1),""))</f>
        <v>0</v>
      </c>
      <c r="AR126" s="11">
        <f>IF(AR$93=0,"",IF(ISNUMBER(INDEX($D$107:$AD$107,AR$93)),FIXED(INDEX($D$107:$AD$107,AR$93)/1000,1),""))</f>
        <v>0</v>
      </c>
      <c r="AS126" s="11">
        <f>IF(AS$93=0,"",IF(ISNUMBER(INDEX($D$107:$AD$107,AS$93)),FIXED(INDEX($D$107:$AD$107,AS$93)/1000,1),""))</f>
        <v>0</v>
      </c>
      <c r="AT126" s="11">
        <f>IF(AT$93=0,"",IF(ISNUMBER(INDEX($D$107:$AD$107,AT$93)),FIXED(INDEX($D$107:$AD$107,AT$93)/1000,1),""))</f>
        <v>0</v>
      </c>
      <c r="AU126" s="11">
        <f>IF(AU$93=0,"",IF(ISNUMBER(INDEX($D$107:$AD$107,AU$93)),FIXED(INDEX($D$107:$AD$107,AU$93)/1000,1),""))</f>
        <v>0</v>
      </c>
      <c r="AV126" s="11">
        <f>IF(AV$93=0,"",IF(ISNUMBER(INDEX($D$107:$AD$107,AV$93)),FIXED(INDEX($D$107:$AD$107,AV$93)/1000,1),""))</f>
        <v>0</v>
      </c>
      <c r="AW126" s="11">
        <f>IF(AW$93=0,"",IF(ISNUMBER(INDEX($D$107:$AD$107,AW$93)),FIXED(INDEX($D$107:$AD$107,AW$93)/1000,1),""))</f>
        <v>0</v>
      </c>
      <c r="AX126" s="11">
        <f>IF(AX$93=0,"",IF(ISNUMBER(INDEX($D$107:$AD$107,AX$93)),FIXED(INDEX($D$107:$AD$107,AX$93)/1000,1),""))</f>
        <v>0</v>
      </c>
      <c r="AY126" s="11">
        <f>IF(AY$93=0,"",IF(ISNUMBER(INDEX($D$107:$AD$107,AY$93)),FIXED(INDEX($D$107:$AD$107,AY$93)/1000,1),""))</f>
        <v>0</v>
      </c>
      <c r="AZ126" s="11">
        <f>IF(AZ$93=0,"",IF(ISNUMBER(INDEX($D$107:$AD$107,AZ$93)),FIXED(INDEX($D$107:$AD$107,AZ$93)/1000,1),""))</f>
        <v>0</v>
      </c>
      <c r="BA126" s="11">
        <f>IF(BA$93=0,"",IF(ISNUMBER(INDEX($D$107:$AD$107,BA$93)),FIXED(INDEX($D$107:$AD$107,BA$93)/1000,1),""))</f>
        <v>0</v>
      </c>
      <c r="BB126" s="11">
        <f>IF(BB$93=0,"",IF(ISNUMBER(INDEX($D$107:$AD$107,BB$93)),FIXED(INDEX($D$107:$AD$107,BB$93)/1000,1),""))</f>
        <v>0</v>
      </c>
      <c r="BC126" s="11">
        <f>IF(BC$93=0,"",IF(ISNUMBER(INDEX($D$107:$AD$107,BC$93)),FIXED(INDEX($D$107:$AD$107,BC$93)/1000,1),""))</f>
        <v>0</v>
      </c>
      <c r="BD126" s="11">
        <f>IF(BD$93=0,"",IF(ISNUMBER(INDEX($D$107:$AD$107,BD$93)),FIXED(INDEX($D$107:$AD$107,BD$93)/1000,1),""))</f>
        <v>0</v>
      </c>
      <c r="BE126" s="11">
        <f>IF(BE$93=0,"",IF(ISNUMBER(INDEX($D$107:$AD$107,BE$93)),FIXED(INDEX($D$107:$AD$107,BE$93)/1000,1),""))</f>
        <v>0</v>
      </c>
      <c r="BF126" s="11">
        <f>IF(BF$93=0,"",IF(ISNUMBER(INDEX($D$107:$AD$107,BF$93)),FIXED(INDEX($D$107:$AD$107,BF$93)/1000,1),""))</f>
        <v>0</v>
      </c>
      <c r="BG126" s="11">
        <f>IF(BG$93=0,"",IF(ISNUMBER(INDEX($D$107:$AD$107,BG$93)),FIXED(INDEX($D$107:$AD$107,BG$93)/1000,1),""))</f>
        <v>0</v>
      </c>
      <c r="BH126" s="11">
        <f>IF(BH$93=0,"",IF(ISNUMBER(INDEX($D$107:$AD$107,BH$93)),FIXED(INDEX($D$107:$AD$107,BH$93)/1000,1),""))</f>
        <v>0</v>
      </c>
      <c r="BI126" s="11">
        <f>IF(BI$93=0,"",IF(ISNUMBER(INDEX($D$107:$AD$107,BI$93)),FIXED(INDEX($D$107:$AD$107,BI$93)/1000,1),""))</f>
        <v>0</v>
      </c>
      <c r="BJ126" s="11">
        <f>IF(BJ$93=0,"",IF(ISNUMBER(INDEX($D$107:$AD$107,BJ$93)),FIXED(INDEX($D$107:$AD$107,BJ$93)/1000,1),""))</f>
        <v>0</v>
      </c>
      <c r="BK126" s="11">
        <f>IF(BK$93=0,"",IF(ISNUMBER(INDEX($D$107:$AD$107,BK$93)),FIXED(INDEX($D$107:$AD$107,BK$93)/1000,1),""))</f>
        <v>0</v>
      </c>
      <c r="BL126" s="11">
        <f>IF(BL$93=0,"",IF(ISNUMBER(INDEX($D$107:$AD$107,BL$93)),FIXED(INDEX($D$107:$AD$107,BL$93)/1000,1),""))</f>
        <v>0</v>
      </c>
      <c r="BM126" s="11">
        <f>IF(BM$93=0,"",IF(ISNUMBER(INDEX($D$107:$AD$107,BM$93)),FIXED(INDEX($D$107:$AD$107,BM$93)/1000,1),""))</f>
        <v>0</v>
      </c>
      <c r="BN126" s="11">
        <f>IF(BN$93=0,"",IF(ISNUMBER(INDEX($D$107:$AD$107,BN$93)),FIXED(INDEX($D$107:$AD$107,BN$93)/1000,1),""))</f>
        <v>0</v>
      </c>
      <c r="BO126" s="11">
        <f>IF(BO$93=0,"",IF(ISNUMBER(INDEX($D$107:$AD$107,BO$93)),FIXED(INDEX($D$107:$AD$107,BO$93)/1000,1),""))</f>
        <v>0</v>
      </c>
      <c r="BP126" s="11">
        <f>IF(BP$93=0,"",IF(ISNUMBER(INDEX($D$107:$AD$107,BP$93)),FIXED(INDEX($D$107:$AD$107,BP$93)/1000,1),""))</f>
        <v>0</v>
      </c>
    </row>
    <row r="127" spans="1:68">
      <c r="A127" s="11" t="s">
        <v>317</v>
      </c>
      <c r="B127" s="11" t="s">
        <v>318</v>
      </c>
      <c r="C127" s="3" t="s">
        <v>144</v>
      </c>
      <c r="AQ127" s="5">
        <f>IF(AQ$93=0,NA(),IF(N(Konfiguration!$F$11)&gt;0,N(Konfiguration!$F$11)/AQ109,NA()))</f>
        <v>0</v>
      </c>
      <c r="AR127" s="5">
        <f>IF(AR$93=0,NA(),IF(N(Konfiguration!$F$11)&gt;0,N(Konfiguration!$F$11)/AR109,NA()))</f>
        <v>0</v>
      </c>
      <c r="AS127" s="5">
        <f>IF(AS$93=0,NA(),IF(N(Konfiguration!$F$11)&gt;0,N(Konfiguration!$F$11)/AS109,NA()))</f>
        <v>0</v>
      </c>
      <c r="AT127" s="5">
        <f>IF(AT$93=0,NA(),IF(N(Konfiguration!$F$11)&gt;0,N(Konfiguration!$F$11)/AT109,NA()))</f>
        <v>0</v>
      </c>
      <c r="AU127" s="5">
        <f>IF(AU$93=0,NA(),IF(N(Konfiguration!$F$11)&gt;0,N(Konfiguration!$F$11)/AU109,NA()))</f>
        <v>0</v>
      </c>
      <c r="AV127" s="5">
        <f>IF(AV$93=0,NA(),IF(N(Konfiguration!$F$11)&gt;0,N(Konfiguration!$F$11)/AV109,NA()))</f>
        <v>0</v>
      </c>
      <c r="AW127" s="5">
        <f>IF(AW$93=0,NA(),IF(N(Konfiguration!$F$11)&gt;0,N(Konfiguration!$F$11)/AW109,NA()))</f>
        <v>0</v>
      </c>
      <c r="AX127" s="5">
        <f>IF(AX$93=0,NA(),IF(N(Konfiguration!$F$11)&gt;0,N(Konfiguration!$F$11)/AX109,NA()))</f>
        <v>0</v>
      </c>
      <c r="AY127" s="5">
        <f>IF(AY$93=0,NA(),IF(N(Konfiguration!$F$11)&gt;0,N(Konfiguration!$F$11)/AY109,NA()))</f>
        <v>0</v>
      </c>
      <c r="AZ127" s="5">
        <f>IF(AZ$93=0,NA(),IF(N(Konfiguration!$F$11)&gt;0,N(Konfiguration!$F$11)/AZ109,NA()))</f>
        <v>0</v>
      </c>
      <c r="BA127" s="5">
        <f>IF(BA$93=0,NA(),IF(N(Konfiguration!$F$11)&gt;0,N(Konfiguration!$F$11)/BA109,NA()))</f>
        <v>0</v>
      </c>
      <c r="BB127" s="5">
        <f>IF(BB$93=0,NA(),IF(N(Konfiguration!$F$11)&gt;0,N(Konfiguration!$F$11)/BB109,NA()))</f>
        <v>0</v>
      </c>
      <c r="BC127" s="5">
        <f>IF(BC$93=0,NA(),IF(N(Konfiguration!$F$11)&gt;0,N(Konfiguration!$F$11)/BC109,NA()))</f>
        <v>0</v>
      </c>
      <c r="BD127" s="5">
        <f>IF(BD$93=0,NA(),IF(N(Konfiguration!$F$11)&gt;0,N(Konfiguration!$F$11)/BD109,NA()))</f>
        <v>0</v>
      </c>
      <c r="BE127" s="5">
        <f>IF(BE$93=0,NA(),IF(N(Konfiguration!$F$11)&gt;0,N(Konfiguration!$F$11)/BE109,NA()))</f>
        <v>0</v>
      </c>
      <c r="BF127" s="5">
        <f>IF(BF$93=0,NA(),IF(N(Konfiguration!$F$11)&gt;0,N(Konfiguration!$F$11)/BF109,NA()))</f>
        <v>0</v>
      </c>
      <c r="BG127" s="5">
        <f>IF(BG$93=0,NA(),IF(N(Konfiguration!$F$11)&gt;0,N(Konfiguration!$F$11)/BG109,NA()))</f>
        <v>0</v>
      </c>
      <c r="BH127" s="5">
        <f>IF(BH$93=0,NA(),IF(N(Konfiguration!$F$11)&gt;0,N(Konfiguration!$F$11)/BH109,NA()))</f>
        <v>0</v>
      </c>
      <c r="BI127" s="5">
        <f>IF(BI$93=0,NA(),IF(N(Konfiguration!$F$11)&gt;0,N(Konfiguration!$F$11)/BI109,NA()))</f>
        <v>0</v>
      </c>
      <c r="BJ127" s="5">
        <f>IF(BJ$93=0,NA(),IF(N(Konfiguration!$F$11)&gt;0,N(Konfiguration!$F$11)/BJ109,NA()))</f>
        <v>0</v>
      </c>
      <c r="BK127" s="5">
        <f>IF(BK$93=0,NA(),IF(N(Konfiguration!$F$11)&gt;0,N(Konfiguration!$F$11)/BK109,NA()))</f>
        <v>0</v>
      </c>
      <c r="BL127" s="5">
        <f>IF(BL$93=0,NA(),IF(N(Konfiguration!$F$11)&gt;0,N(Konfiguration!$F$11)/BL109,NA()))</f>
        <v>0</v>
      </c>
      <c r="BM127" s="5">
        <f>IF(BM$93=0,NA(),IF(N(Konfiguration!$F$11)&gt;0,N(Konfiguration!$F$11)/BM109,NA()))</f>
        <v>0</v>
      </c>
      <c r="BN127" s="5">
        <f>IF(BN$93=0,NA(),IF(N(Konfiguration!$F$11)&gt;0,N(Konfiguration!$F$11)/BN109,NA()))</f>
        <v>0</v>
      </c>
      <c r="BO127" s="5">
        <f>IF(BO$93=0,NA(),IF(N(Konfiguration!$F$11)&gt;0,N(Konfiguration!$F$11)/BO109,NA()))</f>
        <v>0</v>
      </c>
      <c r="BP127" s="5">
        <f>IF(BP$93=0,NA(),IF(N(Konfiguration!$F$11)&gt;0,N(Konfiguration!$F$11)/BP109,NA()))</f>
        <v>0</v>
      </c>
    </row>
    <row r="128" spans="1:68">
      <c r="A128" s="11" t="s">
        <v>319</v>
      </c>
      <c r="B128" s="11" t="s">
        <v>320</v>
      </c>
      <c r="C128" s="3" t="s">
        <v>144</v>
      </c>
      <c r="AQ128" s="5">
        <f>IF(AQ$93=0,NA(),MAX(1,_xlfn.AGGREGATE(4,6,INDEX($D$105:$AD$105,MAX(1,$D$91+1-$D$90)):INDEX($D$105:$AD$105,$D$91)),_xlfn.AGGREGATE(4,6,INDEX($D$106:$AD$106,MAX(1,$D$91+1-$D$90)):INDEX($D$106:$AD$106,$D$91))))</f>
        <v>0</v>
      </c>
      <c r="AR128" s="5">
        <f>IF(AR$93=0,NA(),MAX(1,_xlfn.AGGREGATE(4,6,INDEX($D$105:$AD$105,MAX(1,$D$91+1-$D$90)):INDEX($D$105:$AD$105,$D$91)),_xlfn.AGGREGATE(4,6,INDEX($D$106:$AD$106,MAX(1,$D$91+1-$D$90)):INDEX($D$106:$AD$106,$D$91))))</f>
        <v>0</v>
      </c>
      <c r="AS128" s="5">
        <f>IF(AS$93=0,NA(),MAX(1,_xlfn.AGGREGATE(4,6,INDEX($D$105:$AD$105,MAX(1,$D$91+1-$D$90)):INDEX($D$105:$AD$105,$D$91)),_xlfn.AGGREGATE(4,6,INDEX($D$106:$AD$106,MAX(1,$D$91+1-$D$90)):INDEX($D$106:$AD$106,$D$91))))</f>
        <v>0</v>
      </c>
      <c r="AT128" s="5">
        <f>IF(AT$93=0,NA(),MAX(1,_xlfn.AGGREGATE(4,6,INDEX($D$105:$AD$105,MAX(1,$D$91+1-$D$90)):INDEX($D$105:$AD$105,$D$91)),_xlfn.AGGREGATE(4,6,INDEX($D$106:$AD$106,MAX(1,$D$91+1-$D$90)):INDEX($D$106:$AD$106,$D$91))))</f>
        <v>0</v>
      </c>
      <c r="AU128" s="5">
        <f>IF(AU$93=0,NA(),MAX(1,_xlfn.AGGREGATE(4,6,INDEX($D$105:$AD$105,MAX(1,$D$91+1-$D$90)):INDEX($D$105:$AD$105,$D$91)),_xlfn.AGGREGATE(4,6,INDEX($D$106:$AD$106,MAX(1,$D$91+1-$D$90)):INDEX($D$106:$AD$106,$D$91))))</f>
        <v>0</v>
      </c>
      <c r="AV128" s="5">
        <f>IF(AV$93=0,NA(),MAX(1,_xlfn.AGGREGATE(4,6,INDEX($D$105:$AD$105,MAX(1,$D$91+1-$D$90)):INDEX($D$105:$AD$105,$D$91)),_xlfn.AGGREGATE(4,6,INDEX($D$106:$AD$106,MAX(1,$D$91+1-$D$90)):INDEX($D$106:$AD$106,$D$91))))</f>
        <v>0</v>
      </c>
      <c r="AW128" s="5">
        <f>IF(AW$93=0,NA(),MAX(1,_xlfn.AGGREGATE(4,6,INDEX($D$105:$AD$105,MAX(1,$D$91+1-$D$90)):INDEX($D$105:$AD$105,$D$91)),_xlfn.AGGREGATE(4,6,INDEX($D$106:$AD$106,MAX(1,$D$91+1-$D$90)):INDEX($D$106:$AD$106,$D$91))))</f>
        <v>0</v>
      </c>
      <c r="AX128" s="5">
        <f>IF(AX$93=0,NA(),MAX(1,_xlfn.AGGREGATE(4,6,INDEX($D$105:$AD$105,MAX(1,$D$91+1-$D$90)):INDEX($D$105:$AD$105,$D$91)),_xlfn.AGGREGATE(4,6,INDEX($D$106:$AD$106,MAX(1,$D$91+1-$D$90)):INDEX($D$106:$AD$106,$D$91))))</f>
        <v>0</v>
      </c>
      <c r="AY128" s="5">
        <f>IF(AY$93=0,NA(),MAX(1,_xlfn.AGGREGATE(4,6,INDEX($D$105:$AD$105,MAX(1,$D$91+1-$D$90)):INDEX($D$105:$AD$105,$D$91)),_xlfn.AGGREGATE(4,6,INDEX($D$106:$AD$106,MAX(1,$D$91+1-$D$90)):INDEX($D$106:$AD$106,$D$91))))</f>
        <v>0</v>
      </c>
      <c r="AZ128" s="5">
        <f>IF(AZ$93=0,NA(),MAX(1,_xlfn.AGGREGATE(4,6,INDEX($D$105:$AD$105,MAX(1,$D$91+1-$D$90)):INDEX($D$105:$AD$105,$D$91)),_xlfn.AGGREGATE(4,6,INDEX($D$106:$AD$106,MAX(1,$D$91+1-$D$90)):INDEX($D$106:$AD$106,$D$91))))</f>
        <v>0</v>
      </c>
      <c r="BA128" s="5">
        <f>IF(BA$93=0,NA(),MAX(1,_xlfn.AGGREGATE(4,6,INDEX($D$105:$AD$105,MAX(1,$D$91+1-$D$90)):INDEX($D$105:$AD$105,$D$91)),_xlfn.AGGREGATE(4,6,INDEX($D$106:$AD$106,MAX(1,$D$91+1-$D$90)):INDEX($D$106:$AD$106,$D$91))))</f>
        <v>0</v>
      </c>
      <c r="BB128" s="5">
        <f>IF(BB$93=0,NA(),MAX(1,_xlfn.AGGREGATE(4,6,INDEX($D$105:$AD$105,MAX(1,$D$91+1-$D$90)):INDEX($D$105:$AD$105,$D$91)),_xlfn.AGGREGATE(4,6,INDEX($D$106:$AD$106,MAX(1,$D$91+1-$D$90)):INDEX($D$106:$AD$106,$D$91))))</f>
        <v>0</v>
      </c>
      <c r="BC128" s="5">
        <f>IF(BC$93=0,NA(),MAX(1,_xlfn.AGGREGATE(4,6,INDEX($D$105:$AD$105,MAX(1,$D$91+1-$D$90)):INDEX($D$105:$AD$105,$D$91)),_xlfn.AGGREGATE(4,6,INDEX($D$106:$AD$106,MAX(1,$D$91+1-$D$90)):INDEX($D$106:$AD$106,$D$91))))</f>
        <v>0</v>
      </c>
      <c r="BD128" s="5">
        <f>IF(BD$93=0,NA(),MAX(1,_xlfn.AGGREGATE(4,6,INDEX($D$105:$AD$105,MAX(1,$D$91+1-$D$90)):INDEX($D$105:$AD$105,$D$91)),_xlfn.AGGREGATE(4,6,INDEX($D$106:$AD$106,MAX(1,$D$91+1-$D$90)):INDEX($D$106:$AD$106,$D$91))))</f>
        <v>0</v>
      </c>
      <c r="BE128" s="5">
        <f>IF(BE$93=0,NA(),MAX(1,_xlfn.AGGREGATE(4,6,INDEX($D$105:$AD$105,MAX(1,$D$91+1-$D$90)):INDEX($D$105:$AD$105,$D$91)),_xlfn.AGGREGATE(4,6,INDEX($D$106:$AD$106,MAX(1,$D$91+1-$D$90)):INDEX($D$106:$AD$106,$D$91))))</f>
        <v>0</v>
      </c>
      <c r="BF128" s="5">
        <f>IF(BF$93=0,NA(),MAX(1,_xlfn.AGGREGATE(4,6,INDEX($D$105:$AD$105,MAX(1,$D$91+1-$D$90)):INDEX($D$105:$AD$105,$D$91)),_xlfn.AGGREGATE(4,6,INDEX($D$106:$AD$106,MAX(1,$D$91+1-$D$90)):INDEX($D$106:$AD$106,$D$91))))</f>
        <v>0</v>
      </c>
      <c r="BG128" s="5">
        <f>IF(BG$93=0,NA(),MAX(1,_xlfn.AGGREGATE(4,6,INDEX($D$105:$AD$105,MAX(1,$D$91+1-$D$90)):INDEX($D$105:$AD$105,$D$91)),_xlfn.AGGREGATE(4,6,INDEX($D$106:$AD$106,MAX(1,$D$91+1-$D$90)):INDEX($D$106:$AD$106,$D$91))))</f>
        <v>0</v>
      </c>
      <c r="BH128" s="5">
        <f>IF(BH$93=0,NA(),MAX(1,_xlfn.AGGREGATE(4,6,INDEX($D$105:$AD$105,MAX(1,$D$91+1-$D$90)):INDEX($D$105:$AD$105,$D$91)),_xlfn.AGGREGATE(4,6,INDEX($D$106:$AD$106,MAX(1,$D$91+1-$D$90)):INDEX($D$106:$AD$106,$D$91))))</f>
        <v>0</v>
      </c>
      <c r="BI128" s="5">
        <f>IF(BI$93=0,NA(),MAX(1,_xlfn.AGGREGATE(4,6,INDEX($D$105:$AD$105,MAX(1,$D$91+1-$D$90)):INDEX($D$105:$AD$105,$D$91)),_xlfn.AGGREGATE(4,6,INDEX($D$106:$AD$106,MAX(1,$D$91+1-$D$90)):INDEX($D$106:$AD$106,$D$91))))</f>
        <v>0</v>
      </c>
      <c r="BJ128" s="5">
        <f>IF(BJ$93=0,NA(),MAX(1,_xlfn.AGGREGATE(4,6,INDEX($D$105:$AD$105,MAX(1,$D$91+1-$D$90)):INDEX($D$105:$AD$105,$D$91)),_xlfn.AGGREGATE(4,6,INDEX($D$106:$AD$106,MAX(1,$D$91+1-$D$90)):INDEX($D$106:$AD$106,$D$91))))</f>
        <v>0</v>
      </c>
      <c r="BK128" s="5">
        <f>IF(BK$93=0,NA(),MAX(1,_xlfn.AGGREGATE(4,6,INDEX($D$105:$AD$105,MAX(1,$D$91+1-$D$90)):INDEX($D$105:$AD$105,$D$91)),_xlfn.AGGREGATE(4,6,INDEX($D$106:$AD$106,MAX(1,$D$91+1-$D$90)):INDEX($D$106:$AD$106,$D$91))))</f>
        <v>0</v>
      </c>
      <c r="BL128" s="5">
        <f>IF(BL$93=0,NA(),MAX(1,_xlfn.AGGREGATE(4,6,INDEX($D$105:$AD$105,MAX(1,$D$91+1-$D$90)):INDEX($D$105:$AD$105,$D$91)),_xlfn.AGGREGATE(4,6,INDEX($D$106:$AD$106,MAX(1,$D$91+1-$D$90)):INDEX($D$106:$AD$106,$D$91))))</f>
        <v>0</v>
      </c>
      <c r="BM128" s="5">
        <f>IF(BM$93=0,NA(),MAX(1,_xlfn.AGGREGATE(4,6,INDEX($D$105:$AD$105,MAX(1,$D$91+1-$D$90)):INDEX($D$105:$AD$105,$D$91)),_xlfn.AGGREGATE(4,6,INDEX($D$106:$AD$106,MAX(1,$D$91+1-$D$90)):INDEX($D$106:$AD$106,$D$91))))</f>
        <v>0</v>
      </c>
      <c r="BN128" s="5">
        <f>IF(BN$93=0,NA(),MAX(1,_xlfn.AGGREGATE(4,6,INDEX($D$105:$AD$105,MAX(1,$D$91+1-$D$90)):INDEX($D$105:$AD$105,$D$91)),_xlfn.AGGREGATE(4,6,INDEX($D$106:$AD$106,MAX(1,$D$91+1-$D$90)):INDEX($D$106:$AD$106,$D$91))))</f>
        <v>0</v>
      </c>
      <c r="BO128" s="5">
        <f>IF(BO$93=0,NA(),MAX(1,_xlfn.AGGREGATE(4,6,INDEX($D$105:$AD$105,MAX(1,$D$91+1-$D$90)):INDEX($D$105:$AD$105,$D$91)),_xlfn.AGGREGATE(4,6,INDEX($D$106:$AD$106,MAX(1,$D$91+1-$D$90)):INDEX($D$106:$AD$106,$D$91))))</f>
        <v>0</v>
      </c>
      <c r="BP128" s="5">
        <f>IF(BP$93=0,NA(),MAX(1,_xlfn.AGGREGATE(4,6,INDEX($D$105:$AD$105,MAX(1,$D$91+1-$D$90)):INDEX($D$105:$AD$105,$D$91)),_xlfn.AGGREGATE(4,6,INDEX($D$106:$AD$106,MAX(1,$D$91+1-$D$90)):INDEX($D$106:$AD$106,$D$91))))</f>
        <v>0</v>
      </c>
    </row>
    <row r="129" spans="1:68">
      <c r="A129" s="11" t="s">
        <v>321</v>
      </c>
      <c r="B129" s="11" t="s">
        <v>322</v>
      </c>
      <c r="C129" s="3" t="s">
        <v>144</v>
      </c>
      <c r="AQ129" s="5">
        <f>IF(AQ$93=0,NA(),IF(ISNUMBER(INDEX($D$105:$AD$105,AQ$93)),INDEX($D$105:$AD$105,AQ$93)/AQ128,NA()))</f>
        <v>0</v>
      </c>
      <c r="AR129" s="5">
        <f>IF(AR$93=0,NA(),IF(ISNUMBER(INDEX($D$105:$AD$105,AR$93)),INDEX($D$105:$AD$105,AR$93)/AR128,NA()))</f>
        <v>0</v>
      </c>
      <c r="AS129" s="5">
        <f>IF(AS$93=0,NA(),IF(ISNUMBER(INDEX($D$105:$AD$105,AS$93)),INDEX($D$105:$AD$105,AS$93)/AS128,NA()))</f>
        <v>0</v>
      </c>
      <c r="AT129" s="5">
        <f>IF(AT$93=0,NA(),IF(ISNUMBER(INDEX($D$105:$AD$105,AT$93)),INDEX($D$105:$AD$105,AT$93)/AT128,NA()))</f>
        <v>0</v>
      </c>
      <c r="AU129" s="5">
        <f>IF(AU$93=0,NA(),IF(ISNUMBER(INDEX($D$105:$AD$105,AU$93)),INDEX($D$105:$AD$105,AU$93)/AU128,NA()))</f>
        <v>0</v>
      </c>
      <c r="AV129" s="5">
        <f>IF(AV$93=0,NA(),IF(ISNUMBER(INDEX($D$105:$AD$105,AV$93)),INDEX($D$105:$AD$105,AV$93)/AV128,NA()))</f>
        <v>0</v>
      </c>
      <c r="AW129" s="5">
        <f>IF(AW$93=0,NA(),IF(ISNUMBER(INDEX($D$105:$AD$105,AW$93)),INDEX($D$105:$AD$105,AW$93)/AW128,NA()))</f>
        <v>0</v>
      </c>
      <c r="AX129" s="5">
        <f>IF(AX$93=0,NA(),IF(ISNUMBER(INDEX($D$105:$AD$105,AX$93)),INDEX($D$105:$AD$105,AX$93)/AX128,NA()))</f>
        <v>0</v>
      </c>
      <c r="AY129" s="5">
        <f>IF(AY$93=0,NA(),IF(ISNUMBER(INDEX($D$105:$AD$105,AY$93)),INDEX($D$105:$AD$105,AY$93)/AY128,NA()))</f>
        <v>0</v>
      </c>
      <c r="AZ129" s="5">
        <f>IF(AZ$93=0,NA(),IF(ISNUMBER(INDEX($D$105:$AD$105,AZ$93)),INDEX($D$105:$AD$105,AZ$93)/AZ128,NA()))</f>
        <v>0</v>
      </c>
      <c r="BA129" s="5">
        <f>IF(BA$93=0,NA(),IF(ISNUMBER(INDEX($D$105:$AD$105,BA$93)),INDEX($D$105:$AD$105,BA$93)/BA128,NA()))</f>
        <v>0</v>
      </c>
      <c r="BB129" s="5">
        <f>IF(BB$93=0,NA(),IF(ISNUMBER(INDEX($D$105:$AD$105,BB$93)),INDEX($D$105:$AD$105,BB$93)/BB128,NA()))</f>
        <v>0</v>
      </c>
      <c r="BC129" s="5">
        <f>IF(BC$93=0,NA(),IF(ISNUMBER(INDEX($D$105:$AD$105,BC$93)),INDEX($D$105:$AD$105,BC$93)/BC128,NA()))</f>
        <v>0</v>
      </c>
      <c r="BD129" s="5">
        <f>IF(BD$93=0,NA(),IF(ISNUMBER(INDEX($D$105:$AD$105,BD$93)),INDEX($D$105:$AD$105,BD$93)/BD128,NA()))</f>
        <v>0</v>
      </c>
      <c r="BE129" s="5">
        <f>IF(BE$93=0,NA(),IF(ISNUMBER(INDEX($D$105:$AD$105,BE$93)),INDEX($D$105:$AD$105,BE$93)/BE128,NA()))</f>
        <v>0</v>
      </c>
      <c r="BF129" s="5">
        <f>IF(BF$93=0,NA(),IF(ISNUMBER(INDEX($D$105:$AD$105,BF$93)),INDEX($D$105:$AD$105,BF$93)/BF128,NA()))</f>
        <v>0</v>
      </c>
      <c r="BG129" s="5">
        <f>IF(BG$93=0,NA(),IF(ISNUMBER(INDEX($D$105:$AD$105,BG$93)),INDEX($D$105:$AD$105,BG$93)/BG128,NA()))</f>
        <v>0</v>
      </c>
      <c r="BH129" s="5">
        <f>IF(BH$93=0,NA(),IF(ISNUMBER(INDEX($D$105:$AD$105,BH$93)),INDEX($D$105:$AD$105,BH$93)/BH128,NA()))</f>
        <v>0</v>
      </c>
      <c r="BI129" s="5">
        <f>IF(BI$93=0,NA(),IF(ISNUMBER(INDEX($D$105:$AD$105,BI$93)),INDEX($D$105:$AD$105,BI$93)/BI128,NA()))</f>
        <v>0</v>
      </c>
      <c r="BJ129" s="5">
        <f>IF(BJ$93=0,NA(),IF(ISNUMBER(INDEX($D$105:$AD$105,BJ$93)),INDEX($D$105:$AD$105,BJ$93)/BJ128,NA()))</f>
        <v>0</v>
      </c>
      <c r="BK129" s="5">
        <f>IF(BK$93=0,NA(),IF(ISNUMBER(INDEX($D$105:$AD$105,BK$93)),INDEX($D$105:$AD$105,BK$93)/BK128,NA()))</f>
        <v>0</v>
      </c>
      <c r="BL129" s="5">
        <f>IF(BL$93=0,NA(),IF(ISNUMBER(INDEX($D$105:$AD$105,BL$93)),INDEX($D$105:$AD$105,BL$93)/BL128,NA()))</f>
        <v>0</v>
      </c>
      <c r="BM129" s="5">
        <f>IF(BM$93=0,NA(),IF(ISNUMBER(INDEX($D$105:$AD$105,BM$93)),INDEX($D$105:$AD$105,BM$93)/BM128,NA()))</f>
        <v>0</v>
      </c>
      <c r="BN129" s="5">
        <f>IF(BN$93=0,NA(),IF(ISNUMBER(INDEX($D$105:$AD$105,BN$93)),INDEX($D$105:$AD$105,BN$93)/BN128,NA()))</f>
        <v>0</v>
      </c>
      <c r="BO129" s="5">
        <f>IF(BO$93=0,NA(),IF(ISNUMBER(INDEX($D$105:$AD$105,BO$93)),INDEX($D$105:$AD$105,BO$93)/BO128,NA()))</f>
        <v>0</v>
      </c>
      <c r="BP129" s="5">
        <f>IF(BP$93=0,NA(),IF(ISNUMBER(INDEX($D$105:$AD$105,BP$93)),INDEX($D$105:$AD$105,BP$93)/BP128,NA()))</f>
        <v>0</v>
      </c>
    </row>
    <row r="130" spans="1:68">
      <c r="A130" s="11" t="s">
        <v>323</v>
      </c>
      <c r="B130" s="11" t="s">
        <v>324</v>
      </c>
      <c r="C130" s="3" t="s">
        <v>144</v>
      </c>
      <c r="AQ130" s="11">
        <f>IF(AQ$93=0,"",IF(ISNUMBER(INDEX($D$105:$AD$105,AQ$93)),FIXED(INDEX($D$105:$AD$105,AQ$93)/1000,1)&amp;REPT(_xlfn.UNICHAR(160),3),""))</f>
        <v>0</v>
      </c>
      <c r="AR130" s="11">
        <f>IF(AR$93=0,"",IF(ISNUMBER(INDEX($D$105:$AD$105,AR$93)),FIXED(INDEX($D$105:$AD$105,AR$93)/1000,1)&amp;REPT(_xlfn.UNICHAR(160),3),""))</f>
        <v>0</v>
      </c>
      <c r="AS130" s="11">
        <f>IF(AS$93=0,"",IF(ISNUMBER(INDEX($D$105:$AD$105,AS$93)),FIXED(INDEX($D$105:$AD$105,AS$93)/1000,1)&amp;REPT(_xlfn.UNICHAR(160),3),""))</f>
        <v>0</v>
      </c>
      <c r="AT130" s="11">
        <f>IF(AT$93=0,"",IF(ISNUMBER(INDEX($D$105:$AD$105,AT$93)),FIXED(INDEX($D$105:$AD$105,AT$93)/1000,1)&amp;REPT(_xlfn.UNICHAR(160),3),""))</f>
        <v>0</v>
      </c>
      <c r="AU130" s="11">
        <f>IF(AU$93=0,"",IF(ISNUMBER(INDEX($D$105:$AD$105,AU$93)),FIXED(INDEX($D$105:$AD$105,AU$93)/1000,1)&amp;REPT(_xlfn.UNICHAR(160),3),""))</f>
        <v>0</v>
      </c>
      <c r="AV130" s="11">
        <f>IF(AV$93=0,"",IF(ISNUMBER(INDEX($D$105:$AD$105,AV$93)),FIXED(INDEX($D$105:$AD$105,AV$93)/1000,1)&amp;REPT(_xlfn.UNICHAR(160),3),""))</f>
        <v>0</v>
      </c>
      <c r="AW130" s="11">
        <f>IF(AW$93=0,"",IF(ISNUMBER(INDEX($D$105:$AD$105,AW$93)),FIXED(INDEX($D$105:$AD$105,AW$93)/1000,1)&amp;REPT(_xlfn.UNICHAR(160),3),""))</f>
        <v>0</v>
      </c>
      <c r="AX130" s="11">
        <f>IF(AX$93=0,"",IF(ISNUMBER(INDEX($D$105:$AD$105,AX$93)),FIXED(INDEX($D$105:$AD$105,AX$93)/1000,1)&amp;REPT(_xlfn.UNICHAR(160),3),""))</f>
        <v>0</v>
      </c>
      <c r="AY130" s="11">
        <f>IF(AY$93=0,"",IF(ISNUMBER(INDEX($D$105:$AD$105,AY$93)),FIXED(INDEX($D$105:$AD$105,AY$93)/1000,1)&amp;REPT(_xlfn.UNICHAR(160),3),""))</f>
        <v>0</v>
      </c>
      <c r="AZ130" s="11">
        <f>IF(AZ$93=0,"",IF(ISNUMBER(INDEX($D$105:$AD$105,AZ$93)),FIXED(INDEX($D$105:$AD$105,AZ$93)/1000,1)&amp;REPT(_xlfn.UNICHAR(160),3),""))</f>
        <v>0</v>
      </c>
      <c r="BA130" s="11">
        <f>IF(BA$93=0,"",IF(ISNUMBER(INDEX($D$105:$AD$105,BA$93)),FIXED(INDEX($D$105:$AD$105,BA$93)/1000,1)&amp;REPT(_xlfn.UNICHAR(160),3),""))</f>
        <v>0</v>
      </c>
      <c r="BB130" s="11">
        <f>IF(BB$93=0,"",IF(ISNUMBER(INDEX($D$105:$AD$105,BB$93)),FIXED(INDEX($D$105:$AD$105,BB$93)/1000,1)&amp;REPT(_xlfn.UNICHAR(160),3),""))</f>
        <v>0</v>
      </c>
      <c r="BC130" s="11">
        <f>IF(BC$93=0,"",IF(ISNUMBER(INDEX($D$105:$AD$105,BC$93)),FIXED(INDEX($D$105:$AD$105,BC$93)/1000,1)&amp;REPT(_xlfn.UNICHAR(160),3),""))</f>
        <v>0</v>
      </c>
      <c r="BD130" s="11">
        <f>IF(BD$93=0,"",IF(ISNUMBER(INDEX($D$105:$AD$105,BD$93)),FIXED(INDEX($D$105:$AD$105,BD$93)/1000,1)&amp;REPT(_xlfn.UNICHAR(160),3),""))</f>
        <v>0</v>
      </c>
      <c r="BE130" s="11">
        <f>IF(BE$93=0,"",IF(ISNUMBER(INDEX($D$105:$AD$105,BE$93)),FIXED(INDEX($D$105:$AD$105,BE$93)/1000,1)&amp;REPT(_xlfn.UNICHAR(160),3),""))</f>
        <v>0</v>
      </c>
      <c r="BF130" s="11">
        <f>IF(BF$93=0,"",IF(ISNUMBER(INDEX($D$105:$AD$105,BF$93)),FIXED(INDEX($D$105:$AD$105,BF$93)/1000,1)&amp;REPT(_xlfn.UNICHAR(160),3),""))</f>
        <v>0</v>
      </c>
      <c r="BG130" s="11">
        <f>IF(BG$93=0,"",IF(ISNUMBER(INDEX($D$105:$AD$105,BG$93)),FIXED(INDEX($D$105:$AD$105,BG$93)/1000,1)&amp;REPT(_xlfn.UNICHAR(160),3),""))</f>
        <v>0</v>
      </c>
      <c r="BH130" s="11">
        <f>IF(BH$93=0,"",IF(ISNUMBER(INDEX($D$105:$AD$105,BH$93)),FIXED(INDEX($D$105:$AD$105,BH$93)/1000,1)&amp;REPT(_xlfn.UNICHAR(160),3),""))</f>
        <v>0</v>
      </c>
      <c r="BI130" s="11">
        <f>IF(BI$93=0,"",IF(ISNUMBER(INDEX($D$105:$AD$105,BI$93)),FIXED(INDEX($D$105:$AD$105,BI$93)/1000,1)&amp;REPT(_xlfn.UNICHAR(160),3),""))</f>
        <v>0</v>
      </c>
      <c r="BJ130" s="11">
        <f>IF(BJ$93=0,"",IF(ISNUMBER(INDEX($D$105:$AD$105,BJ$93)),FIXED(INDEX($D$105:$AD$105,BJ$93)/1000,1)&amp;REPT(_xlfn.UNICHAR(160),3),""))</f>
        <v>0</v>
      </c>
      <c r="BK130" s="11">
        <f>IF(BK$93=0,"",IF(ISNUMBER(INDEX($D$105:$AD$105,BK$93)),FIXED(INDEX($D$105:$AD$105,BK$93)/1000,1)&amp;REPT(_xlfn.UNICHAR(160),3),""))</f>
        <v>0</v>
      </c>
      <c r="BL130" s="11">
        <f>IF(BL$93=0,"",IF(ISNUMBER(INDEX($D$105:$AD$105,BL$93)),FIXED(INDEX($D$105:$AD$105,BL$93)/1000,1)&amp;REPT(_xlfn.UNICHAR(160),3),""))</f>
        <v>0</v>
      </c>
      <c r="BM130" s="11">
        <f>IF(BM$93=0,"",IF(ISNUMBER(INDEX($D$105:$AD$105,BM$93)),FIXED(INDEX($D$105:$AD$105,BM$93)/1000,1)&amp;REPT(_xlfn.UNICHAR(160),3),""))</f>
        <v>0</v>
      </c>
      <c r="BN130" s="11">
        <f>IF(BN$93=0,"",IF(ISNUMBER(INDEX($D$105:$AD$105,BN$93)),FIXED(INDEX($D$105:$AD$105,BN$93)/1000,1)&amp;REPT(_xlfn.UNICHAR(160),3),""))</f>
        <v>0</v>
      </c>
      <c r="BO130" s="11">
        <f>IF(BO$93=0,"",IF(ISNUMBER(INDEX($D$105:$AD$105,BO$93)),FIXED(INDEX($D$105:$AD$105,BO$93)/1000,1)&amp;REPT(_xlfn.UNICHAR(160),3),""))</f>
        <v>0</v>
      </c>
      <c r="BP130" s="11">
        <f>IF(BP$93=0,"",IF(ISNUMBER(INDEX($D$105:$AD$105,BP$93)),FIXED(INDEX($D$105:$AD$105,BP$93)/1000,1)&amp;REPT(_xlfn.UNICHAR(160),3),""))</f>
        <v>0</v>
      </c>
    </row>
    <row r="131" spans="1:68">
      <c r="A131" s="11" t="s">
        <v>325</v>
      </c>
      <c r="B131" s="11" t="s">
        <v>326</v>
      </c>
      <c r="C131" s="3" t="s">
        <v>144</v>
      </c>
      <c r="AQ131" s="5">
        <f>IF(AQ$93=0,NA(),IF(ISNUMBER(INDEX($D$106:$AD$106,AQ$93)),INDEX($D$106:$AD$106,AQ$93)/AQ128,NA()))</f>
        <v>0</v>
      </c>
      <c r="AR131" s="5">
        <f>IF(AR$93=0,NA(),IF(ISNUMBER(INDEX($D$106:$AD$106,AR$93)),INDEX($D$106:$AD$106,AR$93)/AR128,NA()))</f>
        <v>0</v>
      </c>
      <c r="AS131" s="5">
        <f>IF(AS$93=0,NA(),IF(ISNUMBER(INDEX($D$106:$AD$106,AS$93)),INDEX($D$106:$AD$106,AS$93)/AS128,NA()))</f>
        <v>0</v>
      </c>
      <c r="AT131" s="5">
        <f>IF(AT$93=0,NA(),IF(ISNUMBER(INDEX($D$106:$AD$106,AT$93)),INDEX($D$106:$AD$106,AT$93)/AT128,NA()))</f>
        <v>0</v>
      </c>
      <c r="AU131" s="5">
        <f>IF(AU$93=0,NA(),IF(ISNUMBER(INDEX($D$106:$AD$106,AU$93)),INDEX($D$106:$AD$106,AU$93)/AU128,NA()))</f>
        <v>0</v>
      </c>
      <c r="AV131" s="5">
        <f>IF(AV$93=0,NA(),IF(ISNUMBER(INDEX($D$106:$AD$106,AV$93)),INDEX($D$106:$AD$106,AV$93)/AV128,NA()))</f>
        <v>0</v>
      </c>
      <c r="AW131" s="5">
        <f>IF(AW$93=0,NA(),IF(ISNUMBER(INDEX($D$106:$AD$106,AW$93)),INDEX($D$106:$AD$106,AW$93)/AW128,NA()))</f>
        <v>0</v>
      </c>
      <c r="AX131" s="5">
        <f>IF(AX$93=0,NA(),IF(ISNUMBER(INDEX($D$106:$AD$106,AX$93)),INDEX($D$106:$AD$106,AX$93)/AX128,NA()))</f>
        <v>0</v>
      </c>
      <c r="AY131" s="5">
        <f>IF(AY$93=0,NA(),IF(ISNUMBER(INDEX($D$106:$AD$106,AY$93)),INDEX($D$106:$AD$106,AY$93)/AY128,NA()))</f>
        <v>0</v>
      </c>
      <c r="AZ131" s="5">
        <f>IF(AZ$93=0,NA(),IF(ISNUMBER(INDEX($D$106:$AD$106,AZ$93)),INDEX($D$106:$AD$106,AZ$93)/AZ128,NA()))</f>
        <v>0</v>
      </c>
      <c r="BA131" s="5">
        <f>IF(BA$93=0,NA(),IF(ISNUMBER(INDEX($D$106:$AD$106,BA$93)),INDEX($D$106:$AD$106,BA$93)/BA128,NA()))</f>
        <v>0</v>
      </c>
      <c r="BB131" s="5">
        <f>IF(BB$93=0,NA(),IF(ISNUMBER(INDEX($D$106:$AD$106,BB$93)),INDEX($D$106:$AD$106,BB$93)/BB128,NA()))</f>
        <v>0</v>
      </c>
      <c r="BC131" s="5">
        <f>IF(BC$93=0,NA(),IF(ISNUMBER(INDEX($D$106:$AD$106,BC$93)),INDEX($D$106:$AD$106,BC$93)/BC128,NA()))</f>
        <v>0</v>
      </c>
      <c r="BD131" s="5">
        <f>IF(BD$93=0,NA(),IF(ISNUMBER(INDEX($D$106:$AD$106,BD$93)),INDEX($D$106:$AD$106,BD$93)/BD128,NA()))</f>
        <v>0</v>
      </c>
      <c r="BE131" s="5">
        <f>IF(BE$93=0,NA(),IF(ISNUMBER(INDEX($D$106:$AD$106,BE$93)),INDEX($D$106:$AD$106,BE$93)/BE128,NA()))</f>
        <v>0</v>
      </c>
      <c r="BF131" s="5">
        <f>IF(BF$93=0,NA(),IF(ISNUMBER(INDEX($D$106:$AD$106,BF$93)),INDEX($D$106:$AD$106,BF$93)/BF128,NA()))</f>
        <v>0</v>
      </c>
      <c r="BG131" s="5">
        <f>IF(BG$93=0,NA(),IF(ISNUMBER(INDEX($D$106:$AD$106,BG$93)),INDEX($D$106:$AD$106,BG$93)/BG128,NA()))</f>
        <v>0</v>
      </c>
      <c r="BH131" s="5">
        <f>IF(BH$93=0,NA(),IF(ISNUMBER(INDEX($D$106:$AD$106,BH$93)),INDEX($D$106:$AD$106,BH$93)/BH128,NA()))</f>
        <v>0</v>
      </c>
      <c r="BI131" s="5">
        <f>IF(BI$93=0,NA(),IF(ISNUMBER(INDEX($D$106:$AD$106,BI$93)),INDEX($D$106:$AD$106,BI$93)/BI128,NA()))</f>
        <v>0</v>
      </c>
      <c r="BJ131" s="5">
        <f>IF(BJ$93=0,NA(),IF(ISNUMBER(INDEX($D$106:$AD$106,BJ$93)),INDEX($D$106:$AD$106,BJ$93)/BJ128,NA()))</f>
        <v>0</v>
      </c>
      <c r="BK131" s="5">
        <f>IF(BK$93=0,NA(),IF(ISNUMBER(INDEX($D$106:$AD$106,BK$93)),INDEX($D$106:$AD$106,BK$93)/BK128,NA()))</f>
        <v>0</v>
      </c>
      <c r="BL131" s="5">
        <f>IF(BL$93=0,NA(),IF(ISNUMBER(INDEX($D$106:$AD$106,BL$93)),INDEX($D$106:$AD$106,BL$93)/BL128,NA()))</f>
        <v>0</v>
      </c>
      <c r="BM131" s="5">
        <f>IF(BM$93=0,NA(),IF(ISNUMBER(INDEX($D$106:$AD$106,BM$93)),INDEX($D$106:$AD$106,BM$93)/BM128,NA()))</f>
        <v>0</v>
      </c>
      <c r="BN131" s="5">
        <f>IF(BN$93=0,NA(),IF(ISNUMBER(INDEX($D$106:$AD$106,BN$93)),INDEX($D$106:$AD$106,BN$93)/BN128,NA()))</f>
        <v>0</v>
      </c>
      <c r="BO131" s="5">
        <f>IF(BO$93=0,NA(),IF(ISNUMBER(INDEX($D$106:$AD$106,BO$93)),INDEX($D$106:$AD$106,BO$93)/BO128,NA()))</f>
        <v>0</v>
      </c>
      <c r="BP131" s="5">
        <f>IF(BP$93=0,NA(),IF(ISNUMBER(INDEX($D$106:$AD$106,BP$93)),INDEX($D$106:$AD$106,BP$93)/BP128,NA()))</f>
        <v>0</v>
      </c>
    </row>
    <row r="132" spans="1:68">
      <c r="A132" s="11" t="s">
        <v>327</v>
      </c>
      <c r="B132" s="11" t="s">
        <v>328</v>
      </c>
      <c r="C132" s="3" t="s">
        <v>144</v>
      </c>
      <c r="AQ132" s="11">
        <f>IF(AQ$93=0,"",IF(ISNUMBER(INDEX($D$106:$AD$106,AQ$93)),REPT(_xlfn.UNICHAR(160),3)&amp;FIXED(INDEX($D$106:$AD$106,AQ$93)/1000,1),""))</f>
        <v>0</v>
      </c>
      <c r="AR132" s="11">
        <f>IF(AR$93=0,"",IF(ISNUMBER(INDEX($D$106:$AD$106,AR$93)),REPT(_xlfn.UNICHAR(160),3)&amp;FIXED(INDEX($D$106:$AD$106,AR$93)/1000,1),""))</f>
        <v>0</v>
      </c>
      <c r="AS132" s="11">
        <f>IF(AS$93=0,"",IF(ISNUMBER(INDEX($D$106:$AD$106,AS$93)),REPT(_xlfn.UNICHAR(160),3)&amp;FIXED(INDEX($D$106:$AD$106,AS$93)/1000,1),""))</f>
        <v>0</v>
      </c>
      <c r="AT132" s="11">
        <f>IF(AT$93=0,"",IF(ISNUMBER(INDEX($D$106:$AD$106,AT$93)),REPT(_xlfn.UNICHAR(160),3)&amp;FIXED(INDEX($D$106:$AD$106,AT$93)/1000,1),""))</f>
        <v>0</v>
      </c>
      <c r="AU132" s="11">
        <f>IF(AU$93=0,"",IF(ISNUMBER(INDEX($D$106:$AD$106,AU$93)),REPT(_xlfn.UNICHAR(160),3)&amp;FIXED(INDEX($D$106:$AD$106,AU$93)/1000,1),""))</f>
        <v>0</v>
      </c>
      <c r="AV132" s="11">
        <f>IF(AV$93=0,"",IF(ISNUMBER(INDEX($D$106:$AD$106,AV$93)),REPT(_xlfn.UNICHAR(160),3)&amp;FIXED(INDEX($D$106:$AD$106,AV$93)/1000,1),""))</f>
        <v>0</v>
      </c>
      <c r="AW132" s="11">
        <f>IF(AW$93=0,"",IF(ISNUMBER(INDEX($D$106:$AD$106,AW$93)),REPT(_xlfn.UNICHAR(160),3)&amp;FIXED(INDEX($D$106:$AD$106,AW$93)/1000,1),""))</f>
        <v>0</v>
      </c>
      <c r="AX132" s="11">
        <f>IF(AX$93=0,"",IF(ISNUMBER(INDEX($D$106:$AD$106,AX$93)),REPT(_xlfn.UNICHAR(160),3)&amp;FIXED(INDEX($D$106:$AD$106,AX$93)/1000,1),""))</f>
        <v>0</v>
      </c>
      <c r="AY132" s="11">
        <f>IF(AY$93=0,"",IF(ISNUMBER(INDEX($D$106:$AD$106,AY$93)),REPT(_xlfn.UNICHAR(160),3)&amp;FIXED(INDEX($D$106:$AD$106,AY$93)/1000,1),""))</f>
        <v>0</v>
      </c>
      <c r="AZ132" s="11">
        <f>IF(AZ$93=0,"",IF(ISNUMBER(INDEX($D$106:$AD$106,AZ$93)),REPT(_xlfn.UNICHAR(160),3)&amp;FIXED(INDEX($D$106:$AD$106,AZ$93)/1000,1),""))</f>
        <v>0</v>
      </c>
      <c r="BA132" s="11">
        <f>IF(BA$93=0,"",IF(ISNUMBER(INDEX($D$106:$AD$106,BA$93)),REPT(_xlfn.UNICHAR(160),3)&amp;FIXED(INDEX($D$106:$AD$106,BA$93)/1000,1),""))</f>
        <v>0</v>
      </c>
      <c r="BB132" s="11">
        <f>IF(BB$93=0,"",IF(ISNUMBER(INDEX($D$106:$AD$106,BB$93)),REPT(_xlfn.UNICHAR(160),3)&amp;FIXED(INDEX($D$106:$AD$106,BB$93)/1000,1),""))</f>
        <v>0</v>
      </c>
      <c r="BC132" s="11">
        <f>IF(BC$93=0,"",IF(ISNUMBER(INDEX($D$106:$AD$106,BC$93)),REPT(_xlfn.UNICHAR(160),3)&amp;FIXED(INDEX($D$106:$AD$106,BC$93)/1000,1),""))</f>
        <v>0</v>
      </c>
      <c r="BD132" s="11">
        <f>IF(BD$93=0,"",IF(ISNUMBER(INDEX($D$106:$AD$106,BD$93)),REPT(_xlfn.UNICHAR(160),3)&amp;FIXED(INDEX($D$106:$AD$106,BD$93)/1000,1),""))</f>
        <v>0</v>
      </c>
      <c r="BE132" s="11">
        <f>IF(BE$93=0,"",IF(ISNUMBER(INDEX($D$106:$AD$106,BE$93)),REPT(_xlfn.UNICHAR(160),3)&amp;FIXED(INDEX($D$106:$AD$106,BE$93)/1000,1),""))</f>
        <v>0</v>
      </c>
      <c r="BF132" s="11">
        <f>IF(BF$93=0,"",IF(ISNUMBER(INDEX($D$106:$AD$106,BF$93)),REPT(_xlfn.UNICHAR(160),3)&amp;FIXED(INDEX($D$106:$AD$106,BF$93)/1000,1),""))</f>
        <v>0</v>
      </c>
      <c r="BG132" s="11">
        <f>IF(BG$93=0,"",IF(ISNUMBER(INDEX($D$106:$AD$106,BG$93)),REPT(_xlfn.UNICHAR(160),3)&amp;FIXED(INDEX($D$106:$AD$106,BG$93)/1000,1),""))</f>
        <v>0</v>
      </c>
      <c r="BH132" s="11">
        <f>IF(BH$93=0,"",IF(ISNUMBER(INDEX($D$106:$AD$106,BH$93)),REPT(_xlfn.UNICHAR(160),3)&amp;FIXED(INDEX($D$106:$AD$106,BH$93)/1000,1),""))</f>
        <v>0</v>
      </c>
      <c r="BI132" s="11">
        <f>IF(BI$93=0,"",IF(ISNUMBER(INDEX($D$106:$AD$106,BI$93)),REPT(_xlfn.UNICHAR(160),3)&amp;FIXED(INDEX($D$106:$AD$106,BI$93)/1000,1),""))</f>
        <v>0</v>
      </c>
      <c r="BJ132" s="11">
        <f>IF(BJ$93=0,"",IF(ISNUMBER(INDEX($D$106:$AD$106,BJ$93)),REPT(_xlfn.UNICHAR(160),3)&amp;FIXED(INDEX($D$106:$AD$106,BJ$93)/1000,1),""))</f>
        <v>0</v>
      </c>
      <c r="BK132" s="11">
        <f>IF(BK$93=0,"",IF(ISNUMBER(INDEX($D$106:$AD$106,BK$93)),REPT(_xlfn.UNICHAR(160),3)&amp;FIXED(INDEX($D$106:$AD$106,BK$93)/1000,1),""))</f>
        <v>0</v>
      </c>
      <c r="BL132" s="11">
        <f>IF(BL$93=0,"",IF(ISNUMBER(INDEX($D$106:$AD$106,BL$93)),REPT(_xlfn.UNICHAR(160),3)&amp;FIXED(INDEX($D$106:$AD$106,BL$93)/1000,1),""))</f>
        <v>0</v>
      </c>
      <c r="BM132" s="11">
        <f>IF(BM$93=0,"",IF(ISNUMBER(INDEX($D$106:$AD$106,BM$93)),REPT(_xlfn.UNICHAR(160),3)&amp;FIXED(INDEX($D$106:$AD$106,BM$93)/1000,1),""))</f>
        <v>0</v>
      </c>
      <c r="BN132" s="11">
        <f>IF(BN$93=0,"",IF(ISNUMBER(INDEX($D$106:$AD$106,BN$93)),REPT(_xlfn.UNICHAR(160),3)&amp;FIXED(INDEX($D$106:$AD$106,BN$93)/1000,1),""))</f>
        <v>0</v>
      </c>
      <c r="BO132" s="11">
        <f>IF(BO$93=0,"",IF(ISNUMBER(INDEX($D$106:$AD$106,BO$93)),REPT(_xlfn.UNICHAR(160),3)&amp;FIXED(INDEX($D$106:$AD$106,BO$93)/1000,1),""))</f>
        <v>0</v>
      </c>
      <c r="BP132" s="11">
        <f>IF(BP$93=0,"",IF(ISNUMBER(INDEX($D$106:$AD$106,BP$93)),REPT(_xlfn.UNICHAR(160),3)&amp;FIXED(INDEX($D$106:$AD$106,BP$93)/1000,1),""))</f>
        <v>0</v>
      </c>
    </row>
    <row r="133" spans="1:68">
      <c r="A133" s="11" t="s">
        <v>329</v>
      </c>
      <c r="B133" s="11" t="s">
        <v>330</v>
      </c>
      <c r="C133" s="3" t="s">
        <v>144</v>
      </c>
      <c r="AQ133" s="5">
        <f>IF(AQ$93=0,NA(),IF(ISNUMBER(INDEX($D$105:$AD$105,AQ$93)),IF(AND(AQ129&gt;=IFERROR(AQ131,-9),AQ129-IFERROR(AQ131,-9)&lt;0.28261),AQ131+0.28261,AQ129),NA()))</f>
        <v>0</v>
      </c>
      <c r="AR133" s="5">
        <f>IF(AR$93=0,NA(),IF(ISNUMBER(INDEX($D$105:$AD$105,AR$93)),IF(AND(AR129&gt;=IFERROR(AR131,-9),AR129-IFERROR(AR131,-9)&lt;0.28261),AR131+0.28261,AR129),NA()))</f>
        <v>0</v>
      </c>
      <c r="AS133" s="5">
        <f>IF(AS$93=0,NA(),IF(ISNUMBER(INDEX($D$105:$AD$105,AS$93)),IF(AND(AS129&gt;=IFERROR(AS131,-9),AS129-IFERROR(AS131,-9)&lt;0.28261),AS131+0.28261,AS129),NA()))</f>
        <v>0</v>
      </c>
      <c r="AT133" s="5">
        <f>IF(AT$93=0,NA(),IF(ISNUMBER(INDEX($D$105:$AD$105,AT$93)),IF(AND(AT129&gt;=IFERROR(AT131,-9),AT129-IFERROR(AT131,-9)&lt;0.28261),AT131+0.28261,AT129),NA()))</f>
        <v>0</v>
      </c>
      <c r="AU133" s="5">
        <f>IF(AU$93=0,NA(),IF(ISNUMBER(INDEX($D$105:$AD$105,AU$93)),IF(AND(AU129&gt;=IFERROR(AU131,-9),AU129-IFERROR(AU131,-9)&lt;0.28261),AU131+0.28261,AU129),NA()))</f>
        <v>0</v>
      </c>
      <c r="AV133" s="5">
        <f>IF(AV$93=0,NA(),IF(ISNUMBER(INDEX($D$105:$AD$105,AV$93)),IF(AND(AV129&gt;=IFERROR(AV131,-9),AV129-IFERROR(AV131,-9)&lt;0.28261),AV131+0.28261,AV129),NA()))</f>
        <v>0</v>
      </c>
      <c r="AW133" s="5">
        <f>IF(AW$93=0,NA(),IF(ISNUMBER(INDEX($D$105:$AD$105,AW$93)),IF(AND(AW129&gt;=IFERROR(AW131,-9),AW129-IFERROR(AW131,-9)&lt;0.28261),AW131+0.28261,AW129),NA()))</f>
        <v>0</v>
      </c>
      <c r="AX133" s="5">
        <f>IF(AX$93=0,NA(),IF(ISNUMBER(INDEX($D$105:$AD$105,AX$93)),IF(AND(AX129&gt;=IFERROR(AX131,-9),AX129-IFERROR(AX131,-9)&lt;0.28261),AX131+0.28261,AX129),NA()))</f>
        <v>0</v>
      </c>
      <c r="AY133" s="5">
        <f>IF(AY$93=0,NA(),IF(ISNUMBER(INDEX($D$105:$AD$105,AY$93)),IF(AND(AY129&gt;=IFERROR(AY131,-9),AY129-IFERROR(AY131,-9)&lt;0.28261),AY131+0.28261,AY129),NA()))</f>
        <v>0</v>
      </c>
      <c r="AZ133" s="5">
        <f>IF(AZ$93=0,NA(),IF(ISNUMBER(INDEX($D$105:$AD$105,AZ$93)),IF(AND(AZ129&gt;=IFERROR(AZ131,-9),AZ129-IFERROR(AZ131,-9)&lt;0.28261),AZ131+0.28261,AZ129),NA()))</f>
        <v>0</v>
      </c>
      <c r="BA133" s="5">
        <f>IF(BA$93=0,NA(),IF(ISNUMBER(INDEX($D$105:$AD$105,BA$93)),IF(AND(BA129&gt;=IFERROR(BA131,-9),BA129-IFERROR(BA131,-9)&lt;0.28261),BA131+0.28261,BA129),NA()))</f>
        <v>0</v>
      </c>
      <c r="BB133" s="5">
        <f>IF(BB$93=0,NA(),IF(ISNUMBER(INDEX($D$105:$AD$105,BB$93)),IF(AND(BB129&gt;=IFERROR(BB131,-9),BB129-IFERROR(BB131,-9)&lt;0.28261),BB131+0.28261,BB129),NA()))</f>
        <v>0</v>
      </c>
      <c r="BC133" s="5">
        <f>IF(BC$93=0,NA(),IF(ISNUMBER(INDEX($D$105:$AD$105,BC$93)),IF(AND(BC129&gt;=IFERROR(BC131,-9),BC129-IFERROR(BC131,-9)&lt;0.28261),BC131+0.28261,BC129),NA()))</f>
        <v>0</v>
      </c>
      <c r="BD133" s="5">
        <f>IF(BD$93=0,NA(),IF(ISNUMBER(INDEX($D$105:$AD$105,BD$93)),IF(AND(BD129&gt;=IFERROR(BD131,-9),BD129-IFERROR(BD131,-9)&lt;0.28261),BD131+0.28261,BD129),NA()))</f>
        <v>0</v>
      </c>
      <c r="BE133" s="5">
        <f>IF(BE$93=0,NA(),IF(ISNUMBER(INDEX($D$105:$AD$105,BE$93)),IF(AND(BE129&gt;=IFERROR(BE131,-9),BE129-IFERROR(BE131,-9)&lt;0.28261),BE131+0.28261,BE129),NA()))</f>
        <v>0</v>
      </c>
      <c r="BF133" s="5">
        <f>IF(BF$93=0,NA(),IF(ISNUMBER(INDEX($D$105:$AD$105,BF$93)),IF(AND(BF129&gt;=IFERROR(BF131,-9),BF129-IFERROR(BF131,-9)&lt;0.28261),BF131+0.28261,BF129),NA()))</f>
        <v>0</v>
      </c>
      <c r="BG133" s="5">
        <f>IF(BG$93=0,NA(),IF(ISNUMBER(INDEX($D$105:$AD$105,BG$93)),IF(AND(BG129&gt;=IFERROR(BG131,-9),BG129-IFERROR(BG131,-9)&lt;0.28261),BG131+0.28261,BG129),NA()))</f>
        <v>0</v>
      </c>
      <c r="BH133" s="5">
        <f>IF(BH$93=0,NA(),IF(ISNUMBER(INDEX($D$105:$AD$105,BH$93)),IF(AND(BH129&gt;=IFERROR(BH131,-9),BH129-IFERROR(BH131,-9)&lt;0.28261),BH131+0.28261,BH129),NA()))</f>
        <v>0</v>
      </c>
      <c r="BI133" s="5">
        <f>IF(BI$93=0,NA(),IF(ISNUMBER(INDEX($D$105:$AD$105,BI$93)),IF(AND(BI129&gt;=IFERROR(BI131,-9),BI129-IFERROR(BI131,-9)&lt;0.28261),BI131+0.28261,BI129),NA()))</f>
        <v>0</v>
      </c>
      <c r="BJ133" s="5">
        <f>IF(BJ$93=0,NA(),IF(ISNUMBER(INDEX($D$105:$AD$105,BJ$93)),IF(AND(BJ129&gt;=IFERROR(BJ131,-9),BJ129-IFERROR(BJ131,-9)&lt;0.28261),BJ131+0.28261,BJ129),NA()))</f>
        <v>0</v>
      </c>
      <c r="BK133" s="5">
        <f>IF(BK$93=0,NA(),IF(ISNUMBER(INDEX($D$105:$AD$105,BK$93)),IF(AND(BK129&gt;=IFERROR(BK131,-9),BK129-IFERROR(BK131,-9)&lt;0.28261),BK131+0.28261,BK129),NA()))</f>
        <v>0</v>
      </c>
      <c r="BL133" s="5">
        <f>IF(BL$93=0,NA(),IF(ISNUMBER(INDEX($D$105:$AD$105,BL$93)),IF(AND(BL129&gt;=IFERROR(BL131,-9),BL129-IFERROR(BL131,-9)&lt;0.28261),BL131+0.28261,BL129),NA()))</f>
        <v>0</v>
      </c>
      <c r="BM133" s="5">
        <f>IF(BM$93=0,NA(),IF(ISNUMBER(INDEX($D$105:$AD$105,BM$93)),IF(AND(BM129&gt;=IFERROR(BM131,-9),BM129-IFERROR(BM131,-9)&lt;0.28261),BM131+0.28261,BM129),NA()))</f>
        <v>0</v>
      </c>
      <c r="BN133" s="5">
        <f>IF(BN$93=0,NA(),IF(ISNUMBER(INDEX($D$105:$AD$105,BN$93)),IF(AND(BN129&gt;=IFERROR(BN131,-9),BN129-IFERROR(BN131,-9)&lt;0.28261),BN131+0.28261,BN129),NA()))</f>
        <v>0</v>
      </c>
      <c r="BO133" s="5">
        <f>IF(BO$93=0,NA(),IF(ISNUMBER(INDEX($D$105:$AD$105,BO$93)),IF(AND(BO129&gt;=IFERROR(BO131,-9),BO129-IFERROR(BO131,-9)&lt;0.28261),BO131+0.28261,BO129),NA()))</f>
        <v>0</v>
      </c>
      <c r="BP133" s="5">
        <f>IF(BP$93=0,NA(),IF(ISNUMBER(INDEX($D$105:$AD$105,BP$93)),IF(AND(BP129&gt;=IFERROR(BP131,-9),BP129-IFERROR(BP131,-9)&lt;0.28261),BP131+0.28261,BP129),NA()))</f>
        <v>0</v>
      </c>
    </row>
    <row r="134" spans="1:68">
      <c r="A134" s="11" t="s">
        <v>331</v>
      </c>
      <c r="B134" s="11" t="s">
        <v>332</v>
      </c>
      <c r="C134" s="3" t="s">
        <v>144</v>
      </c>
      <c r="AQ134" s="5">
        <f>IF(AQ$93=0,NA(),IF(ISNUMBER(INDEX($D$106:$AD$106,AQ$93)),IF(AND(AQ131&gt;IFERROR(AQ129,-9),AQ131-IFERROR(AQ129,-9)&lt;0.28261),AQ129+0.28261,AQ131),NA()))</f>
        <v>0</v>
      </c>
      <c r="AR134" s="5">
        <f>IF(AR$93=0,NA(),IF(ISNUMBER(INDEX($D$106:$AD$106,AR$93)),IF(AND(AR131&gt;IFERROR(AR129,-9),AR131-IFERROR(AR129,-9)&lt;0.28261),AR129+0.28261,AR131),NA()))</f>
        <v>0</v>
      </c>
      <c r="AS134" s="5">
        <f>IF(AS$93=0,NA(),IF(ISNUMBER(INDEX($D$106:$AD$106,AS$93)),IF(AND(AS131&gt;IFERROR(AS129,-9),AS131-IFERROR(AS129,-9)&lt;0.28261),AS129+0.28261,AS131),NA()))</f>
        <v>0</v>
      </c>
      <c r="AT134" s="5">
        <f>IF(AT$93=0,NA(),IF(ISNUMBER(INDEX($D$106:$AD$106,AT$93)),IF(AND(AT131&gt;IFERROR(AT129,-9),AT131-IFERROR(AT129,-9)&lt;0.28261),AT129+0.28261,AT131),NA()))</f>
        <v>0</v>
      </c>
      <c r="AU134" s="5">
        <f>IF(AU$93=0,NA(),IF(ISNUMBER(INDEX($D$106:$AD$106,AU$93)),IF(AND(AU131&gt;IFERROR(AU129,-9),AU131-IFERROR(AU129,-9)&lt;0.28261),AU129+0.28261,AU131),NA()))</f>
        <v>0</v>
      </c>
      <c r="AV134" s="5">
        <f>IF(AV$93=0,NA(),IF(ISNUMBER(INDEX($D$106:$AD$106,AV$93)),IF(AND(AV131&gt;IFERROR(AV129,-9),AV131-IFERROR(AV129,-9)&lt;0.28261),AV129+0.28261,AV131),NA()))</f>
        <v>0</v>
      </c>
      <c r="AW134" s="5">
        <f>IF(AW$93=0,NA(),IF(ISNUMBER(INDEX($D$106:$AD$106,AW$93)),IF(AND(AW131&gt;IFERROR(AW129,-9),AW131-IFERROR(AW129,-9)&lt;0.28261),AW129+0.28261,AW131),NA()))</f>
        <v>0</v>
      </c>
      <c r="AX134" s="5">
        <f>IF(AX$93=0,NA(),IF(ISNUMBER(INDEX($D$106:$AD$106,AX$93)),IF(AND(AX131&gt;IFERROR(AX129,-9),AX131-IFERROR(AX129,-9)&lt;0.28261),AX129+0.28261,AX131),NA()))</f>
        <v>0</v>
      </c>
      <c r="AY134" s="5">
        <f>IF(AY$93=0,NA(),IF(ISNUMBER(INDEX($D$106:$AD$106,AY$93)),IF(AND(AY131&gt;IFERROR(AY129,-9),AY131-IFERROR(AY129,-9)&lt;0.28261),AY129+0.28261,AY131),NA()))</f>
        <v>0</v>
      </c>
      <c r="AZ134" s="5">
        <f>IF(AZ$93=0,NA(),IF(ISNUMBER(INDEX($D$106:$AD$106,AZ$93)),IF(AND(AZ131&gt;IFERROR(AZ129,-9),AZ131-IFERROR(AZ129,-9)&lt;0.28261),AZ129+0.28261,AZ131),NA()))</f>
        <v>0</v>
      </c>
      <c r="BA134" s="5">
        <f>IF(BA$93=0,NA(),IF(ISNUMBER(INDEX($D$106:$AD$106,BA$93)),IF(AND(BA131&gt;IFERROR(BA129,-9),BA131-IFERROR(BA129,-9)&lt;0.28261),BA129+0.28261,BA131),NA()))</f>
        <v>0</v>
      </c>
      <c r="BB134" s="5">
        <f>IF(BB$93=0,NA(),IF(ISNUMBER(INDEX($D$106:$AD$106,BB$93)),IF(AND(BB131&gt;IFERROR(BB129,-9),BB131-IFERROR(BB129,-9)&lt;0.28261),BB129+0.28261,BB131),NA()))</f>
        <v>0</v>
      </c>
      <c r="BC134" s="5">
        <f>IF(BC$93=0,NA(),IF(ISNUMBER(INDEX($D$106:$AD$106,BC$93)),IF(AND(BC131&gt;IFERROR(BC129,-9),BC131-IFERROR(BC129,-9)&lt;0.28261),BC129+0.28261,BC131),NA()))</f>
        <v>0</v>
      </c>
      <c r="BD134" s="5">
        <f>IF(BD$93=0,NA(),IF(ISNUMBER(INDEX($D$106:$AD$106,BD$93)),IF(AND(BD131&gt;IFERROR(BD129,-9),BD131-IFERROR(BD129,-9)&lt;0.28261),BD129+0.28261,BD131),NA()))</f>
        <v>0</v>
      </c>
      <c r="BE134" s="5">
        <f>IF(BE$93=0,NA(),IF(ISNUMBER(INDEX($D$106:$AD$106,BE$93)),IF(AND(BE131&gt;IFERROR(BE129,-9),BE131-IFERROR(BE129,-9)&lt;0.28261),BE129+0.28261,BE131),NA()))</f>
        <v>0</v>
      </c>
      <c r="BF134" s="5">
        <f>IF(BF$93=0,NA(),IF(ISNUMBER(INDEX($D$106:$AD$106,BF$93)),IF(AND(BF131&gt;IFERROR(BF129,-9),BF131-IFERROR(BF129,-9)&lt;0.28261),BF129+0.28261,BF131),NA()))</f>
        <v>0</v>
      </c>
      <c r="BG134" s="5">
        <f>IF(BG$93=0,NA(),IF(ISNUMBER(INDEX($D$106:$AD$106,BG$93)),IF(AND(BG131&gt;IFERROR(BG129,-9),BG131-IFERROR(BG129,-9)&lt;0.28261),BG129+0.28261,BG131),NA()))</f>
        <v>0</v>
      </c>
      <c r="BH134" s="5">
        <f>IF(BH$93=0,NA(),IF(ISNUMBER(INDEX($D$106:$AD$106,BH$93)),IF(AND(BH131&gt;IFERROR(BH129,-9),BH131-IFERROR(BH129,-9)&lt;0.28261),BH129+0.28261,BH131),NA()))</f>
        <v>0</v>
      </c>
      <c r="BI134" s="5">
        <f>IF(BI$93=0,NA(),IF(ISNUMBER(INDEX($D$106:$AD$106,BI$93)),IF(AND(BI131&gt;IFERROR(BI129,-9),BI131-IFERROR(BI129,-9)&lt;0.28261),BI129+0.28261,BI131),NA()))</f>
        <v>0</v>
      </c>
      <c r="BJ134" s="5">
        <f>IF(BJ$93=0,NA(),IF(ISNUMBER(INDEX($D$106:$AD$106,BJ$93)),IF(AND(BJ131&gt;IFERROR(BJ129,-9),BJ131-IFERROR(BJ129,-9)&lt;0.28261),BJ129+0.28261,BJ131),NA()))</f>
        <v>0</v>
      </c>
      <c r="BK134" s="5">
        <f>IF(BK$93=0,NA(),IF(ISNUMBER(INDEX($D$106:$AD$106,BK$93)),IF(AND(BK131&gt;IFERROR(BK129,-9),BK131-IFERROR(BK129,-9)&lt;0.28261),BK129+0.28261,BK131),NA()))</f>
        <v>0</v>
      </c>
      <c r="BL134" s="5">
        <f>IF(BL$93=0,NA(),IF(ISNUMBER(INDEX($D$106:$AD$106,BL$93)),IF(AND(BL131&gt;IFERROR(BL129,-9),BL131-IFERROR(BL129,-9)&lt;0.28261),BL129+0.28261,BL131),NA()))</f>
        <v>0</v>
      </c>
      <c r="BM134" s="5">
        <f>IF(BM$93=0,NA(),IF(ISNUMBER(INDEX($D$106:$AD$106,BM$93)),IF(AND(BM131&gt;IFERROR(BM129,-9),BM131-IFERROR(BM129,-9)&lt;0.28261),BM129+0.28261,BM131),NA()))</f>
        <v>0</v>
      </c>
      <c r="BN134" s="5">
        <f>IF(BN$93=0,NA(),IF(ISNUMBER(INDEX($D$106:$AD$106,BN$93)),IF(AND(BN131&gt;IFERROR(BN129,-9),BN131-IFERROR(BN129,-9)&lt;0.28261),BN129+0.28261,BN131),NA()))</f>
        <v>0</v>
      </c>
      <c r="BO134" s="5">
        <f>IF(BO$93=0,NA(),IF(ISNUMBER(INDEX($D$106:$AD$106,BO$93)),IF(AND(BO131&gt;IFERROR(BO129,-9),BO131-IFERROR(BO129,-9)&lt;0.28261),BO129+0.28261,BO131),NA()))</f>
        <v>0</v>
      </c>
      <c r="BP134" s="5">
        <f>IF(BP$93=0,NA(),IF(ISNUMBER(INDEX($D$106:$AD$106,BP$93)),IF(AND(BP131&gt;IFERROR(BP129,-9),BP131-IFERROR(BP129,-9)&lt;0.28261),BP129+0.28261,BP131),NA()))</f>
        <v>0</v>
      </c>
    </row>
    <row r="135" spans="1:68">
      <c r="A135" s="11" t="s">
        <v>333</v>
      </c>
      <c r="B135" s="11" t="s">
        <v>334</v>
      </c>
      <c r="C135" s="3" t="s">
        <v>144</v>
      </c>
      <c r="AQ135" s="5">
        <f>IF(AQ$93=0,NA(),IF(ISNUMBER(INDEX($D$108:$AD$108,AQ$93)),IF(ROUND(INDEX($D$108:$AD$108,AQ$93)/1000,1)&gt;0,0.5,NA()),NA()))</f>
        <v>0</v>
      </c>
      <c r="AR135" s="5">
        <f>IF(AR$93=0,NA(),IF(ISNUMBER(INDEX($D$108:$AD$108,AR$93)),IF(ROUND(INDEX($D$108:$AD$108,AR$93)/1000,1)&gt;0,0.5,NA()),NA()))</f>
        <v>0</v>
      </c>
      <c r="AS135" s="5">
        <f>IF(AS$93=0,NA(),IF(ISNUMBER(INDEX($D$108:$AD$108,AS$93)),IF(ROUND(INDEX($D$108:$AD$108,AS$93)/1000,1)&gt;0,0.5,NA()),NA()))</f>
        <v>0</v>
      </c>
      <c r="AT135" s="5">
        <f>IF(AT$93=0,NA(),IF(ISNUMBER(INDEX($D$108:$AD$108,AT$93)),IF(ROUND(INDEX($D$108:$AD$108,AT$93)/1000,1)&gt;0,0.5,NA()),NA()))</f>
        <v>0</v>
      </c>
      <c r="AU135" s="5">
        <f>IF(AU$93=0,NA(),IF(ISNUMBER(INDEX($D$108:$AD$108,AU$93)),IF(ROUND(INDEX($D$108:$AD$108,AU$93)/1000,1)&gt;0,0.5,NA()),NA()))</f>
        <v>0</v>
      </c>
      <c r="AV135" s="5">
        <f>IF(AV$93=0,NA(),IF(ISNUMBER(INDEX($D$108:$AD$108,AV$93)),IF(ROUND(INDEX($D$108:$AD$108,AV$93)/1000,1)&gt;0,0.5,NA()),NA()))</f>
        <v>0</v>
      </c>
      <c r="AW135" s="5">
        <f>IF(AW$93=0,NA(),IF(ISNUMBER(INDEX($D$108:$AD$108,AW$93)),IF(ROUND(INDEX($D$108:$AD$108,AW$93)/1000,1)&gt;0,0.5,NA()),NA()))</f>
        <v>0</v>
      </c>
      <c r="AX135" s="5">
        <f>IF(AX$93=0,NA(),IF(ISNUMBER(INDEX($D$108:$AD$108,AX$93)),IF(ROUND(INDEX($D$108:$AD$108,AX$93)/1000,1)&gt;0,0.5,NA()),NA()))</f>
        <v>0</v>
      </c>
      <c r="AY135" s="5">
        <f>IF(AY$93=0,NA(),IF(ISNUMBER(INDEX($D$108:$AD$108,AY$93)),IF(ROUND(INDEX($D$108:$AD$108,AY$93)/1000,1)&gt;0,0.5,NA()),NA()))</f>
        <v>0</v>
      </c>
      <c r="AZ135" s="5">
        <f>IF(AZ$93=0,NA(),IF(ISNUMBER(INDEX($D$108:$AD$108,AZ$93)),IF(ROUND(INDEX($D$108:$AD$108,AZ$93)/1000,1)&gt;0,0.5,NA()),NA()))</f>
        <v>0</v>
      </c>
      <c r="BA135" s="5">
        <f>IF(BA$93=0,NA(),IF(ISNUMBER(INDEX($D$108:$AD$108,BA$93)),IF(ROUND(INDEX($D$108:$AD$108,BA$93)/1000,1)&gt;0,0.5,NA()),NA()))</f>
        <v>0</v>
      </c>
      <c r="BB135" s="5">
        <f>IF(BB$93=0,NA(),IF(ISNUMBER(INDEX($D$108:$AD$108,BB$93)),IF(ROUND(INDEX($D$108:$AD$108,BB$93)/1000,1)&gt;0,0.5,NA()),NA()))</f>
        <v>0</v>
      </c>
      <c r="BC135" s="5">
        <f>IF(BC$93=0,NA(),IF(ISNUMBER(INDEX($D$108:$AD$108,BC$93)),IF(ROUND(INDEX($D$108:$AD$108,BC$93)/1000,1)&gt;0,0.5,NA()),NA()))</f>
        <v>0</v>
      </c>
      <c r="BD135" s="5">
        <f>IF(BD$93=0,NA(),IF(ISNUMBER(INDEX($D$108:$AD$108,BD$93)),IF(ROUND(INDEX($D$108:$AD$108,BD$93)/1000,1)&gt;0,0.5,NA()),NA()))</f>
        <v>0</v>
      </c>
      <c r="BE135" s="5">
        <f>IF(BE$93=0,NA(),IF(ISNUMBER(INDEX($D$108:$AD$108,BE$93)),IF(ROUND(INDEX($D$108:$AD$108,BE$93)/1000,1)&gt;0,0.5,NA()),NA()))</f>
        <v>0</v>
      </c>
      <c r="BF135" s="5">
        <f>IF(BF$93=0,NA(),IF(ISNUMBER(INDEX($D$108:$AD$108,BF$93)),IF(ROUND(INDEX($D$108:$AD$108,BF$93)/1000,1)&gt;0,0.5,NA()),NA()))</f>
        <v>0</v>
      </c>
      <c r="BG135" s="5">
        <f>IF(BG$93=0,NA(),IF(ISNUMBER(INDEX($D$108:$AD$108,BG$93)),IF(ROUND(INDEX($D$108:$AD$108,BG$93)/1000,1)&gt;0,0.5,NA()),NA()))</f>
        <v>0</v>
      </c>
      <c r="BH135" s="5">
        <f>IF(BH$93=0,NA(),IF(ISNUMBER(INDEX($D$108:$AD$108,BH$93)),IF(ROUND(INDEX($D$108:$AD$108,BH$93)/1000,1)&gt;0,0.5,NA()),NA()))</f>
        <v>0</v>
      </c>
      <c r="BI135" s="5">
        <f>IF(BI$93=0,NA(),IF(ISNUMBER(INDEX($D$108:$AD$108,BI$93)),IF(ROUND(INDEX($D$108:$AD$108,BI$93)/1000,1)&gt;0,0.5,NA()),NA()))</f>
        <v>0</v>
      </c>
      <c r="BJ135" s="5">
        <f>IF(BJ$93=0,NA(),IF(ISNUMBER(INDEX($D$108:$AD$108,BJ$93)),IF(ROUND(INDEX($D$108:$AD$108,BJ$93)/1000,1)&gt;0,0.5,NA()),NA()))</f>
        <v>0</v>
      </c>
      <c r="BK135" s="5">
        <f>IF(BK$93=0,NA(),IF(ISNUMBER(INDEX($D$108:$AD$108,BK$93)),IF(ROUND(INDEX($D$108:$AD$108,BK$93)/1000,1)&gt;0,0.5,NA()),NA()))</f>
        <v>0</v>
      </c>
      <c r="BL135" s="5">
        <f>IF(BL$93=0,NA(),IF(ISNUMBER(INDEX($D$108:$AD$108,BL$93)),IF(ROUND(INDEX($D$108:$AD$108,BL$93)/1000,1)&gt;0,0.5,NA()),NA()))</f>
        <v>0</v>
      </c>
      <c r="BM135" s="5">
        <f>IF(BM$93=0,NA(),IF(ISNUMBER(INDEX($D$108:$AD$108,BM$93)),IF(ROUND(INDEX($D$108:$AD$108,BM$93)/1000,1)&gt;0,0.5,NA()),NA()))</f>
        <v>0</v>
      </c>
      <c r="BN135" s="5">
        <f>IF(BN$93=0,NA(),IF(ISNUMBER(INDEX($D$108:$AD$108,BN$93)),IF(ROUND(INDEX($D$108:$AD$108,BN$93)/1000,1)&gt;0,0.5,NA()),NA()))</f>
        <v>0</v>
      </c>
      <c r="BO135" s="5">
        <f>IF(BO$93=0,NA(),IF(ISNUMBER(INDEX($D$108:$AD$108,BO$93)),IF(ROUND(INDEX($D$108:$AD$108,BO$93)/1000,1)&gt;0,0.5,NA()),NA()))</f>
        <v>0</v>
      </c>
      <c r="BP135" s="5">
        <f>IF(BP$93=0,NA(),IF(ISNUMBER(INDEX($D$108:$AD$108,BP$93)),IF(ROUND(INDEX($D$108:$AD$108,BP$93)/1000,1)&gt;0,0.5,NA()),NA()))</f>
        <v>0</v>
      </c>
    </row>
    <row r="136" spans="1:68">
      <c r="A136" s="11" t="s">
        <v>335</v>
      </c>
      <c r="B136" s="11" t="s">
        <v>336</v>
      </c>
      <c r="C136" s="3" t="s">
        <v>144</v>
      </c>
      <c r="AQ136" s="5">
        <f>IF(AQ$93=0,NA(),IF(ISNUMBER(INDEX($D$108:$AD$108,AQ$93)),IF(ROUND(INDEX($D$108:$AD$108,AQ$93)/1000,1)&lt;0,0.5,NA()),NA()))</f>
        <v>0</v>
      </c>
      <c r="AR136" s="5">
        <f>IF(AR$93=0,NA(),IF(ISNUMBER(INDEX($D$108:$AD$108,AR$93)),IF(ROUND(INDEX($D$108:$AD$108,AR$93)/1000,1)&lt;0,0.5,NA()),NA()))</f>
        <v>0</v>
      </c>
      <c r="AS136" s="5">
        <f>IF(AS$93=0,NA(),IF(ISNUMBER(INDEX($D$108:$AD$108,AS$93)),IF(ROUND(INDEX($D$108:$AD$108,AS$93)/1000,1)&lt;0,0.5,NA()),NA()))</f>
        <v>0</v>
      </c>
      <c r="AT136" s="5">
        <f>IF(AT$93=0,NA(),IF(ISNUMBER(INDEX($D$108:$AD$108,AT$93)),IF(ROUND(INDEX($D$108:$AD$108,AT$93)/1000,1)&lt;0,0.5,NA()),NA()))</f>
        <v>0</v>
      </c>
      <c r="AU136" s="5">
        <f>IF(AU$93=0,NA(),IF(ISNUMBER(INDEX($D$108:$AD$108,AU$93)),IF(ROUND(INDEX($D$108:$AD$108,AU$93)/1000,1)&lt;0,0.5,NA()),NA()))</f>
        <v>0</v>
      </c>
      <c r="AV136" s="5">
        <f>IF(AV$93=0,NA(),IF(ISNUMBER(INDEX($D$108:$AD$108,AV$93)),IF(ROUND(INDEX($D$108:$AD$108,AV$93)/1000,1)&lt;0,0.5,NA()),NA()))</f>
        <v>0</v>
      </c>
      <c r="AW136" s="5">
        <f>IF(AW$93=0,NA(),IF(ISNUMBER(INDEX($D$108:$AD$108,AW$93)),IF(ROUND(INDEX($D$108:$AD$108,AW$93)/1000,1)&lt;0,0.5,NA()),NA()))</f>
        <v>0</v>
      </c>
      <c r="AX136" s="5">
        <f>IF(AX$93=0,NA(),IF(ISNUMBER(INDEX($D$108:$AD$108,AX$93)),IF(ROUND(INDEX($D$108:$AD$108,AX$93)/1000,1)&lt;0,0.5,NA()),NA()))</f>
        <v>0</v>
      </c>
      <c r="AY136" s="5">
        <f>IF(AY$93=0,NA(),IF(ISNUMBER(INDEX($D$108:$AD$108,AY$93)),IF(ROUND(INDEX($D$108:$AD$108,AY$93)/1000,1)&lt;0,0.5,NA()),NA()))</f>
        <v>0</v>
      </c>
      <c r="AZ136" s="5">
        <f>IF(AZ$93=0,NA(),IF(ISNUMBER(INDEX($D$108:$AD$108,AZ$93)),IF(ROUND(INDEX($D$108:$AD$108,AZ$93)/1000,1)&lt;0,0.5,NA()),NA()))</f>
        <v>0</v>
      </c>
      <c r="BA136" s="5">
        <f>IF(BA$93=0,NA(),IF(ISNUMBER(INDEX($D$108:$AD$108,BA$93)),IF(ROUND(INDEX($D$108:$AD$108,BA$93)/1000,1)&lt;0,0.5,NA()),NA()))</f>
        <v>0</v>
      </c>
      <c r="BB136" s="5">
        <f>IF(BB$93=0,NA(),IF(ISNUMBER(INDEX($D$108:$AD$108,BB$93)),IF(ROUND(INDEX($D$108:$AD$108,BB$93)/1000,1)&lt;0,0.5,NA()),NA()))</f>
        <v>0</v>
      </c>
      <c r="BC136" s="5">
        <f>IF(BC$93=0,NA(),IF(ISNUMBER(INDEX($D$108:$AD$108,BC$93)),IF(ROUND(INDEX($D$108:$AD$108,BC$93)/1000,1)&lt;0,0.5,NA()),NA()))</f>
        <v>0</v>
      </c>
      <c r="BD136" s="5">
        <f>IF(BD$93=0,NA(),IF(ISNUMBER(INDEX($D$108:$AD$108,BD$93)),IF(ROUND(INDEX($D$108:$AD$108,BD$93)/1000,1)&lt;0,0.5,NA()),NA()))</f>
        <v>0</v>
      </c>
      <c r="BE136" s="5">
        <f>IF(BE$93=0,NA(),IF(ISNUMBER(INDEX($D$108:$AD$108,BE$93)),IF(ROUND(INDEX($D$108:$AD$108,BE$93)/1000,1)&lt;0,0.5,NA()),NA()))</f>
        <v>0</v>
      </c>
      <c r="BF136" s="5">
        <f>IF(BF$93=0,NA(),IF(ISNUMBER(INDEX($D$108:$AD$108,BF$93)),IF(ROUND(INDEX($D$108:$AD$108,BF$93)/1000,1)&lt;0,0.5,NA()),NA()))</f>
        <v>0</v>
      </c>
      <c r="BG136" s="5">
        <f>IF(BG$93=0,NA(),IF(ISNUMBER(INDEX($D$108:$AD$108,BG$93)),IF(ROUND(INDEX($D$108:$AD$108,BG$93)/1000,1)&lt;0,0.5,NA()),NA()))</f>
        <v>0</v>
      </c>
      <c r="BH136" s="5">
        <f>IF(BH$93=0,NA(),IF(ISNUMBER(INDEX($D$108:$AD$108,BH$93)),IF(ROUND(INDEX($D$108:$AD$108,BH$93)/1000,1)&lt;0,0.5,NA()),NA()))</f>
        <v>0</v>
      </c>
      <c r="BI136" s="5">
        <f>IF(BI$93=0,NA(),IF(ISNUMBER(INDEX($D$108:$AD$108,BI$93)),IF(ROUND(INDEX($D$108:$AD$108,BI$93)/1000,1)&lt;0,0.5,NA()),NA()))</f>
        <v>0</v>
      </c>
      <c r="BJ136" s="5">
        <f>IF(BJ$93=0,NA(),IF(ISNUMBER(INDEX($D$108:$AD$108,BJ$93)),IF(ROUND(INDEX($D$108:$AD$108,BJ$93)/1000,1)&lt;0,0.5,NA()),NA()))</f>
        <v>0</v>
      </c>
      <c r="BK136" s="5">
        <f>IF(BK$93=0,NA(),IF(ISNUMBER(INDEX($D$108:$AD$108,BK$93)),IF(ROUND(INDEX($D$108:$AD$108,BK$93)/1000,1)&lt;0,0.5,NA()),NA()))</f>
        <v>0</v>
      </c>
      <c r="BL136" s="5">
        <f>IF(BL$93=0,NA(),IF(ISNUMBER(INDEX($D$108:$AD$108,BL$93)),IF(ROUND(INDEX($D$108:$AD$108,BL$93)/1000,1)&lt;0,0.5,NA()),NA()))</f>
        <v>0</v>
      </c>
      <c r="BM136" s="5">
        <f>IF(BM$93=0,NA(),IF(ISNUMBER(INDEX($D$108:$AD$108,BM$93)),IF(ROUND(INDEX($D$108:$AD$108,BM$93)/1000,1)&lt;0,0.5,NA()),NA()))</f>
        <v>0</v>
      </c>
      <c r="BN136" s="5">
        <f>IF(BN$93=0,NA(),IF(ISNUMBER(INDEX($D$108:$AD$108,BN$93)),IF(ROUND(INDEX($D$108:$AD$108,BN$93)/1000,1)&lt;0,0.5,NA()),NA()))</f>
        <v>0</v>
      </c>
      <c r="BO136" s="5">
        <f>IF(BO$93=0,NA(),IF(ISNUMBER(INDEX($D$108:$AD$108,BO$93)),IF(ROUND(INDEX($D$108:$AD$108,BO$93)/1000,1)&lt;0,0.5,NA()),NA()))</f>
        <v>0</v>
      </c>
      <c r="BP136" s="5">
        <f>IF(BP$93=0,NA(),IF(ISNUMBER(INDEX($D$108:$AD$108,BP$93)),IF(ROUND(INDEX($D$108:$AD$108,BP$93)/1000,1)&lt;0,0.5,NA()),NA()))</f>
        <v>0</v>
      </c>
    </row>
    <row r="137" spans="1:68">
      <c r="A137" s="11" t="s">
        <v>337</v>
      </c>
      <c r="B137" s="11" t="s">
        <v>338</v>
      </c>
      <c r="C137" s="3" t="s">
        <v>144</v>
      </c>
      <c r="AQ137" s="5">
        <f>IF(AQ$93=0,NA(),IF(ISNUMBER(INDEX($D$108:$AD$108,AQ$93)),IF(ROUND(INDEX($D$108:$AD$108,AQ$93)/1000,1)=0,0.5,NA()),NA()))</f>
        <v>0</v>
      </c>
      <c r="AR137" s="5">
        <f>IF(AR$93=0,NA(),IF(ISNUMBER(INDEX($D$108:$AD$108,AR$93)),IF(ROUND(INDEX($D$108:$AD$108,AR$93)/1000,1)=0,0.5,NA()),NA()))</f>
        <v>0</v>
      </c>
      <c r="AS137" s="5">
        <f>IF(AS$93=0,NA(),IF(ISNUMBER(INDEX($D$108:$AD$108,AS$93)),IF(ROUND(INDEX($D$108:$AD$108,AS$93)/1000,1)=0,0.5,NA()),NA()))</f>
        <v>0</v>
      </c>
      <c r="AT137" s="5">
        <f>IF(AT$93=0,NA(),IF(ISNUMBER(INDEX($D$108:$AD$108,AT$93)),IF(ROUND(INDEX($D$108:$AD$108,AT$93)/1000,1)=0,0.5,NA()),NA()))</f>
        <v>0</v>
      </c>
      <c r="AU137" s="5">
        <f>IF(AU$93=0,NA(),IF(ISNUMBER(INDEX($D$108:$AD$108,AU$93)),IF(ROUND(INDEX($D$108:$AD$108,AU$93)/1000,1)=0,0.5,NA()),NA()))</f>
        <v>0</v>
      </c>
      <c r="AV137" s="5">
        <f>IF(AV$93=0,NA(),IF(ISNUMBER(INDEX($D$108:$AD$108,AV$93)),IF(ROUND(INDEX($D$108:$AD$108,AV$93)/1000,1)=0,0.5,NA()),NA()))</f>
        <v>0</v>
      </c>
      <c r="AW137" s="5">
        <f>IF(AW$93=0,NA(),IF(ISNUMBER(INDEX($D$108:$AD$108,AW$93)),IF(ROUND(INDEX($D$108:$AD$108,AW$93)/1000,1)=0,0.5,NA()),NA()))</f>
        <v>0</v>
      </c>
      <c r="AX137" s="5">
        <f>IF(AX$93=0,NA(),IF(ISNUMBER(INDEX($D$108:$AD$108,AX$93)),IF(ROUND(INDEX($D$108:$AD$108,AX$93)/1000,1)=0,0.5,NA()),NA()))</f>
        <v>0</v>
      </c>
      <c r="AY137" s="5">
        <f>IF(AY$93=0,NA(),IF(ISNUMBER(INDEX($D$108:$AD$108,AY$93)),IF(ROUND(INDEX($D$108:$AD$108,AY$93)/1000,1)=0,0.5,NA()),NA()))</f>
        <v>0</v>
      </c>
      <c r="AZ137" s="5">
        <f>IF(AZ$93=0,NA(),IF(ISNUMBER(INDEX($D$108:$AD$108,AZ$93)),IF(ROUND(INDEX($D$108:$AD$108,AZ$93)/1000,1)=0,0.5,NA()),NA()))</f>
        <v>0</v>
      </c>
      <c r="BA137" s="5">
        <f>IF(BA$93=0,NA(),IF(ISNUMBER(INDEX($D$108:$AD$108,BA$93)),IF(ROUND(INDEX($D$108:$AD$108,BA$93)/1000,1)=0,0.5,NA()),NA()))</f>
        <v>0</v>
      </c>
      <c r="BB137" s="5">
        <f>IF(BB$93=0,NA(),IF(ISNUMBER(INDEX($D$108:$AD$108,BB$93)),IF(ROUND(INDEX($D$108:$AD$108,BB$93)/1000,1)=0,0.5,NA()),NA()))</f>
        <v>0</v>
      </c>
      <c r="BC137" s="5">
        <f>IF(BC$93=0,NA(),IF(ISNUMBER(INDEX($D$108:$AD$108,BC$93)),IF(ROUND(INDEX($D$108:$AD$108,BC$93)/1000,1)=0,0.5,NA()),NA()))</f>
        <v>0</v>
      </c>
      <c r="BD137" s="5">
        <f>IF(BD$93=0,NA(),IF(ISNUMBER(INDEX($D$108:$AD$108,BD$93)),IF(ROUND(INDEX($D$108:$AD$108,BD$93)/1000,1)=0,0.5,NA()),NA()))</f>
        <v>0</v>
      </c>
      <c r="BE137" s="5">
        <f>IF(BE$93=0,NA(),IF(ISNUMBER(INDEX($D$108:$AD$108,BE$93)),IF(ROUND(INDEX($D$108:$AD$108,BE$93)/1000,1)=0,0.5,NA()),NA()))</f>
        <v>0</v>
      </c>
      <c r="BF137" s="5">
        <f>IF(BF$93=0,NA(),IF(ISNUMBER(INDEX($D$108:$AD$108,BF$93)),IF(ROUND(INDEX($D$108:$AD$108,BF$93)/1000,1)=0,0.5,NA()),NA()))</f>
        <v>0</v>
      </c>
      <c r="BG137" s="5">
        <f>IF(BG$93=0,NA(),IF(ISNUMBER(INDEX($D$108:$AD$108,BG$93)),IF(ROUND(INDEX($D$108:$AD$108,BG$93)/1000,1)=0,0.5,NA()),NA()))</f>
        <v>0</v>
      </c>
      <c r="BH137" s="5">
        <f>IF(BH$93=0,NA(),IF(ISNUMBER(INDEX($D$108:$AD$108,BH$93)),IF(ROUND(INDEX($D$108:$AD$108,BH$93)/1000,1)=0,0.5,NA()),NA()))</f>
        <v>0</v>
      </c>
      <c r="BI137" s="5">
        <f>IF(BI$93=0,NA(),IF(ISNUMBER(INDEX($D$108:$AD$108,BI$93)),IF(ROUND(INDEX($D$108:$AD$108,BI$93)/1000,1)=0,0.5,NA()),NA()))</f>
        <v>0</v>
      </c>
      <c r="BJ137" s="5">
        <f>IF(BJ$93=0,NA(),IF(ISNUMBER(INDEX($D$108:$AD$108,BJ$93)),IF(ROUND(INDEX($D$108:$AD$108,BJ$93)/1000,1)=0,0.5,NA()),NA()))</f>
        <v>0</v>
      </c>
      <c r="BK137" s="5">
        <f>IF(BK$93=0,NA(),IF(ISNUMBER(INDEX($D$108:$AD$108,BK$93)),IF(ROUND(INDEX($D$108:$AD$108,BK$93)/1000,1)=0,0.5,NA()),NA()))</f>
        <v>0</v>
      </c>
      <c r="BL137" s="5">
        <f>IF(BL$93=0,NA(),IF(ISNUMBER(INDEX($D$108:$AD$108,BL$93)),IF(ROUND(INDEX($D$108:$AD$108,BL$93)/1000,1)=0,0.5,NA()),NA()))</f>
        <v>0</v>
      </c>
      <c r="BM137" s="5">
        <f>IF(BM$93=0,NA(),IF(ISNUMBER(INDEX($D$108:$AD$108,BM$93)),IF(ROUND(INDEX($D$108:$AD$108,BM$93)/1000,1)=0,0.5,NA()),NA()))</f>
        <v>0</v>
      </c>
      <c r="BN137" s="5">
        <f>IF(BN$93=0,NA(),IF(ISNUMBER(INDEX($D$108:$AD$108,BN$93)),IF(ROUND(INDEX($D$108:$AD$108,BN$93)/1000,1)=0,0.5,NA()),NA()))</f>
        <v>0</v>
      </c>
      <c r="BO137" s="5">
        <f>IF(BO$93=0,NA(),IF(ISNUMBER(INDEX($D$108:$AD$108,BO$93)),IF(ROUND(INDEX($D$108:$AD$108,BO$93)/1000,1)=0,0.5,NA()),NA()))</f>
        <v>0</v>
      </c>
      <c r="BP137" s="5">
        <f>IF(BP$93=0,NA(),IF(ISNUMBER(INDEX($D$108:$AD$108,BP$93)),IF(ROUND(INDEX($D$108:$AD$108,BP$93)/1000,1)=0,0.5,NA()),NA()))</f>
        <v>0</v>
      </c>
    </row>
    <row r="138" spans="1:68">
      <c r="A138" s="11" t="s">
        <v>339</v>
      </c>
      <c r="B138" s="11" t="s">
        <v>340</v>
      </c>
      <c r="C138" s="3" t="s">
        <v>144</v>
      </c>
      <c r="AQ138" s="11">
        <f>IF(AQ$93=0,"",IF(ISNUMBER(INDEX($D$108:$AD$108,AQ$93)),IF(ROUND(INDEX($D$108:$AD$108,AQ$93)/1000,1)&gt;0,"+"&amp;FIXED(ROUND(INDEX($D$108:$AD$108,AQ$93)/1000,1),1),IF(ROUND(INDEX($D$108:$AD$108,AQ$93)/1000,1)&lt;0,"−"&amp;FIXED(-ROUND(INDEX($D$108:$AD$108,AQ$93)/1000,1),1),"±0")),""))</f>
        <v>0</v>
      </c>
      <c r="AR138" s="11">
        <f>IF(AR$93=0,"",IF(ISNUMBER(INDEX($D$108:$AD$108,AR$93)),IF(ROUND(INDEX($D$108:$AD$108,AR$93)/1000,1)&gt;0,"+"&amp;FIXED(ROUND(INDEX($D$108:$AD$108,AR$93)/1000,1),1),IF(ROUND(INDEX($D$108:$AD$108,AR$93)/1000,1)&lt;0,"−"&amp;FIXED(-ROUND(INDEX($D$108:$AD$108,AR$93)/1000,1),1),"±0")),""))</f>
        <v>0</v>
      </c>
      <c r="AS138" s="11">
        <f>IF(AS$93=0,"",IF(ISNUMBER(INDEX($D$108:$AD$108,AS$93)),IF(ROUND(INDEX($D$108:$AD$108,AS$93)/1000,1)&gt;0,"+"&amp;FIXED(ROUND(INDEX($D$108:$AD$108,AS$93)/1000,1),1),IF(ROUND(INDEX($D$108:$AD$108,AS$93)/1000,1)&lt;0,"−"&amp;FIXED(-ROUND(INDEX($D$108:$AD$108,AS$93)/1000,1),1),"±0")),""))</f>
        <v>0</v>
      </c>
      <c r="AT138" s="11">
        <f>IF(AT$93=0,"",IF(ISNUMBER(INDEX($D$108:$AD$108,AT$93)),IF(ROUND(INDEX($D$108:$AD$108,AT$93)/1000,1)&gt;0,"+"&amp;FIXED(ROUND(INDEX($D$108:$AD$108,AT$93)/1000,1),1),IF(ROUND(INDEX($D$108:$AD$108,AT$93)/1000,1)&lt;0,"−"&amp;FIXED(-ROUND(INDEX($D$108:$AD$108,AT$93)/1000,1),1),"±0")),""))</f>
        <v>0</v>
      </c>
      <c r="AU138" s="11">
        <f>IF(AU$93=0,"",IF(ISNUMBER(INDEX($D$108:$AD$108,AU$93)),IF(ROUND(INDEX($D$108:$AD$108,AU$93)/1000,1)&gt;0,"+"&amp;FIXED(ROUND(INDEX($D$108:$AD$108,AU$93)/1000,1),1),IF(ROUND(INDEX($D$108:$AD$108,AU$93)/1000,1)&lt;0,"−"&amp;FIXED(-ROUND(INDEX($D$108:$AD$108,AU$93)/1000,1),1),"±0")),""))</f>
        <v>0</v>
      </c>
      <c r="AV138" s="11">
        <f>IF(AV$93=0,"",IF(ISNUMBER(INDEX($D$108:$AD$108,AV$93)),IF(ROUND(INDEX($D$108:$AD$108,AV$93)/1000,1)&gt;0,"+"&amp;FIXED(ROUND(INDEX($D$108:$AD$108,AV$93)/1000,1),1),IF(ROUND(INDEX($D$108:$AD$108,AV$93)/1000,1)&lt;0,"−"&amp;FIXED(-ROUND(INDEX($D$108:$AD$108,AV$93)/1000,1),1),"±0")),""))</f>
        <v>0</v>
      </c>
      <c r="AW138" s="11">
        <f>IF(AW$93=0,"",IF(ISNUMBER(INDEX($D$108:$AD$108,AW$93)),IF(ROUND(INDEX($D$108:$AD$108,AW$93)/1000,1)&gt;0,"+"&amp;FIXED(ROUND(INDEX($D$108:$AD$108,AW$93)/1000,1),1),IF(ROUND(INDEX($D$108:$AD$108,AW$93)/1000,1)&lt;0,"−"&amp;FIXED(-ROUND(INDEX($D$108:$AD$108,AW$93)/1000,1),1),"±0")),""))</f>
        <v>0</v>
      </c>
      <c r="AX138" s="11">
        <f>IF(AX$93=0,"",IF(ISNUMBER(INDEX($D$108:$AD$108,AX$93)),IF(ROUND(INDEX($D$108:$AD$108,AX$93)/1000,1)&gt;0,"+"&amp;FIXED(ROUND(INDEX($D$108:$AD$108,AX$93)/1000,1),1),IF(ROUND(INDEX($D$108:$AD$108,AX$93)/1000,1)&lt;0,"−"&amp;FIXED(-ROUND(INDEX($D$108:$AD$108,AX$93)/1000,1),1),"±0")),""))</f>
        <v>0</v>
      </c>
      <c r="AY138" s="11">
        <f>IF(AY$93=0,"",IF(ISNUMBER(INDEX($D$108:$AD$108,AY$93)),IF(ROUND(INDEX($D$108:$AD$108,AY$93)/1000,1)&gt;0,"+"&amp;FIXED(ROUND(INDEX($D$108:$AD$108,AY$93)/1000,1),1),IF(ROUND(INDEX($D$108:$AD$108,AY$93)/1000,1)&lt;0,"−"&amp;FIXED(-ROUND(INDEX($D$108:$AD$108,AY$93)/1000,1),1),"±0")),""))</f>
        <v>0</v>
      </c>
      <c r="AZ138" s="11">
        <f>IF(AZ$93=0,"",IF(ISNUMBER(INDEX($D$108:$AD$108,AZ$93)),IF(ROUND(INDEX($D$108:$AD$108,AZ$93)/1000,1)&gt;0,"+"&amp;FIXED(ROUND(INDEX($D$108:$AD$108,AZ$93)/1000,1),1),IF(ROUND(INDEX($D$108:$AD$108,AZ$93)/1000,1)&lt;0,"−"&amp;FIXED(-ROUND(INDEX($D$108:$AD$108,AZ$93)/1000,1),1),"±0")),""))</f>
        <v>0</v>
      </c>
      <c r="BA138" s="11">
        <f>IF(BA$93=0,"",IF(ISNUMBER(INDEX($D$108:$AD$108,BA$93)),IF(ROUND(INDEX($D$108:$AD$108,BA$93)/1000,1)&gt;0,"+"&amp;FIXED(ROUND(INDEX($D$108:$AD$108,BA$93)/1000,1),1),IF(ROUND(INDEX($D$108:$AD$108,BA$93)/1000,1)&lt;0,"−"&amp;FIXED(-ROUND(INDEX($D$108:$AD$108,BA$93)/1000,1),1),"±0")),""))</f>
        <v>0</v>
      </c>
      <c r="BB138" s="11">
        <f>IF(BB$93=0,"",IF(ISNUMBER(INDEX($D$108:$AD$108,BB$93)),IF(ROUND(INDEX($D$108:$AD$108,BB$93)/1000,1)&gt;0,"+"&amp;FIXED(ROUND(INDEX($D$108:$AD$108,BB$93)/1000,1),1),IF(ROUND(INDEX($D$108:$AD$108,BB$93)/1000,1)&lt;0,"−"&amp;FIXED(-ROUND(INDEX($D$108:$AD$108,BB$93)/1000,1),1),"±0")),""))</f>
        <v>0</v>
      </c>
      <c r="BC138" s="11">
        <f>IF(BC$93=0,"",IF(ISNUMBER(INDEX($D$108:$AD$108,BC$93)),IF(ROUND(INDEX($D$108:$AD$108,BC$93)/1000,1)&gt;0,"+"&amp;FIXED(ROUND(INDEX($D$108:$AD$108,BC$93)/1000,1),1),IF(ROUND(INDEX($D$108:$AD$108,BC$93)/1000,1)&lt;0,"−"&amp;FIXED(-ROUND(INDEX($D$108:$AD$108,BC$93)/1000,1),1),"±0")),""))</f>
        <v>0</v>
      </c>
      <c r="BD138" s="11">
        <f>IF(BD$93=0,"",IF(ISNUMBER(INDEX($D$108:$AD$108,BD$93)),IF(ROUND(INDEX($D$108:$AD$108,BD$93)/1000,1)&gt;0,"+"&amp;FIXED(ROUND(INDEX($D$108:$AD$108,BD$93)/1000,1),1),IF(ROUND(INDEX($D$108:$AD$108,BD$93)/1000,1)&lt;0,"−"&amp;FIXED(-ROUND(INDEX($D$108:$AD$108,BD$93)/1000,1),1),"±0")),""))</f>
        <v>0</v>
      </c>
      <c r="BE138" s="11">
        <f>IF(BE$93=0,"",IF(ISNUMBER(INDEX($D$108:$AD$108,BE$93)),IF(ROUND(INDEX($D$108:$AD$108,BE$93)/1000,1)&gt;0,"+"&amp;FIXED(ROUND(INDEX($D$108:$AD$108,BE$93)/1000,1),1),IF(ROUND(INDEX($D$108:$AD$108,BE$93)/1000,1)&lt;0,"−"&amp;FIXED(-ROUND(INDEX($D$108:$AD$108,BE$93)/1000,1),1),"±0")),""))</f>
        <v>0</v>
      </c>
      <c r="BF138" s="11">
        <f>IF(BF$93=0,"",IF(ISNUMBER(INDEX($D$108:$AD$108,BF$93)),IF(ROUND(INDEX($D$108:$AD$108,BF$93)/1000,1)&gt;0,"+"&amp;FIXED(ROUND(INDEX($D$108:$AD$108,BF$93)/1000,1),1),IF(ROUND(INDEX($D$108:$AD$108,BF$93)/1000,1)&lt;0,"−"&amp;FIXED(-ROUND(INDEX($D$108:$AD$108,BF$93)/1000,1),1),"±0")),""))</f>
        <v>0</v>
      </c>
      <c r="BG138" s="11">
        <f>IF(BG$93=0,"",IF(ISNUMBER(INDEX($D$108:$AD$108,BG$93)),IF(ROUND(INDEX($D$108:$AD$108,BG$93)/1000,1)&gt;0,"+"&amp;FIXED(ROUND(INDEX($D$108:$AD$108,BG$93)/1000,1),1),IF(ROUND(INDEX($D$108:$AD$108,BG$93)/1000,1)&lt;0,"−"&amp;FIXED(-ROUND(INDEX($D$108:$AD$108,BG$93)/1000,1),1),"±0")),""))</f>
        <v>0</v>
      </c>
      <c r="BH138" s="11">
        <f>IF(BH$93=0,"",IF(ISNUMBER(INDEX($D$108:$AD$108,BH$93)),IF(ROUND(INDEX($D$108:$AD$108,BH$93)/1000,1)&gt;0,"+"&amp;FIXED(ROUND(INDEX($D$108:$AD$108,BH$93)/1000,1),1),IF(ROUND(INDEX($D$108:$AD$108,BH$93)/1000,1)&lt;0,"−"&amp;FIXED(-ROUND(INDEX($D$108:$AD$108,BH$93)/1000,1),1),"±0")),""))</f>
        <v>0</v>
      </c>
      <c r="BI138" s="11">
        <f>IF(BI$93=0,"",IF(ISNUMBER(INDEX($D$108:$AD$108,BI$93)),IF(ROUND(INDEX($D$108:$AD$108,BI$93)/1000,1)&gt;0,"+"&amp;FIXED(ROUND(INDEX($D$108:$AD$108,BI$93)/1000,1),1),IF(ROUND(INDEX($D$108:$AD$108,BI$93)/1000,1)&lt;0,"−"&amp;FIXED(-ROUND(INDEX($D$108:$AD$108,BI$93)/1000,1),1),"±0")),""))</f>
        <v>0</v>
      </c>
      <c r="BJ138" s="11">
        <f>IF(BJ$93=0,"",IF(ISNUMBER(INDEX($D$108:$AD$108,BJ$93)),IF(ROUND(INDEX($D$108:$AD$108,BJ$93)/1000,1)&gt;0,"+"&amp;FIXED(ROUND(INDEX($D$108:$AD$108,BJ$93)/1000,1),1),IF(ROUND(INDEX($D$108:$AD$108,BJ$93)/1000,1)&lt;0,"−"&amp;FIXED(-ROUND(INDEX($D$108:$AD$108,BJ$93)/1000,1),1),"±0")),""))</f>
        <v>0</v>
      </c>
      <c r="BK138" s="11">
        <f>IF(BK$93=0,"",IF(ISNUMBER(INDEX($D$108:$AD$108,BK$93)),IF(ROUND(INDEX($D$108:$AD$108,BK$93)/1000,1)&gt;0,"+"&amp;FIXED(ROUND(INDEX($D$108:$AD$108,BK$93)/1000,1),1),IF(ROUND(INDEX($D$108:$AD$108,BK$93)/1000,1)&lt;0,"−"&amp;FIXED(-ROUND(INDEX($D$108:$AD$108,BK$93)/1000,1),1),"±0")),""))</f>
        <v>0</v>
      </c>
      <c r="BL138" s="11">
        <f>IF(BL$93=0,"",IF(ISNUMBER(INDEX($D$108:$AD$108,BL$93)),IF(ROUND(INDEX($D$108:$AD$108,BL$93)/1000,1)&gt;0,"+"&amp;FIXED(ROUND(INDEX($D$108:$AD$108,BL$93)/1000,1),1),IF(ROUND(INDEX($D$108:$AD$108,BL$93)/1000,1)&lt;0,"−"&amp;FIXED(-ROUND(INDEX($D$108:$AD$108,BL$93)/1000,1),1),"±0")),""))</f>
        <v>0</v>
      </c>
      <c r="BM138" s="11">
        <f>IF(BM$93=0,"",IF(ISNUMBER(INDEX($D$108:$AD$108,BM$93)),IF(ROUND(INDEX($D$108:$AD$108,BM$93)/1000,1)&gt;0,"+"&amp;FIXED(ROUND(INDEX($D$108:$AD$108,BM$93)/1000,1),1),IF(ROUND(INDEX($D$108:$AD$108,BM$93)/1000,1)&lt;0,"−"&amp;FIXED(-ROUND(INDEX($D$108:$AD$108,BM$93)/1000,1),1),"±0")),""))</f>
        <v>0</v>
      </c>
      <c r="BN138" s="11">
        <f>IF(BN$93=0,"",IF(ISNUMBER(INDEX($D$108:$AD$108,BN$93)),IF(ROUND(INDEX($D$108:$AD$108,BN$93)/1000,1)&gt;0,"+"&amp;FIXED(ROUND(INDEX($D$108:$AD$108,BN$93)/1000,1),1),IF(ROUND(INDEX($D$108:$AD$108,BN$93)/1000,1)&lt;0,"−"&amp;FIXED(-ROUND(INDEX($D$108:$AD$108,BN$93)/1000,1),1),"±0")),""))</f>
        <v>0</v>
      </c>
      <c r="BO138" s="11">
        <f>IF(BO$93=0,"",IF(ISNUMBER(INDEX($D$108:$AD$108,BO$93)),IF(ROUND(INDEX($D$108:$AD$108,BO$93)/1000,1)&gt;0,"+"&amp;FIXED(ROUND(INDEX($D$108:$AD$108,BO$93)/1000,1),1),IF(ROUND(INDEX($D$108:$AD$108,BO$93)/1000,1)&lt;0,"−"&amp;FIXED(-ROUND(INDEX($D$108:$AD$108,BO$93)/1000,1),1),"±0")),""))</f>
        <v>0</v>
      </c>
      <c r="BP138" s="11">
        <f>IF(BP$93=0,"",IF(ISNUMBER(INDEX($D$108:$AD$108,BP$93)),IF(ROUND(INDEX($D$108:$AD$108,BP$93)/1000,1)&gt;0,"+"&amp;FIXED(ROUND(INDEX($D$108:$AD$108,BP$93)/1000,1),1),IF(ROUND(INDEX($D$108:$AD$108,BP$93)/1000,1)&lt;0,"−"&amp;FIXED(-ROUND(INDEX($D$108:$AD$108,BP$93)/1000,1),1),"±0")),""))</f>
        <v>0</v>
      </c>
    </row>
    <row r="139" spans="1:68">
      <c r="A139" s="11" t="s">
        <v>341</v>
      </c>
      <c r="B139" s="11" t="s">
        <v>342</v>
      </c>
      <c r="C139" s="3" t="s">
        <v>137</v>
      </c>
      <c r="D139" s="79">
        <f>IFERROR(D107/D56,NA())</f>
        <v>0</v>
      </c>
      <c r="E139" s="79">
        <f>IFERROR(E107/E56,NA())</f>
        <v>0</v>
      </c>
      <c r="F139" s="79">
        <f>IFERROR(F107/F56,NA())</f>
        <v>0</v>
      </c>
      <c r="G139" s="79">
        <f>IFERROR(G107/G56,NA())</f>
        <v>0</v>
      </c>
      <c r="H139" s="79">
        <f>IFERROR(H107/H56,NA())</f>
        <v>0</v>
      </c>
      <c r="I139" s="79">
        <f>IFERROR(I107/I56,NA())</f>
        <v>0</v>
      </c>
      <c r="J139" s="79">
        <f>IFERROR(J107/J56,NA())</f>
        <v>0</v>
      </c>
      <c r="K139" s="79">
        <f>IFERROR(K107/K56,NA())</f>
        <v>0</v>
      </c>
      <c r="L139" s="79">
        <f>IFERROR(L107/L56,NA())</f>
        <v>0</v>
      </c>
      <c r="M139" s="79">
        <f>IFERROR(M107/M56,NA())</f>
        <v>0</v>
      </c>
      <c r="N139" s="79">
        <f>IFERROR(N107/N56,NA())</f>
        <v>0</v>
      </c>
      <c r="O139" s="79">
        <f>IFERROR(O107/O56,NA())</f>
        <v>0</v>
      </c>
      <c r="P139" s="79">
        <f>IFERROR(P107/P56,NA())</f>
        <v>0</v>
      </c>
      <c r="Q139" s="79">
        <f>IFERROR(Q107/Q56,NA())</f>
        <v>0</v>
      </c>
      <c r="R139" s="79">
        <f>IFERROR(R107/R56,NA())</f>
        <v>0</v>
      </c>
      <c r="S139" s="79">
        <f>IFERROR(S107/S56,NA())</f>
        <v>0</v>
      </c>
      <c r="T139" s="79">
        <f>IFERROR(T107/T56,NA())</f>
        <v>0</v>
      </c>
      <c r="U139" s="79">
        <f>IFERROR(U107/U56,NA())</f>
        <v>0</v>
      </c>
      <c r="V139" s="79">
        <f>IFERROR(V107/V56,NA())</f>
        <v>0</v>
      </c>
      <c r="W139" s="79">
        <f>IFERROR(W107/W56,NA())</f>
        <v>0</v>
      </c>
      <c r="X139" s="79">
        <f>IFERROR(X107/X56,NA())</f>
        <v>0</v>
      </c>
      <c r="Y139" s="79">
        <f>IFERROR(Y107/Y56,NA())</f>
        <v>0</v>
      </c>
      <c r="Z139" s="79">
        <f>IFERROR(Z107/Z56,NA())</f>
        <v>0</v>
      </c>
      <c r="AA139" s="79">
        <f>IFERROR(AA107/AA56,NA())</f>
        <v>0</v>
      </c>
      <c r="AB139" s="79">
        <f>IFERROR(AB107/AB56,NA())</f>
        <v>0</v>
      </c>
      <c r="AC139" s="79">
        <f>IFERROR(AC107/AC56,NA())</f>
        <v>0</v>
      </c>
      <c r="AD139" s="79">
        <f>IFERROR(AD107/AD56,NA())</f>
        <v>0</v>
      </c>
    </row>
    <row r="140" spans="1:68">
      <c r="A140" s="11" t="s">
        <v>343</v>
      </c>
      <c r="B140" s="11" t="s">
        <v>344</v>
      </c>
      <c r="C140" s="3" t="s">
        <v>137</v>
      </c>
      <c r="D140" s="79">
        <f>IF(ISNUMBER(D7),D7/1000,NA())</f>
        <v>0</v>
      </c>
      <c r="E140" s="79">
        <f>IF(ISNUMBER(E7),E7/1000,NA())</f>
        <v>0</v>
      </c>
      <c r="F140" s="79">
        <f>IF(ISNUMBER(F7),F7/1000,NA())</f>
        <v>0</v>
      </c>
      <c r="G140" s="79">
        <f>IF(ISNUMBER(G7),G7/1000,NA())</f>
        <v>0</v>
      </c>
      <c r="H140" s="79">
        <f>IF(ISNUMBER(H7),H7/1000,NA())</f>
        <v>0</v>
      </c>
      <c r="I140" s="79">
        <f>IF(ISNUMBER(I7),I7/1000,NA())</f>
        <v>0</v>
      </c>
      <c r="J140" s="79">
        <f>IF(ISNUMBER(J7),J7/1000,NA())</f>
        <v>0</v>
      </c>
      <c r="K140" s="79">
        <f>IF(ISNUMBER(K7),K7/1000,NA())</f>
        <v>0</v>
      </c>
      <c r="L140" s="79">
        <f>IF(ISNUMBER(L7),L7/1000,NA())</f>
        <v>0</v>
      </c>
      <c r="M140" s="79">
        <f>IF(ISNUMBER(M7),M7/1000,NA())</f>
        <v>0</v>
      </c>
      <c r="N140" s="79">
        <f>IF(ISNUMBER(N7),N7/1000,NA())</f>
        <v>0</v>
      </c>
      <c r="O140" s="79">
        <f>IF(ISNUMBER(O7),O7/1000,NA())</f>
        <v>0</v>
      </c>
      <c r="P140" s="79">
        <f>IF(ISNUMBER(P7),P7/1000,NA())</f>
        <v>0</v>
      </c>
      <c r="Q140" s="79">
        <f>IF(ISNUMBER(Q7),Q7/1000,NA())</f>
        <v>0</v>
      </c>
      <c r="R140" s="79">
        <f>IF(ISNUMBER(R7),R7/1000,NA())</f>
        <v>0</v>
      </c>
      <c r="S140" s="79">
        <f>IF(ISNUMBER(S7),S7/1000,NA())</f>
        <v>0</v>
      </c>
      <c r="T140" s="79">
        <f>IF(ISNUMBER(T7),T7/1000,NA())</f>
        <v>0</v>
      </c>
      <c r="U140" s="79">
        <f>IF(ISNUMBER(U7),U7/1000,NA())</f>
        <v>0</v>
      </c>
      <c r="V140" s="79">
        <f>IF(ISNUMBER(V7),V7/1000,NA())</f>
        <v>0</v>
      </c>
      <c r="W140" s="79">
        <f>IF(ISNUMBER(W7),W7/1000,NA())</f>
        <v>0</v>
      </c>
      <c r="X140" s="79">
        <f>IF(ISNUMBER(X7),X7/1000,NA())</f>
        <v>0</v>
      </c>
      <c r="Y140" s="79">
        <f>IF(ISNUMBER(Y7),Y7/1000,NA())</f>
        <v>0</v>
      </c>
      <c r="Z140" s="79">
        <f>IF(ISNUMBER(Z7),Z7/1000,NA())</f>
        <v>0</v>
      </c>
      <c r="AA140" s="79">
        <f>IF(ISNUMBER(AA7),AA7/1000,NA())</f>
        <v>0</v>
      </c>
      <c r="AB140" s="79">
        <f>IF(ISNUMBER(AB7),AB7/1000,NA())</f>
        <v>0</v>
      </c>
      <c r="AC140" s="79">
        <f>IF(ISNUMBER(AC7),AC7/1000,NA())</f>
        <v>0</v>
      </c>
      <c r="AD140" s="79">
        <f>IF(ISNUMBER(AD7),AD7/1000,NA())</f>
        <v>0</v>
      </c>
    </row>
    <row r="141" spans="1:68">
      <c r="A141" s="11" t="s">
        <v>345</v>
      </c>
      <c r="B141" s="11" t="s">
        <v>346</v>
      </c>
      <c r="C141" s="3" t="s">
        <v>137</v>
      </c>
      <c r="D141" s="79">
        <f>IF(ISNUMBER(D16),D16/1000,NA())</f>
        <v>0</v>
      </c>
      <c r="E141" s="79">
        <f>IF(ISNUMBER(E16),E16/1000,NA())</f>
        <v>0</v>
      </c>
      <c r="F141" s="79">
        <f>IF(ISNUMBER(F16),F16/1000,NA())</f>
        <v>0</v>
      </c>
      <c r="G141" s="79">
        <f>IF(ISNUMBER(G16),G16/1000,NA())</f>
        <v>0</v>
      </c>
      <c r="H141" s="79">
        <f>IF(ISNUMBER(H16),H16/1000,NA())</f>
        <v>0</v>
      </c>
      <c r="I141" s="79">
        <f>IF(ISNUMBER(I16),I16/1000,NA())</f>
        <v>0</v>
      </c>
      <c r="J141" s="79">
        <f>IF(ISNUMBER(J16),J16/1000,NA())</f>
        <v>0</v>
      </c>
      <c r="K141" s="79">
        <f>IF(ISNUMBER(K16),K16/1000,NA())</f>
        <v>0</v>
      </c>
      <c r="L141" s="79">
        <f>IF(ISNUMBER(L16),L16/1000,NA())</f>
        <v>0</v>
      </c>
      <c r="M141" s="79">
        <f>IF(ISNUMBER(M16),M16/1000,NA())</f>
        <v>0</v>
      </c>
      <c r="N141" s="79">
        <f>IF(ISNUMBER(N16),N16/1000,NA())</f>
        <v>0</v>
      </c>
      <c r="O141" s="79">
        <f>IF(ISNUMBER(O16),O16/1000,NA())</f>
        <v>0</v>
      </c>
      <c r="P141" s="79">
        <f>IF(ISNUMBER(P16),P16/1000,NA())</f>
        <v>0</v>
      </c>
      <c r="Q141" s="79">
        <f>IF(ISNUMBER(Q16),Q16/1000,NA())</f>
        <v>0</v>
      </c>
      <c r="R141" s="79">
        <f>IF(ISNUMBER(R16),R16/1000,NA())</f>
        <v>0</v>
      </c>
      <c r="S141" s="79">
        <f>IF(ISNUMBER(S16),S16/1000,NA())</f>
        <v>0</v>
      </c>
      <c r="T141" s="79">
        <f>IF(ISNUMBER(T16),T16/1000,NA())</f>
        <v>0</v>
      </c>
      <c r="U141" s="79">
        <f>IF(ISNUMBER(U16),U16/1000,NA())</f>
        <v>0</v>
      </c>
      <c r="V141" s="79">
        <f>IF(ISNUMBER(V16),V16/1000,NA())</f>
        <v>0</v>
      </c>
      <c r="W141" s="79">
        <f>IF(ISNUMBER(W16),W16/1000,NA())</f>
        <v>0</v>
      </c>
      <c r="X141" s="79">
        <f>IF(ISNUMBER(X16),X16/1000,NA())</f>
        <v>0</v>
      </c>
      <c r="Y141" s="79">
        <f>IF(ISNUMBER(Y16),Y16/1000,NA())</f>
        <v>0</v>
      </c>
      <c r="Z141" s="79">
        <f>IF(ISNUMBER(Z16),Z16/1000,NA())</f>
        <v>0</v>
      </c>
      <c r="AA141" s="79">
        <f>IF(ISNUMBER(AA16),AA16/1000,NA())</f>
        <v>0</v>
      </c>
      <c r="AB141" s="79">
        <f>IF(ISNUMBER(AB16),AB16/1000,NA())</f>
        <v>0</v>
      </c>
      <c r="AC141" s="79">
        <f>IF(ISNUMBER(AC16),AC16/1000,NA())</f>
        <v>0</v>
      </c>
      <c r="AD141" s="79">
        <f>IF(ISNUMBER(AD16),AD16/1000,NA())</f>
        <v>0</v>
      </c>
    </row>
    <row r="142" spans="1:68">
      <c r="A142" s="11" t="s">
        <v>347</v>
      </c>
      <c r="B142" s="11" t="s">
        <v>348</v>
      </c>
      <c r="C142" s="3" t="s">
        <v>137</v>
      </c>
      <c r="D142" s="5">
        <f>IF(ISNUMBER(D17),1,NA())</f>
        <v>0</v>
      </c>
      <c r="E142" s="5">
        <f>IF(ISNUMBER(E17),1,NA())</f>
        <v>0</v>
      </c>
      <c r="F142" s="5">
        <f>IF(ISNUMBER(F17),1,NA())</f>
        <v>0</v>
      </c>
      <c r="G142" s="5">
        <f>IF(ISNUMBER(G17),1,NA())</f>
        <v>0</v>
      </c>
      <c r="H142" s="5">
        <f>IF(ISNUMBER(H17),1,NA())</f>
        <v>0</v>
      </c>
      <c r="I142" s="5">
        <f>IF(ISNUMBER(I17),1,NA())</f>
        <v>0</v>
      </c>
      <c r="J142" s="5">
        <f>IF(ISNUMBER(J17),1,NA())</f>
        <v>0</v>
      </c>
      <c r="K142" s="5">
        <f>IF(ISNUMBER(K17),1,NA())</f>
        <v>0</v>
      </c>
      <c r="L142" s="5">
        <f>IF(ISNUMBER(L17),1,NA())</f>
        <v>0</v>
      </c>
      <c r="M142" s="5">
        <f>IF(ISNUMBER(M17),1,NA())</f>
        <v>0</v>
      </c>
      <c r="N142" s="5">
        <f>IF(ISNUMBER(N17),1,NA())</f>
        <v>0</v>
      </c>
      <c r="O142" s="5">
        <f>IF(ISNUMBER(O17),1,NA())</f>
        <v>0</v>
      </c>
      <c r="P142" s="5">
        <f>IF(ISNUMBER(P17),1,NA())</f>
        <v>0</v>
      </c>
      <c r="Q142" s="5">
        <f>IF(ISNUMBER(Q17),1,NA())</f>
        <v>0</v>
      </c>
      <c r="R142" s="5">
        <f>IF(ISNUMBER(R17),1,NA())</f>
        <v>0</v>
      </c>
      <c r="S142" s="5">
        <f>IF(ISNUMBER(S17),1,NA())</f>
        <v>0</v>
      </c>
      <c r="T142" s="5">
        <f>IF(ISNUMBER(T17),1,NA())</f>
        <v>0</v>
      </c>
      <c r="U142" s="5">
        <f>IF(ISNUMBER(U17),1,NA())</f>
        <v>0</v>
      </c>
      <c r="V142" s="5">
        <f>IF(ISNUMBER(V17),1,NA())</f>
        <v>0</v>
      </c>
      <c r="W142" s="5">
        <f>IF(ISNUMBER(W17),1,NA())</f>
        <v>0</v>
      </c>
      <c r="X142" s="5">
        <f>IF(ISNUMBER(X17),1,NA())</f>
        <v>0</v>
      </c>
      <c r="Y142" s="5">
        <f>IF(ISNUMBER(Y17),1,NA())</f>
        <v>0</v>
      </c>
      <c r="Z142" s="5">
        <f>IF(ISNUMBER(Z17),1,NA())</f>
        <v>0</v>
      </c>
      <c r="AA142" s="5">
        <f>IF(ISNUMBER(AA17),1,NA())</f>
        <v>0</v>
      </c>
      <c r="AB142" s="5">
        <f>IF(ISNUMBER(AB17),1,NA())</f>
        <v>0</v>
      </c>
      <c r="AC142" s="5">
        <f>IF(ISNUMBER(AC17),1,NA())</f>
        <v>0</v>
      </c>
      <c r="AD142" s="5">
        <f>IF(ISNUMBER(AD17),1,NA())</f>
        <v>0</v>
      </c>
    </row>
    <row r="143" spans="1:68">
      <c r="A143" s="11" t="s">
        <v>349</v>
      </c>
      <c r="B143" s="11" t="s">
        <v>350</v>
      </c>
      <c r="C143" s="3" t="s">
        <v>137</v>
      </c>
      <c r="D143" s="11">
        <f>IF(ISNUMBER(D17),FIXED(D17,0),"")</f>
        <v>0</v>
      </c>
      <c r="E143" s="11">
        <f>IF(ISNUMBER(E17),FIXED(E17,0),"")</f>
        <v>0</v>
      </c>
      <c r="F143" s="11">
        <f>IF(ISNUMBER(F17),FIXED(F17,0),"")</f>
        <v>0</v>
      </c>
      <c r="G143" s="11">
        <f>IF(ISNUMBER(G17),FIXED(G17,0),"")</f>
        <v>0</v>
      </c>
      <c r="H143" s="11">
        <f>IF(ISNUMBER(H17),FIXED(H17,0),"")</f>
        <v>0</v>
      </c>
      <c r="I143" s="11">
        <f>IF(ISNUMBER(I17),FIXED(I17,0),"")</f>
        <v>0</v>
      </c>
      <c r="J143" s="11">
        <f>IF(ISNUMBER(J17),FIXED(J17,0),"")</f>
        <v>0</v>
      </c>
      <c r="K143" s="11">
        <f>IF(ISNUMBER(K17),FIXED(K17,0),"")</f>
        <v>0</v>
      </c>
      <c r="L143" s="11">
        <f>IF(ISNUMBER(L17),FIXED(L17,0),"")</f>
        <v>0</v>
      </c>
      <c r="M143" s="11">
        <f>IF(ISNUMBER(M17),FIXED(M17,0),"")</f>
        <v>0</v>
      </c>
      <c r="N143" s="11">
        <f>IF(ISNUMBER(N17),FIXED(N17,0),"")</f>
        <v>0</v>
      </c>
      <c r="O143" s="11">
        <f>IF(ISNUMBER(O17),FIXED(O17,0),"")</f>
        <v>0</v>
      </c>
      <c r="P143" s="11">
        <f>IF(ISNUMBER(P17),FIXED(P17,0),"")</f>
        <v>0</v>
      </c>
      <c r="Q143" s="11">
        <f>IF(ISNUMBER(Q17),FIXED(Q17,0),"")</f>
        <v>0</v>
      </c>
      <c r="R143" s="11">
        <f>IF(ISNUMBER(R17),FIXED(R17,0),"")</f>
        <v>0</v>
      </c>
      <c r="S143" s="11">
        <f>IF(ISNUMBER(S17),FIXED(S17,0),"")</f>
        <v>0</v>
      </c>
      <c r="T143" s="11">
        <f>IF(ISNUMBER(T17),FIXED(T17,0),"")</f>
        <v>0</v>
      </c>
      <c r="U143" s="11">
        <f>IF(ISNUMBER(U17),FIXED(U17,0),"")</f>
        <v>0</v>
      </c>
      <c r="V143" s="11">
        <f>IF(ISNUMBER(V17),FIXED(V17,0),"")</f>
        <v>0</v>
      </c>
      <c r="W143" s="11">
        <f>IF(ISNUMBER(W17),FIXED(W17,0),"")</f>
        <v>0</v>
      </c>
      <c r="X143" s="11">
        <f>IF(ISNUMBER(X17),FIXED(X17,0),"")</f>
        <v>0</v>
      </c>
      <c r="Y143" s="11">
        <f>IF(ISNUMBER(Y17),FIXED(Y17,0),"")</f>
        <v>0</v>
      </c>
      <c r="Z143" s="11">
        <f>IF(ISNUMBER(Z17),FIXED(Z17,0),"")</f>
        <v>0</v>
      </c>
      <c r="AA143" s="11">
        <f>IF(ISNUMBER(AA17),FIXED(AA17,0),"")</f>
        <v>0</v>
      </c>
      <c r="AB143" s="11">
        <f>IF(ISNUMBER(AB17),FIXED(AB17,0),"")</f>
        <v>0</v>
      </c>
      <c r="AC143" s="11">
        <f>IF(ISNUMBER(AC17),FIXED(AC17,0),"")</f>
        <v>0</v>
      </c>
      <c r="AD143" s="11">
        <f>IF(ISNUMBER(AD17),FIXED(AD17,0),"")</f>
        <v>0</v>
      </c>
    </row>
    <row r="144" spans="1:68">
      <c r="A144" s="11" t="s">
        <v>351</v>
      </c>
      <c r="B144" s="11" t="s">
        <v>352</v>
      </c>
      <c r="C144" s="3" t="s">
        <v>137</v>
      </c>
      <c r="D144" s="5">
        <f>IF(ISNUMBER(D18),1,NA())</f>
        <v>0</v>
      </c>
      <c r="E144" s="5">
        <f>IF(ISNUMBER(E18),1,NA())</f>
        <v>0</v>
      </c>
      <c r="F144" s="5">
        <f>IF(ISNUMBER(F18),1,NA())</f>
        <v>0</v>
      </c>
      <c r="G144" s="5">
        <f>IF(ISNUMBER(G18),1,NA())</f>
        <v>0</v>
      </c>
      <c r="H144" s="5">
        <f>IF(ISNUMBER(H18),1,NA())</f>
        <v>0</v>
      </c>
      <c r="I144" s="5">
        <f>IF(ISNUMBER(I18),1,NA())</f>
        <v>0</v>
      </c>
      <c r="J144" s="5">
        <f>IF(ISNUMBER(J18),1,NA())</f>
        <v>0</v>
      </c>
      <c r="K144" s="5">
        <f>IF(ISNUMBER(K18),1,NA())</f>
        <v>0</v>
      </c>
      <c r="L144" s="5">
        <f>IF(ISNUMBER(L18),1,NA())</f>
        <v>0</v>
      </c>
      <c r="M144" s="5">
        <f>IF(ISNUMBER(M18),1,NA())</f>
        <v>0</v>
      </c>
      <c r="N144" s="5">
        <f>IF(ISNUMBER(N18),1,NA())</f>
        <v>0</v>
      </c>
      <c r="O144" s="5">
        <f>IF(ISNUMBER(O18),1,NA())</f>
        <v>0</v>
      </c>
      <c r="P144" s="5">
        <f>IF(ISNUMBER(P18),1,NA())</f>
        <v>0</v>
      </c>
      <c r="Q144" s="5">
        <f>IF(ISNUMBER(Q18),1,NA())</f>
        <v>0</v>
      </c>
      <c r="R144" s="5">
        <f>IF(ISNUMBER(R18),1,NA())</f>
        <v>0</v>
      </c>
      <c r="S144" s="5">
        <f>IF(ISNUMBER(S18),1,NA())</f>
        <v>0</v>
      </c>
      <c r="T144" s="5">
        <f>IF(ISNUMBER(T18),1,NA())</f>
        <v>0</v>
      </c>
      <c r="U144" s="5">
        <f>IF(ISNUMBER(U18),1,NA())</f>
        <v>0</v>
      </c>
      <c r="V144" s="5">
        <f>IF(ISNUMBER(V18),1,NA())</f>
        <v>0</v>
      </c>
      <c r="W144" s="5">
        <f>IF(ISNUMBER(W18),1,NA())</f>
        <v>0</v>
      </c>
      <c r="X144" s="5">
        <f>IF(ISNUMBER(X18),1,NA())</f>
        <v>0</v>
      </c>
      <c r="Y144" s="5">
        <f>IF(ISNUMBER(Y18),1,NA())</f>
        <v>0</v>
      </c>
      <c r="Z144" s="5">
        <f>IF(ISNUMBER(Z18),1,NA())</f>
        <v>0</v>
      </c>
      <c r="AA144" s="5">
        <f>IF(ISNUMBER(AA18),1,NA())</f>
        <v>0</v>
      </c>
      <c r="AB144" s="5">
        <f>IF(ISNUMBER(AB18),1,NA())</f>
        <v>0</v>
      </c>
      <c r="AC144" s="5">
        <f>IF(ISNUMBER(AC18),1,NA())</f>
        <v>0</v>
      </c>
      <c r="AD144" s="5">
        <f>IF(ISNUMBER(AD18),1,NA())</f>
        <v>0</v>
      </c>
    </row>
    <row r="145" spans="1:41">
      <c r="A145" s="11" t="s">
        <v>353</v>
      </c>
      <c r="B145" s="11" t="s">
        <v>354</v>
      </c>
      <c r="C145" s="3" t="s">
        <v>137</v>
      </c>
      <c r="D145" s="11">
        <f>IF(ISNUMBER(D18),FIXED(D18,0),"")</f>
        <v>0</v>
      </c>
      <c r="E145" s="11">
        <f>IF(ISNUMBER(E18),FIXED(E18,0),"")</f>
        <v>0</v>
      </c>
      <c r="F145" s="11">
        <f>IF(ISNUMBER(F18),FIXED(F18,0),"")</f>
        <v>0</v>
      </c>
      <c r="G145" s="11">
        <f>IF(ISNUMBER(G18),FIXED(G18,0),"")</f>
        <v>0</v>
      </c>
      <c r="H145" s="11">
        <f>IF(ISNUMBER(H18),FIXED(H18,0),"")</f>
        <v>0</v>
      </c>
      <c r="I145" s="11">
        <f>IF(ISNUMBER(I18),FIXED(I18,0),"")</f>
        <v>0</v>
      </c>
      <c r="J145" s="11">
        <f>IF(ISNUMBER(J18),FIXED(J18,0),"")</f>
        <v>0</v>
      </c>
      <c r="K145" s="11">
        <f>IF(ISNUMBER(K18),FIXED(K18,0),"")</f>
        <v>0</v>
      </c>
      <c r="L145" s="11">
        <f>IF(ISNUMBER(L18),FIXED(L18,0),"")</f>
        <v>0</v>
      </c>
      <c r="M145" s="11">
        <f>IF(ISNUMBER(M18),FIXED(M18,0),"")</f>
        <v>0</v>
      </c>
      <c r="N145" s="11">
        <f>IF(ISNUMBER(N18),FIXED(N18,0),"")</f>
        <v>0</v>
      </c>
      <c r="O145" s="11">
        <f>IF(ISNUMBER(O18),FIXED(O18,0),"")</f>
        <v>0</v>
      </c>
      <c r="P145" s="11">
        <f>IF(ISNUMBER(P18),FIXED(P18,0),"")</f>
        <v>0</v>
      </c>
      <c r="Q145" s="11">
        <f>IF(ISNUMBER(Q18),FIXED(Q18,0),"")</f>
        <v>0</v>
      </c>
      <c r="R145" s="11">
        <f>IF(ISNUMBER(R18),FIXED(R18,0),"")</f>
        <v>0</v>
      </c>
      <c r="S145" s="11">
        <f>IF(ISNUMBER(S18),FIXED(S18,0),"")</f>
        <v>0</v>
      </c>
      <c r="T145" s="11">
        <f>IF(ISNUMBER(T18),FIXED(T18,0),"")</f>
        <v>0</v>
      </c>
      <c r="U145" s="11">
        <f>IF(ISNUMBER(U18),FIXED(U18,0),"")</f>
        <v>0</v>
      </c>
      <c r="V145" s="11">
        <f>IF(ISNUMBER(V18),FIXED(V18,0),"")</f>
        <v>0</v>
      </c>
      <c r="W145" s="11">
        <f>IF(ISNUMBER(W18),FIXED(W18,0),"")</f>
        <v>0</v>
      </c>
      <c r="X145" s="11">
        <f>IF(ISNUMBER(X18),FIXED(X18,0),"")</f>
        <v>0</v>
      </c>
      <c r="Y145" s="11">
        <f>IF(ISNUMBER(Y18),FIXED(Y18,0),"")</f>
        <v>0</v>
      </c>
      <c r="Z145" s="11">
        <f>IF(ISNUMBER(Z18),FIXED(Z18,0),"")</f>
        <v>0</v>
      </c>
      <c r="AA145" s="11">
        <f>IF(ISNUMBER(AA18),FIXED(AA18,0),"")</f>
        <v>0</v>
      </c>
      <c r="AB145" s="11">
        <f>IF(ISNUMBER(AB18),FIXED(AB18,0),"")</f>
        <v>0</v>
      </c>
      <c r="AC145" s="11">
        <f>IF(ISNUMBER(AC18),FIXED(AC18,0),"")</f>
        <v>0</v>
      </c>
      <c r="AD145" s="11">
        <f>IF(ISNUMBER(AD18),FIXED(AD18,0),"")</f>
        <v>0</v>
      </c>
    </row>
    <row r="146" spans="1:41">
      <c r="A146" s="11" t="s">
        <v>355</v>
      </c>
      <c r="B146" s="11" t="s">
        <v>356</v>
      </c>
      <c r="C146" s="3" t="s">
        <v>137</v>
      </c>
      <c r="D146" s="5">
        <f>IF(ISNUMBER(D19),1,NA())</f>
        <v>0</v>
      </c>
      <c r="E146" s="5">
        <f>IF(ISNUMBER(E19),1,NA())</f>
        <v>0</v>
      </c>
      <c r="F146" s="5">
        <f>IF(ISNUMBER(F19),1,NA())</f>
        <v>0</v>
      </c>
      <c r="G146" s="5">
        <f>IF(ISNUMBER(G19),1,NA())</f>
        <v>0</v>
      </c>
      <c r="H146" s="5">
        <f>IF(ISNUMBER(H19),1,NA())</f>
        <v>0</v>
      </c>
      <c r="I146" s="5">
        <f>IF(ISNUMBER(I19),1,NA())</f>
        <v>0</v>
      </c>
      <c r="J146" s="5">
        <f>IF(ISNUMBER(J19),1,NA())</f>
        <v>0</v>
      </c>
      <c r="K146" s="5">
        <f>IF(ISNUMBER(K19),1,NA())</f>
        <v>0</v>
      </c>
      <c r="L146" s="5">
        <f>IF(ISNUMBER(L19),1,NA())</f>
        <v>0</v>
      </c>
      <c r="M146" s="5">
        <f>IF(ISNUMBER(M19),1,NA())</f>
        <v>0</v>
      </c>
      <c r="N146" s="5">
        <f>IF(ISNUMBER(N19),1,NA())</f>
        <v>0</v>
      </c>
      <c r="O146" s="5">
        <f>IF(ISNUMBER(O19),1,NA())</f>
        <v>0</v>
      </c>
      <c r="P146" s="5">
        <f>IF(ISNUMBER(P19),1,NA())</f>
        <v>0</v>
      </c>
      <c r="Q146" s="5">
        <f>IF(ISNUMBER(Q19),1,NA())</f>
        <v>0</v>
      </c>
      <c r="R146" s="5">
        <f>IF(ISNUMBER(R19),1,NA())</f>
        <v>0</v>
      </c>
      <c r="S146" s="5">
        <f>IF(ISNUMBER(S19),1,NA())</f>
        <v>0</v>
      </c>
      <c r="T146" s="5">
        <f>IF(ISNUMBER(T19),1,NA())</f>
        <v>0</v>
      </c>
      <c r="U146" s="5">
        <f>IF(ISNUMBER(U19),1,NA())</f>
        <v>0</v>
      </c>
      <c r="V146" s="5">
        <f>IF(ISNUMBER(V19),1,NA())</f>
        <v>0</v>
      </c>
      <c r="W146" s="5">
        <f>IF(ISNUMBER(W19),1,NA())</f>
        <v>0</v>
      </c>
      <c r="X146" s="5">
        <f>IF(ISNUMBER(X19),1,NA())</f>
        <v>0</v>
      </c>
      <c r="Y146" s="5">
        <f>IF(ISNUMBER(Y19),1,NA())</f>
        <v>0</v>
      </c>
      <c r="Z146" s="5">
        <f>IF(ISNUMBER(Z19),1,NA())</f>
        <v>0</v>
      </c>
      <c r="AA146" s="5">
        <f>IF(ISNUMBER(AA19),1,NA())</f>
        <v>0</v>
      </c>
      <c r="AB146" s="5">
        <f>IF(ISNUMBER(AB19),1,NA())</f>
        <v>0</v>
      </c>
      <c r="AC146" s="5">
        <f>IF(ISNUMBER(AC19),1,NA())</f>
        <v>0</v>
      </c>
      <c r="AD146" s="5">
        <f>IF(ISNUMBER(AD19),1,NA())</f>
        <v>0</v>
      </c>
    </row>
    <row r="147" spans="1:41">
      <c r="A147" s="11" t="s">
        <v>357</v>
      </c>
      <c r="B147" s="11" t="s">
        <v>358</v>
      </c>
      <c r="C147" s="3" t="s">
        <v>137</v>
      </c>
      <c r="D147" s="11">
        <f>IF(ISNUMBER(D19),FIXED(D19,0),"")</f>
        <v>0</v>
      </c>
      <c r="E147" s="11">
        <f>IF(ISNUMBER(E19),FIXED(E19,0),"")</f>
        <v>0</v>
      </c>
      <c r="F147" s="11">
        <f>IF(ISNUMBER(F19),FIXED(F19,0),"")</f>
        <v>0</v>
      </c>
      <c r="G147" s="11">
        <f>IF(ISNUMBER(G19),FIXED(G19,0),"")</f>
        <v>0</v>
      </c>
      <c r="H147" s="11">
        <f>IF(ISNUMBER(H19),FIXED(H19,0),"")</f>
        <v>0</v>
      </c>
      <c r="I147" s="11">
        <f>IF(ISNUMBER(I19),FIXED(I19,0),"")</f>
        <v>0</v>
      </c>
      <c r="J147" s="11">
        <f>IF(ISNUMBER(J19),FIXED(J19,0),"")</f>
        <v>0</v>
      </c>
      <c r="K147" s="11">
        <f>IF(ISNUMBER(K19),FIXED(K19,0),"")</f>
        <v>0</v>
      </c>
      <c r="L147" s="11">
        <f>IF(ISNUMBER(L19),FIXED(L19,0),"")</f>
        <v>0</v>
      </c>
      <c r="M147" s="11">
        <f>IF(ISNUMBER(M19),FIXED(M19,0),"")</f>
        <v>0</v>
      </c>
      <c r="N147" s="11">
        <f>IF(ISNUMBER(N19),FIXED(N19,0),"")</f>
        <v>0</v>
      </c>
      <c r="O147" s="11">
        <f>IF(ISNUMBER(O19),FIXED(O19,0),"")</f>
        <v>0</v>
      </c>
      <c r="P147" s="11">
        <f>IF(ISNUMBER(P19),FIXED(P19,0),"")</f>
        <v>0</v>
      </c>
      <c r="Q147" s="11">
        <f>IF(ISNUMBER(Q19),FIXED(Q19,0),"")</f>
        <v>0</v>
      </c>
      <c r="R147" s="11">
        <f>IF(ISNUMBER(R19),FIXED(R19,0),"")</f>
        <v>0</v>
      </c>
      <c r="S147" s="11">
        <f>IF(ISNUMBER(S19),FIXED(S19,0),"")</f>
        <v>0</v>
      </c>
      <c r="T147" s="11">
        <f>IF(ISNUMBER(T19),FIXED(T19,0),"")</f>
        <v>0</v>
      </c>
      <c r="U147" s="11">
        <f>IF(ISNUMBER(U19),FIXED(U19,0),"")</f>
        <v>0</v>
      </c>
      <c r="V147" s="11">
        <f>IF(ISNUMBER(V19),FIXED(V19,0),"")</f>
        <v>0</v>
      </c>
      <c r="W147" s="11">
        <f>IF(ISNUMBER(W19),FIXED(W19,0),"")</f>
        <v>0</v>
      </c>
      <c r="X147" s="11">
        <f>IF(ISNUMBER(X19),FIXED(X19,0),"")</f>
        <v>0</v>
      </c>
      <c r="Y147" s="11">
        <f>IF(ISNUMBER(Y19),FIXED(Y19,0),"")</f>
        <v>0</v>
      </c>
      <c r="Z147" s="11">
        <f>IF(ISNUMBER(Z19),FIXED(Z19,0),"")</f>
        <v>0</v>
      </c>
      <c r="AA147" s="11">
        <f>IF(ISNUMBER(AA19),FIXED(AA19,0),"")</f>
        <v>0</v>
      </c>
      <c r="AB147" s="11">
        <f>IF(ISNUMBER(AB19),FIXED(AB19,0),"")</f>
        <v>0</v>
      </c>
      <c r="AC147" s="11">
        <f>IF(ISNUMBER(AC19),FIXED(AC19,0),"")</f>
        <v>0</v>
      </c>
      <c r="AD147" s="11">
        <f>IF(ISNUMBER(AD19),FIXED(AD19,0),"")</f>
        <v>0</v>
      </c>
    </row>
    <row r="148" spans="1:41">
      <c r="A148" s="11" t="s">
        <v>359</v>
      </c>
      <c r="B148" s="11" t="s">
        <v>360</v>
      </c>
      <c r="C148" s="3" t="s">
        <v>137</v>
      </c>
      <c r="D148" s="5">
        <f>IF(COUNT(D21,D22,D23)=0,NA(),SUM(D21,D22,D23))</f>
        <v>0</v>
      </c>
      <c r="E148" s="5">
        <f>IF(COUNT(E21,E22,E23)=0,NA(),SUM(E21,E22,E23))</f>
        <v>0</v>
      </c>
      <c r="F148" s="5">
        <f>IF(COUNT(F21,F22,F23)=0,NA(),SUM(F21,F22,F23))</f>
        <v>0</v>
      </c>
      <c r="G148" s="5">
        <f>IF(COUNT(G21,G22,G23)=0,NA(),SUM(G21,G22,G23))</f>
        <v>0</v>
      </c>
      <c r="H148" s="5">
        <f>IF(COUNT(H21,H22,H23)=0,NA(),SUM(H21,H22,H23))</f>
        <v>0</v>
      </c>
      <c r="I148" s="5">
        <f>IF(COUNT(I21,I22,I23)=0,NA(),SUM(I21,I22,I23))</f>
        <v>0</v>
      </c>
      <c r="J148" s="5">
        <f>IF(COUNT(J21,J22,J23)=0,NA(),SUM(J21,J22,J23))</f>
        <v>0</v>
      </c>
      <c r="K148" s="5">
        <f>IF(COUNT(K21,K22,K23)=0,NA(),SUM(K21,K22,K23))</f>
        <v>0</v>
      </c>
      <c r="L148" s="5">
        <f>IF(COUNT(L21,L22,L23)=0,NA(),SUM(L21,L22,L23))</f>
        <v>0</v>
      </c>
      <c r="M148" s="5">
        <f>IF(COUNT(M21,M22,M23)=0,NA(),SUM(M21,M22,M23))</f>
        <v>0</v>
      </c>
      <c r="N148" s="5">
        <f>IF(COUNT(N21,N22,N23)=0,NA(),SUM(N21,N22,N23))</f>
        <v>0</v>
      </c>
      <c r="O148" s="5">
        <f>IF(COUNT(O21,O22,O23)=0,NA(),SUM(O21,O22,O23))</f>
        <v>0</v>
      </c>
      <c r="P148" s="5">
        <f>IF(COUNT(P21,P22,P23)=0,NA(),SUM(P21,P22,P23))</f>
        <v>0</v>
      </c>
      <c r="Q148" s="5">
        <f>IF(COUNT(Q21,Q22,Q23)=0,NA(),SUM(Q21,Q22,Q23))</f>
        <v>0</v>
      </c>
      <c r="R148" s="5">
        <f>IF(COUNT(R21,R22,R23)=0,NA(),SUM(R21,R22,R23))</f>
        <v>0</v>
      </c>
      <c r="S148" s="5">
        <f>IF(COUNT(S21,S22,S23)=0,NA(),SUM(S21,S22,S23))</f>
        <v>0</v>
      </c>
      <c r="T148" s="5">
        <f>IF(COUNT(T21,T22,T23)=0,NA(),SUM(T21,T22,T23))</f>
        <v>0</v>
      </c>
      <c r="U148" s="5">
        <f>IF(COUNT(U21,U22,U23)=0,NA(),SUM(U21,U22,U23))</f>
        <v>0</v>
      </c>
      <c r="V148" s="5">
        <f>IF(COUNT(V21,V22,V23)=0,NA(),SUM(V21,V22,V23))</f>
        <v>0</v>
      </c>
      <c r="W148" s="5">
        <f>IF(COUNT(W21,W22,W23)=0,NA(),SUM(W21,W22,W23))</f>
        <v>0</v>
      </c>
      <c r="X148" s="5">
        <f>IF(COUNT(X21,X22,X23)=0,NA(),SUM(X21,X22,X23))</f>
        <v>0</v>
      </c>
      <c r="Y148" s="5">
        <f>IF(COUNT(Y21,Y22,Y23)=0,NA(),SUM(Y21,Y22,Y23))</f>
        <v>0</v>
      </c>
      <c r="Z148" s="5">
        <f>IF(COUNT(Z21,Z22,Z23)=0,NA(),SUM(Z21,Z22,Z23))</f>
        <v>0</v>
      </c>
      <c r="AA148" s="5">
        <f>IF(COUNT(AA21,AA22,AA23)=0,NA(),SUM(AA21,AA22,AA23))</f>
        <v>0</v>
      </c>
      <c r="AB148" s="5">
        <f>IF(COUNT(AB21,AB22,AB23)=0,NA(),SUM(AB21,AB22,AB23))</f>
        <v>0</v>
      </c>
      <c r="AC148" s="5">
        <f>IF(COUNT(AC21,AC22,AC23)=0,NA(),SUM(AC21,AC22,AC23))</f>
        <v>0</v>
      </c>
      <c r="AD148" s="5">
        <f>IF(COUNT(AD21,AD22,AD23)=0,NA(),SUM(AD21,AD22,AD23))</f>
        <v>0</v>
      </c>
    </row>
    <row r="149" spans="1:41">
      <c r="A149" s="11" t="s">
        <v>361</v>
      </c>
      <c r="B149" s="11" t="s">
        <v>362</v>
      </c>
      <c r="C149" s="3" t="s">
        <v>137</v>
      </c>
      <c r="D149" s="11">
        <f>IF(ISNUMBER(D148),FIXED(D148,0),"")</f>
        <v>0</v>
      </c>
      <c r="E149" s="11">
        <f>IF(ISNUMBER(E148),FIXED(E148,0),"")</f>
        <v>0</v>
      </c>
      <c r="F149" s="11">
        <f>IF(ISNUMBER(F148),FIXED(F148,0),"")</f>
        <v>0</v>
      </c>
      <c r="G149" s="11">
        <f>IF(ISNUMBER(G148),FIXED(G148,0),"")</f>
        <v>0</v>
      </c>
      <c r="H149" s="11">
        <f>IF(ISNUMBER(H148),FIXED(H148,0),"")</f>
        <v>0</v>
      </c>
      <c r="I149" s="11">
        <f>IF(ISNUMBER(I148),FIXED(I148,0),"")</f>
        <v>0</v>
      </c>
      <c r="J149" s="11">
        <f>IF(ISNUMBER(J148),FIXED(J148,0),"")</f>
        <v>0</v>
      </c>
      <c r="K149" s="11">
        <f>IF(ISNUMBER(K148),FIXED(K148,0),"")</f>
        <v>0</v>
      </c>
      <c r="L149" s="11">
        <f>IF(ISNUMBER(L148),FIXED(L148,0),"")</f>
        <v>0</v>
      </c>
      <c r="M149" s="11">
        <f>IF(ISNUMBER(M148),FIXED(M148,0),"")</f>
        <v>0</v>
      </c>
      <c r="N149" s="11">
        <f>IF(ISNUMBER(N148),FIXED(N148,0),"")</f>
        <v>0</v>
      </c>
      <c r="O149" s="11">
        <f>IF(ISNUMBER(O148),FIXED(O148,0),"")</f>
        <v>0</v>
      </c>
      <c r="P149" s="11">
        <f>IF(ISNUMBER(P148),FIXED(P148,0),"")</f>
        <v>0</v>
      </c>
      <c r="Q149" s="11">
        <f>IF(ISNUMBER(Q148),FIXED(Q148,0),"")</f>
        <v>0</v>
      </c>
      <c r="R149" s="11">
        <f>IF(ISNUMBER(R148),FIXED(R148,0),"")</f>
        <v>0</v>
      </c>
      <c r="S149" s="11">
        <f>IF(ISNUMBER(S148),FIXED(S148,0),"")</f>
        <v>0</v>
      </c>
      <c r="T149" s="11">
        <f>IF(ISNUMBER(T148),FIXED(T148,0),"")</f>
        <v>0</v>
      </c>
      <c r="U149" s="11">
        <f>IF(ISNUMBER(U148),FIXED(U148,0),"")</f>
        <v>0</v>
      </c>
      <c r="V149" s="11">
        <f>IF(ISNUMBER(V148),FIXED(V148,0),"")</f>
        <v>0</v>
      </c>
      <c r="W149" s="11">
        <f>IF(ISNUMBER(W148),FIXED(W148,0),"")</f>
        <v>0</v>
      </c>
      <c r="X149" s="11">
        <f>IF(ISNUMBER(X148),FIXED(X148,0),"")</f>
        <v>0</v>
      </c>
      <c r="Y149" s="11">
        <f>IF(ISNUMBER(Y148),FIXED(Y148,0),"")</f>
        <v>0</v>
      </c>
      <c r="Z149" s="11">
        <f>IF(ISNUMBER(Z148),FIXED(Z148,0),"")</f>
        <v>0</v>
      </c>
      <c r="AA149" s="11">
        <f>IF(ISNUMBER(AA148),FIXED(AA148,0),"")</f>
        <v>0</v>
      </c>
      <c r="AB149" s="11">
        <f>IF(ISNUMBER(AB148),FIXED(AB148,0),"")</f>
        <v>0</v>
      </c>
      <c r="AC149" s="11">
        <f>IF(ISNUMBER(AC148),FIXED(AC148,0),"")</f>
        <v>0</v>
      </c>
      <c r="AD149" s="11">
        <f>IF(ISNUMBER(AD148),FIXED(AD148,0),"")</f>
        <v>0</v>
      </c>
    </row>
    <row r="150" spans="1:41">
      <c r="A150" s="11" t="s">
        <v>363</v>
      </c>
      <c r="B150" s="11" t="s">
        <v>364</v>
      </c>
      <c r="C150" s="3" t="s">
        <v>137</v>
      </c>
      <c r="D150" s="5">
        <f>IF(ISNUMBER(D148),D148+0.08*MAX(1,_xlfn.AGGREGATE(4,6,$D$148:$AD$148)),NA())</f>
        <v>0</v>
      </c>
      <c r="E150" s="5">
        <f>IF(ISNUMBER(E148),E148+0.08*MAX(1,_xlfn.AGGREGATE(4,6,$D$148:$AD$148)),NA())</f>
        <v>0</v>
      </c>
      <c r="F150" s="5">
        <f>IF(ISNUMBER(F148),F148+0.08*MAX(1,_xlfn.AGGREGATE(4,6,$D$148:$AD$148)),NA())</f>
        <v>0</v>
      </c>
      <c r="G150" s="5">
        <f>IF(ISNUMBER(G148),G148+0.08*MAX(1,_xlfn.AGGREGATE(4,6,$D$148:$AD$148)),NA())</f>
        <v>0</v>
      </c>
      <c r="H150" s="5">
        <f>IF(ISNUMBER(H148),H148+0.08*MAX(1,_xlfn.AGGREGATE(4,6,$D$148:$AD$148)),NA())</f>
        <v>0</v>
      </c>
      <c r="I150" s="5">
        <f>IF(ISNUMBER(I148),I148+0.08*MAX(1,_xlfn.AGGREGATE(4,6,$D$148:$AD$148)),NA())</f>
        <v>0</v>
      </c>
      <c r="J150" s="5">
        <f>IF(ISNUMBER(J148),J148+0.08*MAX(1,_xlfn.AGGREGATE(4,6,$D$148:$AD$148)),NA())</f>
        <v>0</v>
      </c>
      <c r="K150" s="5">
        <f>IF(ISNUMBER(K148),K148+0.08*MAX(1,_xlfn.AGGREGATE(4,6,$D$148:$AD$148)),NA())</f>
        <v>0</v>
      </c>
      <c r="L150" s="5">
        <f>IF(ISNUMBER(L148),L148+0.08*MAX(1,_xlfn.AGGREGATE(4,6,$D$148:$AD$148)),NA())</f>
        <v>0</v>
      </c>
      <c r="M150" s="5">
        <f>IF(ISNUMBER(M148),M148+0.08*MAX(1,_xlfn.AGGREGATE(4,6,$D$148:$AD$148)),NA())</f>
        <v>0</v>
      </c>
      <c r="N150" s="5">
        <f>IF(ISNUMBER(N148),N148+0.08*MAX(1,_xlfn.AGGREGATE(4,6,$D$148:$AD$148)),NA())</f>
        <v>0</v>
      </c>
      <c r="O150" s="5">
        <f>IF(ISNUMBER(O148),O148+0.08*MAX(1,_xlfn.AGGREGATE(4,6,$D$148:$AD$148)),NA())</f>
        <v>0</v>
      </c>
      <c r="P150" s="5">
        <f>IF(ISNUMBER(P148),P148+0.08*MAX(1,_xlfn.AGGREGATE(4,6,$D$148:$AD$148)),NA())</f>
        <v>0</v>
      </c>
      <c r="Q150" s="5">
        <f>IF(ISNUMBER(Q148),Q148+0.08*MAX(1,_xlfn.AGGREGATE(4,6,$D$148:$AD$148)),NA())</f>
        <v>0</v>
      </c>
      <c r="R150" s="5">
        <f>IF(ISNUMBER(R148),R148+0.08*MAX(1,_xlfn.AGGREGATE(4,6,$D$148:$AD$148)),NA())</f>
        <v>0</v>
      </c>
      <c r="S150" s="5">
        <f>IF(ISNUMBER(S148),S148+0.08*MAX(1,_xlfn.AGGREGATE(4,6,$D$148:$AD$148)),NA())</f>
        <v>0</v>
      </c>
      <c r="T150" s="5">
        <f>IF(ISNUMBER(T148),T148+0.08*MAX(1,_xlfn.AGGREGATE(4,6,$D$148:$AD$148)),NA())</f>
        <v>0</v>
      </c>
      <c r="U150" s="5">
        <f>IF(ISNUMBER(U148),U148+0.08*MAX(1,_xlfn.AGGREGATE(4,6,$D$148:$AD$148)),NA())</f>
        <v>0</v>
      </c>
      <c r="V150" s="5">
        <f>IF(ISNUMBER(V148),V148+0.08*MAX(1,_xlfn.AGGREGATE(4,6,$D$148:$AD$148)),NA())</f>
        <v>0</v>
      </c>
      <c r="W150" s="5">
        <f>IF(ISNUMBER(W148),W148+0.08*MAX(1,_xlfn.AGGREGATE(4,6,$D$148:$AD$148)),NA())</f>
        <v>0</v>
      </c>
      <c r="X150" s="5">
        <f>IF(ISNUMBER(X148),X148+0.08*MAX(1,_xlfn.AGGREGATE(4,6,$D$148:$AD$148)),NA())</f>
        <v>0</v>
      </c>
      <c r="Y150" s="5">
        <f>IF(ISNUMBER(Y148),Y148+0.08*MAX(1,_xlfn.AGGREGATE(4,6,$D$148:$AD$148)),NA())</f>
        <v>0</v>
      </c>
      <c r="Z150" s="5">
        <f>IF(ISNUMBER(Z148),Z148+0.08*MAX(1,_xlfn.AGGREGATE(4,6,$D$148:$AD$148)),NA())</f>
        <v>0</v>
      </c>
      <c r="AA150" s="5">
        <f>IF(ISNUMBER(AA148),AA148+0.08*MAX(1,_xlfn.AGGREGATE(4,6,$D$148:$AD$148)),NA())</f>
        <v>0</v>
      </c>
      <c r="AB150" s="5">
        <f>IF(ISNUMBER(AB148),AB148+0.08*MAX(1,_xlfn.AGGREGATE(4,6,$D$148:$AD$148)),NA())</f>
        <v>0</v>
      </c>
      <c r="AC150" s="5">
        <f>IF(ISNUMBER(AC148),AC148+0.08*MAX(1,_xlfn.AGGREGATE(4,6,$D$148:$AD$148)),NA())</f>
        <v>0</v>
      </c>
      <c r="AD150" s="5">
        <f>IF(ISNUMBER(AD148),AD148+0.08*MAX(1,_xlfn.AGGREGATE(4,6,$D$148:$AD$148)),NA())</f>
        <v>0</v>
      </c>
    </row>
    <row r="151" spans="1:41">
      <c r="A151" s="11" t="s">
        <v>365</v>
      </c>
      <c r="B151" s="11" t="s">
        <v>366</v>
      </c>
      <c r="C151" s="3" t="s">
        <v>137</v>
      </c>
      <c r="D151" s="5">
        <f>IF(COUNT(D27,D28,D29)=0,NA(),SUM(D27,D28,D29))</f>
        <v>0</v>
      </c>
      <c r="E151" s="5">
        <f>IF(COUNT(E27,E28,E29)=0,NA(),SUM(E27,E28,E29))</f>
        <v>0</v>
      </c>
      <c r="F151" s="5">
        <f>IF(COUNT(F27,F28,F29)=0,NA(),SUM(F27,F28,F29))</f>
        <v>0</v>
      </c>
      <c r="G151" s="5">
        <f>IF(COUNT(G27,G28,G29)=0,NA(),SUM(G27,G28,G29))</f>
        <v>0</v>
      </c>
      <c r="H151" s="5">
        <f>IF(COUNT(H27,H28,H29)=0,NA(),SUM(H27,H28,H29))</f>
        <v>0</v>
      </c>
      <c r="I151" s="5">
        <f>IF(COUNT(I27,I28,I29)=0,NA(),SUM(I27,I28,I29))</f>
        <v>0</v>
      </c>
      <c r="J151" s="5">
        <f>IF(COUNT(J27,J28,J29)=0,NA(),SUM(J27,J28,J29))</f>
        <v>0</v>
      </c>
      <c r="K151" s="5">
        <f>IF(COUNT(K27,K28,K29)=0,NA(),SUM(K27,K28,K29))</f>
        <v>0</v>
      </c>
      <c r="L151" s="5">
        <f>IF(COUNT(L27,L28,L29)=0,NA(),SUM(L27,L28,L29))</f>
        <v>0</v>
      </c>
      <c r="M151" s="5">
        <f>IF(COUNT(M27,M28,M29)=0,NA(),SUM(M27,M28,M29))</f>
        <v>0</v>
      </c>
      <c r="N151" s="5">
        <f>IF(COUNT(N27,N28,N29)=0,NA(),SUM(N27,N28,N29))</f>
        <v>0</v>
      </c>
      <c r="O151" s="5">
        <f>IF(COUNT(O27,O28,O29)=0,NA(),SUM(O27,O28,O29))</f>
        <v>0</v>
      </c>
      <c r="P151" s="5">
        <f>IF(COUNT(P27,P28,P29)=0,NA(),SUM(P27,P28,P29))</f>
        <v>0</v>
      </c>
      <c r="Q151" s="5">
        <f>IF(COUNT(Q27,Q28,Q29)=0,NA(),SUM(Q27,Q28,Q29))</f>
        <v>0</v>
      </c>
      <c r="R151" s="5">
        <f>IF(COUNT(R27,R28,R29)=0,NA(),SUM(R27,R28,R29))</f>
        <v>0</v>
      </c>
      <c r="S151" s="5">
        <f>IF(COUNT(S27,S28,S29)=0,NA(),SUM(S27,S28,S29))</f>
        <v>0</v>
      </c>
      <c r="T151" s="5">
        <f>IF(COUNT(T27,T28,T29)=0,NA(),SUM(T27,T28,T29))</f>
        <v>0</v>
      </c>
      <c r="U151" s="5">
        <f>IF(COUNT(U27,U28,U29)=0,NA(),SUM(U27,U28,U29))</f>
        <v>0</v>
      </c>
      <c r="V151" s="5">
        <f>IF(COUNT(V27,V28,V29)=0,NA(),SUM(V27,V28,V29))</f>
        <v>0</v>
      </c>
      <c r="W151" s="5">
        <f>IF(COUNT(W27,W28,W29)=0,NA(),SUM(W27,W28,W29))</f>
        <v>0</v>
      </c>
      <c r="X151" s="5">
        <f>IF(COUNT(X27,X28,X29)=0,NA(),SUM(X27,X28,X29))</f>
        <v>0</v>
      </c>
      <c r="Y151" s="5">
        <f>IF(COUNT(Y27,Y28,Y29)=0,NA(),SUM(Y27,Y28,Y29))</f>
        <v>0</v>
      </c>
      <c r="Z151" s="5">
        <f>IF(COUNT(Z27,Z28,Z29)=0,NA(),SUM(Z27,Z28,Z29))</f>
        <v>0</v>
      </c>
      <c r="AA151" s="5">
        <f>IF(COUNT(AA27,AA28,AA29)=0,NA(),SUM(AA27,AA28,AA29))</f>
        <v>0</v>
      </c>
      <c r="AB151" s="5">
        <f>IF(COUNT(AB27,AB28,AB29)=0,NA(),SUM(AB27,AB28,AB29))</f>
        <v>0</v>
      </c>
      <c r="AC151" s="5">
        <f>IF(COUNT(AC27,AC28,AC29)=0,NA(),SUM(AC27,AC28,AC29))</f>
        <v>0</v>
      </c>
      <c r="AD151" s="5">
        <f>IF(COUNT(AD27,AD28,AD29)=0,NA(),SUM(AD27,AD28,AD29))</f>
        <v>0</v>
      </c>
    </row>
    <row r="152" spans="1:41">
      <c r="A152" s="11" t="s">
        <v>367</v>
      </c>
      <c r="B152" s="11" t="s">
        <v>368</v>
      </c>
      <c r="C152" s="3" t="s">
        <v>137</v>
      </c>
      <c r="D152" s="11">
        <f>IF(ISNUMBER(D151),FIXED(D151,0),"")</f>
        <v>0</v>
      </c>
      <c r="E152" s="11">
        <f>IF(ISNUMBER(E151),FIXED(E151,0),"")</f>
        <v>0</v>
      </c>
      <c r="F152" s="11">
        <f>IF(ISNUMBER(F151),FIXED(F151,0),"")</f>
        <v>0</v>
      </c>
      <c r="G152" s="11">
        <f>IF(ISNUMBER(G151),FIXED(G151,0),"")</f>
        <v>0</v>
      </c>
      <c r="H152" s="11">
        <f>IF(ISNUMBER(H151),FIXED(H151,0),"")</f>
        <v>0</v>
      </c>
      <c r="I152" s="11">
        <f>IF(ISNUMBER(I151),FIXED(I151,0),"")</f>
        <v>0</v>
      </c>
      <c r="J152" s="11">
        <f>IF(ISNUMBER(J151),FIXED(J151,0),"")</f>
        <v>0</v>
      </c>
      <c r="K152" s="11">
        <f>IF(ISNUMBER(K151),FIXED(K151,0),"")</f>
        <v>0</v>
      </c>
      <c r="L152" s="11">
        <f>IF(ISNUMBER(L151),FIXED(L151,0),"")</f>
        <v>0</v>
      </c>
      <c r="M152" s="11">
        <f>IF(ISNUMBER(M151),FIXED(M151,0),"")</f>
        <v>0</v>
      </c>
      <c r="N152" s="11">
        <f>IF(ISNUMBER(N151),FIXED(N151,0),"")</f>
        <v>0</v>
      </c>
      <c r="O152" s="11">
        <f>IF(ISNUMBER(O151),FIXED(O151,0),"")</f>
        <v>0</v>
      </c>
      <c r="P152" s="11">
        <f>IF(ISNUMBER(P151),FIXED(P151,0),"")</f>
        <v>0</v>
      </c>
      <c r="Q152" s="11">
        <f>IF(ISNUMBER(Q151),FIXED(Q151,0),"")</f>
        <v>0</v>
      </c>
      <c r="R152" s="11">
        <f>IF(ISNUMBER(R151),FIXED(R151,0),"")</f>
        <v>0</v>
      </c>
      <c r="S152" s="11">
        <f>IF(ISNUMBER(S151),FIXED(S151,0),"")</f>
        <v>0</v>
      </c>
      <c r="T152" s="11">
        <f>IF(ISNUMBER(T151),FIXED(T151,0),"")</f>
        <v>0</v>
      </c>
      <c r="U152" s="11">
        <f>IF(ISNUMBER(U151),FIXED(U151,0),"")</f>
        <v>0</v>
      </c>
      <c r="V152" s="11">
        <f>IF(ISNUMBER(V151),FIXED(V151,0),"")</f>
        <v>0</v>
      </c>
      <c r="W152" s="11">
        <f>IF(ISNUMBER(W151),FIXED(W151,0),"")</f>
        <v>0</v>
      </c>
      <c r="X152" s="11">
        <f>IF(ISNUMBER(X151),FIXED(X151,0),"")</f>
        <v>0</v>
      </c>
      <c r="Y152" s="11">
        <f>IF(ISNUMBER(Y151),FIXED(Y151,0),"")</f>
        <v>0</v>
      </c>
      <c r="Z152" s="11">
        <f>IF(ISNUMBER(Z151),FIXED(Z151,0),"")</f>
        <v>0</v>
      </c>
      <c r="AA152" s="11">
        <f>IF(ISNUMBER(AA151),FIXED(AA151,0),"")</f>
        <v>0</v>
      </c>
      <c r="AB152" s="11">
        <f>IF(ISNUMBER(AB151),FIXED(AB151,0),"")</f>
        <v>0</v>
      </c>
      <c r="AC152" s="11">
        <f>IF(ISNUMBER(AC151),FIXED(AC151,0),"")</f>
        <v>0</v>
      </c>
      <c r="AD152" s="11">
        <f>IF(ISNUMBER(AD151),FIXED(AD151,0),"")</f>
        <v>0</v>
      </c>
    </row>
    <row r="153" spans="1:41">
      <c r="A153" s="11" t="s">
        <v>369</v>
      </c>
      <c r="B153" s="11" t="s">
        <v>370</v>
      </c>
      <c r="C153" s="3" t="s">
        <v>137</v>
      </c>
      <c r="D153" s="5">
        <f>IF(ISNUMBER(D151),D151+0.08*MAX(1,_xlfn.AGGREGATE(4,6,$D$151:$AD$151)),NA())</f>
        <v>0</v>
      </c>
      <c r="E153" s="5">
        <f>IF(ISNUMBER(E151),E151+0.08*MAX(1,_xlfn.AGGREGATE(4,6,$D$151:$AD$151)),NA())</f>
        <v>0</v>
      </c>
      <c r="F153" s="5">
        <f>IF(ISNUMBER(F151),F151+0.08*MAX(1,_xlfn.AGGREGATE(4,6,$D$151:$AD$151)),NA())</f>
        <v>0</v>
      </c>
      <c r="G153" s="5">
        <f>IF(ISNUMBER(G151),G151+0.08*MAX(1,_xlfn.AGGREGATE(4,6,$D$151:$AD$151)),NA())</f>
        <v>0</v>
      </c>
      <c r="H153" s="5">
        <f>IF(ISNUMBER(H151),H151+0.08*MAX(1,_xlfn.AGGREGATE(4,6,$D$151:$AD$151)),NA())</f>
        <v>0</v>
      </c>
      <c r="I153" s="5">
        <f>IF(ISNUMBER(I151),I151+0.08*MAX(1,_xlfn.AGGREGATE(4,6,$D$151:$AD$151)),NA())</f>
        <v>0</v>
      </c>
      <c r="J153" s="5">
        <f>IF(ISNUMBER(J151),J151+0.08*MAX(1,_xlfn.AGGREGATE(4,6,$D$151:$AD$151)),NA())</f>
        <v>0</v>
      </c>
      <c r="K153" s="5">
        <f>IF(ISNUMBER(K151),K151+0.08*MAX(1,_xlfn.AGGREGATE(4,6,$D$151:$AD$151)),NA())</f>
        <v>0</v>
      </c>
      <c r="L153" s="5">
        <f>IF(ISNUMBER(L151),L151+0.08*MAX(1,_xlfn.AGGREGATE(4,6,$D$151:$AD$151)),NA())</f>
        <v>0</v>
      </c>
      <c r="M153" s="5">
        <f>IF(ISNUMBER(M151),M151+0.08*MAX(1,_xlfn.AGGREGATE(4,6,$D$151:$AD$151)),NA())</f>
        <v>0</v>
      </c>
      <c r="N153" s="5">
        <f>IF(ISNUMBER(N151),N151+0.08*MAX(1,_xlfn.AGGREGATE(4,6,$D$151:$AD$151)),NA())</f>
        <v>0</v>
      </c>
      <c r="O153" s="5">
        <f>IF(ISNUMBER(O151),O151+0.08*MAX(1,_xlfn.AGGREGATE(4,6,$D$151:$AD$151)),NA())</f>
        <v>0</v>
      </c>
      <c r="P153" s="5">
        <f>IF(ISNUMBER(P151),P151+0.08*MAX(1,_xlfn.AGGREGATE(4,6,$D$151:$AD$151)),NA())</f>
        <v>0</v>
      </c>
      <c r="Q153" s="5">
        <f>IF(ISNUMBER(Q151),Q151+0.08*MAX(1,_xlfn.AGGREGATE(4,6,$D$151:$AD$151)),NA())</f>
        <v>0</v>
      </c>
      <c r="R153" s="5">
        <f>IF(ISNUMBER(R151),R151+0.08*MAX(1,_xlfn.AGGREGATE(4,6,$D$151:$AD$151)),NA())</f>
        <v>0</v>
      </c>
      <c r="S153" s="5">
        <f>IF(ISNUMBER(S151),S151+0.08*MAX(1,_xlfn.AGGREGATE(4,6,$D$151:$AD$151)),NA())</f>
        <v>0</v>
      </c>
      <c r="T153" s="5">
        <f>IF(ISNUMBER(T151),T151+0.08*MAX(1,_xlfn.AGGREGATE(4,6,$D$151:$AD$151)),NA())</f>
        <v>0</v>
      </c>
      <c r="U153" s="5">
        <f>IF(ISNUMBER(U151),U151+0.08*MAX(1,_xlfn.AGGREGATE(4,6,$D$151:$AD$151)),NA())</f>
        <v>0</v>
      </c>
      <c r="V153" s="5">
        <f>IF(ISNUMBER(V151),V151+0.08*MAX(1,_xlfn.AGGREGATE(4,6,$D$151:$AD$151)),NA())</f>
        <v>0</v>
      </c>
      <c r="W153" s="5">
        <f>IF(ISNUMBER(W151),W151+0.08*MAX(1,_xlfn.AGGREGATE(4,6,$D$151:$AD$151)),NA())</f>
        <v>0</v>
      </c>
      <c r="X153" s="5">
        <f>IF(ISNUMBER(X151),X151+0.08*MAX(1,_xlfn.AGGREGATE(4,6,$D$151:$AD$151)),NA())</f>
        <v>0</v>
      </c>
      <c r="Y153" s="5">
        <f>IF(ISNUMBER(Y151),Y151+0.08*MAX(1,_xlfn.AGGREGATE(4,6,$D$151:$AD$151)),NA())</f>
        <v>0</v>
      </c>
      <c r="Z153" s="5">
        <f>IF(ISNUMBER(Z151),Z151+0.08*MAX(1,_xlfn.AGGREGATE(4,6,$D$151:$AD$151)),NA())</f>
        <v>0</v>
      </c>
      <c r="AA153" s="5">
        <f>IF(ISNUMBER(AA151),AA151+0.08*MAX(1,_xlfn.AGGREGATE(4,6,$D$151:$AD$151)),NA())</f>
        <v>0</v>
      </c>
      <c r="AB153" s="5">
        <f>IF(ISNUMBER(AB151),AB151+0.08*MAX(1,_xlfn.AGGREGATE(4,6,$D$151:$AD$151)),NA())</f>
        <v>0</v>
      </c>
      <c r="AC153" s="5">
        <f>IF(ISNUMBER(AC151),AC151+0.08*MAX(1,_xlfn.AGGREGATE(4,6,$D$151:$AD$151)),NA())</f>
        <v>0</v>
      </c>
      <c r="AD153" s="5">
        <f>IF(ISNUMBER(AD151),AD151+0.08*MAX(1,_xlfn.AGGREGATE(4,6,$D$151:$AD$151)),NA())</f>
        <v>0</v>
      </c>
    </row>
    <row r="154" spans="1:41">
      <c r="A154" s="11" t="s">
        <v>371</v>
      </c>
      <c r="B154" s="11" t="s">
        <v>372</v>
      </c>
      <c r="C154" s="3" t="s">
        <v>137</v>
      </c>
      <c r="D154" s="5">
        <f>SLA_PV</f>
        <v>0</v>
      </c>
      <c r="E154" s="5">
        <f>SLA_PV</f>
        <v>0</v>
      </c>
      <c r="F154" s="5">
        <f>SLA_PV</f>
        <v>0</v>
      </c>
      <c r="G154" s="5">
        <f>SLA_PV</f>
        <v>0</v>
      </c>
      <c r="H154" s="5">
        <f>SLA_PV</f>
        <v>0</v>
      </c>
      <c r="I154" s="5">
        <f>SLA_PV</f>
        <v>0</v>
      </c>
      <c r="J154" s="5">
        <f>SLA_PV</f>
        <v>0</v>
      </c>
      <c r="K154" s="5">
        <f>SLA_PV</f>
        <v>0</v>
      </c>
      <c r="L154" s="5">
        <f>SLA_PV</f>
        <v>0</v>
      </c>
      <c r="M154" s="5">
        <f>SLA_PV</f>
        <v>0</v>
      </c>
      <c r="N154" s="5">
        <f>SLA_PV</f>
        <v>0</v>
      </c>
      <c r="O154" s="5">
        <f>SLA_PV</f>
        <v>0</v>
      </c>
      <c r="P154" s="5">
        <f>SLA_PV</f>
        <v>0</v>
      </c>
      <c r="Q154" s="5">
        <f>SLA_PV</f>
        <v>0</v>
      </c>
      <c r="R154" s="5">
        <f>SLA_PV</f>
        <v>0</v>
      </c>
      <c r="S154" s="5">
        <f>SLA_PV</f>
        <v>0</v>
      </c>
      <c r="T154" s="5">
        <f>SLA_PV</f>
        <v>0</v>
      </c>
      <c r="U154" s="5">
        <f>SLA_PV</f>
        <v>0</v>
      </c>
      <c r="V154" s="5">
        <f>SLA_PV</f>
        <v>0</v>
      </c>
      <c r="W154" s="5">
        <f>SLA_PV</f>
        <v>0</v>
      </c>
      <c r="X154" s="5">
        <f>SLA_PV</f>
        <v>0</v>
      </c>
      <c r="Y154" s="5">
        <f>SLA_PV</f>
        <v>0</v>
      </c>
      <c r="Z154" s="5">
        <f>SLA_PV</f>
        <v>0</v>
      </c>
      <c r="AA154" s="5">
        <f>SLA_PV</f>
        <v>0</v>
      </c>
      <c r="AB154" s="5">
        <f>SLA_PV</f>
        <v>0</v>
      </c>
      <c r="AC154" s="5">
        <f>SLA_PV</f>
        <v>0</v>
      </c>
      <c r="AD154" s="5">
        <f>SLA_PV</f>
        <v>0</v>
      </c>
    </row>
    <row r="155" spans="1:41">
      <c r="A155" s="11" t="s">
        <v>373</v>
      </c>
      <c r="B155" s="11" t="s">
        <v>374</v>
      </c>
      <c r="C155" s="3" t="str">
        <f>"Rohdaten Z. "&amp;ROW(Rohdaten!$A$167)</f>
        <v>Rohdaten Z. 167</v>
      </c>
      <c r="AF155" s="5">
        <f>IFERROR(IF(ISNUMBER(INDEX(Rohdaten!$A$167:$LJ$167,MATCH(AF$4,Rohdaten!$A$165:$LJ$165,0))),INDEX(Rohdaten!$A$167:$LJ$167,MATCH(AF$4,Rohdaten!$A$165:$LJ$165,0)),NA()),NA())</f>
        <v>0</v>
      </c>
      <c r="AG155" s="5">
        <f>IFERROR(IF(ISNUMBER(INDEX(Rohdaten!$A$167:$LJ$167,MATCH(AG$4,Rohdaten!$A$165:$LJ$165,0))),INDEX(Rohdaten!$A$167:$LJ$167,MATCH(AG$4,Rohdaten!$A$165:$LJ$165,0)),NA()),NA())</f>
        <v>0</v>
      </c>
      <c r="AH155" s="5">
        <f>IFERROR(IF(ISNUMBER(INDEX(Rohdaten!$A$167:$LJ$167,MATCH(AH$4,Rohdaten!$A$165:$LJ$165,0))),INDEX(Rohdaten!$A$167:$LJ$167,MATCH(AH$4,Rohdaten!$A$165:$LJ$165,0)),NA()),NA())</f>
        <v>0</v>
      </c>
      <c r="AI155" s="5">
        <f>IFERROR(IF(ISNUMBER(INDEX(Rohdaten!$A$167:$LJ$167,MATCH(AI$4,Rohdaten!$A$165:$LJ$165,0))),INDEX(Rohdaten!$A$167:$LJ$167,MATCH(AI$4,Rohdaten!$A$165:$LJ$165,0)),NA()),NA())</f>
        <v>0</v>
      </c>
      <c r="AJ155" s="5">
        <f>IFERROR(IF(ISNUMBER(INDEX(Rohdaten!$A$167:$LJ$167,MATCH(AJ$4,Rohdaten!$A$165:$LJ$165,0))),INDEX(Rohdaten!$A$167:$LJ$167,MATCH(AJ$4,Rohdaten!$A$165:$LJ$165,0)),NA()),NA())</f>
        <v>0</v>
      </c>
      <c r="AK155" s="5">
        <f>IFERROR(IF(ISNUMBER(INDEX(Rohdaten!$A$167:$LJ$167,MATCH(AK$4,Rohdaten!$A$165:$LJ$165,0))),INDEX(Rohdaten!$A$167:$LJ$167,MATCH(AK$4,Rohdaten!$A$165:$LJ$165,0)),NA()),NA())</f>
        <v>0</v>
      </c>
      <c r="AL155" s="5">
        <f>IFERROR(IF(ISNUMBER(INDEX(Rohdaten!$A$167:$LJ$167,MATCH(AL$4,Rohdaten!$A$165:$LJ$165,0))),INDEX(Rohdaten!$A$167:$LJ$167,MATCH(AL$4,Rohdaten!$A$165:$LJ$165,0)),NA()),NA())</f>
        <v>0</v>
      </c>
      <c r="AM155" s="5">
        <f>IFERROR(IF(ISNUMBER(INDEX(Rohdaten!$A$167:$LJ$167,MATCH(AM$4,Rohdaten!$A$165:$LJ$165,0))),INDEX(Rohdaten!$A$167:$LJ$167,MATCH(AM$4,Rohdaten!$A$165:$LJ$165,0)),NA()),NA())</f>
        <v>0</v>
      </c>
      <c r="AN155" s="5">
        <f>IFERROR(IF(ISNUMBER(INDEX(Rohdaten!$A$167:$LJ$167,MATCH(AN$4,Rohdaten!$A$165:$LJ$165,0))),INDEX(Rohdaten!$A$167:$LJ$167,MATCH(AN$4,Rohdaten!$A$165:$LJ$165,0)),NA()),NA())</f>
        <v>0</v>
      </c>
      <c r="AO155" s="5">
        <f>IFERROR(IF(ISNUMBER(INDEX(Rohdaten!$A$167:$LJ$167,MATCH(AO$4,Rohdaten!$A$165:$LJ$165,0))),INDEX(Rohdaten!$A$167:$LJ$167,MATCH(AO$4,Rohdaten!$A$165:$LJ$165,0)),NA()),NA())</f>
        <v>0</v>
      </c>
    </row>
    <row r="156" spans="1:41">
      <c r="A156" s="11" t="s">
        <v>375</v>
      </c>
      <c r="B156" s="11" t="s">
        <v>376</v>
      </c>
      <c r="C156" s="3" t="str">
        <f>"Rohdaten Z. "&amp;ROW(Rohdaten!$A$168)</f>
        <v>Rohdaten Z. 168</v>
      </c>
      <c r="AF156" s="5">
        <f>IFERROR(IF(ISNUMBER(INDEX(Rohdaten!$A$168:$LJ$168,MATCH(AF$4,Rohdaten!$A$165:$LJ$165,0))),INDEX(Rohdaten!$A$168:$LJ$168,MATCH(AF$4,Rohdaten!$A$165:$LJ$165,0)),NA()),NA())</f>
        <v>0</v>
      </c>
      <c r="AG156" s="5">
        <f>IFERROR(IF(ISNUMBER(INDEX(Rohdaten!$A$168:$LJ$168,MATCH(AG$4,Rohdaten!$A$165:$LJ$165,0))),INDEX(Rohdaten!$A$168:$LJ$168,MATCH(AG$4,Rohdaten!$A$165:$LJ$165,0)),NA()),NA())</f>
        <v>0</v>
      </c>
      <c r="AH156" s="5">
        <f>IFERROR(IF(ISNUMBER(INDEX(Rohdaten!$A$168:$LJ$168,MATCH(AH$4,Rohdaten!$A$165:$LJ$165,0))),INDEX(Rohdaten!$A$168:$LJ$168,MATCH(AH$4,Rohdaten!$A$165:$LJ$165,0)),NA()),NA())</f>
        <v>0</v>
      </c>
      <c r="AI156" s="5">
        <f>IFERROR(IF(ISNUMBER(INDEX(Rohdaten!$A$168:$LJ$168,MATCH(AI$4,Rohdaten!$A$165:$LJ$165,0))),INDEX(Rohdaten!$A$168:$LJ$168,MATCH(AI$4,Rohdaten!$A$165:$LJ$165,0)),NA()),NA())</f>
        <v>0</v>
      </c>
      <c r="AJ156" s="5">
        <f>IFERROR(IF(ISNUMBER(INDEX(Rohdaten!$A$168:$LJ$168,MATCH(AJ$4,Rohdaten!$A$165:$LJ$165,0))),INDEX(Rohdaten!$A$168:$LJ$168,MATCH(AJ$4,Rohdaten!$A$165:$LJ$165,0)),NA()),NA())</f>
        <v>0</v>
      </c>
      <c r="AK156" s="5">
        <f>IFERROR(IF(ISNUMBER(INDEX(Rohdaten!$A$168:$LJ$168,MATCH(AK$4,Rohdaten!$A$165:$LJ$165,0))),INDEX(Rohdaten!$A$168:$LJ$168,MATCH(AK$4,Rohdaten!$A$165:$LJ$165,0)),NA()),NA())</f>
        <v>0</v>
      </c>
      <c r="AL156" s="5">
        <f>IFERROR(IF(ISNUMBER(INDEX(Rohdaten!$A$168:$LJ$168,MATCH(AL$4,Rohdaten!$A$165:$LJ$165,0))),INDEX(Rohdaten!$A$168:$LJ$168,MATCH(AL$4,Rohdaten!$A$165:$LJ$165,0)),NA()),NA())</f>
        <v>0</v>
      </c>
      <c r="AM156" s="5">
        <f>IFERROR(IF(ISNUMBER(INDEX(Rohdaten!$A$168:$LJ$168,MATCH(AM$4,Rohdaten!$A$165:$LJ$165,0))),INDEX(Rohdaten!$A$168:$LJ$168,MATCH(AM$4,Rohdaten!$A$165:$LJ$165,0)),NA()),NA())</f>
        <v>0</v>
      </c>
      <c r="AN156" s="5">
        <f>IFERROR(IF(ISNUMBER(INDEX(Rohdaten!$A$168:$LJ$168,MATCH(AN$4,Rohdaten!$A$165:$LJ$165,0))),INDEX(Rohdaten!$A$168:$LJ$168,MATCH(AN$4,Rohdaten!$A$165:$LJ$165,0)),NA()),NA())</f>
        <v>0</v>
      </c>
      <c r="AO156" s="5">
        <f>IFERROR(IF(ISNUMBER(INDEX(Rohdaten!$A$168:$LJ$168,MATCH(AO$4,Rohdaten!$A$165:$LJ$165,0))),INDEX(Rohdaten!$A$168:$LJ$168,MATCH(AO$4,Rohdaten!$A$165:$LJ$165,0)),NA()),NA())</f>
        <v>0</v>
      </c>
    </row>
    <row r="157" spans="1:41">
      <c r="A157" s="11" t="s">
        <v>377</v>
      </c>
      <c r="B157" s="11" t="s">
        <v>378</v>
      </c>
      <c r="C157" s="3" t="str">
        <f>"Rohdaten Z. "&amp;ROW(Rohdaten!$A$169)</f>
        <v>Rohdaten Z. 169</v>
      </c>
      <c r="AF157" s="79">
        <f>IFERROR(IF(ISNUMBER(INDEX(Rohdaten!$A$169:$LJ$169,MATCH(AF$4,Rohdaten!$A$165:$LJ$165,0))),INDEX(Rohdaten!$A$169:$LJ$169,MATCH(AF$4,Rohdaten!$A$165:$LJ$165,0)),INDEX(Rohdaten!$A$169:$LJ$169,MATCH(AF$4,Rohdaten!$A$165:$LJ$165,0))&amp;""),NA())</f>
        <v>0</v>
      </c>
      <c r="AG157" s="79">
        <f>IFERROR(IF(ISNUMBER(INDEX(Rohdaten!$A$169:$LJ$169,MATCH(AG$4,Rohdaten!$A$165:$LJ$165,0))),INDEX(Rohdaten!$A$169:$LJ$169,MATCH(AG$4,Rohdaten!$A$165:$LJ$165,0)),INDEX(Rohdaten!$A$169:$LJ$169,MATCH(AG$4,Rohdaten!$A$165:$LJ$165,0))&amp;""),NA())</f>
        <v>0</v>
      </c>
      <c r="AH157" s="79">
        <f>IFERROR(IF(ISNUMBER(INDEX(Rohdaten!$A$169:$LJ$169,MATCH(AH$4,Rohdaten!$A$165:$LJ$165,0))),INDEX(Rohdaten!$A$169:$LJ$169,MATCH(AH$4,Rohdaten!$A$165:$LJ$165,0)),INDEX(Rohdaten!$A$169:$LJ$169,MATCH(AH$4,Rohdaten!$A$165:$LJ$165,0))&amp;""),NA())</f>
        <v>0</v>
      </c>
      <c r="AI157" s="79">
        <f>IFERROR(IF(ISNUMBER(INDEX(Rohdaten!$A$169:$LJ$169,MATCH(AI$4,Rohdaten!$A$165:$LJ$165,0))),INDEX(Rohdaten!$A$169:$LJ$169,MATCH(AI$4,Rohdaten!$A$165:$LJ$165,0)),INDEX(Rohdaten!$A$169:$LJ$169,MATCH(AI$4,Rohdaten!$A$165:$LJ$165,0))&amp;""),NA())</f>
        <v>0</v>
      </c>
      <c r="AJ157" s="79">
        <f>IFERROR(IF(ISNUMBER(INDEX(Rohdaten!$A$169:$LJ$169,MATCH(AJ$4,Rohdaten!$A$165:$LJ$165,0))),INDEX(Rohdaten!$A$169:$LJ$169,MATCH(AJ$4,Rohdaten!$A$165:$LJ$165,0)),INDEX(Rohdaten!$A$169:$LJ$169,MATCH(AJ$4,Rohdaten!$A$165:$LJ$165,0))&amp;""),NA())</f>
        <v>0</v>
      </c>
      <c r="AK157" s="79">
        <f>IFERROR(IF(ISNUMBER(INDEX(Rohdaten!$A$169:$LJ$169,MATCH(AK$4,Rohdaten!$A$165:$LJ$165,0))),INDEX(Rohdaten!$A$169:$LJ$169,MATCH(AK$4,Rohdaten!$A$165:$LJ$165,0)),INDEX(Rohdaten!$A$169:$LJ$169,MATCH(AK$4,Rohdaten!$A$165:$LJ$165,0))&amp;""),NA())</f>
        <v>0</v>
      </c>
      <c r="AL157" s="79">
        <f>IFERROR(IF(ISNUMBER(INDEX(Rohdaten!$A$169:$LJ$169,MATCH(AL$4,Rohdaten!$A$165:$LJ$165,0))),INDEX(Rohdaten!$A$169:$LJ$169,MATCH(AL$4,Rohdaten!$A$165:$LJ$165,0)),INDEX(Rohdaten!$A$169:$LJ$169,MATCH(AL$4,Rohdaten!$A$165:$LJ$165,0))&amp;""),NA())</f>
        <v>0</v>
      </c>
      <c r="AM157" s="79">
        <f>IFERROR(IF(ISNUMBER(INDEX(Rohdaten!$A$169:$LJ$169,MATCH(AM$4,Rohdaten!$A$165:$LJ$165,0))),INDEX(Rohdaten!$A$169:$LJ$169,MATCH(AM$4,Rohdaten!$A$165:$LJ$165,0)),INDEX(Rohdaten!$A$169:$LJ$169,MATCH(AM$4,Rohdaten!$A$165:$LJ$165,0))&amp;""),NA())</f>
        <v>0</v>
      </c>
      <c r="AN157" s="79">
        <f>IFERROR(IF(ISNUMBER(INDEX(Rohdaten!$A$169:$LJ$169,MATCH(AN$4,Rohdaten!$A$165:$LJ$165,0))),INDEX(Rohdaten!$A$169:$LJ$169,MATCH(AN$4,Rohdaten!$A$165:$LJ$165,0)),INDEX(Rohdaten!$A$169:$LJ$169,MATCH(AN$4,Rohdaten!$A$165:$LJ$165,0))&amp;""),NA())</f>
        <v>0</v>
      </c>
      <c r="AO157" s="79">
        <f>IFERROR(IF(ISNUMBER(INDEX(Rohdaten!$A$169:$LJ$169,MATCH(AO$4,Rohdaten!$A$165:$LJ$165,0))),INDEX(Rohdaten!$A$169:$LJ$169,MATCH(AO$4,Rohdaten!$A$165:$LJ$165,0)),INDEX(Rohdaten!$A$169:$LJ$169,MATCH(AO$4,Rohdaten!$A$165:$LJ$165,0))&amp;""),NA())</f>
        <v>0</v>
      </c>
    </row>
    <row r="158" spans="1:41">
      <c r="A158" s="11" t="s">
        <v>379</v>
      </c>
      <c r="B158" s="11" t="s">
        <v>380</v>
      </c>
      <c r="C158" s="3" t="s">
        <v>137</v>
      </c>
      <c r="AF158" s="79">
        <f>IFERROR(IF(ISNUMBER(AF157),AF157,IF(AF157="",NA(),_xlfn.NUMBERVALUE(TRIM(SUBSTITUTE(AF157,"%","")),",","."))),NA())</f>
        <v>0</v>
      </c>
      <c r="AG158" s="79">
        <f>IFERROR(IF(ISNUMBER(AG157),AG157,IF(AG157="",NA(),_xlfn.NUMBERVALUE(TRIM(SUBSTITUTE(AG157,"%","")),",","."))),NA())</f>
        <v>0</v>
      </c>
      <c r="AH158" s="79">
        <f>IFERROR(IF(ISNUMBER(AH157),AH157,IF(AH157="",NA(),_xlfn.NUMBERVALUE(TRIM(SUBSTITUTE(AH157,"%","")),",","."))),NA())</f>
        <v>0</v>
      </c>
      <c r="AI158" s="79">
        <f>IFERROR(IF(ISNUMBER(AI157),AI157,IF(AI157="",NA(),_xlfn.NUMBERVALUE(TRIM(SUBSTITUTE(AI157,"%","")),",","."))),NA())</f>
        <v>0</v>
      </c>
      <c r="AJ158" s="79">
        <f>IFERROR(IF(ISNUMBER(AJ157),AJ157,IF(AJ157="",NA(),_xlfn.NUMBERVALUE(TRIM(SUBSTITUTE(AJ157,"%","")),",","."))),NA())</f>
        <v>0</v>
      </c>
      <c r="AK158" s="79">
        <f>IFERROR(IF(ISNUMBER(AK157),AK157,IF(AK157="",NA(),_xlfn.NUMBERVALUE(TRIM(SUBSTITUTE(AK157,"%","")),",","."))),NA())</f>
        <v>0</v>
      </c>
      <c r="AL158" s="79">
        <f>IFERROR(IF(ISNUMBER(AL157),AL157,IF(AL157="",NA(),_xlfn.NUMBERVALUE(TRIM(SUBSTITUTE(AL157,"%","")),",","."))),NA())</f>
        <v>0</v>
      </c>
      <c r="AM158" s="79">
        <f>IFERROR(IF(ISNUMBER(AM157),AM157,IF(AM157="",NA(),_xlfn.NUMBERVALUE(TRIM(SUBSTITUTE(AM157,"%","")),",","."))),NA())</f>
        <v>0</v>
      </c>
      <c r="AN158" s="79">
        <f>IFERROR(IF(ISNUMBER(AN157),AN157,IF(AN157="",NA(),_xlfn.NUMBERVALUE(TRIM(SUBSTITUTE(AN157,"%","")),",","."))),NA())</f>
        <v>0</v>
      </c>
      <c r="AO158" s="79">
        <f>IFERROR(IF(ISNUMBER(AO157),AO157,IF(AO157="",NA(),_xlfn.NUMBERVALUE(TRIM(SUBSTITUTE(AO157,"%","")),",","."))),NA())</f>
        <v>0</v>
      </c>
    </row>
    <row r="159" spans="1:41">
      <c r="A159" s="11" t="s">
        <v>381</v>
      </c>
      <c r="B159" s="11" t="s">
        <v>382</v>
      </c>
      <c r="C159" s="3" t="s">
        <v>137</v>
      </c>
      <c r="AF159" s="79">
        <f>IF(ISNUMBER(AF158),IF(AF158&gt;1.5,AF158/100,AF158),IF(AND(ISNUMBER(AF155),ISNUMBER(AF156)),IF(AF155&gt;0,AF156/AF155,NA()),NA()))</f>
        <v>0</v>
      </c>
      <c r="AG159" s="79">
        <f>IF(ISNUMBER(AG158),IF(AG158&gt;1.5,AG158/100,AG158),IF(AND(ISNUMBER(AG155),ISNUMBER(AG156)),IF(AG155&gt;0,AG156/AG155,NA()),NA()))</f>
        <v>0</v>
      </c>
      <c r="AH159" s="79">
        <f>IF(ISNUMBER(AH158),IF(AH158&gt;1.5,AH158/100,AH158),IF(AND(ISNUMBER(AH155),ISNUMBER(AH156)),IF(AH155&gt;0,AH156/AH155,NA()),NA()))</f>
        <v>0</v>
      </c>
      <c r="AI159" s="79">
        <f>IF(ISNUMBER(AI158),IF(AI158&gt;1.5,AI158/100,AI158),IF(AND(ISNUMBER(AI155),ISNUMBER(AI156)),IF(AI155&gt;0,AI156/AI155,NA()),NA()))</f>
        <v>0</v>
      </c>
      <c r="AJ159" s="79">
        <f>IF(ISNUMBER(AJ158),IF(AJ158&gt;1.5,AJ158/100,AJ158),IF(AND(ISNUMBER(AJ155),ISNUMBER(AJ156)),IF(AJ155&gt;0,AJ156/AJ155,NA()),NA()))</f>
        <v>0</v>
      </c>
      <c r="AK159" s="79">
        <f>IF(ISNUMBER(AK158),IF(AK158&gt;1.5,AK158/100,AK158),IF(AND(ISNUMBER(AK155),ISNUMBER(AK156)),IF(AK155&gt;0,AK156/AK155,NA()),NA()))</f>
        <v>0</v>
      </c>
      <c r="AL159" s="79">
        <f>IF(ISNUMBER(AL158),IF(AL158&gt;1.5,AL158/100,AL158),IF(AND(ISNUMBER(AL155),ISNUMBER(AL156)),IF(AL155&gt;0,AL156/AL155,NA()),NA()))</f>
        <v>0</v>
      </c>
      <c r="AM159" s="79">
        <f>IF(ISNUMBER(AM158),IF(AM158&gt;1.5,AM158/100,AM158),IF(AND(ISNUMBER(AM155),ISNUMBER(AM156)),IF(AM155&gt;0,AM156/AM155,NA()),NA()))</f>
        <v>0</v>
      </c>
      <c r="AN159" s="79">
        <f>IF(ISNUMBER(AN158),IF(AN158&gt;1.5,AN158/100,AN158),IF(AND(ISNUMBER(AN155),ISNUMBER(AN156)),IF(AN155&gt;0,AN156/AN155,NA()),NA()))</f>
        <v>0</v>
      </c>
      <c r="AO159" s="79">
        <f>IF(ISNUMBER(AO158),IF(AO158&gt;1.5,AO158/100,AO158),IF(AND(ISNUMBER(AO155),ISNUMBER(AO156)),IF(AO155&gt;0,AO156/AO155,NA()),NA()))</f>
        <v>0</v>
      </c>
    </row>
    <row r="160" spans="1:41">
      <c r="A160" s="11" t="s">
        <v>383</v>
      </c>
      <c r="B160" s="11" t="s">
        <v>384</v>
      </c>
      <c r="C160" s="3" t="s">
        <v>137</v>
      </c>
      <c r="AF160" s="11">
        <f>IF(ISNUMBER(AF159),FIXED(AF159*100,0)&amp;" %","")</f>
        <v>0</v>
      </c>
      <c r="AG160" s="11">
        <f>IF(ISNUMBER(AG159),FIXED(AG159*100,0)&amp;" %","")</f>
        <v>0</v>
      </c>
      <c r="AH160" s="11">
        <f>IF(ISNUMBER(AH159),FIXED(AH159*100,0)&amp;" %","")</f>
        <v>0</v>
      </c>
      <c r="AI160" s="11">
        <f>IF(ISNUMBER(AI159),FIXED(AI159*100,0)&amp;" %","")</f>
        <v>0</v>
      </c>
      <c r="AJ160" s="11">
        <f>IF(ISNUMBER(AJ159),FIXED(AJ159*100,0)&amp;" %","")</f>
        <v>0</v>
      </c>
      <c r="AK160" s="11">
        <f>IF(ISNUMBER(AK159),FIXED(AK159*100,0)&amp;" %","")</f>
        <v>0</v>
      </c>
      <c r="AL160" s="11">
        <f>IF(ISNUMBER(AL159),FIXED(AL159*100,0)&amp;" %","")</f>
        <v>0</v>
      </c>
      <c r="AM160" s="11">
        <f>IF(ISNUMBER(AM159),FIXED(AM159*100,0)&amp;" %","")</f>
        <v>0</v>
      </c>
      <c r="AN160" s="11">
        <f>IF(ISNUMBER(AN159),FIXED(AN159*100,0)&amp;" %","")</f>
        <v>0</v>
      </c>
      <c r="AO160" s="11">
        <f>IF(ISNUMBER(AO159),FIXED(AO159*100,0)&amp;" %","")</f>
        <v>0</v>
      </c>
    </row>
    <row r="161" spans="1:100">
      <c r="A161" s="11" t="s">
        <v>385</v>
      </c>
      <c r="B161" s="11" t="s">
        <v>386</v>
      </c>
      <c r="C161" s="3" t="str">
        <f>"Rohdaten Z. "&amp;ROW(Rohdaten!$A$162)</f>
        <v>Rohdaten Z. 162</v>
      </c>
      <c r="CS161" s="5">
        <f>IFERROR(IF(ISNUMBER(INDEX(Rohdaten!$A$162:$LJ$162,MATCH(CS$4,Rohdaten!$A$159:$LJ$159,0))),INDEX(Rohdaten!$A$162:$LJ$162,MATCH(CS$4,Rohdaten!$A$159:$LJ$159,0)),NA()),NA())</f>
        <v>0</v>
      </c>
      <c r="CT161" s="5">
        <f>IFERROR(IF(ISNUMBER(INDEX(Rohdaten!$A$162:$LJ$162,MATCH(CT$4,Rohdaten!$A$159:$LJ$159,0))),INDEX(Rohdaten!$A$162:$LJ$162,MATCH(CT$4,Rohdaten!$A$159:$LJ$159,0)),NA()),NA())</f>
        <v>0</v>
      </c>
      <c r="CU161" s="5">
        <f>IFERROR(IF(ISNUMBER(INDEX(Rohdaten!$A$162:$LJ$162,MATCH(CU$4,Rohdaten!$A$159:$LJ$159,0))),INDEX(Rohdaten!$A$162:$LJ$162,MATCH(CU$4,Rohdaten!$A$159:$LJ$159,0)),NA()),NA())</f>
        <v>0</v>
      </c>
      <c r="CV161" s="5">
        <f>IFERROR(IF(ISNUMBER(INDEX(Rohdaten!$A$162:$LJ$162,MATCH(CV$4,Rohdaten!$A$159:$LJ$159,0))),INDEX(Rohdaten!$A$162:$LJ$162,MATCH(CV$4,Rohdaten!$A$159:$LJ$159,0)),NA()),NA())</f>
        <v>0</v>
      </c>
    </row>
    <row r="162" spans="1:100">
      <c r="A162" s="11" t="s">
        <v>387</v>
      </c>
      <c r="B162" s="11" t="s">
        <v>388</v>
      </c>
      <c r="C162" s="3" t="str">
        <f>"Rohdaten Z. "&amp;ROW(Rohdaten!$A$163)</f>
        <v>Rohdaten Z. 163</v>
      </c>
      <c r="CS162" s="5">
        <f>IFERROR(IF(ISNUMBER(INDEX(Rohdaten!$A$163:$LJ$163,MATCH(CS$4,Rohdaten!$A$159:$LJ$159,0))),INDEX(Rohdaten!$A$163:$LJ$163,MATCH(CS$4,Rohdaten!$A$159:$LJ$159,0)),NA()),NA())</f>
        <v>0</v>
      </c>
      <c r="CT162" s="5">
        <f>IFERROR(IF(ISNUMBER(INDEX(Rohdaten!$A$163:$LJ$163,MATCH(CT$4,Rohdaten!$A$159:$LJ$159,0))),INDEX(Rohdaten!$A$163:$LJ$163,MATCH(CT$4,Rohdaten!$A$159:$LJ$159,0)),NA()),NA())</f>
        <v>0</v>
      </c>
      <c r="CU162" s="5">
        <f>IFERROR(IF(ISNUMBER(INDEX(Rohdaten!$A$163:$LJ$163,MATCH(CU$4,Rohdaten!$A$159:$LJ$159,0))),INDEX(Rohdaten!$A$163:$LJ$163,MATCH(CU$4,Rohdaten!$A$159:$LJ$159,0)),NA()),NA())</f>
        <v>0</v>
      </c>
      <c r="CV162" s="5">
        <f>IFERROR(IF(ISNUMBER(INDEX(Rohdaten!$A$163:$LJ$163,MATCH(CV$4,Rohdaten!$A$159:$LJ$159,0))),INDEX(Rohdaten!$A$163:$LJ$163,MATCH(CV$4,Rohdaten!$A$159:$LJ$159,0)),NA()),NA())</f>
        <v>0</v>
      </c>
    </row>
    <row r="163" spans="1:100">
      <c r="A163" s="11" t="s">
        <v>389</v>
      </c>
      <c r="B163" s="11" t="s">
        <v>390</v>
      </c>
      <c r="C163" s="3" t="s">
        <v>137</v>
      </c>
      <c r="CS163" s="5">
        <f>IF(ISNUMBER(CS161),ROUND(CS161,0),NA())</f>
        <v>0</v>
      </c>
      <c r="CT163" s="5">
        <f>IF(ISNUMBER(CT161),ROUND(CT161,0),NA())</f>
        <v>0</v>
      </c>
      <c r="CU163" s="5">
        <f>IF(ISNUMBER(CU161),ROUND(CU161,0),NA())</f>
        <v>0</v>
      </c>
      <c r="CV163" s="5">
        <f>IF(ISNUMBER(CV161),ROUND(CV161,0),NA())</f>
        <v>0</v>
      </c>
    </row>
    <row r="164" spans="1:100">
      <c r="A164" s="11" t="s">
        <v>391</v>
      </c>
      <c r="B164" s="11" t="s">
        <v>392</v>
      </c>
      <c r="C164" s="3" t="s">
        <v>137</v>
      </c>
      <c r="CS164" s="5">
        <f>IF(ISNUMBER(CS162),ROUND(CS162,0),NA())</f>
        <v>0</v>
      </c>
      <c r="CT164" s="5">
        <f>IF(ISNUMBER(CT162),ROUND(CT162,0),NA())</f>
        <v>0</v>
      </c>
      <c r="CU164" s="5">
        <f>IF(ISNUMBER(CU162),ROUND(CU162,0),NA())</f>
        <v>0</v>
      </c>
      <c r="CV164" s="5">
        <f>IF(ISNUMBER(CV162),ROUND(CV162,0),NA())</f>
        <v>0</v>
      </c>
    </row>
    <row r="165" spans="1:100">
      <c r="A165" s="11" t="s">
        <v>395</v>
      </c>
      <c r="B165" s="11" t="s">
        <v>396</v>
      </c>
      <c r="C165" s="3" t="s">
        <v>397</v>
      </c>
      <c r="D165" s="8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65" s="11">
        <f>"Stand: "&amp;TEXT(DAY($D$165),"00")&amp;"."&amp;TEXT(MONTH($D$165),"00")&amp;"."&amp;RIGHT(YEAR($D$165),2)</f>
        <v>0</v>
      </c>
      <c r="F165" s="11">
        <f>"Stand:"&amp;CHAR(10)&amp;TEXT(DAY($D$165),"00")&amp;"."&amp;TEXT(MONTH($D$165),"00")&amp;"."&amp;RIGHT(YEAR($D$165),2)</f>
        <v>0</v>
      </c>
    </row>
    <row r="166" spans="1:100">
      <c r="A166" s="11" t="s">
        <v>398</v>
      </c>
      <c r="B166" s="11" t="s">
        <v>399</v>
      </c>
      <c r="C166" s="3" t="s">
        <v>397</v>
      </c>
      <c r="D166" s="80">
        <f>IF(MAX(IFERROR(N(INDEX(Wertstand!$A$79:$LJ$79,MATCH(INDEX($D$4:$AD$4,$D$91),RD_Kopf,0))),0),IFERROR(N(INDEX(Wertstand!$A$80:$LJ$80,MATCH(INDEX($D$4:$AD$4,$D$91),RD_Kopf,0))),0),IFERROR(N(INDEX(Wertstand!$A$81:$LJ$81,MATCH(INDEX($D$4:$AD$4,$D$91),RD_Kopf,0))),0),IFERROR(N(INDEX(Wertstand!$A$82:$LJ$82,MATCH(INDEX($D$4:$AD$4,$D$91),RD_Kopf,0))),0),IFERROR(N(INDEX(Wertstand!$A$83:$LJ$83,MATCH(INDEX($D$4:$AD$4,$D$91),RD_Kopf,0))),0),IFERROR(N(INDEX(Wertstand!$A$84:$LJ$84,MATCH(INDEX($D$4:$AD$4,$D$91),RD_Kopf,0))),0),IFERROR(N(INDEX(Wertstand!$A$85:$LJ$85,MATCH(INDEX($D$4:$AD$4,$D$91),RD_Kopf,0))),0),IFERROR(N(INDEX(Wertstand!$A$86:$LJ$86,MATCH(INDEX($D$4:$AD$4,$D$91),RD_Kopf,0))),0),IFERROR(N(INDEX(Wertstand!$A$87:$LJ$87,MATCH(INDEX($D$4:$AD$4,$D$91),RD_Kopf,0))),0),IFERROR(N(INDEX(Wertstand!$A$88:$LJ$88,MATCH(INDEX($D$4:$AD$4,$D$91),RD_Kopf,0))),0),IFERROR(N(INDEX(Wertstand!$A$89:$LJ$89,MATCH(INDEX($D$4:$AD$4,$D$91),RD_Kopf,0))),0),IFERROR(N(INDEX(Wertstand!$A$90:$LJ$90,MATCH(INDEX($D$4:$AD$4,$D$91),RD_Kopf,0))),0))&gt;0,MAX(IFERROR(N(INDEX(Wertstand!$A$79:$LJ$79,MATCH(INDEX($D$4:$AD$4,$D$91),RD_Kopf,0))),0),IFERROR(N(INDEX(Wertstand!$A$80:$LJ$80,MATCH(INDEX($D$4:$AD$4,$D$91),RD_Kopf,0))),0),IFERROR(N(INDEX(Wertstand!$A$81:$LJ$81,MATCH(INDEX($D$4:$AD$4,$D$91),RD_Kopf,0))),0),IFERROR(N(INDEX(Wertstand!$A$82:$LJ$82,MATCH(INDEX($D$4:$AD$4,$D$91),RD_Kopf,0))),0),IFERROR(N(INDEX(Wertstand!$A$83:$LJ$83,MATCH(INDEX($D$4:$AD$4,$D$91),RD_Kopf,0))),0),IFERROR(N(INDEX(Wertstand!$A$84:$LJ$84,MATCH(INDEX($D$4:$AD$4,$D$91),RD_Kopf,0))),0),IFERROR(N(INDEX(Wertstand!$A$85:$LJ$85,MATCH(INDEX($D$4:$AD$4,$D$91),RD_Kopf,0))),0),IFERROR(N(INDEX(Wertstand!$A$86:$LJ$86,MATCH(INDEX($D$4:$AD$4,$D$91),RD_Kopf,0))),0),IFERROR(N(INDEX(Wertstand!$A$87:$LJ$87,MATCH(INDEX($D$4:$AD$4,$D$91),RD_Kopf,0))),0),IFERROR(N(INDEX(Wertstand!$A$88:$LJ$88,MATCH(INDEX($D$4:$AD$4,$D$91),RD_Kopf,0))),0),IFERROR(N(INDEX(Wertstand!$A$89:$LJ$89,MATCH(INDEX($D$4:$AD$4,$D$91),RD_Kopf,0))),0),IFERROR(N(INDEX(Wertstand!$A$90:$LJ$90,MATCH(INDEX($D$4:$AD$4,$D$91),RD_Kopf,0))),0)),INDEX($D$4:$AD$4,$D$91))</f>
        <v>0</v>
      </c>
      <c r="E166" s="11">
        <f>"Stand: "&amp;TEXT(DAY($D$166),"00")&amp;"."&amp;TEXT(MONTH($D$166),"00")&amp;"."&amp;RIGHT(YEAR($D$166),2)</f>
        <v>0</v>
      </c>
      <c r="F166" s="11">
        <f>"Stand:"&amp;CHAR(10)&amp;TEXT(DAY($D$166),"00")&amp;"."&amp;TEXT(MONTH($D$166),"00")&amp;"."&amp;RIGHT(YEAR($D$166),2)</f>
        <v>0</v>
      </c>
    </row>
    <row r="167" spans="1:100">
      <c r="A167" s="11" t="s">
        <v>400</v>
      </c>
      <c r="B167" s="11" t="s">
        <v>401</v>
      </c>
      <c r="C167" s="3" t="s">
        <v>137</v>
      </c>
      <c r="D167" s="5">
        <f>IF(MAX($D$168:$AD$168)=0,27,MAX($D$168:$AD$168))</f>
        <v>0</v>
      </c>
    </row>
    <row r="168" spans="1:100">
      <c r="A168" s="11" t="s">
        <v>402</v>
      </c>
      <c r="B168" s="11" t="s">
        <v>403</v>
      </c>
      <c r="C168" s="3" t="s">
        <v>137</v>
      </c>
      <c r="D168" s="5">
        <f>IF(OR(ISNUMBER(D15)),1,0)</f>
        <v>0</v>
      </c>
      <c r="E168" s="5">
        <f>IF(OR(ISNUMBER(E15)),2,0)</f>
        <v>0</v>
      </c>
      <c r="F168" s="5">
        <f>IF(OR(ISNUMBER(F15)),3,0)</f>
        <v>0</v>
      </c>
      <c r="G168" s="5">
        <f>IF(OR(ISNUMBER(G15)),4,0)</f>
        <v>0</v>
      </c>
      <c r="H168" s="5">
        <f>IF(OR(ISNUMBER(H15)),5,0)</f>
        <v>0</v>
      </c>
      <c r="I168" s="5">
        <f>IF(OR(ISNUMBER(I15)),6,0)</f>
        <v>0</v>
      </c>
      <c r="J168" s="5">
        <f>IF(OR(ISNUMBER(J15)),7,0)</f>
        <v>0</v>
      </c>
      <c r="K168" s="5">
        <f>IF(OR(ISNUMBER(K15)),8,0)</f>
        <v>0</v>
      </c>
      <c r="L168" s="5">
        <f>IF(OR(ISNUMBER(L15)),9,0)</f>
        <v>0</v>
      </c>
      <c r="M168" s="5">
        <f>IF(OR(ISNUMBER(M15)),10,0)</f>
        <v>0</v>
      </c>
      <c r="N168" s="5">
        <f>IF(OR(ISNUMBER(N15)),11,0)</f>
        <v>0</v>
      </c>
      <c r="O168" s="5">
        <f>IF(OR(ISNUMBER(O15)),12,0)</f>
        <v>0</v>
      </c>
      <c r="P168" s="5">
        <f>IF(OR(ISNUMBER(P15)),13,0)</f>
        <v>0</v>
      </c>
      <c r="Q168" s="5">
        <f>IF(OR(ISNUMBER(Q15)),14,0)</f>
        <v>0</v>
      </c>
      <c r="R168" s="5">
        <f>IF(OR(ISNUMBER(R15)),15,0)</f>
        <v>0</v>
      </c>
      <c r="S168" s="5">
        <f>IF(OR(ISNUMBER(S15)),16,0)</f>
        <v>0</v>
      </c>
      <c r="T168" s="5">
        <f>IF(OR(ISNUMBER(T15)),17,0)</f>
        <v>0</v>
      </c>
      <c r="U168" s="5">
        <f>IF(OR(ISNUMBER(U15)),18,0)</f>
        <v>0</v>
      </c>
      <c r="V168" s="5">
        <f>IF(OR(ISNUMBER(V15)),19,0)</f>
        <v>0</v>
      </c>
      <c r="W168" s="5">
        <f>IF(OR(ISNUMBER(W15)),20,0)</f>
        <v>0</v>
      </c>
      <c r="X168" s="5">
        <f>IF(OR(ISNUMBER(X15)),21,0)</f>
        <v>0</v>
      </c>
      <c r="Y168" s="5">
        <f>IF(OR(ISNUMBER(Y15)),22,0)</f>
        <v>0</v>
      </c>
      <c r="Z168" s="5">
        <f>IF(OR(ISNUMBER(Z15)),23,0)</f>
        <v>0</v>
      </c>
      <c r="AA168" s="5">
        <f>IF(OR(ISNUMBER(AA15)),24,0)</f>
        <v>0</v>
      </c>
      <c r="AB168" s="5">
        <f>IF(OR(ISNUMBER(AB15)),25,0)</f>
        <v>0</v>
      </c>
      <c r="AC168" s="5">
        <f>IF(OR(ISNUMBER(AC15)),26,0)</f>
        <v>0</v>
      </c>
      <c r="AD168" s="5">
        <f>IF(OR(ISNUMBER(AD15)),27,0)</f>
        <v>0</v>
      </c>
    </row>
    <row r="169" spans="1:100">
      <c r="A169" s="11" t="s">
        <v>404</v>
      </c>
      <c r="B169" s="11" t="s">
        <v>405</v>
      </c>
      <c r="C169" s="3" t="s">
        <v>397</v>
      </c>
      <c r="D169" s="80">
        <f>IF(MAX(IFERROR(N(INDEX(Wertstand!$A$152:$LJ$152,MATCH(INDEX($D$4:$AD$4,$D$167),RD_Kopf,0))),0))&gt;0,MAX(IFERROR(N(INDEX(Wertstand!$A$152:$LJ$152,MATCH(INDEX($D$4:$AD$4,$D$167),RD_Kopf,0))),0)),INDEX($D$4:$AD$4,$D$167))</f>
        <v>0</v>
      </c>
      <c r="E169" s="11">
        <f>"Stand: "&amp;TEXT(DAY($D$169),"00")&amp;"."&amp;TEXT(MONTH($D$169),"00")&amp;"."&amp;RIGHT(YEAR($D$169),2)</f>
        <v>0</v>
      </c>
      <c r="F169" s="11">
        <f>"Stand:"&amp;CHAR(10)&amp;TEXT(DAY($D$169),"00")&amp;"."&amp;TEXT(MONTH($D$169),"00")&amp;"."&amp;RIGHT(YEAR($D$169),2)</f>
        <v>0</v>
      </c>
    </row>
    <row r="170" spans="1:100">
      <c r="A170" s="11" t="s">
        <v>406</v>
      </c>
      <c r="B170" s="11" t="s">
        <v>407</v>
      </c>
      <c r="C170" s="3" t="s">
        <v>408</v>
      </c>
      <c r="BR170" s="11">
        <f>IF(($D$167-25)&lt;1,"",INDEX($D$3:$AD$3,($D$167-25)))</f>
        <v>0</v>
      </c>
      <c r="BS170" s="11">
        <f>IF(($D$167-24)&lt;1,"",INDEX($D$3:$AD$3,($D$167-24)))</f>
        <v>0</v>
      </c>
      <c r="BT170" s="11">
        <f>IF(($D$167-23)&lt;1,"",INDEX($D$3:$AD$3,($D$167-23)))</f>
        <v>0</v>
      </c>
      <c r="BU170" s="11">
        <f>IF(($D$167-22)&lt;1,"",INDEX($D$3:$AD$3,($D$167-22)))</f>
        <v>0</v>
      </c>
      <c r="BV170" s="11">
        <f>IF(($D$167-21)&lt;1,"",INDEX($D$3:$AD$3,($D$167-21)))</f>
        <v>0</v>
      </c>
      <c r="BW170" s="11">
        <f>IF(($D$167-20)&lt;1,"",INDEX($D$3:$AD$3,($D$167-20)))</f>
        <v>0</v>
      </c>
      <c r="BX170" s="11">
        <f>IF(($D$167-19)&lt;1,"",INDEX($D$3:$AD$3,($D$167-19)))</f>
        <v>0</v>
      </c>
      <c r="BY170" s="11">
        <f>IF(($D$167-18)&lt;1,"",INDEX($D$3:$AD$3,($D$167-18)))</f>
        <v>0</v>
      </c>
      <c r="BZ170" s="11">
        <f>IF(($D$167-17)&lt;1,"",INDEX($D$3:$AD$3,($D$167-17)))</f>
        <v>0</v>
      </c>
      <c r="CA170" s="11">
        <f>IF(($D$167-16)&lt;1,"",INDEX($D$3:$AD$3,($D$167-16)))</f>
        <v>0</v>
      </c>
      <c r="CB170" s="11">
        <f>IF(($D$167-15)&lt;1,"",INDEX($D$3:$AD$3,($D$167-15)))</f>
        <v>0</v>
      </c>
      <c r="CC170" s="11">
        <f>IF(($D$167-14)&lt;1,"",INDEX($D$3:$AD$3,($D$167-14)))</f>
        <v>0</v>
      </c>
      <c r="CD170" s="11">
        <f>IF(($D$167-13)&lt;1,"",INDEX($D$3:$AD$3,($D$167-13)))</f>
        <v>0</v>
      </c>
      <c r="CE170" s="11">
        <f>IF(($D$167-12)&lt;1,"",INDEX($D$3:$AD$3,($D$167-12)))</f>
        <v>0</v>
      </c>
      <c r="CF170" s="11">
        <f>IF(($D$167-11)&lt;1,"",INDEX($D$3:$AD$3,($D$167-11)))</f>
        <v>0</v>
      </c>
      <c r="CG170" s="11">
        <f>IF(($D$167-10)&lt;1,"",INDEX($D$3:$AD$3,($D$167-10)))</f>
        <v>0</v>
      </c>
      <c r="CH170" s="11">
        <f>IF(($D$167-9)&lt;1,"",INDEX($D$3:$AD$3,($D$167-9)))</f>
        <v>0</v>
      </c>
      <c r="CI170" s="11">
        <f>IF(($D$167-8)&lt;1,"",INDEX($D$3:$AD$3,($D$167-8)))</f>
        <v>0</v>
      </c>
      <c r="CJ170" s="11">
        <f>IF(($D$167-7)&lt;1,"",INDEX($D$3:$AD$3,($D$167-7)))</f>
        <v>0</v>
      </c>
      <c r="CK170" s="11">
        <f>IF(($D$167-6)&lt;1,"",INDEX($D$3:$AD$3,($D$167-6)))</f>
        <v>0</v>
      </c>
      <c r="CL170" s="11">
        <f>IF(($D$167-5)&lt;1,"",INDEX($D$3:$AD$3,($D$167-5)))</f>
        <v>0</v>
      </c>
      <c r="CM170" s="11">
        <f>IF(($D$167-4)&lt;1,"",INDEX($D$3:$AD$3,($D$167-4)))</f>
        <v>0</v>
      </c>
      <c r="CN170" s="11">
        <f>IF(($D$167-3)&lt;1,"",INDEX($D$3:$AD$3,($D$167-3)))</f>
        <v>0</v>
      </c>
      <c r="CO170" s="11">
        <f>IF(($D$167-2)&lt;1,"",INDEX($D$3:$AD$3,($D$167-2)))</f>
        <v>0</v>
      </c>
      <c r="CP170" s="11">
        <f>IF(($D$167-1)&lt;1,"",INDEX($D$3:$AD$3,($D$167-1)))</f>
        <v>0</v>
      </c>
      <c r="CQ170" s="11">
        <f>IF(($D$167-0)&lt;1,"",INDEX($D$3:$AD$3,($D$167-0)))</f>
        <v>0</v>
      </c>
    </row>
    <row r="171" spans="1:100">
      <c r="A171" s="11" t="s">
        <v>409</v>
      </c>
      <c r="B171" s="11" t="s">
        <v>410</v>
      </c>
      <c r="C171" s="3" t="s">
        <v>408</v>
      </c>
      <c r="BR171" s="5">
        <f>IF(($D$167-25)&lt;1,NA(),INDEX($D$15:$AD$15,($D$167-25)))</f>
        <v>0</v>
      </c>
      <c r="BS171" s="5">
        <f>IF(($D$167-24)&lt;1,NA(),INDEX($D$15:$AD$15,($D$167-24)))</f>
        <v>0</v>
      </c>
      <c r="BT171" s="5">
        <f>IF(($D$167-23)&lt;1,NA(),INDEX($D$15:$AD$15,($D$167-23)))</f>
        <v>0</v>
      </c>
      <c r="BU171" s="5">
        <f>IF(($D$167-22)&lt;1,NA(),INDEX($D$15:$AD$15,($D$167-22)))</f>
        <v>0</v>
      </c>
      <c r="BV171" s="5">
        <f>IF(($D$167-21)&lt;1,NA(),INDEX($D$15:$AD$15,($D$167-21)))</f>
        <v>0</v>
      </c>
      <c r="BW171" s="5">
        <f>IF(($D$167-20)&lt;1,NA(),INDEX($D$15:$AD$15,($D$167-20)))</f>
        <v>0</v>
      </c>
      <c r="BX171" s="5">
        <f>IF(($D$167-19)&lt;1,NA(),INDEX($D$15:$AD$15,($D$167-19)))</f>
        <v>0</v>
      </c>
      <c r="BY171" s="5">
        <f>IF(($D$167-18)&lt;1,NA(),INDEX($D$15:$AD$15,($D$167-18)))</f>
        <v>0</v>
      </c>
      <c r="BZ171" s="5">
        <f>IF(($D$167-17)&lt;1,NA(),INDEX($D$15:$AD$15,($D$167-17)))</f>
        <v>0</v>
      </c>
      <c r="CA171" s="5">
        <f>IF(($D$167-16)&lt;1,NA(),INDEX($D$15:$AD$15,($D$167-16)))</f>
        <v>0</v>
      </c>
      <c r="CB171" s="5">
        <f>IF(($D$167-15)&lt;1,NA(),INDEX($D$15:$AD$15,($D$167-15)))</f>
        <v>0</v>
      </c>
      <c r="CC171" s="5">
        <f>IF(($D$167-14)&lt;1,NA(),INDEX($D$15:$AD$15,($D$167-14)))</f>
        <v>0</v>
      </c>
      <c r="CD171" s="5">
        <f>IF(($D$167-13)&lt;1,NA(),INDEX($D$15:$AD$15,($D$167-13)))</f>
        <v>0</v>
      </c>
      <c r="CE171" s="5">
        <f>IF(($D$167-12)&lt;1,NA(),INDEX($D$15:$AD$15,($D$167-12)))</f>
        <v>0</v>
      </c>
      <c r="CF171" s="5">
        <f>IF(($D$167-11)&lt;1,NA(),INDEX($D$15:$AD$15,($D$167-11)))</f>
        <v>0</v>
      </c>
      <c r="CG171" s="5">
        <f>IF(($D$167-10)&lt;1,NA(),INDEX($D$15:$AD$15,($D$167-10)))</f>
        <v>0</v>
      </c>
      <c r="CH171" s="5">
        <f>IF(($D$167-9)&lt;1,NA(),INDEX($D$15:$AD$15,($D$167-9)))</f>
        <v>0</v>
      </c>
      <c r="CI171" s="5">
        <f>IF(($D$167-8)&lt;1,NA(),INDEX($D$15:$AD$15,($D$167-8)))</f>
        <v>0</v>
      </c>
      <c r="CJ171" s="5">
        <f>IF(($D$167-7)&lt;1,NA(),INDEX($D$15:$AD$15,($D$167-7)))</f>
        <v>0</v>
      </c>
      <c r="CK171" s="5">
        <f>IF(($D$167-6)&lt;1,NA(),INDEX($D$15:$AD$15,($D$167-6)))</f>
        <v>0</v>
      </c>
      <c r="CL171" s="5">
        <f>IF(($D$167-5)&lt;1,NA(),INDEX($D$15:$AD$15,($D$167-5)))</f>
        <v>0</v>
      </c>
      <c r="CM171" s="5">
        <f>IF(($D$167-4)&lt;1,NA(),INDEX($D$15:$AD$15,($D$167-4)))</f>
        <v>0</v>
      </c>
      <c r="CN171" s="5">
        <f>IF(($D$167-3)&lt;1,NA(),INDEX($D$15:$AD$15,($D$167-3)))</f>
        <v>0</v>
      </c>
      <c r="CO171" s="5">
        <f>IF(($D$167-2)&lt;1,NA(),INDEX($D$15:$AD$15,($D$167-2)))</f>
        <v>0</v>
      </c>
      <c r="CP171" s="5">
        <f>IF(($D$167-1)&lt;1,NA(),INDEX($D$15:$AD$15,($D$167-1)))</f>
        <v>0</v>
      </c>
      <c r="CQ171" s="5">
        <f>IF(($D$167-0)&lt;1,NA(),INDEX($D$15:$AD$15,($D$167-0)))</f>
        <v>0</v>
      </c>
    </row>
    <row r="172" spans="1:100">
      <c r="A172" s="11" t="s">
        <v>411</v>
      </c>
      <c r="B172" s="11" t="s">
        <v>412</v>
      </c>
      <c r="C172" s="3" t="s">
        <v>137</v>
      </c>
      <c r="D172" s="5">
        <f>IF(MAX($D$173:$AD$173)=0,27,MAX($D$173:$AD$173))</f>
        <v>0</v>
      </c>
    </row>
    <row r="173" spans="1:100">
      <c r="A173" s="11" t="s">
        <v>413</v>
      </c>
      <c r="B173" s="11" t="s">
        <v>414</v>
      </c>
      <c r="C173" s="3" t="s">
        <v>137</v>
      </c>
      <c r="D173" s="5">
        <f>IF(OR(ISNUMBER(D9),ISNUMBER(D10),ISNUMBER(D11)),1,0)</f>
        <v>0</v>
      </c>
      <c r="E173" s="5">
        <f>IF(OR(ISNUMBER(E9),ISNUMBER(E10),ISNUMBER(E11)),2,0)</f>
        <v>0</v>
      </c>
      <c r="F173" s="5">
        <f>IF(OR(ISNUMBER(F9),ISNUMBER(F10),ISNUMBER(F11)),3,0)</f>
        <v>0</v>
      </c>
      <c r="G173" s="5">
        <f>IF(OR(ISNUMBER(G9),ISNUMBER(G10),ISNUMBER(G11)),4,0)</f>
        <v>0</v>
      </c>
      <c r="H173" s="5">
        <f>IF(OR(ISNUMBER(H9),ISNUMBER(H10),ISNUMBER(H11)),5,0)</f>
        <v>0</v>
      </c>
      <c r="I173" s="5">
        <f>IF(OR(ISNUMBER(I9),ISNUMBER(I10),ISNUMBER(I11)),6,0)</f>
        <v>0</v>
      </c>
      <c r="J173" s="5">
        <f>IF(OR(ISNUMBER(J9),ISNUMBER(J10),ISNUMBER(J11)),7,0)</f>
        <v>0</v>
      </c>
      <c r="K173" s="5">
        <f>IF(OR(ISNUMBER(K9),ISNUMBER(K10),ISNUMBER(K11)),8,0)</f>
        <v>0</v>
      </c>
      <c r="L173" s="5">
        <f>IF(OR(ISNUMBER(L9),ISNUMBER(L10),ISNUMBER(L11)),9,0)</f>
        <v>0</v>
      </c>
      <c r="M173" s="5">
        <f>IF(OR(ISNUMBER(M9),ISNUMBER(M10),ISNUMBER(M11)),10,0)</f>
        <v>0</v>
      </c>
      <c r="N173" s="5">
        <f>IF(OR(ISNUMBER(N9),ISNUMBER(N10),ISNUMBER(N11)),11,0)</f>
        <v>0</v>
      </c>
      <c r="O173" s="5">
        <f>IF(OR(ISNUMBER(O9),ISNUMBER(O10),ISNUMBER(O11)),12,0)</f>
        <v>0</v>
      </c>
      <c r="P173" s="5">
        <f>IF(OR(ISNUMBER(P9),ISNUMBER(P10),ISNUMBER(P11)),13,0)</f>
        <v>0</v>
      </c>
      <c r="Q173" s="5">
        <f>IF(OR(ISNUMBER(Q9),ISNUMBER(Q10),ISNUMBER(Q11)),14,0)</f>
        <v>0</v>
      </c>
      <c r="R173" s="5">
        <f>IF(OR(ISNUMBER(R9),ISNUMBER(R10),ISNUMBER(R11)),15,0)</f>
        <v>0</v>
      </c>
      <c r="S173" s="5">
        <f>IF(OR(ISNUMBER(S9),ISNUMBER(S10),ISNUMBER(S11)),16,0)</f>
        <v>0</v>
      </c>
      <c r="T173" s="5">
        <f>IF(OR(ISNUMBER(T9),ISNUMBER(T10),ISNUMBER(T11)),17,0)</f>
        <v>0</v>
      </c>
      <c r="U173" s="5">
        <f>IF(OR(ISNUMBER(U9),ISNUMBER(U10),ISNUMBER(U11)),18,0)</f>
        <v>0</v>
      </c>
      <c r="V173" s="5">
        <f>IF(OR(ISNUMBER(V9),ISNUMBER(V10),ISNUMBER(V11)),19,0)</f>
        <v>0</v>
      </c>
      <c r="W173" s="5">
        <f>IF(OR(ISNUMBER(W9),ISNUMBER(W10),ISNUMBER(W11)),20,0)</f>
        <v>0</v>
      </c>
      <c r="X173" s="5">
        <f>IF(OR(ISNUMBER(X9),ISNUMBER(X10),ISNUMBER(X11)),21,0)</f>
        <v>0</v>
      </c>
      <c r="Y173" s="5">
        <f>IF(OR(ISNUMBER(Y9),ISNUMBER(Y10),ISNUMBER(Y11)),22,0)</f>
        <v>0</v>
      </c>
      <c r="Z173" s="5">
        <f>IF(OR(ISNUMBER(Z9),ISNUMBER(Z10),ISNUMBER(Z11)),23,0)</f>
        <v>0</v>
      </c>
      <c r="AA173" s="5">
        <f>IF(OR(ISNUMBER(AA9),ISNUMBER(AA10),ISNUMBER(AA11)),24,0)</f>
        <v>0</v>
      </c>
      <c r="AB173" s="5">
        <f>IF(OR(ISNUMBER(AB9),ISNUMBER(AB10),ISNUMBER(AB11)),25,0)</f>
        <v>0</v>
      </c>
      <c r="AC173" s="5">
        <f>IF(OR(ISNUMBER(AC9),ISNUMBER(AC10),ISNUMBER(AC11)),26,0)</f>
        <v>0</v>
      </c>
      <c r="AD173" s="5">
        <f>IF(OR(ISNUMBER(AD9),ISNUMBER(AD10),ISNUMBER(AD11)),27,0)</f>
        <v>0</v>
      </c>
    </row>
    <row r="174" spans="1:100">
      <c r="A174" s="11" t="s">
        <v>415</v>
      </c>
      <c r="B174" s="11" t="s">
        <v>416</v>
      </c>
      <c r="C174" s="3" t="s">
        <v>397</v>
      </c>
      <c r="D174" s="80">
        <f>IF(MAX(IFERROR(N(INDEX(Wertstand!$A$105:$LJ$105,MATCH(INDEX($D$4:$AD$4,$D$172),RD_Kopf,0))),0),IFERROR(N(INDEX(Wertstand!$A$108:$LJ$108,MATCH(INDEX($D$4:$AD$4,$D$172),RD_Kopf,0))),0),IFERROR(N(INDEX(Wertstand!$A$111:$LJ$111,MATCH(INDEX($D$4:$AD$4,$D$172),RD_Kopf,0))),0))&gt;0,MAX(IFERROR(N(INDEX(Wertstand!$A$105:$LJ$105,MATCH(INDEX($D$4:$AD$4,$D$172),RD_Kopf,0))),0),IFERROR(N(INDEX(Wertstand!$A$108:$LJ$108,MATCH(INDEX($D$4:$AD$4,$D$172),RD_Kopf,0))),0),IFERROR(N(INDEX(Wertstand!$A$111:$LJ$111,MATCH(INDEX($D$4:$AD$4,$D$172),RD_Kopf,0))),0)),INDEX($D$4:$AD$4,$D$172))</f>
        <v>0</v>
      </c>
      <c r="E174" s="11">
        <f>"Stand: "&amp;TEXT(DAY($D$174),"00")&amp;"."&amp;TEXT(MONTH($D$174),"00")&amp;"."&amp;RIGHT(YEAR($D$174),2)</f>
        <v>0</v>
      </c>
      <c r="F174" s="11">
        <f>"Stand:"&amp;CHAR(10)&amp;TEXT(DAY($D$174),"00")&amp;"."&amp;TEXT(MONTH($D$174),"00")&amp;"."&amp;RIGHT(YEAR($D$174),2)</f>
        <v>0</v>
      </c>
    </row>
    <row r="175" spans="1:100">
      <c r="A175" s="11" t="s">
        <v>417</v>
      </c>
      <c r="B175" s="11" t="s">
        <v>418</v>
      </c>
      <c r="C175" s="3" t="s">
        <v>137</v>
      </c>
      <c r="D175" s="5">
        <f>MAX(1,N(SLA_PV),IFERROR(_xlfn.AGGREGATE(4,6,INDEX($D$9:$AD$9,MAX(1,$D$172+1-$D$183)):INDEX($D$9:$AD$9,$D$172)),0),IFERROR(_xlfn.AGGREGATE(4,6,INDEX($D$12:$AD$12,MAX(1,$D$205+1-$D$212)):INDEX($D$12:$AD$12,$D$205)),0))</f>
        <v>0</v>
      </c>
    </row>
    <row r="176" spans="1:100">
      <c r="A176" s="11" t="s">
        <v>419</v>
      </c>
      <c r="B176" s="11" t="s">
        <v>420</v>
      </c>
      <c r="C176" s="3" t="s">
        <v>137</v>
      </c>
      <c r="D176" s="5">
        <f>IF(N(D154)&gt;0,N(D154)/$D$175,NA())</f>
        <v>0</v>
      </c>
      <c r="E176" s="5">
        <f>IF(N(E154)&gt;0,N(E154)/$D$175,NA())</f>
        <v>0</v>
      </c>
      <c r="F176" s="5">
        <f>IF(N(F154)&gt;0,N(F154)/$D$175,NA())</f>
        <v>0</v>
      </c>
      <c r="G176" s="5">
        <f>IF(N(G154)&gt;0,N(G154)/$D$175,NA())</f>
        <v>0</v>
      </c>
      <c r="H176" s="5">
        <f>IF(N(H154)&gt;0,N(H154)/$D$175,NA())</f>
        <v>0</v>
      </c>
      <c r="I176" s="5">
        <f>IF(N(I154)&gt;0,N(I154)/$D$175,NA())</f>
        <v>0</v>
      </c>
      <c r="J176" s="5">
        <f>IF(N(J154)&gt;0,N(J154)/$D$175,NA())</f>
        <v>0</v>
      </c>
      <c r="K176" s="5">
        <f>IF(N(K154)&gt;0,N(K154)/$D$175,NA())</f>
        <v>0</v>
      </c>
      <c r="L176" s="5">
        <f>IF(N(L154)&gt;0,N(L154)/$D$175,NA())</f>
        <v>0</v>
      </c>
      <c r="M176" s="5">
        <f>IF(N(M154)&gt;0,N(M154)/$D$175,NA())</f>
        <v>0</v>
      </c>
      <c r="N176" s="5">
        <f>IF(N(N154)&gt;0,N(N154)/$D$175,NA())</f>
        <v>0</v>
      </c>
      <c r="O176" s="5">
        <f>IF(N(O154)&gt;0,N(O154)/$D$175,NA())</f>
        <v>0</v>
      </c>
      <c r="P176" s="5">
        <f>IF(N(P154)&gt;0,N(P154)/$D$175,NA())</f>
        <v>0</v>
      </c>
      <c r="Q176" s="5">
        <f>IF(N(Q154)&gt;0,N(Q154)/$D$175,NA())</f>
        <v>0</v>
      </c>
      <c r="R176" s="5">
        <f>IF(N(R154)&gt;0,N(R154)/$D$175,NA())</f>
        <v>0</v>
      </c>
      <c r="S176" s="5">
        <f>IF(N(S154)&gt;0,N(S154)/$D$175,NA())</f>
        <v>0</v>
      </c>
      <c r="T176" s="5">
        <f>IF(N(T154)&gt;0,N(T154)/$D$175,NA())</f>
        <v>0</v>
      </c>
      <c r="U176" s="5">
        <f>IF(N(U154)&gt;0,N(U154)/$D$175,NA())</f>
        <v>0</v>
      </c>
      <c r="V176" s="5">
        <f>IF(N(V154)&gt;0,N(V154)/$D$175,NA())</f>
        <v>0</v>
      </c>
      <c r="W176" s="5">
        <f>IF(N(W154)&gt;0,N(W154)/$D$175,NA())</f>
        <v>0</v>
      </c>
      <c r="X176" s="5">
        <f>IF(N(X154)&gt;0,N(X154)/$D$175,NA())</f>
        <v>0</v>
      </c>
      <c r="Y176" s="5">
        <f>IF(N(Y154)&gt;0,N(Y154)/$D$175,NA())</f>
        <v>0</v>
      </c>
      <c r="Z176" s="5">
        <f>IF(N(Z154)&gt;0,N(Z154)/$D$175,NA())</f>
        <v>0</v>
      </c>
      <c r="AA176" s="5">
        <f>IF(N(AA154)&gt;0,N(AA154)/$D$175,NA())</f>
        <v>0</v>
      </c>
      <c r="AB176" s="5">
        <f>IF(N(AB154)&gt;0,N(AB154)/$D$175,NA())</f>
        <v>0</v>
      </c>
      <c r="AC176" s="5">
        <f>IF(N(AC154)&gt;0,N(AC154)/$D$175,NA())</f>
        <v>0</v>
      </c>
      <c r="AD176" s="5">
        <f>IF(N(AD154)&gt;0,N(AD154)/$D$175,NA())</f>
        <v>0</v>
      </c>
    </row>
    <row r="177" spans="1:95">
      <c r="A177" s="11" t="s">
        <v>421</v>
      </c>
      <c r="B177" s="11" t="s">
        <v>422</v>
      </c>
      <c r="C177" s="3" t="s">
        <v>137</v>
      </c>
      <c r="D177" s="5">
        <f>IF(ISNUMBER(D9),D9/$D$175,NA())</f>
        <v>0</v>
      </c>
      <c r="E177" s="5">
        <f>IF(ISNUMBER(E9),E9/$D$175,NA())</f>
        <v>0</v>
      </c>
      <c r="F177" s="5">
        <f>IF(ISNUMBER(F9),F9/$D$175,NA())</f>
        <v>0</v>
      </c>
      <c r="G177" s="5">
        <f>IF(ISNUMBER(G9),G9/$D$175,NA())</f>
        <v>0</v>
      </c>
      <c r="H177" s="5">
        <f>IF(ISNUMBER(H9),H9/$D$175,NA())</f>
        <v>0</v>
      </c>
      <c r="I177" s="5">
        <f>IF(ISNUMBER(I9),I9/$D$175,NA())</f>
        <v>0</v>
      </c>
      <c r="J177" s="5">
        <f>IF(ISNUMBER(J9),J9/$D$175,NA())</f>
        <v>0</v>
      </c>
      <c r="K177" s="5">
        <f>IF(ISNUMBER(K9),K9/$D$175,NA())</f>
        <v>0</v>
      </c>
      <c r="L177" s="5">
        <f>IF(ISNUMBER(L9),L9/$D$175,NA())</f>
        <v>0</v>
      </c>
      <c r="M177" s="5">
        <f>IF(ISNUMBER(M9),M9/$D$175,NA())</f>
        <v>0</v>
      </c>
      <c r="N177" s="5">
        <f>IF(ISNUMBER(N9),N9/$D$175,NA())</f>
        <v>0</v>
      </c>
      <c r="O177" s="5">
        <f>IF(ISNUMBER(O9),O9/$D$175,NA())</f>
        <v>0</v>
      </c>
      <c r="P177" s="5">
        <f>IF(ISNUMBER(P9),P9/$D$175,NA())</f>
        <v>0</v>
      </c>
      <c r="Q177" s="5">
        <f>IF(ISNUMBER(Q9),Q9/$D$175,NA())</f>
        <v>0</v>
      </c>
      <c r="R177" s="5">
        <f>IF(ISNUMBER(R9),R9/$D$175,NA())</f>
        <v>0</v>
      </c>
      <c r="S177" s="5">
        <f>IF(ISNUMBER(S9),S9/$D$175,NA())</f>
        <v>0</v>
      </c>
      <c r="T177" s="5">
        <f>IF(ISNUMBER(T9),T9/$D$175,NA())</f>
        <v>0</v>
      </c>
      <c r="U177" s="5">
        <f>IF(ISNUMBER(U9),U9/$D$175,NA())</f>
        <v>0</v>
      </c>
      <c r="V177" s="5">
        <f>IF(ISNUMBER(V9),V9/$D$175,NA())</f>
        <v>0</v>
      </c>
      <c r="W177" s="5">
        <f>IF(ISNUMBER(W9),W9/$D$175,NA())</f>
        <v>0</v>
      </c>
      <c r="X177" s="5">
        <f>IF(ISNUMBER(X9),X9/$D$175,NA())</f>
        <v>0</v>
      </c>
      <c r="Y177" s="5">
        <f>IF(ISNUMBER(Y9),Y9/$D$175,NA())</f>
        <v>0</v>
      </c>
      <c r="Z177" s="5">
        <f>IF(ISNUMBER(Z9),Z9/$D$175,NA())</f>
        <v>0</v>
      </c>
      <c r="AA177" s="5">
        <f>IF(ISNUMBER(AA9),AA9/$D$175,NA())</f>
        <v>0</v>
      </c>
      <c r="AB177" s="5">
        <f>IF(ISNUMBER(AB9),AB9/$D$175,NA())</f>
        <v>0</v>
      </c>
      <c r="AC177" s="5">
        <f>IF(ISNUMBER(AC9),AC9/$D$175,NA())</f>
        <v>0</v>
      </c>
      <c r="AD177" s="5">
        <f>IF(ISNUMBER(AD9),AD9/$D$175,NA())</f>
        <v>0</v>
      </c>
    </row>
    <row r="178" spans="1:95">
      <c r="A178" s="11" t="s">
        <v>423</v>
      </c>
      <c r="B178" s="11" t="s">
        <v>424</v>
      </c>
      <c r="C178" s="3" t="s">
        <v>137</v>
      </c>
      <c r="D178" s="11">
        <f>IF(ISNUMBER(D9),FIXED(D9,0),"")</f>
        <v>0</v>
      </c>
      <c r="E178" s="11">
        <f>IF(ISNUMBER(E9),FIXED(E9,0),"")</f>
        <v>0</v>
      </c>
      <c r="F178" s="11">
        <f>IF(ISNUMBER(F9),FIXED(F9,0),"")</f>
        <v>0</v>
      </c>
      <c r="G178" s="11">
        <f>IF(ISNUMBER(G9),FIXED(G9,0),"")</f>
        <v>0</v>
      </c>
      <c r="H178" s="11">
        <f>IF(ISNUMBER(H9),FIXED(H9,0),"")</f>
        <v>0</v>
      </c>
      <c r="I178" s="11">
        <f>IF(ISNUMBER(I9),FIXED(I9,0),"")</f>
        <v>0</v>
      </c>
      <c r="J178" s="11">
        <f>IF(ISNUMBER(J9),FIXED(J9,0),"")</f>
        <v>0</v>
      </c>
      <c r="K178" s="11">
        <f>IF(ISNUMBER(K9),FIXED(K9,0),"")</f>
        <v>0</v>
      </c>
      <c r="L178" s="11">
        <f>IF(ISNUMBER(L9),FIXED(L9,0),"")</f>
        <v>0</v>
      </c>
      <c r="M178" s="11">
        <f>IF(ISNUMBER(M9),FIXED(M9,0),"")</f>
        <v>0</v>
      </c>
      <c r="N178" s="11">
        <f>IF(ISNUMBER(N9),FIXED(N9,0),"")</f>
        <v>0</v>
      </c>
      <c r="O178" s="11">
        <f>IF(ISNUMBER(O9),FIXED(O9,0),"")</f>
        <v>0</v>
      </c>
      <c r="P178" s="11">
        <f>IF(ISNUMBER(P9),FIXED(P9,0),"")</f>
        <v>0</v>
      </c>
      <c r="Q178" s="11">
        <f>IF(ISNUMBER(Q9),FIXED(Q9,0),"")</f>
        <v>0</v>
      </c>
      <c r="R178" s="11">
        <f>IF(ISNUMBER(R9),FIXED(R9,0),"")</f>
        <v>0</v>
      </c>
      <c r="S178" s="11">
        <f>IF(ISNUMBER(S9),FIXED(S9,0),"")</f>
        <v>0</v>
      </c>
      <c r="T178" s="11">
        <f>IF(ISNUMBER(T9),FIXED(T9,0),"")</f>
        <v>0</v>
      </c>
      <c r="U178" s="11">
        <f>IF(ISNUMBER(U9),FIXED(U9,0),"")</f>
        <v>0</v>
      </c>
      <c r="V178" s="11">
        <f>IF(ISNUMBER(V9),FIXED(V9,0),"")</f>
        <v>0</v>
      </c>
      <c r="W178" s="11">
        <f>IF(ISNUMBER(W9),FIXED(W9,0),"")</f>
        <v>0</v>
      </c>
      <c r="X178" s="11">
        <f>IF(ISNUMBER(X9),FIXED(X9,0),"")</f>
        <v>0</v>
      </c>
      <c r="Y178" s="11">
        <f>IF(ISNUMBER(Y9),FIXED(Y9,0),"")</f>
        <v>0</v>
      </c>
      <c r="Z178" s="11">
        <f>IF(ISNUMBER(Z9),FIXED(Z9,0),"")</f>
        <v>0</v>
      </c>
      <c r="AA178" s="11">
        <f>IF(ISNUMBER(AA9),FIXED(AA9,0),"")</f>
        <v>0</v>
      </c>
      <c r="AB178" s="11">
        <f>IF(ISNUMBER(AB9),FIXED(AB9,0),"")</f>
        <v>0</v>
      </c>
      <c r="AC178" s="11">
        <f>IF(ISNUMBER(AC9),FIXED(AC9,0),"")</f>
        <v>0</v>
      </c>
      <c r="AD178" s="11">
        <f>IF(ISNUMBER(AD9),FIXED(AD9,0),"")</f>
        <v>0</v>
      </c>
    </row>
    <row r="179" spans="1:95">
      <c r="A179" s="11" t="s">
        <v>425</v>
      </c>
      <c r="B179" s="11" t="s">
        <v>426</v>
      </c>
      <c r="C179" s="3" t="s">
        <v>408</v>
      </c>
      <c r="BR179" s="11">
        <f>IF(($D$172-25)&lt;1,"",INDEX($D$3:$AD$3,($D$172-25)))</f>
        <v>0</v>
      </c>
      <c r="BS179" s="11">
        <f>IF(($D$172-24)&lt;1,"",INDEX($D$3:$AD$3,($D$172-24)))</f>
        <v>0</v>
      </c>
      <c r="BT179" s="11">
        <f>IF(($D$172-23)&lt;1,"",INDEX($D$3:$AD$3,($D$172-23)))</f>
        <v>0</v>
      </c>
      <c r="BU179" s="11">
        <f>IF(($D$172-22)&lt;1,"",INDEX($D$3:$AD$3,($D$172-22)))</f>
        <v>0</v>
      </c>
      <c r="BV179" s="11">
        <f>IF(($D$172-21)&lt;1,"",INDEX($D$3:$AD$3,($D$172-21)))</f>
        <v>0</v>
      </c>
      <c r="BW179" s="11">
        <f>IF(($D$172-20)&lt;1,"",INDEX($D$3:$AD$3,($D$172-20)))</f>
        <v>0</v>
      </c>
      <c r="BX179" s="11">
        <f>IF(($D$172-19)&lt;1,"",INDEX($D$3:$AD$3,($D$172-19)))</f>
        <v>0</v>
      </c>
      <c r="BY179" s="11">
        <f>IF(($D$172-18)&lt;1,"",INDEX($D$3:$AD$3,($D$172-18)))</f>
        <v>0</v>
      </c>
      <c r="BZ179" s="11">
        <f>IF(($D$172-17)&lt;1,"",INDEX($D$3:$AD$3,($D$172-17)))</f>
        <v>0</v>
      </c>
      <c r="CA179" s="11">
        <f>IF(($D$172-16)&lt;1,"",INDEX($D$3:$AD$3,($D$172-16)))</f>
        <v>0</v>
      </c>
      <c r="CB179" s="11">
        <f>IF(($D$172-15)&lt;1,"",INDEX($D$3:$AD$3,($D$172-15)))</f>
        <v>0</v>
      </c>
      <c r="CC179" s="11">
        <f>IF(($D$172-14)&lt;1,"",INDEX($D$3:$AD$3,($D$172-14)))</f>
        <v>0</v>
      </c>
      <c r="CD179" s="11">
        <f>IF(($D$172-13)&lt;1,"",INDEX($D$3:$AD$3,($D$172-13)))</f>
        <v>0</v>
      </c>
      <c r="CE179" s="11">
        <f>IF(($D$172-12)&lt;1,"",INDEX($D$3:$AD$3,($D$172-12)))</f>
        <v>0</v>
      </c>
      <c r="CF179" s="11">
        <f>IF(($D$172-11)&lt;1,"",INDEX($D$3:$AD$3,($D$172-11)))</f>
        <v>0</v>
      </c>
      <c r="CG179" s="11">
        <f>IF(($D$172-10)&lt;1,"",INDEX($D$3:$AD$3,($D$172-10)))</f>
        <v>0</v>
      </c>
      <c r="CH179" s="11">
        <f>IF(($D$172-9)&lt;1,"",INDEX($D$3:$AD$3,($D$172-9)))</f>
        <v>0</v>
      </c>
      <c r="CI179" s="11">
        <f>IF(($D$172-8)&lt;1,"",INDEX($D$3:$AD$3,($D$172-8)))</f>
        <v>0</v>
      </c>
      <c r="CJ179" s="11">
        <f>IF(($D$172-7)&lt;1,"",INDEX($D$3:$AD$3,($D$172-7)))</f>
        <v>0</v>
      </c>
      <c r="CK179" s="11">
        <f>IF(($D$172-6)&lt;1,"",INDEX($D$3:$AD$3,($D$172-6)))</f>
        <v>0</v>
      </c>
      <c r="CL179" s="11">
        <f>IF(($D$172-5)&lt;1,"",INDEX($D$3:$AD$3,($D$172-5)))</f>
        <v>0</v>
      </c>
      <c r="CM179" s="11">
        <f>IF(($D$172-4)&lt;1,"",INDEX($D$3:$AD$3,($D$172-4)))</f>
        <v>0</v>
      </c>
      <c r="CN179" s="11">
        <f>IF(($D$172-3)&lt;1,"",INDEX($D$3:$AD$3,($D$172-3)))</f>
        <v>0</v>
      </c>
      <c r="CO179" s="11">
        <f>IF(($D$172-2)&lt;1,"",INDEX($D$3:$AD$3,($D$172-2)))</f>
        <v>0</v>
      </c>
      <c r="CP179" s="11">
        <f>IF(($D$172-1)&lt;1,"",INDEX($D$3:$AD$3,($D$172-1)))</f>
        <v>0</v>
      </c>
      <c r="CQ179" s="11">
        <f>IF(($D$172-0)&lt;1,"",INDEX($D$3:$AD$3,($D$172-0)))</f>
        <v>0</v>
      </c>
    </row>
    <row r="180" spans="1:95">
      <c r="A180" s="11" t="s">
        <v>427</v>
      </c>
      <c r="B180" s="11" t="s">
        <v>428</v>
      </c>
      <c r="C180" s="3" t="s">
        <v>408</v>
      </c>
      <c r="BR180" s="5">
        <f>IF(($D$172-25)&lt;1,NA(),INDEX($D$177:$AD$177,($D$172-25)))</f>
        <v>0</v>
      </c>
      <c r="BS180" s="5">
        <f>IF(($D$172-24)&lt;1,NA(),INDEX($D$177:$AD$177,($D$172-24)))</f>
        <v>0</v>
      </c>
      <c r="BT180" s="5">
        <f>IF(($D$172-23)&lt;1,NA(),INDEX($D$177:$AD$177,($D$172-23)))</f>
        <v>0</v>
      </c>
      <c r="BU180" s="5">
        <f>IF(($D$172-22)&lt;1,NA(),INDEX($D$177:$AD$177,($D$172-22)))</f>
        <v>0</v>
      </c>
      <c r="BV180" s="5">
        <f>IF(($D$172-21)&lt;1,NA(),INDEX($D$177:$AD$177,($D$172-21)))</f>
        <v>0</v>
      </c>
      <c r="BW180" s="5">
        <f>IF(($D$172-20)&lt;1,NA(),INDEX($D$177:$AD$177,($D$172-20)))</f>
        <v>0</v>
      </c>
      <c r="BX180" s="5">
        <f>IF(($D$172-19)&lt;1,NA(),INDEX($D$177:$AD$177,($D$172-19)))</f>
        <v>0</v>
      </c>
      <c r="BY180" s="5">
        <f>IF(($D$172-18)&lt;1,NA(),INDEX($D$177:$AD$177,($D$172-18)))</f>
        <v>0</v>
      </c>
      <c r="BZ180" s="5">
        <f>IF(($D$172-17)&lt;1,NA(),INDEX($D$177:$AD$177,($D$172-17)))</f>
        <v>0</v>
      </c>
      <c r="CA180" s="5">
        <f>IF(($D$172-16)&lt;1,NA(),INDEX($D$177:$AD$177,($D$172-16)))</f>
        <v>0</v>
      </c>
      <c r="CB180" s="5">
        <f>IF(($D$172-15)&lt;1,NA(),INDEX($D$177:$AD$177,($D$172-15)))</f>
        <v>0</v>
      </c>
      <c r="CC180" s="5">
        <f>IF(($D$172-14)&lt;1,NA(),INDEX($D$177:$AD$177,($D$172-14)))</f>
        <v>0</v>
      </c>
      <c r="CD180" s="5">
        <f>IF(($D$172-13)&lt;1,NA(),INDEX($D$177:$AD$177,($D$172-13)))</f>
        <v>0</v>
      </c>
      <c r="CE180" s="5">
        <f>IF(($D$172-12)&lt;1,NA(),INDEX($D$177:$AD$177,($D$172-12)))</f>
        <v>0</v>
      </c>
      <c r="CF180" s="5">
        <f>IF(($D$172-11)&lt;1,NA(),INDEX($D$177:$AD$177,($D$172-11)))</f>
        <v>0</v>
      </c>
      <c r="CG180" s="5">
        <f>IF(($D$172-10)&lt;1,NA(),INDEX($D$177:$AD$177,($D$172-10)))</f>
        <v>0</v>
      </c>
      <c r="CH180" s="5">
        <f>IF(($D$172-9)&lt;1,NA(),INDEX($D$177:$AD$177,($D$172-9)))</f>
        <v>0</v>
      </c>
      <c r="CI180" s="5">
        <f>IF(($D$172-8)&lt;1,NA(),INDEX($D$177:$AD$177,($D$172-8)))</f>
        <v>0</v>
      </c>
      <c r="CJ180" s="5">
        <f>IF(($D$172-7)&lt;1,NA(),INDEX($D$177:$AD$177,($D$172-7)))</f>
        <v>0</v>
      </c>
      <c r="CK180" s="5">
        <f>IF(($D$172-6)&lt;1,NA(),INDEX($D$177:$AD$177,($D$172-6)))</f>
        <v>0</v>
      </c>
      <c r="CL180" s="5">
        <f>IF(($D$172-5)&lt;1,NA(),INDEX($D$177:$AD$177,($D$172-5)))</f>
        <v>0</v>
      </c>
      <c r="CM180" s="5">
        <f>IF(($D$172-4)&lt;1,NA(),INDEX($D$177:$AD$177,($D$172-4)))</f>
        <v>0</v>
      </c>
      <c r="CN180" s="5">
        <f>IF(($D$172-3)&lt;1,NA(),INDEX($D$177:$AD$177,($D$172-3)))</f>
        <v>0</v>
      </c>
      <c r="CO180" s="5">
        <f>IF(($D$172-2)&lt;1,NA(),INDEX($D$177:$AD$177,($D$172-2)))</f>
        <v>0</v>
      </c>
      <c r="CP180" s="5">
        <f>IF(($D$172-1)&lt;1,NA(),INDEX($D$177:$AD$177,($D$172-1)))</f>
        <v>0</v>
      </c>
      <c r="CQ180" s="5">
        <f>IF(($D$172-0)&lt;1,NA(),INDEX($D$177:$AD$177,($D$172-0)))</f>
        <v>0</v>
      </c>
    </row>
    <row r="181" spans="1:95">
      <c r="A181" s="11" t="s">
        <v>429</v>
      </c>
      <c r="B181" s="11" t="s">
        <v>430</v>
      </c>
      <c r="C181" s="3" t="s">
        <v>408</v>
      </c>
      <c r="BR181" s="11">
        <f>IF(($D$172-25)&lt;1,"",INDEX($D$178:$AD$178,($D$172-25)))</f>
        <v>0</v>
      </c>
      <c r="BS181" s="11">
        <f>IF(($D$172-24)&lt;1,"",INDEX($D$178:$AD$178,($D$172-24)))</f>
        <v>0</v>
      </c>
      <c r="BT181" s="11">
        <f>IF(($D$172-23)&lt;1,"",INDEX($D$178:$AD$178,($D$172-23)))</f>
        <v>0</v>
      </c>
      <c r="BU181" s="11">
        <f>IF(($D$172-22)&lt;1,"",INDEX($D$178:$AD$178,($D$172-22)))</f>
        <v>0</v>
      </c>
      <c r="BV181" s="11">
        <f>IF(($D$172-21)&lt;1,"",INDEX($D$178:$AD$178,($D$172-21)))</f>
        <v>0</v>
      </c>
      <c r="BW181" s="11">
        <f>IF(($D$172-20)&lt;1,"",INDEX($D$178:$AD$178,($D$172-20)))</f>
        <v>0</v>
      </c>
      <c r="BX181" s="11">
        <f>IF(($D$172-19)&lt;1,"",INDEX($D$178:$AD$178,($D$172-19)))</f>
        <v>0</v>
      </c>
      <c r="BY181" s="11">
        <f>IF(($D$172-18)&lt;1,"",INDEX($D$178:$AD$178,($D$172-18)))</f>
        <v>0</v>
      </c>
      <c r="BZ181" s="11">
        <f>IF(($D$172-17)&lt;1,"",INDEX($D$178:$AD$178,($D$172-17)))</f>
        <v>0</v>
      </c>
      <c r="CA181" s="11">
        <f>IF(($D$172-16)&lt;1,"",INDEX($D$178:$AD$178,($D$172-16)))</f>
        <v>0</v>
      </c>
      <c r="CB181" s="11">
        <f>IF(($D$172-15)&lt;1,"",INDEX($D$178:$AD$178,($D$172-15)))</f>
        <v>0</v>
      </c>
      <c r="CC181" s="11">
        <f>IF(($D$172-14)&lt;1,"",INDEX($D$178:$AD$178,($D$172-14)))</f>
        <v>0</v>
      </c>
      <c r="CD181" s="11">
        <f>IF(($D$172-13)&lt;1,"",INDEX($D$178:$AD$178,($D$172-13)))</f>
        <v>0</v>
      </c>
      <c r="CE181" s="11">
        <f>IF(($D$172-12)&lt;1,"",INDEX($D$178:$AD$178,($D$172-12)))</f>
        <v>0</v>
      </c>
      <c r="CF181" s="11">
        <f>IF(($D$172-11)&lt;1,"",INDEX($D$178:$AD$178,($D$172-11)))</f>
        <v>0</v>
      </c>
      <c r="CG181" s="11">
        <f>IF(($D$172-10)&lt;1,"",INDEX($D$178:$AD$178,($D$172-10)))</f>
        <v>0</v>
      </c>
      <c r="CH181" s="11">
        <f>IF(($D$172-9)&lt;1,"",INDEX($D$178:$AD$178,($D$172-9)))</f>
        <v>0</v>
      </c>
      <c r="CI181" s="11">
        <f>IF(($D$172-8)&lt;1,"",INDEX($D$178:$AD$178,($D$172-8)))</f>
        <v>0</v>
      </c>
      <c r="CJ181" s="11">
        <f>IF(($D$172-7)&lt;1,"",INDEX($D$178:$AD$178,($D$172-7)))</f>
        <v>0</v>
      </c>
      <c r="CK181" s="11">
        <f>IF(($D$172-6)&lt;1,"",INDEX($D$178:$AD$178,($D$172-6)))</f>
        <v>0</v>
      </c>
      <c r="CL181" s="11">
        <f>IF(($D$172-5)&lt;1,"",INDEX($D$178:$AD$178,($D$172-5)))</f>
        <v>0</v>
      </c>
      <c r="CM181" s="11">
        <f>IF(($D$172-4)&lt;1,"",INDEX($D$178:$AD$178,($D$172-4)))</f>
        <v>0</v>
      </c>
      <c r="CN181" s="11">
        <f>IF(($D$172-3)&lt;1,"",INDEX($D$178:$AD$178,($D$172-3)))</f>
        <v>0</v>
      </c>
      <c r="CO181" s="11">
        <f>IF(($D$172-2)&lt;1,"",INDEX($D$178:$AD$178,($D$172-2)))</f>
        <v>0</v>
      </c>
      <c r="CP181" s="11">
        <f>IF(($D$172-1)&lt;1,"",INDEX($D$178:$AD$178,($D$172-1)))</f>
        <v>0</v>
      </c>
      <c r="CQ181" s="11">
        <f>IF(($D$172-0)&lt;1,"",INDEX($D$178:$AD$178,($D$172-0)))</f>
        <v>0</v>
      </c>
    </row>
    <row r="182" spans="1:95">
      <c r="A182" s="11" t="s">
        <v>431</v>
      </c>
      <c r="B182" s="11" t="s">
        <v>432</v>
      </c>
      <c r="C182" s="3" t="s">
        <v>408</v>
      </c>
      <c r="BR182" s="5">
        <f>IF(($D$172-25)&lt;1,NA(),INDEX($D$176:$AD$176,($D$172-25)))</f>
        <v>0</v>
      </c>
      <c r="BS182" s="5">
        <f>IF(($D$172-24)&lt;1,NA(),INDEX($D$176:$AD$176,($D$172-24)))</f>
        <v>0</v>
      </c>
      <c r="BT182" s="5">
        <f>IF(($D$172-23)&lt;1,NA(),INDEX($D$176:$AD$176,($D$172-23)))</f>
        <v>0</v>
      </c>
      <c r="BU182" s="5">
        <f>IF(($D$172-22)&lt;1,NA(),INDEX($D$176:$AD$176,($D$172-22)))</f>
        <v>0</v>
      </c>
      <c r="BV182" s="5">
        <f>IF(($D$172-21)&lt;1,NA(),INDEX($D$176:$AD$176,($D$172-21)))</f>
        <v>0</v>
      </c>
      <c r="BW182" s="5">
        <f>IF(($D$172-20)&lt;1,NA(),INDEX($D$176:$AD$176,($D$172-20)))</f>
        <v>0</v>
      </c>
      <c r="BX182" s="5">
        <f>IF(($D$172-19)&lt;1,NA(),INDEX($D$176:$AD$176,($D$172-19)))</f>
        <v>0</v>
      </c>
      <c r="BY182" s="5">
        <f>IF(($D$172-18)&lt;1,NA(),INDEX($D$176:$AD$176,($D$172-18)))</f>
        <v>0</v>
      </c>
      <c r="BZ182" s="5">
        <f>IF(($D$172-17)&lt;1,NA(),INDEX($D$176:$AD$176,($D$172-17)))</f>
        <v>0</v>
      </c>
      <c r="CA182" s="5">
        <f>IF(($D$172-16)&lt;1,NA(),INDEX($D$176:$AD$176,($D$172-16)))</f>
        <v>0</v>
      </c>
      <c r="CB182" s="5">
        <f>IF(($D$172-15)&lt;1,NA(),INDEX($D$176:$AD$176,($D$172-15)))</f>
        <v>0</v>
      </c>
      <c r="CC182" s="5">
        <f>IF(($D$172-14)&lt;1,NA(),INDEX($D$176:$AD$176,($D$172-14)))</f>
        <v>0</v>
      </c>
      <c r="CD182" s="5">
        <f>IF(($D$172-13)&lt;1,NA(),INDEX($D$176:$AD$176,($D$172-13)))</f>
        <v>0</v>
      </c>
      <c r="CE182" s="5">
        <f>IF(($D$172-12)&lt;1,NA(),INDEX($D$176:$AD$176,($D$172-12)))</f>
        <v>0</v>
      </c>
      <c r="CF182" s="5">
        <f>IF(($D$172-11)&lt;1,NA(),INDEX($D$176:$AD$176,($D$172-11)))</f>
        <v>0</v>
      </c>
      <c r="CG182" s="5">
        <f>IF(($D$172-10)&lt;1,NA(),INDEX($D$176:$AD$176,($D$172-10)))</f>
        <v>0</v>
      </c>
      <c r="CH182" s="5">
        <f>IF(($D$172-9)&lt;1,NA(),INDEX($D$176:$AD$176,($D$172-9)))</f>
        <v>0</v>
      </c>
      <c r="CI182" s="5">
        <f>IF(($D$172-8)&lt;1,NA(),INDEX($D$176:$AD$176,($D$172-8)))</f>
        <v>0</v>
      </c>
      <c r="CJ182" s="5">
        <f>IF(($D$172-7)&lt;1,NA(),INDEX($D$176:$AD$176,($D$172-7)))</f>
        <v>0</v>
      </c>
      <c r="CK182" s="5">
        <f>IF(($D$172-6)&lt;1,NA(),INDEX($D$176:$AD$176,($D$172-6)))</f>
        <v>0</v>
      </c>
      <c r="CL182" s="5">
        <f>IF(($D$172-5)&lt;1,NA(),INDEX($D$176:$AD$176,($D$172-5)))</f>
        <v>0</v>
      </c>
      <c r="CM182" s="5">
        <f>IF(($D$172-4)&lt;1,NA(),INDEX($D$176:$AD$176,($D$172-4)))</f>
        <v>0</v>
      </c>
      <c r="CN182" s="5">
        <f>IF(($D$172-3)&lt;1,NA(),INDEX($D$176:$AD$176,($D$172-3)))</f>
        <v>0</v>
      </c>
      <c r="CO182" s="5">
        <f>IF(($D$172-2)&lt;1,NA(),INDEX($D$176:$AD$176,($D$172-2)))</f>
        <v>0</v>
      </c>
      <c r="CP182" s="5">
        <f>IF(($D$172-1)&lt;1,NA(),INDEX($D$176:$AD$176,($D$172-1)))</f>
        <v>0</v>
      </c>
      <c r="CQ182" s="5">
        <f>IF(($D$172-0)&lt;1,NA(),INDEX($D$176:$AD$176,($D$172-0)))</f>
        <v>0</v>
      </c>
    </row>
    <row r="183" spans="1:95">
      <c r="A183" s="11" t="s">
        <v>433</v>
      </c>
      <c r="B183" s="11" t="s">
        <v>434</v>
      </c>
      <c r="C183" s="3" t="s">
        <v>134</v>
      </c>
      <c r="D183" s="5">
        <v>10</v>
      </c>
    </row>
    <row r="184" spans="1:95">
      <c r="A184" s="11" t="s">
        <v>435</v>
      </c>
      <c r="B184" s="11" t="s">
        <v>436</v>
      </c>
      <c r="C184" s="3" t="s">
        <v>137</v>
      </c>
      <c r="D184" s="5">
        <f>IF(ISNUMBER(D10),D10/MAX(1,_xlfn.AGGREGATE(4,6,INDEX($D$10:$AD$10,MAX(1,$D$172+1-$D$183)):INDEX($D$10:$AD$10,$D$172)),_xlfn.AGGREGATE(4,6,INDEX($D$11:$AD$11,MAX(1,$D$172+1-$D$183)):INDEX($D$11:$AD$11,$D$172))),NA())</f>
        <v>0</v>
      </c>
      <c r="E184" s="5">
        <f>IF(ISNUMBER(E10),E10/MAX(1,_xlfn.AGGREGATE(4,6,INDEX($D$10:$AD$10,MAX(1,$D$172+1-$D$183)):INDEX($D$10:$AD$10,$D$172)),_xlfn.AGGREGATE(4,6,INDEX($D$11:$AD$11,MAX(1,$D$172+1-$D$183)):INDEX($D$11:$AD$11,$D$172))),NA())</f>
        <v>0</v>
      </c>
      <c r="F184" s="5">
        <f>IF(ISNUMBER(F10),F10/MAX(1,_xlfn.AGGREGATE(4,6,INDEX($D$10:$AD$10,MAX(1,$D$172+1-$D$183)):INDEX($D$10:$AD$10,$D$172)),_xlfn.AGGREGATE(4,6,INDEX($D$11:$AD$11,MAX(1,$D$172+1-$D$183)):INDEX($D$11:$AD$11,$D$172))),NA())</f>
        <v>0</v>
      </c>
      <c r="G184" s="5">
        <f>IF(ISNUMBER(G10),G10/MAX(1,_xlfn.AGGREGATE(4,6,INDEX($D$10:$AD$10,MAX(1,$D$172+1-$D$183)):INDEX($D$10:$AD$10,$D$172)),_xlfn.AGGREGATE(4,6,INDEX($D$11:$AD$11,MAX(1,$D$172+1-$D$183)):INDEX($D$11:$AD$11,$D$172))),NA())</f>
        <v>0</v>
      </c>
      <c r="H184" s="5">
        <f>IF(ISNUMBER(H10),H10/MAX(1,_xlfn.AGGREGATE(4,6,INDEX($D$10:$AD$10,MAX(1,$D$172+1-$D$183)):INDEX($D$10:$AD$10,$D$172)),_xlfn.AGGREGATE(4,6,INDEX($D$11:$AD$11,MAX(1,$D$172+1-$D$183)):INDEX($D$11:$AD$11,$D$172))),NA())</f>
        <v>0</v>
      </c>
      <c r="I184" s="5">
        <f>IF(ISNUMBER(I10),I10/MAX(1,_xlfn.AGGREGATE(4,6,INDEX($D$10:$AD$10,MAX(1,$D$172+1-$D$183)):INDEX($D$10:$AD$10,$D$172)),_xlfn.AGGREGATE(4,6,INDEX($D$11:$AD$11,MAX(1,$D$172+1-$D$183)):INDEX($D$11:$AD$11,$D$172))),NA())</f>
        <v>0</v>
      </c>
      <c r="J184" s="5">
        <f>IF(ISNUMBER(J10),J10/MAX(1,_xlfn.AGGREGATE(4,6,INDEX($D$10:$AD$10,MAX(1,$D$172+1-$D$183)):INDEX($D$10:$AD$10,$D$172)),_xlfn.AGGREGATE(4,6,INDEX($D$11:$AD$11,MAX(1,$D$172+1-$D$183)):INDEX($D$11:$AD$11,$D$172))),NA())</f>
        <v>0</v>
      </c>
      <c r="K184" s="5">
        <f>IF(ISNUMBER(K10),K10/MAX(1,_xlfn.AGGREGATE(4,6,INDEX($D$10:$AD$10,MAX(1,$D$172+1-$D$183)):INDEX($D$10:$AD$10,$D$172)),_xlfn.AGGREGATE(4,6,INDEX($D$11:$AD$11,MAX(1,$D$172+1-$D$183)):INDEX($D$11:$AD$11,$D$172))),NA())</f>
        <v>0</v>
      </c>
      <c r="L184" s="5">
        <f>IF(ISNUMBER(L10),L10/MAX(1,_xlfn.AGGREGATE(4,6,INDEX($D$10:$AD$10,MAX(1,$D$172+1-$D$183)):INDEX($D$10:$AD$10,$D$172)),_xlfn.AGGREGATE(4,6,INDEX($D$11:$AD$11,MAX(1,$D$172+1-$D$183)):INDEX($D$11:$AD$11,$D$172))),NA())</f>
        <v>0</v>
      </c>
      <c r="M184" s="5">
        <f>IF(ISNUMBER(M10),M10/MAX(1,_xlfn.AGGREGATE(4,6,INDEX($D$10:$AD$10,MAX(1,$D$172+1-$D$183)):INDEX($D$10:$AD$10,$D$172)),_xlfn.AGGREGATE(4,6,INDEX($D$11:$AD$11,MAX(1,$D$172+1-$D$183)):INDEX($D$11:$AD$11,$D$172))),NA())</f>
        <v>0</v>
      </c>
      <c r="N184" s="5">
        <f>IF(ISNUMBER(N10),N10/MAX(1,_xlfn.AGGREGATE(4,6,INDEX($D$10:$AD$10,MAX(1,$D$172+1-$D$183)):INDEX($D$10:$AD$10,$D$172)),_xlfn.AGGREGATE(4,6,INDEX($D$11:$AD$11,MAX(1,$D$172+1-$D$183)):INDEX($D$11:$AD$11,$D$172))),NA())</f>
        <v>0</v>
      </c>
      <c r="O184" s="5">
        <f>IF(ISNUMBER(O10),O10/MAX(1,_xlfn.AGGREGATE(4,6,INDEX($D$10:$AD$10,MAX(1,$D$172+1-$D$183)):INDEX($D$10:$AD$10,$D$172)),_xlfn.AGGREGATE(4,6,INDEX($D$11:$AD$11,MAX(1,$D$172+1-$D$183)):INDEX($D$11:$AD$11,$D$172))),NA())</f>
        <v>0</v>
      </c>
      <c r="P184" s="5">
        <f>IF(ISNUMBER(P10),P10/MAX(1,_xlfn.AGGREGATE(4,6,INDEX($D$10:$AD$10,MAX(1,$D$172+1-$D$183)):INDEX($D$10:$AD$10,$D$172)),_xlfn.AGGREGATE(4,6,INDEX($D$11:$AD$11,MAX(1,$D$172+1-$D$183)):INDEX($D$11:$AD$11,$D$172))),NA())</f>
        <v>0</v>
      </c>
      <c r="Q184" s="5">
        <f>IF(ISNUMBER(Q10),Q10/MAX(1,_xlfn.AGGREGATE(4,6,INDEX($D$10:$AD$10,MAX(1,$D$172+1-$D$183)):INDEX($D$10:$AD$10,$D$172)),_xlfn.AGGREGATE(4,6,INDEX($D$11:$AD$11,MAX(1,$D$172+1-$D$183)):INDEX($D$11:$AD$11,$D$172))),NA())</f>
        <v>0</v>
      </c>
      <c r="R184" s="5">
        <f>IF(ISNUMBER(R10),R10/MAX(1,_xlfn.AGGREGATE(4,6,INDEX($D$10:$AD$10,MAX(1,$D$172+1-$D$183)):INDEX($D$10:$AD$10,$D$172)),_xlfn.AGGREGATE(4,6,INDEX($D$11:$AD$11,MAX(1,$D$172+1-$D$183)):INDEX($D$11:$AD$11,$D$172))),NA())</f>
        <v>0</v>
      </c>
      <c r="S184" s="5">
        <f>IF(ISNUMBER(S10),S10/MAX(1,_xlfn.AGGREGATE(4,6,INDEX($D$10:$AD$10,MAX(1,$D$172+1-$D$183)):INDEX($D$10:$AD$10,$D$172)),_xlfn.AGGREGATE(4,6,INDEX($D$11:$AD$11,MAX(1,$D$172+1-$D$183)):INDEX($D$11:$AD$11,$D$172))),NA())</f>
        <v>0</v>
      </c>
      <c r="T184" s="5">
        <f>IF(ISNUMBER(T10),T10/MAX(1,_xlfn.AGGREGATE(4,6,INDEX($D$10:$AD$10,MAX(1,$D$172+1-$D$183)):INDEX($D$10:$AD$10,$D$172)),_xlfn.AGGREGATE(4,6,INDEX($D$11:$AD$11,MAX(1,$D$172+1-$D$183)):INDEX($D$11:$AD$11,$D$172))),NA())</f>
        <v>0</v>
      </c>
      <c r="U184" s="5">
        <f>IF(ISNUMBER(U10),U10/MAX(1,_xlfn.AGGREGATE(4,6,INDEX($D$10:$AD$10,MAX(1,$D$172+1-$D$183)):INDEX($D$10:$AD$10,$D$172)),_xlfn.AGGREGATE(4,6,INDEX($D$11:$AD$11,MAX(1,$D$172+1-$D$183)):INDEX($D$11:$AD$11,$D$172))),NA())</f>
        <v>0</v>
      </c>
      <c r="V184" s="5">
        <f>IF(ISNUMBER(V10),V10/MAX(1,_xlfn.AGGREGATE(4,6,INDEX($D$10:$AD$10,MAX(1,$D$172+1-$D$183)):INDEX($D$10:$AD$10,$D$172)),_xlfn.AGGREGATE(4,6,INDEX($D$11:$AD$11,MAX(1,$D$172+1-$D$183)):INDEX($D$11:$AD$11,$D$172))),NA())</f>
        <v>0</v>
      </c>
      <c r="W184" s="5">
        <f>IF(ISNUMBER(W10),W10/MAX(1,_xlfn.AGGREGATE(4,6,INDEX($D$10:$AD$10,MAX(1,$D$172+1-$D$183)):INDEX($D$10:$AD$10,$D$172)),_xlfn.AGGREGATE(4,6,INDEX($D$11:$AD$11,MAX(1,$D$172+1-$D$183)):INDEX($D$11:$AD$11,$D$172))),NA())</f>
        <v>0</v>
      </c>
      <c r="X184" s="5">
        <f>IF(ISNUMBER(X10),X10/MAX(1,_xlfn.AGGREGATE(4,6,INDEX($D$10:$AD$10,MAX(1,$D$172+1-$D$183)):INDEX($D$10:$AD$10,$D$172)),_xlfn.AGGREGATE(4,6,INDEX($D$11:$AD$11,MAX(1,$D$172+1-$D$183)):INDEX($D$11:$AD$11,$D$172))),NA())</f>
        <v>0</v>
      </c>
      <c r="Y184" s="5">
        <f>IF(ISNUMBER(Y10),Y10/MAX(1,_xlfn.AGGREGATE(4,6,INDEX($D$10:$AD$10,MAX(1,$D$172+1-$D$183)):INDEX($D$10:$AD$10,$D$172)),_xlfn.AGGREGATE(4,6,INDEX($D$11:$AD$11,MAX(1,$D$172+1-$D$183)):INDEX($D$11:$AD$11,$D$172))),NA())</f>
        <v>0</v>
      </c>
      <c r="Z184" s="5">
        <f>IF(ISNUMBER(Z10),Z10/MAX(1,_xlfn.AGGREGATE(4,6,INDEX($D$10:$AD$10,MAX(1,$D$172+1-$D$183)):INDEX($D$10:$AD$10,$D$172)),_xlfn.AGGREGATE(4,6,INDEX($D$11:$AD$11,MAX(1,$D$172+1-$D$183)):INDEX($D$11:$AD$11,$D$172))),NA())</f>
        <v>0</v>
      </c>
      <c r="AA184" s="5">
        <f>IF(ISNUMBER(AA10),AA10/MAX(1,_xlfn.AGGREGATE(4,6,INDEX($D$10:$AD$10,MAX(1,$D$172+1-$D$183)):INDEX($D$10:$AD$10,$D$172)),_xlfn.AGGREGATE(4,6,INDEX($D$11:$AD$11,MAX(1,$D$172+1-$D$183)):INDEX($D$11:$AD$11,$D$172))),NA())</f>
        <v>0</v>
      </c>
      <c r="AB184" s="5">
        <f>IF(ISNUMBER(AB10),AB10/MAX(1,_xlfn.AGGREGATE(4,6,INDEX($D$10:$AD$10,MAX(1,$D$172+1-$D$183)):INDEX($D$10:$AD$10,$D$172)),_xlfn.AGGREGATE(4,6,INDEX($D$11:$AD$11,MAX(1,$D$172+1-$D$183)):INDEX($D$11:$AD$11,$D$172))),NA())</f>
        <v>0</v>
      </c>
      <c r="AC184" s="5">
        <f>IF(ISNUMBER(AC10),AC10/MAX(1,_xlfn.AGGREGATE(4,6,INDEX($D$10:$AD$10,MAX(1,$D$172+1-$D$183)):INDEX($D$10:$AD$10,$D$172)),_xlfn.AGGREGATE(4,6,INDEX($D$11:$AD$11,MAX(1,$D$172+1-$D$183)):INDEX($D$11:$AD$11,$D$172))),NA())</f>
        <v>0</v>
      </c>
      <c r="AD184" s="5">
        <f>IF(ISNUMBER(AD10),AD10/MAX(1,_xlfn.AGGREGATE(4,6,INDEX($D$10:$AD$10,MAX(1,$D$172+1-$D$183)):INDEX($D$10:$AD$10,$D$172)),_xlfn.AGGREGATE(4,6,INDEX($D$11:$AD$11,MAX(1,$D$172+1-$D$183)):INDEX($D$11:$AD$11,$D$172))),NA())</f>
        <v>0</v>
      </c>
    </row>
    <row r="185" spans="1:95">
      <c r="A185" s="11" t="s">
        <v>437</v>
      </c>
      <c r="B185" s="11" t="s">
        <v>438</v>
      </c>
      <c r="C185" s="3" t="s">
        <v>137</v>
      </c>
      <c r="D185" s="11">
        <f>IF(ISNUMBER(D10),FIXED(D10,0)&amp;REPT(_xlfn.UNICHAR(160),2),"")</f>
        <v>0</v>
      </c>
      <c r="E185" s="11">
        <f>IF(ISNUMBER(E10),FIXED(E10,0)&amp;REPT(_xlfn.UNICHAR(160),2),"")</f>
        <v>0</v>
      </c>
      <c r="F185" s="11">
        <f>IF(ISNUMBER(F10),FIXED(F10,0)&amp;REPT(_xlfn.UNICHAR(160),2),"")</f>
        <v>0</v>
      </c>
      <c r="G185" s="11">
        <f>IF(ISNUMBER(G10),FIXED(G10,0)&amp;REPT(_xlfn.UNICHAR(160),2),"")</f>
        <v>0</v>
      </c>
      <c r="H185" s="11">
        <f>IF(ISNUMBER(H10),FIXED(H10,0)&amp;REPT(_xlfn.UNICHAR(160),2),"")</f>
        <v>0</v>
      </c>
      <c r="I185" s="11">
        <f>IF(ISNUMBER(I10),FIXED(I10,0)&amp;REPT(_xlfn.UNICHAR(160),2),"")</f>
        <v>0</v>
      </c>
      <c r="J185" s="11">
        <f>IF(ISNUMBER(J10),FIXED(J10,0)&amp;REPT(_xlfn.UNICHAR(160),2),"")</f>
        <v>0</v>
      </c>
      <c r="K185" s="11">
        <f>IF(ISNUMBER(K10),FIXED(K10,0)&amp;REPT(_xlfn.UNICHAR(160),2),"")</f>
        <v>0</v>
      </c>
      <c r="L185" s="11">
        <f>IF(ISNUMBER(L10),FIXED(L10,0)&amp;REPT(_xlfn.UNICHAR(160),2),"")</f>
        <v>0</v>
      </c>
      <c r="M185" s="11">
        <f>IF(ISNUMBER(M10),FIXED(M10,0)&amp;REPT(_xlfn.UNICHAR(160),2),"")</f>
        <v>0</v>
      </c>
      <c r="N185" s="11">
        <f>IF(ISNUMBER(N10),FIXED(N10,0)&amp;REPT(_xlfn.UNICHAR(160),2),"")</f>
        <v>0</v>
      </c>
      <c r="O185" s="11">
        <f>IF(ISNUMBER(O10),FIXED(O10,0)&amp;REPT(_xlfn.UNICHAR(160),2),"")</f>
        <v>0</v>
      </c>
      <c r="P185" s="11">
        <f>IF(ISNUMBER(P10),FIXED(P10,0)&amp;REPT(_xlfn.UNICHAR(160),2),"")</f>
        <v>0</v>
      </c>
      <c r="Q185" s="11">
        <f>IF(ISNUMBER(Q10),FIXED(Q10,0)&amp;REPT(_xlfn.UNICHAR(160),2),"")</f>
        <v>0</v>
      </c>
      <c r="R185" s="11">
        <f>IF(ISNUMBER(R10),FIXED(R10,0)&amp;REPT(_xlfn.UNICHAR(160),2),"")</f>
        <v>0</v>
      </c>
      <c r="S185" s="11">
        <f>IF(ISNUMBER(S10),FIXED(S10,0)&amp;REPT(_xlfn.UNICHAR(160),2),"")</f>
        <v>0</v>
      </c>
      <c r="T185" s="11">
        <f>IF(ISNUMBER(T10),FIXED(T10,0)&amp;REPT(_xlfn.UNICHAR(160),2),"")</f>
        <v>0</v>
      </c>
      <c r="U185" s="11">
        <f>IF(ISNUMBER(U10),FIXED(U10,0)&amp;REPT(_xlfn.UNICHAR(160),2),"")</f>
        <v>0</v>
      </c>
      <c r="V185" s="11">
        <f>IF(ISNUMBER(V10),FIXED(V10,0)&amp;REPT(_xlfn.UNICHAR(160),2),"")</f>
        <v>0</v>
      </c>
      <c r="W185" s="11">
        <f>IF(ISNUMBER(W10),FIXED(W10,0)&amp;REPT(_xlfn.UNICHAR(160),2),"")</f>
        <v>0</v>
      </c>
      <c r="X185" s="11">
        <f>IF(ISNUMBER(X10),FIXED(X10,0)&amp;REPT(_xlfn.UNICHAR(160),2),"")</f>
        <v>0</v>
      </c>
      <c r="Y185" s="11">
        <f>IF(ISNUMBER(Y10),FIXED(Y10,0)&amp;REPT(_xlfn.UNICHAR(160),2),"")</f>
        <v>0</v>
      </c>
      <c r="Z185" s="11">
        <f>IF(ISNUMBER(Z10),FIXED(Z10,0)&amp;REPT(_xlfn.UNICHAR(160),2),"")</f>
        <v>0</v>
      </c>
      <c r="AA185" s="11">
        <f>IF(ISNUMBER(AA10),FIXED(AA10,0)&amp;REPT(_xlfn.UNICHAR(160),2),"")</f>
        <v>0</v>
      </c>
      <c r="AB185" s="11">
        <f>IF(ISNUMBER(AB10),FIXED(AB10,0)&amp;REPT(_xlfn.UNICHAR(160),2),"")</f>
        <v>0</v>
      </c>
      <c r="AC185" s="11">
        <f>IF(ISNUMBER(AC10),FIXED(AC10,0)&amp;REPT(_xlfn.UNICHAR(160),2),"")</f>
        <v>0</v>
      </c>
      <c r="AD185" s="11">
        <f>IF(ISNUMBER(AD10),FIXED(AD10,0)&amp;REPT(_xlfn.UNICHAR(160),2),"")</f>
        <v>0</v>
      </c>
    </row>
    <row r="186" spans="1:95">
      <c r="A186" s="11" t="s">
        <v>439</v>
      </c>
      <c r="B186" s="11" t="s">
        <v>440</v>
      </c>
      <c r="C186" s="3" t="s">
        <v>137</v>
      </c>
      <c r="D186" s="5">
        <f>IF(ISNUMBER(D11),D11/MAX(1,_xlfn.AGGREGATE(4,6,INDEX($D$10:$AD$10,MAX(1,$D$172+1-$D$183)):INDEX($D$10:$AD$10,$D$172)),_xlfn.AGGREGATE(4,6,INDEX($D$11:$AD$11,MAX(1,$D$172+1-$D$183)):INDEX($D$11:$AD$11,$D$172))),NA())</f>
        <v>0</v>
      </c>
      <c r="E186" s="5">
        <f>IF(ISNUMBER(E11),E11/MAX(1,_xlfn.AGGREGATE(4,6,INDEX($D$10:$AD$10,MAX(1,$D$172+1-$D$183)):INDEX($D$10:$AD$10,$D$172)),_xlfn.AGGREGATE(4,6,INDEX($D$11:$AD$11,MAX(1,$D$172+1-$D$183)):INDEX($D$11:$AD$11,$D$172))),NA())</f>
        <v>0</v>
      </c>
      <c r="F186" s="5">
        <f>IF(ISNUMBER(F11),F11/MAX(1,_xlfn.AGGREGATE(4,6,INDEX($D$10:$AD$10,MAX(1,$D$172+1-$D$183)):INDEX($D$10:$AD$10,$D$172)),_xlfn.AGGREGATE(4,6,INDEX($D$11:$AD$11,MAX(1,$D$172+1-$D$183)):INDEX($D$11:$AD$11,$D$172))),NA())</f>
        <v>0</v>
      </c>
      <c r="G186" s="5">
        <f>IF(ISNUMBER(G11),G11/MAX(1,_xlfn.AGGREGATE(4,6,INDEX($D$10:$AD$10,MAX(1,$D$172+1-$D$183)):INDEX($D$10:$AD$10,$D$172)),_xlfn.AGGREGATE(4,6,INDEX($D$11:$AD$11,MAX(1,$D$172+1-$D$183)):INDEX($D$11:$AD$11,$D$172))),NA())</f>
        <v>0</v>
      </c>
      <c r="H186" s="5">
        <f>IF(ISNUMBER(H11),H11/MAX(1,_xlfn.AGGREGATE(4,6,INDEX($D$10:$AD$10,MAX(1,$D$172+1-$D$183)):INDEX($D$10:$AD$10,$D$172)),_xlfn.AGGREGATE(4,6,INDEX($D$11:$AD$11,MAX(1,$D$172+1-$D$183)):INDEX($D$11:$AD$11,$D$172))),NA())</f>
        <v>0</v>
      </c>
      <c r="I186" s="5">
        <f>IF(ISNUMBER(I11),I11/MAX(1,_xlfn.AGGREGATE(4,6,INDEX($D$10:$AD$10,MAX(1,$D$172+1-$D$183)):INDEX($D$10:$AD$10,$D$172)),_xlfn.AGGREGATE(4,6,INDEX($D$11:$AD$11,MAX(1,$D$172+1-$D$183)):INDEX($D$11:$AD$11,$D$172))),NA())</f>
        <v>0</v>
      </c>
      <c r="J186" s="5">
        <f>IF(ISNUMBER(J11),J11/MAX(1,_xlfn.AGGREGATE(4,6,INDEX($D$10:$AD$10,MAX(1,$D$172+1-$D$183)):INDEX($D$10:$AD$10,$D$172)),_xlfn.AGGREGATE(4,6,INDEX($D$11:$AD$11,MAX(1,$D$172+1-$D$183)):INDEX($D$11:$AD$11,$D$172))),NA())</f>
        <v>0</v>
      </c>
      <c r="K186" s="5">
        <f>IF(ISNUMBER(K11),K11/MAX(1,_xlfn.AGGREGATE(4,6,INDEX($D$10:$AD$10,MAX(1,$D$172+1-$D$183)):INDEX($D$10:$AD$10,$D$172)),_xlfn.AGGREGATE(4,6,INDEX($D$11:$AD$11,MAX(1,$D$172+1-$D$183)):INDEX($D$11:$AD$11,$D$172))),NA())</f>
        <v>0</v>
      </c>
      <c r="L186" s="5">
        <f>IF(ISNUMBER(L11),L11/MAX(1,_xlfn.AGGREGATE(4,6,INDEX($D$10:$AD$10,MAX(1,$D$172+1-$D$183)):INDEX($D$10:$AD$10,$D$172)),_xlfn.AGGREGATE(4,6,INDEX($D$11:$AD$11,MAX(1,$D$172+1-$D$183)):INDEX($D$11:$AD$11,$D$172))),NA())</f>
        <v>0</v>
      </c>
      <c r="M186" s="5">
        <f>IF(ISNUMBER(M11),M11/MAX(1,_xlfn.AGGREGATE(4,6,INDEX($D$10:$AD$10,MAX(1,$D$172+1-$D$183)):INDEX($D$10:$AD$10,$D$172)),_xlfn.AGGREGATE(4,6,INDEX($D$11:$AD$11,MAX(1,$D$172+1-$D$183)):INDEX($D$11:$AD$11,$D$172))),NA())</f>
        <v>0</v>
      </c>
      <c r="N186" s="5">
        <f>IF(ISNUMBER(N11),N11/MAX(1,_xlfn.AGGREGATE(4,6,INDEX($D$10:$AD$10,MAX(1,$D$172+1-$D$183)):INDEX($D$10:$AD$10,$D$172)),_xlfn.AGGREGATE(4,6,INDEX($D$11:$AD$11,MAX(1,$D$172+1-$D$183)):INDEX($D$11:$AD$11,$D$172))),NA())</f>
        <v>0</v>
      </c>
      <c r="O186" s="5">
        <f>IF(ISNUMBER(O11),O11/MAX(1,_xlfn.AGGREGATE(4,6,INDEX($D$10:$AD$10,MAX(1,$D$172+1-$D$183)):INDEX($D$10:$AD$10,$D$172)),_xlfn.AGGREGATE(4,6,INDEX($D$11:$AD$11,MAX(1,$D$172+1-$D$183)):INDEX($D$11:$AD$11,$D$172))),NA())</f>
        <v>0</v>
      </c>
      <c r="P186" s="5">
        <f>IF(ISNUMBER(P11),P11/MAX(1,_xlfn.AGGREGATE(4,6,INDEX($D$10:$AD$10,MAX(1,$D$172+1-$D$183)):INDEX($D$10:$AD$10,$D$172)),_xlfn.AGGREGATE(4,6,INDEX($D$11:$AD$11,MAX(1,$D$172+1-$D$183)):INDEX($D$11:$AD$11,$D$172))),NA())</f>
        <v>0</v>
      </c>
      <c r="Q186" s="5">
        <f>IF(ISNUMBER(Q11),Q11/MAX(1,_xlfn.AGGREGATE(4,6,INDEX($D$10:$AD$10,MAX(1,$D$172+1-$D$183)):INDEX($D$10:$AD$10,$D$172)),_xlfn.AGGREGATE(4,6,INDEX($D$11:$AD$11,MAX(1,$D$172+1-$D$183)):INDEX($D$11:$AD$11,$D$172))),NA())</f>
        <v>0</v>
      </c>
      <c r="R186" s="5">
        <f>IF(ISNUMBER(R11),R11/MAX(1,_xlfn.AGGREGATE(4,6,INDEX($D$10:$AD$10,MAX(1,$D$172+1-$D$183)):INDEX($D$10:$AD$10,$D$172)),_xlfn.AGGREGATE(4,6,INDEX($D$11:$AD$11,MAX(1,$D$172+1-$D$183)):INDEX($D$11:$AD$11,$D$172))),NA())</f>
        <v>0</v>
      </c>
      <c r="S186" s="5">
        <f>IF(ISNUMBER(S11),S11/MAX(1,_xlfn.AGGREGATE(4,6,INDEX($D$10:$AD$10,MAX(1,$D$172+1-$D$183)):INDEX($D$10:$AD$10,$D$172)),_xlfn.AGGREGATE(4,6,INDEX($D$11:$AD$11,MAX(1,$D$172+1-$D$183)):INDEX($D$11:$AD$11,$D$172))),NA())</f>
        <v>0</v>
      </c>
      <c r="T186" s="5">
        <f>IF(ISNUMBER(T11),T11/MAX(1,_xlfn.AGGREGATE(4,6,INDEX($D$10:$AD$10,MAX(1,$D$172+1-$D$183)):INDEX($D$10:$AD$10,$D$172)),_xlfn.AGGREGATE(4,6,INDEX($D$11:$AD$11,MAX(1,$D$172+1-$D$183)):INDEX($D$11:$AD$11,$D$172))),NA())</f>
        <v>0</v>
      </c>
      <c r="U186" s="5">
        <f>IF(ISNUMBER(U11),U11/MAX(1,_xlfn.AGGREGATE(4,6,INDEX($D$10:$AD$10,MAX(1,$D$172+1-$D$183)):INDEX($D$10:$AD$10,$D$172)),_xlfn.AGGREGATE(4,6,INDEX($D$11:$AD$11,MAX(1,$D$172+1-$D$183)):INDEX($D$11:$AD$11,$D$172))),NA())</f>
        <v>0</v>
      </c>
      <c r="V186" s="5">
        <f>IF(ISNUMBER(V11),V11/MAX(1,_xlfn.AGGREGATE(4,6,INDEX($D$10:$AD$10,MAX(1,$D$172+1-$D$183)):INDEX($D$10:$AD$10,$D$172)),_xlfn.AGGREGATE(4,6,INDEX($D$11:$AD$11,MAX(1,$D$172+1-$D$183)):INDEX($D$11:$AD$11,$D$172))),NA())</f>
        <v>0</v>
      </c>
      <c r="W186" s="5">
        <f>IF(ISNUMBER(W11),W11/MAX(1,_xlfn.AGGREGATE(4,6,INDEX($D$10:$AD$10,MAX(1,$D$172+1-$D$183)):INDEX($D$10:$AD$10,$D$172)),_xlfn.AGGREGATE(4,6,INDEX($D$11:$AD$11,MAX(1,$D$172+1-$D$183)):INDEX($D$11:$AD$11,$D$172))),NA())</f>
        <v>0</v>
      </c>
      <c r="X186" s="5">
        <f>IF(ISNUMBER(X11),X11/MAX(1,_xlfn.AGGREGATE(4,6,INDEX($D$10:$AD$10,MAX(1,$D$172+1-$D$183)):INDEX($D$10:$AD$10,$D$172)),_xlfn.AGGREGATE(4,6,INDEX($D$11:$AD$11,MAX(1,$D$172+1-$D$183)):INDEX($D$11:$AD$11,$D$172))),NA())</f>
        <v>0</v>
      </c>
      <c r="Y186" s="5">
        <f>IF(ISNUMBER(Y11),Y11/MAX(1,_xlfn.AGGREGATE(4,6,INDEX($D$10:$AD$10,MAX(1,$D$172+1-$D$183)):INDEX($D$10:$AD$10,$D$172)),_xlfn.AGGREGATE(4,6,INDEX($D$11:$AD$11,MAX(1,$D$172+1-$D$183)):INDEX($D$11:$AD$11,$D$172))),NA())</f>
        <v>0</v>
      </c>
      <c r="Z186" s="5">
        <f>IF(ISNUMBER(Z11),Z11/MAX(1,_xlfn.AGGREGATE(4,6,INDEX($D$10:$AD$10,MAX(1,$D$172+1-$D$183)):INDEX($D$10:$AD$10,$D$172)),_xlfn.AGGREGATE(4,6,INDEX($D$11:$AD$11,MAX(1,$D$172+1-$D$183)):INDEX($D$11:$AD$11,$D$172))),NA())</f>
        <v>0</v>
      </c>
      <c r="AA186" s="5">
        <f>IF(ISNUMBER(AA11),AA11/MAX(1,_xlfn.AGGREGATE(4,6,INDEX($D$10:$AD$10,MAX(1,$D$172+1-$D$183)):INDEX($D$10:$AD$10,$D$172)),_xlfn.AGGREGATE(4,6,INDEX($D$11:$AD$11,MAX(1,$D$172+1-$D$183)):INDEX($D$11:$AD$11,$D$172))),NA())</f>
        <v>0</v>
      </c>
      <c r="AB186" s="5">
        <f>IF(ISNUMBER(AB11),AB11/MAX(1,_xlfn.AGGREGATE(4,6,INDEX($D$10:$AD$10,MAX(1,$D$172+1-$D$183)):INDEX($D$10:$AD$10,$D$172)),_xlfn.AGGREGATE(4,6,INDEX($D$11:$AD$11,MAX(1,$D$172+1-$D$183)):INDEX($D$11:$AD$11,$D$172))),NA())</f>
        <v>0</v>
      </c>
      <c r="AC186" s="5">
        <f>IF(ISNUMBER(AC11),AC11/MAX(1,_xlfn.AGGREGATE(4,6,INDEX($D$10:$AD$10,MAX(1,$D$172+1-$D$183)):INDEX($D$10:$AD$10,$D$172)),_xlfn.AGGREGATE(4,6,INDEX($D$11:$AD$11,MAX(1,$D$172+1-$D$183)):INDEX($D$11:$AD$11,$D$172))),NA())</f>
        <v>0</v>
      </c>
      <c r="AD186" s="5">
        <f>IF(ISNUMBER(AD11),AD11/MAX(1,_xlfn.AGGREGATE(4,6,INDEX($D$10:$AD$10,MAX(1,$D$172+1-$D$183)):INDEX($D$10:$AD$10,$D$172)),_xlfn.AGGREGATE(4,6,INDEX($D$11:$AD$11,MAX(1,$D$172+1-$D$183)):INDEX($D$11:$AD$11,$D$172))),NA())</f>
        <v>0</v>
      </c>
    </row>
    <row r="187" spans="1:95">
      <c r="A187" s="11" t="s">
        <v>441</v>
      </c>
      <c r="B187" s="11" t="s">
        <v>442</v>
      </c>
      <c r="C187" s="3" t="s">
        <v>137</v>
      </c>
      <c r="D187" s="11">
        <f>IF(ISNUMBER(D11),REPT(_xlfn.UNICHAR(160),2)&amp;FIXED(D11,0),"")</f>
        <v>0</v>
      </c>
      <c r="E187" s="11">
        <f>IF(ISNUMBER(E11),REPT(_xlfn.UNICHAR(160),2)&amp;FIXED(E11,0),"")</f>
        <v>0</v>
      </c>
      <c r="F187" s="11">
        <f>IF(ISNUMBER(F11),REPT(_xlfn.UNICHAR(160),2)&amp;FIXED(F11,0),"")</f>
        <v>0</v>
      </c>
      <c r="G187" s="11">
        <f>IF(ISNUMBER(G11),REPT(_xlfn.UNICHAR(160),2)&amp;FIXED(G11,0),"")</f>
        <v>0</v>
      </c>
      <c r="H187" s="11">
        <f>IF(ISNUMBER(H11),REPT(_xlfn.UNICHAR(160),2)&amp;FIXED(H11,0),"")</f>
        <v>0</v>
      </c>
      <c r="I187" s="11">
        <f>IF(ISNUMBER(I11),REPT(_xlfn.UNICHAR(160),2)&amp;FIXED(I11,0),"")</f>
        <v>0</v>
      </c>
      <c r="J187" s="11">
        <f>IF(ISNUMBER(J11),REPT(_xlfn.UNICHAR(160),2)&amp;FIXED(J11,0),"")</f>
        <v>0</v>
      </c>
      <c r="K187" s="11">
        <f>IF(ISNUMBER(K11),REPT(_xlfn.UNICHAR(160),2)&amp;FIXED(K11,0),"")</f>
        <v>0</v>
      </c>
      <c r="L187" s="11">
        <f>IF(ISNUMBER(L11),REPT(_xlfn.UNICHAR(160),2)&amp;FIXED(L11,0),"")</f>
        <v>0</v>
      </c>
      <c r="M187" s="11">
        <f>IF(ISNUMBER(M11),REPT(_xlfn.UNICHAR(160),2)&amp;FIXED(M11,0),"")</f>
        <v>0</v>
      </c>
      <c r="N187" s="11">
        <f>IF(ISNUMBER(N11),REPT(_xlfn.UNICHAR(160),2)&amp;FIXED(N11,0),"")</f>
        <v>0</v>
      </c>
      <c r="O187" s="11">
        <f>IF(ISNUMBER(O11),REPT(_xlfn.UNICHAR(160),2)&amp;FIXED(O11,0),"")</f>
        <v>0</v>
      </c>
      <c r="P187" s="11">
        <f>IF(ISNUMBER(P11),REPT(_xlfn.UNICHAR(160),2)&amp;FIXED(P11,0),"")</f>
        <v>0</v>
      </c>
      <c r="Q187" s="11">
        <f>IF(ISNUMBER(Q11),REPT(_xlfn.UNICHAR(160),2)&amp;FIXED(Q11,0),"")</f>
        <v>0</v>
      </c>
      <c r="R187" s="11">
        <f>IF(ISNUMBER(R11),REPT(_xlfn.UNICHAR(160),2)&amp;FIXED(R11,0),"")</f>
        <v>0</v>
      </c>
      <c r="S187" s="11">
        <f>IF(ISNUMBER(S11),REPT(_xlfn.UNICHAR(160),2)&amp;FIXED(S11,0),"")</f>
        <v>0</v>
      </c>
      <c r="T187" s="11">
        <f>IF(ISNUMBER(T11),REPT(_xlfn.UNICHAR(160),2)&amp;FIXED(T11,0),"")</f>
        <v>0</v>
      </c>
      <c r="U187" s="11">
        <f>IF(ISNUMBER(U11),REPT(_xlfn.UNICHAR(160),2)&amp;FIXED(U11,0),"")</f>
        <v>0</v>
      </c>
      <c r="V187" s="11">
        <f>IF(ISNUMBER(V11),REPT(_xlfn.UNICHAR(160),2)&amp;FIXED(V11,0),"")</f>
        <v>0</v>
      </c>
      <c r="W187" s="11">
        <f>IF(ISNUMBER(W11),REPT(_xlfn.UNICHAR(160),2)&amp;FIXED(W11,0),"")</f>
        <v>0</v>
      </c>
      <c r="X187" s="11">
        <f>IF(ISNUMBER(X11),REPT(_xlfn.UNICHAR(160),2)&amp;FIXED(X11,0),"")</f>
        <v>0</v>
      </c>
      <c r="Y187" s="11">
        <f>IF(ISNUMBER(Y11),REPT(_xlfn.UNICHAR(160),2)&amp;FIXED(Y11,0),"")</f>
        <v>0</v>
      </c>
      <c r="Z187" s="11">
        <f>IF(ISNUMBER(Z11),REPT(_xlfn.UNICHAR(160),2)&amp;FIXED(Z11,0),"")</f>
        <v>0</v>
      </c>
      <c r="AA187" s="11">
        <f>IF(ISNUMBER(AA11),REPT(_xlfn.UNICHAR(160),2)&amp;FIXED(AA11,0),"")</f>
        <v>0</v>
      </c>
      <c r="AB187" s="11">
        <f>IF(ISNUMBER(AB11),REPT(_xlfn.UNICHAR(160),2)&amp;FIXED(AB11,0),"")</f>
        <v>0</v>
      </c>
      <c r="AC187" s="11">
        <f>IF(ISNUMBER(AC11),REPT(_xlfn.UNICHAR(160),2)&amp;FIXED(AC11,0),"")</f>
        <v>0</v>
      </c>
      <c r="AD187" s="11">
        <f>IF(ISNUMBER(AD11),REPT(_xlfn.UNICHAR(160),2)&amp;FIXED(AD11,0),"")</f>
        <v>0</v>
      </c>
    </row>
    <row r="188" spans="1:95">
      <c r="A188" s="11" t="s">
        <v>443</v>
      </c>
      <c r="B188" s="11" t="s">
        <v>444</v>
      </c>
      <c r="C188" s="3" t="s">
        <v>137</v>
      </c>
      <c r="D188" s="5">
        <f>IF(ISNUMBER(D10),IF(AND(D184&gt;=IFERROR(D186,-9),D184-IFERROR(D186,-9)&lt;0.28322),D186+0.28322,D184),NA())</f>
        <v>0</v>
      </c>
      <c r="E188" s="5">
        <f>IF(ISNUMBER(E10),IF(AND(E184&gt;=IFERROR(E186,-9),E184-IFERROR(E186,-9)&lt;0.28322),E186+0.28322,E184),NA())</f>
        <v>0</v>
      </c>
      <c r="F188" s="5">
        <f>IF(ISNUMBER(F10),IF(AND(F184&gt;=IFERROR(F186,-9),F184-IFERROR(F186,-9)&lt;0.28322),F186+0.28322,F184),NA())</f>
        <v>0</v>
      </c>
      <c r="G188" s="5">
        <f>IF(ISNUMBER(G10),IF(AND(G184&gt;=IFERROR(G186,-9),G184-IFERROR(G186,-9)&lt;0.28322),G186+0.28322,G184),NA())</f>
        <v>0</v>
      </c>
      <c r="H188" s="5">
        <f>IF(ISNUMBER(H10),IF(AND(H184&gt;=IFERROR(H186,-9),H184-IFERROR(H186,-9)&lt;0.28322),H186+0.28322,H184),NA())</f>
        <v>0</v>
      </c>
      <c r="I188" s="5">
        <f>IF(ISNUMBER(I10),IF(AND(I184&gt;=IFERROR(I186,-9),I184-IFERROR(I186,-9)&lt;0.28322),I186+0.28322,I184),NA())</f>
        <v>0</v>
      </c>
      <c r="J188" s="5">
        <f>IF(ISNUMBER(J10),IF(AND(J184&gt;=IFERROR(J186,-9),J184-IFERROR(J186,-9)&lt;0.28322),J186+0.28322,J184),NA())</f>
        <v>0</v>
      </c>
      <c r="K188" s="5">
        <f>IF(ISNUMBER(K10),IF(AND(K184&gt;=IFERROR(K186,-9),K184-IFERROR(K186,-9)&lt;0.28322),K186+0.28322,K184),NA())</f>
        <v>0</v>
      </c>
      <c r="L188" s="5">
        <f>IF(ISNUMBER(L10),IF(AND(L184&gt;=IFERROR(L186,-9),L184-IFERROR(L186,-9)&lt;0.28322),L186+0.28322,L184),NA())</f>
        <v>0</v>
      </c>
      <c r="M188" s="5">
        <f>IF(ISNUMBER(M10),IF(AND(M184&gt;=IFERROR(M186,-9),M184-IFERROR(M186,-9)&lt;0.28322),M186+0.28322,M184),NA())</f>
        <v>0</v>
      </c>
      <c r="N188" s="5">
        <f>IF(ISNUMBER(N10),IF(AND(N184&gt;=IFERROR(N186,-9),N184-IFERROR(N186,-9)&lt;0.28322),N186+0.28322,N184),NA())</f>
        <v>0</v>
      </c>
      <c r="O188" s="5">
        <f>IF(ISNUMBER(O10),IF(AND(O184&gt;=IFERROR(O186,-9),O184-IFERROR(O186,-9)&lt;0.28322),O186+0.28322,O184),NA())</f>
        <v>0</v>
      </c>
      <c r="P188" s="5">
        <f>IF(ISNUMBER(P10),IF(AND(P184&gt;=IFERROR(P186,-9),P184-IFERROR(P186,-9)&lt;0.28322),P186+0.28322,P184),NA())</f>
        <v>0</v>
      </c>
      <c r="Q188" s="5">
        <f>IF(ISNUMBER(Q10),IF(AND(Q184&gt;=IFERROR(Q186,-9),Q184-IFERROR(Q186,-9)&lt;0.28322),Q186+0.28322,Q184),NA())</f>
        <v>0</v>
      </c>
      <c r="R188" s="5">
        <f>IF(ISNUMBER(R10),IF(AND(R184&gt;=IFERROR(R186,-9),R184-IFERROR(R186,-9)&lt;0.28322),R186+0.28322,R184),NA())</f>
        <v>0</v>
      </c>
      <c r="S188" s="5">
        <f>IF(ISNUMBER(S10),IF(AND(S184&gt;=IFERROR(S186,-9),S184-IFERROR(S186,-9)&lt;0.28322),S186+0.28322,S184),NA())</f>
        <v>0</v>
      </c>
      <c r="T188" s="5">
        <f>IF(ISNUMBER(T10),IF(AND(T184&gt;=IFERROR(T186,-9),T184-IFERROR(T186,-9)&lt;0.28322),T186+0.28322,T184),NA())</f>
        <v>0</v>
      </c>
      <c r="U188" s="5">
        <f>IF(ISNUMBER(U10),IF(AND(U184&gt;=IFERROR(U186,-9),U184-IFERROR(U186,-9)&lt;0.28322),U186+0.28322,U184),NA())</f>
        <v>0</v>
      </c>
      <c r="V188" s="5">
        <f>IF(ISNUMBER(V10),IF(AND(V184&gt;=IFERROR(V186,-9),V184-IFERROR(V186,-9)&lt;0.28322),V186+0.28322,V184),NA())</f>
        <v>0</v>
      </c>
      <c r="W188" s="5">
        <f>IF(ISNUMBER(W10),IF(AND(W184&gt;=IFERROR(W186,-9),W184-IFERROR(W186,-9)&lt;0.28322),W186+0.28322,W184),NA())</f>
        <v>0</v>
      </c>
      <c r="X188" s="5">
        <f>IF(ISNUMBER(X10),IF(AND(X184&gt;=IFERROR(X186,-9),X184-IFERROR(X186,-9)&lt;0.28322),X186+0.28322,X184),NA())</f>
        <v>0</v>
      </c>
      <c r="Y188" s="5">
        <f>IF(ISNUMBER(Y10),IF(AND(Y184&gt;=IFERROR(Y186,-9),Y184-IFERROR(Y186,-9)&lt;0.28322),Y186+0.28322,Y184),NA())</f>
        <v>0</v>
      </c>
      <c r="Z188" s="5">
        <f>IF(ISNUMBER(Z10),IF(AND(Z184&gt;=IFERROR(Z186,-9),Z184-IFERROR(Z186,-9)&lt;0.28322),Z186+0.28322,Z184),NA())</f>
        <v>0</v>
      </c>
      <c r="AA188" s="5">
        <f>IF(ISNUMBER(AA10),IF(AND(AA184&gt;=IFERROR(AA186,-9),AA184-IFERROR(AA186,-9)&lt;0.28322),AA186+0.28322,AA184),NA())</f>
        <v>0</v>
      </c>
      <c r="AB188" s="5">
        <f>IF(ISNUMBER(AB10),IF(AND(AB184&gt;=IFERROR(AB186,-9),AB184-IFERROR(AB186,-9)&lt;0.28322),AB186+0.28322,AB184),NA())</f>
        <v>0</v>
      </c>
      <c r="AC188" s="5">
        <f>IF(ISNUMBER(AC10),IF(AND(AC184&gt;=IFERROR(AC186,-9),AC184-IFERROR(AC186,-9)&lt;0.28322),AC186+0.28322,AC184),NA())</f>
        <v>0</v>
      </c>
      <c r="AD188" s="5">
        <f>IF(ISNUMBER(AD10),IF(AND(AD184&gt;=IFERROR(AD186,-9),AD184-IFERROR(AD186,-9)&lt;0.28322),AD186+0.28322,AD184),NA())</f>
        <v>0</v>
      </c>
    </row>
    <row r="189" spans="1:95">
      <c r="A189" s="11" t="s">
        <v>445</v>
      </c>
      <c r="B189" s="11" t="s">
        <v>446</v>
      </c>
      <c r="C189" s="3" t="s">
        <v>137</v>
      </c>
      <c r="D189" s="5">
        <f>IF(ISNUMBER(D11),IF(AND(D186&gt;IFERROR(D184,-9),D186-IFERROR(D184,-9)&lt;0.28322),D184+0.28322,D186),NA())</f>
        <v>0</v>
      </c>
      <c r="E189" s="5">
        <f>IF(ISNUMBER(E11),IF(AND(E186&gt;IFERROR(E184,-9),E186-IFERROR(E184,-9)&lt;0.28322),E184+0.28322,E186),NA())</f>
        <v>0</v>
      </c>
      <c r="F189" s="5">
        <f>IF(ISNUMBER(F11),IF(AND(F186&gt;IFERROR(F184,-9),F186-IFERROR(F184,-9)&lt;0.28322),F184+0.28322,F186),NA())</f>
        <v>0</v>
      </c>
      <c r="G189" s="5">
        <f>IF(ISNUMBER(G11),IF(AND(G186&gt;IFERROR(G184,-9),G186-IFERROR(G184,-9)&lt;0.28322),G184+0.28322,G186),NA())</f>
        <v>0</v>
      </c>
      <c r="H189" s="5">
        <f>IF(ISNUMBER(H11),IF(AND(H186&gt;IFERROR(H184,-9),H186-IFERROR(H184,-9)&lt;0.28322),H184+0.28322,H186),NA())</f>
        <v>0</v>
      </c>
      <c r="I189" s="5">
        <f>IF(ISNUMBER(I11),IF(AND(I186&gt;IFERROR(I184,-9),I186-IFERROR(I184,-9)&lt;0.28322),I184+0.28322,I186),NA())</f>
        <v>0</v>
      </c>
      <c r="J189" s="5">
        <f>IF(ISNUMBER(J11),IF(AND(J186&gt;IFERROR(J184,-9),J186-IFERROR(J184,-9)&lt;0.28322),J184+0.28322,J186),NA())</f>
        <v>0</v>
      </c>
      <c r="K189" s="5">
        <f>IF(ISNUMBER(K11),IF(AND(K186&gt;IFERROR(K184,-9),K186-IFERROR(K184,-9)&lt;0.28322),K184+0.28322,K186),NA())</f>
        <v>0</v>
      </c>
      <c r="L189" s="5">
        <f>IF(ISNUMBER(L11),IF(AND(L186&gt;IFERROR(L184,-9),L186-IFERROR(L184,-9)&lt;0.28322),L184+0.28322,L186),NA())</f>
        <v>0</v>
      </c>
      <c r="M189" s="5">
        <f>IF(ISNUMBER(M11),IF(AND(M186&gt;IFERROR(M184,-9),M186-IFERROR(M184,-9)&lt;0.28322),M184+0.28322,M186),NA())</f>
        <v>0</v>
      </c>
      <c r="N189" s="5">
        <f>IF(ISNUMBER(N11),IF(AND(N186&gt;IFERROR(N184,-9),N186-IFERROR(N184,-9)&lt;0.28322),N184+0.28322,N186),NA())</f>
        <v>0</v>
      </c>
      <c r="O189" s="5">
        <f>IF(ISNUMBER(O11),IF(AND(O186&gt;IFERROR(O184,-9),O186-IFERROR(O184,-9)&lt;0.28322),O184+0.28322,O186),NA())</f>
        <v>0</v>
      </c>
      <c r="P189" s="5">
        <f>IF(ISNUMBER(P11),IF(AND(P186&gt;IFERROR(P184,-9),P186-IFERROR(P184,-9)&lt;0.28322),P184+0.28322,P186),NA())</f>
        <v>0</v>
      </c>
      <c r="Q189" s="5">
        <f>IF(ISNUMBER(Q11),IF(AND(Q186&gt;IFERROR(Q184,-9),Q186-IFERROR(Q184,-9)&lt;0.28322),Q184+0.28322,Q186),NA())</f>
        <v>0</v>
      </c>
      <c r="R189" s="5">
        <f>IF(ISNUMBER(R11),IF(AND(R186&gt;IFERROR(R184,-9),R186-IFERROR(R184,-9)&lt;0.28322),R184+0.28322,R186),NA())</f>
        <v>0</v>
      </c>
      <c r="S189" s="5">
        <f>IF(ISNUMBER(S11),IF(AND(S186&gt;IFERROR(S184,-9),S186-IFERROR(S184,-9)&lt;0.28322),S184+0.28322,S186),NA())</f>
        <v>0</v>
      </c>
      <c r="T189" s="5">
        <f>IF(ISNUMBER(T11),IF(AND(T186&gt;IFERROR(T184,-9),T186-IFERROR(T184,-9)&lt;0.28322),T184+0.28322,T186),NA())</f>
        <v>0</v>
      </c>
      <c r="U189" s="5">
        <f>IF(ISNUMBER(U11),IF(AND(U186&gt;IFERROR(U184,-9),U186-IFERROR(U184,-9)&lt;0.28322),U184+0.28322,U186),NA())</f>
        <v>0</v>
      </c>
      <c r="V189" s="5">
        <f>IF(ISNUMBER(V11),IF(AND(V186&gt;IFERROR(V184,-9),V186-IFERROR(V184,-9)&lt;0.28322),V184+0.28322,V186),NA())</f>
        <v>0</v>
      </c>
      <c r="W189" s="5">
        <f>IF(ISNUMBER(W11),IF(AND(W186&gt;IFERROR(W184,-9),W186-IFERROR(W184,-9)&lt;0.28322),W184+0.28322,W186),NA())</f>
        <v>0</v>
      </c>
      <c r="X189" s="5">
        <f>IF(ISNUMBER(X11),IF(AND(X186&gt;IFERROR(X184,-9),X186-IFERROR(X184,-9)&lt;0.28322),X184+0.28322,X186),NA())</f>
        <v>0</v>
      </c>
      <c r="Y189" s="5">
        <f>IF(ISNUMBER(Y11),IF(AND(Y186&gt;IFERROR(Y184,-9),Y186-IFERROR(Y184,-9)&lt;0.28322),Y184+0.28322,Y186),NA())</f>
        <v>0</v>
      </c>
      <c r="Z189" s="5">
        <f>IF(ISNUMBER(Z11),IF(AND(Z186&gt;IFERROR(Z184,-9),Z186-IFERROR(Z184,-9)&lt;0.28322),Z184+0.28322,Z186),NA())</f>
        <v>0</v>
      </c>
      <c r="AA189" s="5">
        <f>IF(ISNUMBER(AA11),IF(AND(AA186&gt;IFERROR(AA184,-9),AA186-IFERROR(AA184,-9)&lt;0.28322),AA184+0.28322,AA186),NA())</f>
        <v>0</v>
      </c>
      <c r="AB189" s="5">
        <f>IF(ISNUMBER(AB11),IF(AND(AB186&gt;IFERROR(AB184,-9),AB186-IFERROR(AB184,-9)&lt;0.28322),AB184+0.28322,AB186),NA())</f>
        <v>0</v>
      </c>
      <c r="AC189" s="5">
        <f>IF(ISNUMBER(AC11),IF(AND(AC186&gt;IFERROR(AC184,-9),AC186-IFERROR(AC184,-9)&lt;0.28322),AC184+0.28322,AC186),NA())</f>
        <v>0</v>
      </c>
      <c r="AD189" s="5">
        <f>IF(ISNUMBER(AD11),IF(AND(AD186&gt;IFERROR(AD184,-9),AD186-IFERROR(AD184,-9)&lt;0.28322),AD184+0.28322,AD186),NA())</f>
        <v>0</v>
      </c>
    </row>
    <row r="190" spans="1:95">
      <c r="A190" s="11" t="s">
        <v>447</v>
      </c>
      <c r="B190" s="11" t="s">
        <v>448</v>
      </c>
      <c r="C190" s="3" t="s">
        <v>134</v>
      </c>
      <c r="D190" s="5">
        <v>1</v>
      </c>
    </row>
    <row r="191" spans="1:95">
      <c r="A191" s="11" t="s">
        <v>449</v>
      </c>
      <c r="B191" s="11" t="s">
        <v>450</v>
      </c>
      <c r="C191" s="3" t="s">
        <v>137</v>
      </c>
      <c r="D191" s="5">
        <f>IF(AND($D$190=1,ISNUMBER(D10),ISNUMBER(D11)),IF((D10-D11)&gt;0,0.5,NA()),NA())</f>
        <v>0</v>
      </c>
      <c r="E191" s="5">
        <f>IF(AND($D$190=1,ISNUMBER(E10),ISNUMBER(E11)),IF((E10-E11)&gt;0,0.5,NA()),NA())</f>
        <v>0</v>
      </c>
      <c r="F191" s="5">
        <f>IF(AND($D$190=1,ISNUMBER(F10),ISNUMBER(F11)),IF((F10-F11)&gt;0,0.5,NA()),NA())</f>
        <v>0</v>
      </c>
      <c r="G191" s="5">
        <f>IF(AND($D$190=1,ISNUMBER(G10),ISNUMBER(G11)),IF((G10-G11)&gt;0,0.5,NA()),NA())</f>
        <v>0</v>
      </c>
      <c r="H191" s="5">
        <f>IF(AND($D$190=1,ISNUMBER(H10),ISNUMBER(H11)),IF((H10-H11)&gt;0,0.5,NA()),NA())</f>
        <v>0</v>
      </c>
      <c r="I191" s="5">
        <f>IF(AND($D$190=1,ISNUMBER(I10),ISNUMBER(I11)),IF((I10-I11)&gt;0,0.5,NA()),NA())</f>
        <v>0</v>
      </c>
      <c r="J191" s="5">
        <f>IF(AND($D$190=1,ISNUMBER(J10),ISNUMBER(J11)),IF((J10-J11)&gt;0,0.5,NA()),NA())</f>
        <v>0</v>
      </c>
      <c r="K191" s="5">
        <f>IF(AND($D$190=1,ISNUMBER(K10),ISNUMBER(K11)),IF((K10-K11)&gt;0,0.5,NA()),NA())</f>
        <v>0</v>
      </c>
      <c r="L191" s="5">
        <f>IF(AND($D$190=1,ISNUMBER(L10),ISNUMBER(L11)),IF((L10-L11)&gt;0,0.5,NA()),NA())</f>
        <v>0</v>
      </c>
      <c r="M191" s="5">
        <f>IF(AND($D$190=1,ISNUMBER(M10),ISNUMBER(M11)),IF((M10-M11)&gt;0,0.5,NA()),NA())</f>
        <v>0</v>
      </c>
      <c r="N191" s="5">
        <f>IF(AND($D$190=1,ISNUMBER(N10),ISNUMBER(N11)),IF((N10-N11)&gt;0,0.5,NA()),NA())</f>
        <v>0</v>
      </c>
      <c r="O191" s="5">
        <f>IF(AND($D$190=1,ISNUMBER(O10),ISNUMBER(O11)),IF((O10-O11)&gt;0,0.5,NA()),NA())</f>
        <v>0</v>
      </c>
      <c r="P191" s="5">
        <f>IF(AND($D$190=1,ISNUMBER(P10),ISNUMBER(P11)),IF((P10-P11)&gt;0,0.5,NA()),NA())</f>
        <v>0</v>
      </c>
      <c r="Q191" s="5">
        <f>IF(AND($D$190=1,ISNUMBER(Q10),ISNUMBER(Q11)),IF((Q10-Q11)&gt;0,0.5,NA()),NA())</f>
        <v>0</v>
      </c>
      <c r="R191" s="5">
        <f>IF(AND($D$190=1,ISNUMBER(R10),ISNUMBER(R11)),IF((R10-R11)&gt;0,0.5,NA()),NA())</f>
        <v>0</v>
      </c>
      <c r="S191" s="5">
        <f>IF(AND($D$190=1,ISNUMBER(S10),ISNUMBER(S11)),IF((S10-S11)&gt;0,0.5,NA()),NA())</f>
        <v>0</v>
      </c>
      <c r="T191" s="5">
        <f>IF(AND($D$190=1,ISNUMBER(T10),ISNUMBER(T11)),IF((T10-T11)&gt;0,0.5,NA()),NA())</f>
        <v>0</v>
      </c>
      <c r="U191" s="5">
        <f>IF(AND($D$190=1,ISNUMBER(U10),ISNUMBER(U11)),IF((U10-U11)&gt;0,0.5,NA()),NA())</f>
        <v>0</v>
      </c>
      <c r="V191" s="5">
        <f>IF(AND($D$190=1,ISNUMBER(V10),ISNUMBER(V11)),IF((V10-V11)&gt;0,0.5,NA()),NA())</f>
        <v>0</v>
      </c>
      <c r="W191" s="5">
        <f>IF(AND($D$190=1,ISNUMBER(W10),ISNUMBER(W11)),IF((W10-W11)&gt;0,0.5,NA()),NA())</f>
        <v>0</v>
      </c>
      <c r="X191" s="5">
        <f>IF(AND($D$190=1,ISNUMBER(X10),ISNUMBER(X11)),IF((X10-X11)&gt;0,0.5,NA()),NA())</f>
        <v>0</v>
      </c>
      <c r="Y191" s="5">
        <f>IF(AND($D$190=1,ISNUMBER(Y10),ISNUMBER(Y11)),IF((Y10-Y11)&gt;0,0.5,NA()),NA())</f>
        <v>0</v>
      </c>
      <c r="Z191" s="5">
        <f>IF(AND($D$190=1,ISNUMBER(Z10),ISNUMBER(Z11)),IF((Z10-Z11)&gt;0,0.5,NA()),NA())</f>
        <v>0</v>
      </c>
      <c r="AA191" s="5">
        <f>IF(AND($D$190=1,ISNUMBER(AA10),ISNUMBER(AA11)),IF((AA10-AA11)&gt;0,0.5,NA()),NA())</f>
        <v>0</v>
      </c>
      <c r="AB191" s="5">
        <f>IF(AND($D$190=1,ISNUMBER(AB10),ISNUMBER(AB11)),IF((AB10-AB11)&gt;0,0.5,NA()),NA())</f>
        <v>0</v>
      </c>
      <c r="AC191" s="5">
        <f>IF(AND($D$190=1,ISNUMBER(AC10),ISNUMBER(AC11)),IF((AC10-AC11)&gt;0,0.5,NA()),NA())</f>
        <v>0</v>
      </c>
      <c r="AD191" s="5">
        <f>IF(AND($D$190=1,ISNUMBER(AD10),ISNUMBER(AD11)),IF((AD10-AD11)&gt;0,0.5,NA()),NA())</f>
        <v>0</v>
      </c>
    </row>
    <row r="192" spans="1:95">
      <c r="A192" s="11" t="s">
        <v>451</v>
      </c>
      <c r="B192" s="11" t="s">
        <v>452</v>
      </c>
      <c r="C192" s="3" t="s">
        <v>137</v>
      </c>
      <c r="D192" s="5">
        <f>IF(AND($D$190=1,ISNUMBER(D10),ISNUMBER(D11)),IF((D10-D11)&lt;0,0.5,NA()),NA())</f>
        <v>0</v>
      </c>
      <c r="E192" s="5">
        <f>IF(AND($D$190=1,ISNUMBER(E10),ISNUMBER(E11)),IF((E10-E11)&lt;0,0.5,NA()),NA())</f>
        <v>0</v>
      </c>
      <c r="F192" s="5">
        <f>IF(AND($D$190=1,ISNUMBER(F10),ISNUMBER(F11)),IF((F10-F11)&lt;0,0.5,NA()),NA())</f>
        <v>0</v>
      </c>
      <c r="G192" s="5">
        <f>IF(AND($D$190=1,ISNUMBER(G10),ISNUMBER(G11)),IF((G10-G11)&lt;0,0.5,NA()),NA())</f>
        <v>0</v>
      </c>
      <c r="H192" s="5">
        <f>IF(AND($D$190=1,ISNUMBER(H10),ISNUMBER(H11)),IF((H10-H11)&lt;0,0.5,NA()),NA())</f>
        <v>0</v>
      </c>
      <c r="I192" s="5">
        <f>IF(AND($D$190=1,ISNUMBER(I10),ISNUMBER(I11)),IF((I10-I11)&lt;0,0.5,NA()),NA())</f>
        <v>0</v>
      </c>
      <c r="J192" s="5">
        <f>IF(AND($D$190=1,ISNUMBER(J10),ISNUMBER(J11)),IF((J10-J11)&lt;0,0.5,NA()),NA())</f>
        <v>0</v>
      </c>
      <c r="K192" s="5">
        <f>IF(AND($D$190=1,ISNUMBER(K10),ISNUMBER(K11)),IF((K10-K11)&lt;0,0.5,NA()),NA())</f>
        <v>0</v>
      </c>
      <c r="L192" s="5">
        <f>IF(AND($D$190=1,ISNUMBER(L10),ISNUMBER(L11)),IF((L10-L11)&lt;0,0.5,NA()),NA())</f>
        <v>0</v>
      </c>
      <c r="M192" s="5">
        <f>IF(AND($D$190=1,ISNUMBER(M10),ISNUMBER(M11)),IF((M10-M11)&lt;0,0.5,NA()),NA())</f>
        <v>0</v>
      </c>
      <c r="N192" s="5">
        <f>IF(AND($D$190=1,ISNUMBER(N10),ISNUMBER(N11)),IF((N10-N11)&lt;0,0.5,NA()),NA())</f>
        <v>0</v>
      </c>
      <c r="O192" s="5">
        <f>IF(AND($D$190=1,ISNUMBER(O10),ISNUMBER(O11)),IF((O10-O11)&lt;0,0.5,NA()),NA())</f>
        <v>0</v>
      </c>
      <c r="P192" s="5">
        <f>IF(AND($D$190=1,ISNUMBER(P10),ISNUMBER(P11)),IF((P10-P11)&lt;0,0.5,NA()),NA())</f>
        <v>0</v>
      </c>
      <c r="Q192" s="5">
        <f>IF(AND($D$190=1,ISNUMBER(Q10),ISNUMBER(Q11)),IF((Q10-Q11)&lt;0,0.5,NA()),NA())</f>
        <v>0</v>
      </c>
      <c r="R192" s="5">
        <f>IF(AND($D$190=1,ISNUMBER(R10),ISNUMBER(R11)),IF((R10-R11)&lt;0,0.5,NA()),NA())</f>
        <v>0</v>
      </c>
      <c r="S192" s="5">
        <f>IF(AND($D$190=1,ISNUMBER(S10),ISNUMBER(S11)),IF((S10-S11)&lt;0,0.5,NA()),NA())</f>
        <v>0</v>
      </c>
      <c r="T192" s="5">
        <f>IF(AND($D$190=1,ISNUMBER(T10),ISNUMBER(T11)),IF((T10-T11)&lt;0,0.5,NA()),NA())</f>
        <v>0</v>
      </c>
      <c r="U192" s="5">
        <f>IF(AND($D$190=1,ISNUMBER(U10),ISNUMBER(U11)),IF((U10-U11)&lt;0,0.5,NA()),NA())</f>
        <v>0</v>
      </c>
      <c r="V192" s="5">
        <f>IF(AND($D$190=1,ISNUMBER(V10),ISNUMBER(V11)),IF((V10-V11)&lt;0,0.5,NA()),NA())</f>
        <v>0</v>
      </c>
      <c r="W192" s="5">
        <f>IF(AND($D$190=1,ISNUMBER(W10),ISNUMBER(W11)),IF((W10-W11)&lt;0,0.5,NA()),NA())</f>
        <v>0</v>
      </c>
      <c r="X192" s="5">
        <f>IF(AND($D$190=1,ISNUMBER(X10),ISNUMBER(X11)),IF((X10-X11)&lt;0,0.5,NA()),NA())</f>
        <v>0</v>
      </c>
      <c r="Y192" s="5">
        <f>IF(AND($D$190=1,ISNUMBER(Y10),ISNUMBER(Y11)),IF((Y10-Y11)&lt;0,0.5,NA()),NA())</f>
        <v>0</v>
      </c>
      <c r="Z192" s="5">
        <f>IF(AND($D$190=1,ISNUMBER(Z10),ISNUMBER(Z11)),IF((Z10-Z11)&lt;0,0.5,NA()),NA())</f>
        <v>0</v>
      </c>
      <c r="AA192" s="5">
        <f>IF(AND($D$190=1,ISNUMBER(AA10),ISNUMBER(AA11)),IF((AA10-AA11)&lt;0,0.5,NA()),NA())</f>
        <v>0</v>
      </c>
      <c r="AB192" s="5">
        <f>IF(AND($D$190=1,ISNUMBER(AB10),ISNUMBER(AB11)),IF((AB10-AB11)&lt;0,0.5,NA()),NA())</f>
        <v>0</v>
      </c>
      <c r="AC192" s="5">
        <f>IF(AND($D$190=1,ISNUMBER(AC10),ISNUMBER(AC11)),IF((AC10-AC11)&lt;0,0.5,NA()),NA())</f>
        <v>0</v>
      </c>
      <c r="AD192" s="5">
        <f>IF(AND($D$190=1,ISNUMBER(AD10),ISNUMBER(AD11)),IF((AD10-AD11)&lt;0,0.5,NA()),NA())</f>
        <v>0</v>
      </c>
    </row>
    <row r="193" spans="1:95">
      <c r="A193" s="11" t="s">
        <v>453</v>
      </c>
      <c r="B193" s="11" t="s">
        <v>454</v>
      </c>
      <c r="C193" s="3" t="s">
        <v>137</v>
      </c>
      <c r="D193" s="5">
        <f>IF(AND($D$190=1,ISNUMBER(D10),ISNUMBER(D11)),IF((D10-D11)=0,0.5,NA()),NA())</f>
        <v>0</v>
      </c>
      <c r="E193" s="5">
        <f>IF(AND($D$190=1,ISNUMBER(E10),ISNUMBER(E11)),IF((E10-E11)=0,0.5,NA()),NA())</f>
        <v>0</v>
      </c>
      <c r="F193" s="5">
        <f>IF(AND($D$190=1,ISNUMBER(F10),ISNUMBER(F11)),IF((F10-F11)=0,0.5,NA()),NA())</f>
        <v>0</v>
      </c>
      <c r="G193" s="5">
        <f>IF(AND($D$190=1,ISNUMBER(G10),ISNUMBER(G11)),IF((G10-G11)=0,0.5,NA()),NA())</f>
        <v>0</v>
      </c>
      <c r="H193" s="5">
        <f>IF(AND($D$190=1,ISNUMBER(H10),ISNUMBER(H11)),IF((H10-H11)=0,0.5,NA()),NA())</f>
        <v>0</v>
      </c>
      <c r="I193" s="5">
        <f>IF(AND($D$190=1,ISNUMBER(I10),ISNUMBER(I11)),IF((I10-I11)=0,0.5,NA()),NA())</f>
        <v>0</v>
      </c>
      <c r="J193" s="5">
        <f>IF(AND($D$190=1,ISNUMBER(J10),ISNUMBER(J11)),IF((J10-J11)=0,0.5,NA()),NA())</f>
        <v>0</v>
      </c>
      <c r="K193" s="5">
        <f>IF(AND($D$190=1,ISNUMBER(K10),ISNUMBER(K11)),IF((K10-K11)=0,0.5,NA()),NA())</f>
        <v>0</v>
      </c>
      <c r="L193" s="5">
        <f>IF(AND($D$190=1,ISNUMBER(L10),ISNUMBER(L11)),IF((L10-L11)=0,0.5,NA()),NA())</f>
        <v>0</v>
      </c>
      <c r="M193" s="5">
        <f>IF(AND($D$190=1,ISNUMBER(M10),ISNUMBER(M11)),IF((M10-M11)=0,0.5,NA()),NA())</f>
        <v>0</v>
      </c>
      <c r="N193" s="5">
        <f>IF(AND($D$190=1,ISNUMBER(N10),ISNUMBER(N11)),IF((N10-N11)=0,0.5,NA()),NA())</f>
        <v>0</v>
      </c>
      <c r="O193" s="5">
        <f>IF(AND($D$190=1,ISNUMBER(O10),ISNUMBER(O11)),IF((O10-O11)=0,0.5,NA()),NA())</f>
        <v>0</v>
      </c>
      <c r="P193" s="5">
        <f>IF(AND($D$190=1,ISNUMBER(P10),ISNUMBER(P11)),IF((P10-P11)=0,0.5,NA()),NA())</f>
        <v>0</v>
      </c>
      <c r="Q193" s="5">
        <f>IF(AND($D$190=1,ISNUMBER(Q10),ISNUMBER(Q11)),IF((Q10-Q11)=0,0.5,NA()),NA())</f>
        <v>0</v>
      </c>
      <c r="R193" s="5">
        <f>IF(AND($D$190=1,ISNUMBER(R10),ISNUMBER(R11)),IF((R10-R11)=0,0.5,NA()),NA())</f>
        <v>0</v>
      </c>
      <c r="S193" s="5">
        <f>IF(AND($D$190=1,ISNUMBER(S10),ISNUMBER(S11)),IF((S10-S11)=0,0.5,NA()),NA())</f>
        <v>0</v>
      </c>
      <c r="T193" s="5">
        <f>IF(AND($D$190=1,ISNUMBER(T10),ISNUMBER(T11)),IF((T10-T11)=0,0.5,NA()),NA())</f>
        <v>0</v>
      </c>
      <c r="U193" s="5">
        <f>IF(AND($D$190=1,ISNUMBER(U10),ISNUMBER(U11)),IF((U10-U11)=0,0.5,NA()),NA())</f>
        <v>0</v>
      </c>
      <c r="V193" s="5">
        <f>IF(AND($D$190=1,ISNUMBER(V10),ISNUMBER(V11)),IF((V10-V11)=0,0.5,NA()),NA())</f>
        <v>0</v>
      </c>
      <c r="W193" s="5">
        <f>IF(AND($D$190=1,ISNUMBER(W10),ISNUMBER(W11)),IF((W10-W11)=0,0.5,NA()),NA())</f>
        <v>0</v>
      </c>
      <c r="X193" s="5">
        <f>IF(AND($D$190=1,ISNUMBER(X10),ISNUMBER(X11)),IF((X10-X11)=0,0.5,NA()),NA())</f>
        <v>0</v>
      </c>
      <c r="Y193" s="5">
        <f>IF(AND($D$190=1,ISNUMBER(Y10),ISNUMBER(Y11)),IF((Y10-Y11)=0,0.5,NA()),NA())</f>
        <v>0</v>
      </c>
      <c r="Z193" s="5">
        <f>IF(AND($D$190=1,ISNUMBER(Z10),ISNUMBER(Z11)),IF((Z10-Z11)=0,0.5,NA()),NA())</f>
        <v>0</v>
      </c>
      <c r="AA193" s="5">
        <f>IF(AND($D$190=1,ISNUMBER(AA10),ISNUMBER(AA11)),IF((AA10-AA11)=0,0.5,NA()),NA())</f>
        <v>0</v>
      </c>
      <c r="AB193" s="5">
        <f>IF(AND($D$190=1,ISNUMBER(AB10),ISNUMBER(AB11)),IF((AB10-AB11)=0,0.5,NA()),NA())</f>
        <v>0</v>
      </c>
      <c r="AC193" s="5">
        <f>IF(AND($D$190=1,ISNUMBER(AC10),ISNUMBER(AC11)),IF((AC10-AC11)=0,0.5,NA()),NA())</f>
        <v>0</v>
      </c>
      <c r="AD193" s="5">
        <f>IF(AND($D$190=1,ISNUMBER(AD10),ISNUMBER(AD11)),IF((AD10-AD11)=0,0.5,NA()),NA())</f>
        <v>0</v>
      </c>
    </row>
    <row r="194" spans="1:95">
      <c r="A194" s="11" t="s">
        <v>455</v>
      </c>
      <c r="B194" s="11" t="s">
        <v>456</v>
      </c>
      <c r="C194" s="3" t="s">
        <v>137</v>
      </c>
      <c r="D194" s="11">
        <f>IF(AND(ISNUMBER(D10),ISNUMBER(D11)),IF((D10-D11)&gt;0,"+"&amp;FIXED((D10-D11),0),IF((D10-D11)&lt;0,"−"&amp;FIXED(-(D10-D11),0),"±0")),"")</f>
        <v>0</v>
      </c>
      <c r="E194" s="11">
        <f>IF(AND(ISNUMBER(E10),ISNUMBER(E11)),IF((E10-E11)&gt;0,"+"&amp;FIXED((E10-E11),0),IF((E10-E11)&lt;0,"−"&amp;FIXED(-(E10-E11),0),"±0")),"")</f>
        <v>0</v>
      </c>
      <c r="F194" s="11">
        <f>IF(AND(ISNUMBER(F10),ISNUMBER(F11)),IF((F10-F11)&gt;0,"+"&amp;FIXED((F10-F11),0),IF((F10-F11)&lt;0,"−"&amp;FIXED(-(F10-F11),0),"±0")),"")</f>
        <v>0</v>
      </c>
      <c r="G194" s="11">
        <f>IF(AND(ISNUMBER(G10),ISNUMBER(G11)),IF((G10-G11)&gt;0,"+"&amp;FIXED((G10-G11),0),IF((G10-G11)&lt;0,"−"&amp;FIXED(-(G10-G11),0),"±0")),"")</f>
        <v>0</v>
      </c>
      <c r="H194" s="11">
        <f>IF(AND(ISNUMBER(H10),ISNUMBER(H11)),IF((H10-H11)&gt;0,"+"&amp;FIXED((H10-H11),0),IF((H10-H11)&lt;0,"−"&amp;FIXED(-(H10-H11),0),"±0")),"")</f>
        <v>0</v>
      </c>
      <c r="I194" s="11">
        <f>IF(AND(ISNUMBER(I10),ISNUMBER(I11)),IF((I10-I11)&gt;0,"+"&amp;FIXED((I10-I11),0),IF((I10-I11)&lt;0,"−"&amp;FIXED(-(I10-I11),0),"±0")),"")</f>
        <v>0</v>
      </c>
      <c r="J194" s="11">
        <f>IF(AND(ISNUMBER(J10),ISNUMBER(J11)),IF((J10-J11)&gt;0,"+"&amp;FIXED((J10-J11),0),IF((J10-J11)&lt;0,"−"&amp;FIXED(-(J10-J11),0),"±0")),"")</f>
        <v>0</v>
      </c>
      <c r="K194" s="11">
        <f>IF(AND(ISNUMBER(K10),ISNUMBER(K11)),IF((K10-K11)&gt;0,"+"&amp;FIXED((K10-K11),0),IF((K10-K11)&lt;0,"−"&amp;FIXED(-(K10-K11),0),"±0")),"")</f>
        <v>0</v>
      </c>
      <c r="L194" s="11">
        <f>IF(AND(ISNUMBER(L10),ISNUMBER(L11)),IF((L10-L11)&gt;0,"+"&amp;FIXED((L10-L11),0),IF((L10-L11)&lt;0,"−"&amp;FIXED(-(L10-L11),0),"±0")),"")</f>
        <v>0</v>
      </c>
      <c r="M194" s="11">
        <f>IF(AND(ISNUMBER(M10),ISNUMBER(M11)),IF((M10-M11)&gt;0,"+"&amp;FIXED((M10-M11),0),IF((M10-M11)&lt;0,"−"&amp;FIXED(-(M10-M11),0),"±0")),"")</f>
        <v>0</v>
      </c>
      <c r="N194" s="11">
        <f>IF(AND(ISNUMBER(N10),ISNUMBER(N11)),IF((N10-N11)&gt;0,"+"&amp;FIXED((N10-N11),0),IF((N10-N11)&lt;0,"−"&amp;FIXED(-(N10-N11),0),"±0")),"")</f>
        <v>0</v>
      </c>
      <c r="O194" s="11">
        <f>IF(AND(ISNUMBER(O10),ISNUMBER(O11)),IF((O10-O11)&gt;0,"+"&amp;FIXED((O10-O11),0),IF((O10-O11)&lt;0,"−"&amp;FIXED(-(O10-O11),0),"±0")),"")</f>
        <v>0</v>
      </c>
      <c r="P194" s="11">
        <f>IF(AND(ISNUMBER(P10),ISNUMBER(P11)),IF((P10-P11)&gt;0,"+"&amp;FIXED((P10-P11),0),IF((P10-P11)&lt;0,"−"&amp;FIXED(-(P10-P11),0),"±0")),"")</f>
        <v>0</v>
      </c>
      <c r="Q194" s="11">
        <f>IF(AND(ISNUMBER(Q10),ISNUMBER(Q11)),IF((Q10-Q11)&gt;0,"+"&amp;FIXED((Q10-Q11),0),IF((Q10-Q11)&lt;0,"−"&amp;FIXED(-(Q10-Q11),0),"±0")),"")</f>
        <v>0</v>
      </c>
      <c r="R194" s="11">
        <f>IF(AND(ISNUMBER(R10),ISNUMBER(R11)),IF((R10-R11)&gt;0,"+"&amp;FIXED((R10-R11),0),IF((R10-R11)&lt;0,"−"&amp;FIXED(-(R10-R11),0),"±0")),"")</f>
        <v>0</v>
      </c>
      <c r="S194" s="11">
        <f>IF(AND(ISNUMBER(S10),ISNUMBER(S11)),IF((S10-S11)&gt;0,"+"&amp;FIXED((S10-S11),0),IF((S10-S11)&lt;0,"−"&amp;FIXED(-(S10-S11),0),"±0")),"")</f>
        <v>0</v>
      </c>
      <c r="T194" s="11">
        <f>IF(AND(ISNUMBER(T10),ISNUMBER(T11)),IF((T10-T11)&gt;0,"+"&amp;FIXED((T10-T11),0),IF((T10-T11)&lt;0,"−"&amp;FIXED(-(T10-T11),0),"±0")),"")</f>
        <v>0</v>
      </c>
      <c r="U194" s="11">
        <f>IF(AND(ISNUMBER(U10),ISNUMBER(U11)),IF((U10-U11)&gt;0,"+"&amp;FIXED((U10-U11),0),IF((U10-U11)&lt;0,"−"&amp;FIXED(-(U10-U11),0),"±0")),"")</f>
        <v>0</v>
      </c>
      <c r="V194" s="11">
        <f>IF(AND(ISNUMBER(V10),ISNUMBER(V11)),IF((V10-V11)&gt;0,"+"&amp;FIXED((V10-V11),0),IF((V10-V11)&lt;0,"−"&amp;FIXED(-(V10-V11),0),"±0")),"")</f>
        <v>0</v>
      </c>
      <c r="W194" s="11">
        <f>IF(AND(ISNUMBER(W10),ISNUMBER(W11)),IF((W10-W11)&gt;0,"+"&amp;FIXED((W10-W11),0),IF((W10-W11)&lt;0,"−"&amp;FIXED(-(W10-W11),0),"±0")),"")</f>
        <v>0</v>
      </c>
      <c r="X194" s="11">
        <f>IF(AND(ISNUMBER(X10),ISNUMBER(X11)),IF((X10-X11)&gt;0,"+"&amp;FIXED((X10-X11),0),IF((X10-X11)&lt;0,"−"&amp;FIXED(-(X10-X11),0),"±0")),"")</f>
        <v>0</v>
      </c>
      <c r="Y194" s="11">
        <f>IF(AND(ISNUMBER(Y10),ISNUMBER(Y11)),IF((Y10-Y11)&gt;0,"+"&amp;FIXED((Y10-Y11),0),IF((Y10-Y11)&lt;0,"−"&amp;FIXED(-(Y10-Y11),0),"±0")),"")</f>
        <v>0</v>
      </c>
      <c r="Z194" s="11">
        <f>IF(AND(ISNUMBER(Z10),ISNUMBER(Z11)),IF((Z10-Z11)&gt;0,"+"&amp;FIXED((Z10-Z11),0),IF((Z10-Z11)&lt;0,"−"&amp;FIXED(-(Z10-Z11),0),"±0")),"")</f>
        <v>0</v>
      </c>
      <c r="AA194" s="11">
        <f>IF(AND(ISNUMBER(AA10),ISNUMBER(AA11)),IF((AA10-AA11)&gt;0,"+"&amp;FIXED((AA10-AA11),0),IF((AA10-AA11)&lt;0,"−"&amp;FIXED(-(AA10-AA11),0),"±0")),"")</f>
        <v>0</v>
      </c>
      <c r="AB194" s="11">
        <f>IF(AND(ISNUMBER(AB10),ISNUMBER(AB11)),IF((AB10-AB11)&gt;0,"+"&amp;FIXED((AB10-AB11),0),IF((AB10-AB11)&lt;0,"−"&amp;FIXED(-(AB10-AB11),0),"±0")),"")</f>
        <v>0</v>
      </c>
      <c r="AC194" s="11">
        <f>IF(AND(ISNUMBER(AC10),ISNUMBER(AC11)),IF((AC10-AC11)&gt;0,"+"&amp;FIXED((AC10-AC11),0),IF((AC10-AC11)&lt;0,"−"&amp;FIXED(-(AC10-AC11),0),"±0")),"")</f>
        <v>0</v>
      </c>
      <c r="AD194" s="11">
        <f>IF(AND(ISNUMBER(AD10),ISNUMBER(AD11)),IF((AD10-AD11)&gt;0,"+"&amp;FIXED((AD10-AD11),0),IF((AD10-AD11)&lt;0,"−"&amp;FIXED(-(AD10-AD11),0),"±0")),"")</f>
        <v>0</v>
      </c>
    </row>
    <row r="195" spans="1:95">
      <c r="A195" s="11" t="s">
        <v>457</v>
      </c>
      <c r="B195" s="11" t="s">
        <v>458</v>
      </c>
      <c r="C195" s="3" t="s">
        <v>408</v>
      </c>
      <c r="BR195" s="5">
        <f>IF(($D$172-25)&lt;1,NA(),INDEX($D$184:$AD$184,($D$172-25)))</f>
        <v>0</v>
      </c>
      <c r="BS195" s="5">
        <f>IF(($D$172-24)&lt;1,NA(),INDEX($D$184:$AD$184,($D$172-24)))</f>
        <v>0</v>
      </c>
      <c r="BT195" s="5">
        <f>IF(($D$172-23)&lt;1,NA(),INDEX($D$184:$AD$184,($D$172-23)))</f>
        <v>0</v>
      </c>
      <c r="BU195" s="5">
        <f>IF(($D$172-22)&lt;1,NA(),INDEX($D$184:$AD$184,($D$172-22)))</f>
        <v>0</v>
      </c>
      <c r="BV195" s="5">
        <f>IF(($D$172-21)&lt;1,NA(),INDEX($D$184:$AD$184,($D$172-21)))</f>
        <v>0</v>
      </c>
      <c r="BW195" s="5">
        <f>IF(($D$172-20)&lt;1,NA(),INDEX($D$184:$AD$184,($D$172-20)))</f>
        <v>0</v>
      </c>
      <c r="BX195" s="5">
        <f>IF(($D$172-19)&lt;1,NA(),INDEX($D$184:$AD$184,($D$172-19)))</f>
        <v>0</v>
      </c>
      <c r="BY195" s="5">
        <f>IF(($D$172-18)&lt;1,NA(),INDEX($D$184:$AD$184,($D$172-18)))</f>
        <v>0</v>
      </c>
      <c r="BZ195" s="5">
        <f>IF(($D$172-17)&lt;1,NA(),INDEX($D$184:$AD$184,($D$172-17)))</f>
        <v>0</v>
      </c>
      <c r="CA195" s="5">
        <f>IF(($D$172-16)&lt;1,NA(),INDEX($D$184:$AD$184,($D$172-16)))</f>
        <v>0</v>
      </c>
      <c r="CB195" s="5">
        <f>IF(($D$172-15)&lt;1,NA(),INDEX($D$184:$AD$184,($D$172-15)))</f>
        <v>0</v>
      </c>
      <c r="CC195" s="5">
        <f>IF(($D$172-14)&lt;1,NA(),INDEX($D$184:$AD$184,($D$172-14)))</f>
        <v>0</v>
      </c>
      <c r="CD195" s="5">
        <f>IF(($D$172-13)&lt;1,NA(),INDEX($D$184:$AD$184,($D$172-13)))</f>
        <v>0</v>
      </c>
      <c r="CE195" s="5">
        <f>IF(($D$172-12)&lt;1,NA(),INDEX($D$184:$AD$184,($D$172-12)))</f>
        <v>0</v>
      </c>
      <c r="CF195" s="5">
        <f>IF(($D$172-11)&lt;1,NA(),INDEX($D$184:$AD$184,($D$172-11)))</f>
        <v>0</v>
      </c>
      <c r="CG195" s="5">
        <f>IF(($D$172-10)&lt;1,NA(),INDEX($D$184:$AD$184,($D$172-10)))</f>
        <v>0</v>
      </c>
      <c r="CH195" s="5">
        <f>IF(($D$172-9)&lt;1,NA(),INDEX($D$184:$AD$184,($D$172-9)))</f>
        <v>0</v>
      </c>
      <c r="CI195" s="5">
        <f>IF(($D$172-8)&lt;1,NA(),INDEX($D$184:$AD$184,($D$172-8)))</f>
        <v>0</v>
      </c>
      <c r="CJ195" s="5">
        <f>IF(($D$172-7)&lt;1,NA(),INDEX($D$184:$AD$184,($D$172-7)))</f>
        <v>0</v>
      </c>
      <c r="CK195" s="5">
        <f>IF(($D$172-6)&lt;1,NA(),INDEX($D$184:$AD$184,($D$172-6)))</f>
        <v>0</v>
      </c>
      <c r="CL195" s="5">
        <f>IF(($D$172-5)&lt;1,NA(),INDEX($D$184:$AD$184,($D$172-5)))</f>
        <v>0</v>
      </c>
      <c r="CM195" s="5">
        <f>IF(($D$172-4)&lt;1,NA(),INDEX($D$184:$AD$184,($D$172-4)))</f>
        <v>0</v>
      </c>
      <c r="CN195" s="5">
        <f>IF(($D$172-3)&lt;1,NA(),INDEX($D$184:$AD$184,($D$172-3)))</f>
        <v>0</v>
      </c>
      <c r="CO195" s="5">
        <f>IF(($D$172-2)&lt;1,NA(),INDEX($D$184:$AD$184,($D$172-2)))</f>
        <v>0</v>
      </c>
      <c r="CP195" s="5">
        <f>IF(($D$172-1)&lt;1,NA(),INDEX($D$184:$AD$184,($D$172-1)))</f>
        <v>0</v>
      </c>
      <c r="CQ195" s="5">
        <f>IF(($D$172-0)&lt;1,NA(),INDEX($D$184:$AD$184,($D$172-0)))</f>
        <v>0</v>
      </c>
    </row>
    <row r="196" spans="1:95">
      <c r="A196" s="11" t="s">
        <v>459</v>
      </c>
      <c r="B196" s="11" t="s">
        <v>460</v>
      </c>
      <c r="C196" s="3" t="s">
        <v>408</v>
      </c>
      <c r="BR196" s="5">
        <f>IF(($D$172-25)&lt;1,NA(),INDEX($D$186:$AD$186,($D$172-25)))</f>
        <v>0</v>
      </c>
      <c r="BS196" s="5">
        <f>IF(($D$172-24)&lt;1,NA(),INDEX($D$186:$AD$186,($D$172-24)))</f>
        <v>0</v>
      </c>
      <c r="BT196" s="5">
        <f>IF(($D$172-23)&lt;1,NA(),INDEX($D$186:$AD$186,($D$172-23)))</f>
        <v>0</v>
      </c>
      <c r="BU196" s="5">
        <f>IF(($D$172-22)&lt;1,NA(),INDEX($D$186:$AD$186,($D$172-22)))</f>
        <v>0</v>
      </c>
      <c r="BV196" s="5">
        <f>IF(($D$172-21)&lt;1,NA(),INDEX($D$186:$AD$186,($D$172-21)))</f>
        <v>0</v>
      </c>
      <c r="BW196" s="5">
        <f>IF(($D$172-20)&lt;1,NA(),INDEX($D$186:$AD$186,($D$172-20)))</f>
        <v>0</v>
      </c>
      <c r="BX196" s="5">
        <f>IF(($D$172-19)&lt;1,NA(),INDEX($D$186:$AD$186,($D$172-19)))</f>
        <v>0</v>
      </c>
      <c r="BY196" s="5">
        <f>IF(($D$172-18)&lt;1,NA(),INDEX($D$186:$AD$186,($D$172-18)))</f>
        <v>0</v>
      </c>
      <c r="BZ196" s="5">
        <f>IF(($D$172-17)&lt;1,NA(),INDEX($D$186:$AD$186,($D$172-17)))</f>
        <v>0</v>
      </c>
      <c r="CA196" s="5">
        <f>IF(($D$172-16)&lt;1,NA(),INDEX($D$186:$AD$186,($D$172-16)))</f>
        <v>0</v>
      </c>
      <c r="CB196" s="5">
        <f>IF(($D$172-15)&lt;1,NA(),INDEX($D$186:$AD$186,($D$172-15)))</f>
        <v>0</v>
      </c>
      <c r="CC196" s="5">
        <f>IF(($D$172-14)&lt;1,NA(),INDEX($D$186:$AD$186,($D$172-14)))</f>
        <v>0</v>
      </c>
      <c r="CD196" s="5">
        <f>IF(($D$172-13)&lt;1,NA(),INDEX($D$186:$AD$186,($D$172-13)))</f>
        <v>0</v>
      </c>
      <c r="CE196" s="5">
        <f>IF(($D$172-12)&lt;1,NA(),INDEX($D$186:$AD$186,($D$172-12)))</f>
        <v>0</v>
      </c>
      <c r="CF196" s="5">
        <f>IF(($D$172-11)&lt;1,NA(),INDEX($D$186:$AD$186,($D$172-11)))</f>
        <v>0</v>
      </c>
      <c r="CG196" s="5">
        <f>IF(($D$172-10)&lt;1,NA(),INDEX($D$186:$AD$186,($D$172-10)))</f>
        <v>0</v>
      </c>
      <c r="CH196" s="5">
        <f>IF(($D$172-9)&lt;1,NA(),INDEX($D$186:$AD$186,($D$172-9)))</f>
        <v>0</v>
      </c>
      <c r="CI196" s="5">
        <f>IF(($D$172-8)&lt;1,NA(),INDEX($D$186:$AD$186,($D$172-8)))</f>
        <v>0</v>
      </c>
      <c r="CJ196" s="5">
        <f>IF(($D$172-7)&lt;1,NA(),INDEX($D$186:$AD$186,($D$172-7)))</f>
        <v>0</v>
      </c>
      <c r="CK196" s="5">
        <f>IF(($D$172-6)&lt;1,NA(),INDEX($D$186:$AD$186,($D$172-6)))</f>
        <v>0</v>
      </c>
      <c r="CL196" s="5">
        <f>IF(($D$172-5)&lt;1,NA(),INDEX($D$186:$AD$186,($D$172-5)))</f>
        <v>0</v>
      </c>
      <c r="CM196" s="5">
        <f>IF(($D$172-4)&lt;1,NA(),INDEX($D$186:$AD$186,($D$172-4)))</f>
        <v>0</v>
      </c>
      <c r="CN196" s="5">
        <f>IF(($D$172-3)&lt;1,NA(),INDEX($D$186:$AD$186,($D$172-3)))</f>
        <v>0</v>
      </c>
      <c r="CO196" s="5">
        <f>IF(($D$172-2)&lt;1,NA(),INDEX($D$186:$AD$186,($D$172-2)))</f>
        <v>0</v>
      </c>
      <c r="CP196" s="5">
        <f>IF(($D$172-1)&lt;1,NA(),INDEX($D$186:$AD$186,($D$172-1)))</f>
        <v>0</v>
      </c>
      <c r="CQ196" s="5">
        <f>IF(($D$172-0)&lt;1,NA(),INDEX($D$186:$AD$186,($D$172-0)))</f>
        <v>0</v>
      </c>
    </row>
    <row r="197" spans="1:95">
      <c r="A197" s="11" t="s">
        <v>461</v>
      </c>
      <c r="B197" s="11" t="s">
        <v>462</v>
      </c>
      <c r="C197" s="3" t="s">
        <v>408</v>
      </c>
      <c r="BR197" s="5">
        <f>IF(($D$172-25)&lt;1,NA(),INDEX($D$188:$AD$188,($D$172-25)))</f>
        <v>0</v>
      </c>
      <c r="BS197" s="5">
        <f>IF(($D$172-24)&lt;1,NA(),INDEX($D$188:$AD$188,($D$172-24)))</f>
        <v>0</v>
      </c>
      <c r="BT197" s="5">
        <f>IF(($D$172-23)&lt;1,NA(),INDEX($D$188:$AD$188,($D$172-23)))</f>
        <v>0</v>
      </c>
      <c r="BU197" s="5">
        <f>IF(($D$172-22)&lt;1,NA(),INDEX($D$188:$AD$188,($D$172-22)))</f>
        <v>0</v>
      </c>
      <c r="BV197" s="5">
        <f>IF(($D$172-21)&lt;1,NA(),INDEX($D$188:$AD$188,($D$172-21)))</f>
        <v>0</v>
      </c>
      <c r="BW197" s="5">
        <f>IF(($D$172-20)&lt;1,NA(),INDEX($D$188:$AD$188,($D$172-20)))</f>
        <v>0</v>
      </c>
      <c r="BX197" s="5">
        <f>IF(($D$172-19)&lt;1,NA(),INDEX($D$188:$AD$188,($D$172-19)))</f>
        <v>0</v>
      </c>
      <c r="BY197" s="5">
        <f>IF(($D$172-18)&lt;1,NA(),INDEX($D$188:$AD$188,($D$172-18)))</f>
        <v>0</v>
      </c>
      <c r="BZ197" s="5">
        <f>IF(($D$172-17)&lt;1,NA(),INDEX($D$188:$AD$188,($D$172-17)))</f>
        <v>0</v>
      </c>
      <c r="CA197" s="5">
        <f>IF(($D$172-16)&lt;1,NA(),INDEX($D$188:$AD$188,($D$172-16)))</f>
        <v>0</v>
      </c>
      <c r="CB197" s="5">
        <f>IF(($D$172-15)&lt;1,NA(),INDEX($D$188:$AD$188,($D$172-15)))</f>
        <v>0</v>
      </c>
      <c r="CC197" s="5">
        <f>IF(($D$172-14)&lt;1,NA(),INDEX($D$188:$AD$188,($D$172-14)))</f>
        <v>0</v>
      </c>
      <c r="CD197" s="5">
        <f>IF(($D$172-13)&lt;1,NA(),INDEX($D$188:$AD$188,($D$172-13)))</f>
        <v>0</v>
      </c>
      <c r="CE197" s="5">
        <f>IF(($D$172-12)&lt;1,NA(),INDEX($D$188:$AD$188,($D$172-12)))</f>
        <v>0</v>
      </c>
      <c r="CF197" s="5">
        <f>IF(($D$172-11)&lt;1,NA(),INDEX($D$188:$AD$188,($D$172-11)))</f>
        <v>0</v>
      </c>
      <c r="CG197" s="5">
        <f>IF(($D$172-10)&lt;1,NA(),INDEX($D$188:$AD$188,($D$172-10)))</f>
        <v>0</v>
      </c>
      <c r="CH197" s="5">
        <f>IF(($D$172-9)&lt;1,NA(),INDEX($D$188:$AD$188,($D$172-9)))</f>
        <v>0</v>
      </c>
      <c r="CI197" s="5">
        <f>IF(($D$172-8)&lt;1,NA(),INDEX($D$188:$AD$188,($D$172-8)))</f>
        <v>0</v>
      </c>
      <c r="CJ197" s="5">
        <f>IF(($D$172-7)&lt;1,NA(),INDEX($D$188:$AD$188,($D$172-7)))</f>
        <v>0</v>
      </c>
      <c r="CK197" s="5">
        <f>IF(($D$172-6)&lt;1,NA(),INDEX($D$188:$AD$188,($D$172-6)))</f>
        <v>0</v>
      </c>
      <c r="CL197" s="5">
        <f>IF(($D$172-5)&lt;1,NA(),INDEX($D$188:$AD$188,($D$172-5)))</f>
        <v>0</v>
      </c>
      <c r="CM197" s="5">
        <f>IF(($D$172-4)&lt;1,NA(),INDEX($D$188:$AD$188,($D$172-4)))</f>
        <v>0</v>
      </c>
      <c r="CN197" s="5">
        <f>IF(($D$172-3)&lt;1,NA(),INDEX($D$188:$AD$188,($D$172-3)))</f>
        <v>0</v>
      </c>
      <c r="CO197" s="5">
        <f>IF(($D$172-2)&lt;1,NA(),INDEX($D$188:$AD$188,($D$172-2)))</f>
        <v>0</v>
      </c>
      <c r="CP197" s="5">
        <f>IF(($D$172-1)&lt;1,NA(),INDEX($D$188:$AD$188,($D$172-1)))</f>
        <v>0</v>
      </c>
      <c r="CQ197" s="5">
        <f>IF(($D$172-0)&lt;1,NA(),INDEX($D$188:$AD$188,($D$172-0)))</f>
        <v>0</v>
      </c>
    </row>
    <row r="198" spans="1:95">
      <c r="A198" s="11" t="s">
        <v>463</v>
      </c>
      <c r="B198" s="11" t="s">
        <v>464</v>
      </c>
      <c r="C198" s="3" t="s">
        <v>408</v>
      </c>
      <c r="BR198" s="11">
        <f>IF(($D$172-25)&lt;1,"",INDEX($D$185:$AD$185,($D$172-25)))</f>
        <v>0</v>
      </c>
      <c r="BS198" s="11">
        <f>IF(($D$172-24)&lt;1,"",INDEX($D$185:$AD$185,($D$172-24)))</f>
        <v>0</v>
      </c>
      <c r="BT198" s="11">
        <f>IF(($D$172-23)&lt;1,"",INDEX($D$185:$AD$185,($D$172-23)))</f>
        <v>0</v>
      </c>
      <c r="BU198" s="11">
        <f>IF(($D$172-22)&lt;1,"",INDEX($D$185:$AD$185,($D$172-22)))</f>
        <v>0</v>
      </c>
      <c r="BV198" s="11">
        <f>IF(($D$172-21)&lt;1,"",INDEX($D$185:$AD$185,($D$172-21)))</f>
        <v>0</v>
      </c>
      <c r="BW198" s="11">
        <f>IF(($D$172-20)&lt;1,"",INDEX($D$185:$AD$185,($D$172-20)))</f>
        <v>0</v>
      </c>
      <c r="BX198" s="11">
        <f>IF(($D$172-19)&lt;1,"",INDEX($D$185:$AD$185,($D$172-19)))</f>
        <v>0</v>
      </c>
      <c r="BY198" s="11">
        <f>IF(($D$172-18)&lt;1,"",INDEX($D$185:$AD$185,($D$172-18)))</f>
        <v>0</v>
      </c>
      <c r="BZ198" s="11">
        <f>IF(($D$172-17)&lt;1,"",INDEX($D$185:$AD$185,($D$172-17)))</f>
        <v>0</v>
      </c>
      <c r="CA198" s="11">
        <f>IF(($D$172-16)&lt;1,"",INDEX($D$185:$AD$185,($D$172-16)))</f>
        <v>0</v>
      </c>
      <c r="CB198" s="11">
        <f>IF(($D$172-15)&lt;1,"",INDEX($D$185:$AD$185,($D$172-15)))</f>
        <v>0</v>
      </c>
      <c r="CC198" s="11">
        <f>IF(($D$172-14)&lt;1,"",INDEX($D$185:$AD$185,($D$172-14)))</f>
        <v>0</v>
      </c>
      <c r="CD198" s="11">
        <f>IF(($D$172-13)&lt;1,"",INDEX($D$185:$AD$185,($D$172-13)))</f>
        <v>0</v>
      </c>
      <c r="CE198" s="11">
        <f>IF(($D$172-12)&lt;1,"",INDEX($D$185:$AD$185,($D$172-12)))</f>
        <v>0</v>
      </c>
      <c r="CF198" s="11">
        <f>IF(($D$172-11)&lt;1,"",INDEX($D$185:$AD$185,($D$172-11)))</f>
        <v>0</v>
      </c>
      <c r="CG198" s="11">
        <f>IF(($D$172-10)&lt;1,"",INDEX($D$185:$AD$185,($D$172-10)))</f>
        <v>0</v>
      </c>
      <c r="CH198" s="11">
        <f>IF(($D$172-9)&lt;1,"",INDEX($D$185:$AD$185,($D$172-9)))</f>
        <v>0</v>
      </c>
      <c r="CI198" s="11">
        <f>IF(($D$172-8)&lt;1,"",INDEX($D$185:$AD$185,($D$172-8)))</f>
        <v>0</v>
      </c>
      <c r="CJ198" s="11">
        <f>IF(($D$172-7)&lt;1,"",INDEX($D$185:$AD$185,($D$172-7)))</f>
        <v>0</v>
      </c>
      <c r="CK198" s="11">
        <f>IF(($D$172-6)&lt;1,"",INDEX($D$185:$AD$185,($D$172-6)))</f>
        <v>0</v>
      </c>
      <c r="CL198" s="11">
        <f>IF(($D$172-5)&lt;1,"",INDEX($D$185:$AD$185,($D$172-5)))</f>
        <v>0</v>
      </c>
      <c r="CM198" s="11">
        <f>IF(($D$172-4)&lt;1,"",INDEX($D$185:$AD$185,($D$172-4)))</f>
        <v>0</v>
      </c>
      <c r="CN198" s="11">
        <f>IF(($D$172-3)&lt;1,"",INDEX($D$185:$AD$185,($D$172-3)))</f>
        <v>0</v>
      </c>
      <c r="CO198" s="11">
        <f>IF(($D$172-2)&lt;1,"",INDEX($D$185:$AD$185,($D$172-2)))</f>
        <v>0</v>
      </c>
      <c r="CP198" s="11">
        <f>IF(($D$172-1)&lt;1,"",INDEX($D$185:$AD$185,($D$172-1)))</f>
        <v>0</v>
      </c>
      <c r="CQ198" s="11">
        <f>IF(($D$172-0)&lt;1,"",INDEX($D$185:$AD$185,($D$172-0)))</f>
        <v>0</v>
      </c>
    </row>
    <row r="199" spans="1:95">
      <c r="A199" s="11" t="s">
        <v>465</v>
      </c>
      <c r="B199" s="11" t="s">
        <v>466</v>
      </c>
      <c r="C199" s="3" t="s">
        <v>408</v>
      </c>
      <c r="BR199" s="5">
        <f>IF(($D$172-25)&lt;1,NA(),INDEX($D$189:$AD$189,($D$172-25)))</f>
        <v>0</v>
      </c>
      <c r="BS199" s="5">
        <f>IF(($D$172-24)&lt;1,NA(),INDEX($D$189:$AD$189,($D$172-24)))</f>
        <v>0</v>
      </c>
      <c r="BT199" s="5">
        <f>IF(($D$172-23)&lt;1,NA(),INDEX($D$189:$AD$189,($D$172-23)))</f>
        <v>0</v>
      </c>
      <c r="BU199" s="5">
        <f>IF(($D$172-22)&lt;1,NA(),INDEX($D$189:$AD$189,($D$172-22)))</f>
        <v>0</v>
      </c>
      <c r="BV199" s="5">
        <f>IF(($D$172-21)&lt;1,NA(),INDEX($D$189:$AD$189,($D$172-21)))</f>
        <v>0</v>
      </c>
      <c r="BW199" s="5">
        <f>IF(($D$172-20)&lt;1,NA(),INDEX($D$189:$AD$189,($D$172-20)))</f>
        <v>0</v>
      </c>
      <c r="BX199" s="5">
        <f>IF(($D$172-19)&lt;1,NA(),INDEX($D$189:$AD$189,($D$172-19)))</f>
        <v>0</v>
      </c>
      <c r="BY199" s="5">
        <f>IF(($D$172-18)&lt;1,NA(),INDEX($D$189:$AD$189,($D$172-18)))</f>
        <v>0</v>
      </c>
      <c r="BZ199" s="5">
        <f>IF(($D$172-17)&lt;1,NA(),INDEX($D$189:$AD$189,($D$172-17)))</f>
        <v>0</v>
      </c>
      <c r="CA199" s="5">
        <f>IF(($D$172-16)&lt;1,NA(),INDEX($D$189:$AD$189,($D$172-16)))</f>
        <v>0</v>
      </c>
      <c r="CB199" s="5">
        <f>IF(($D$172-15)&lt;1,NA(),INDEX($D$189:$AD$189,($D$172-15)))</f>
        <v>0</v>
      </c>
      <c r="CC199" s="5">
        <f>IF(($D$172-14)&lt;1,NA(),INDEX($D$189:$AD$189,($D$172-14)))</f>
        <v>0</v>
      </c>
      <c r="CD199" s="5">
        <f>IF(($D$172-13)&lt;1,NA(),INDEX($D$189:$AD$189,($D$172-13)))</f>
        <v>0</v>
      </c>
      <c r="CE199" s="5">
        <f>IF(($D$172-12)&lt;1,NA(),INDEX($D$189:$AD$189,($D$172-12)))</f>
        <v>0</v>
      </c>
      <c r="CF199" s="5">
        <f>IF(($D$172-11)&lt;1,NA(),INDEX($D$189:$AD$189,($D$172-11)))</f>
        <v>0</v>
      </c>
      <c r="CG199" s="5">
        <f>IF(($D$172-10)&lt;1,NA(),INDEX($D$189:$AD$189,($D$172-10)))</f>
        <v>0</v>
      </c>
      <c r="CH199" s="5">
        <f>IF(($D$172-9)&lt;1,NA(),INDEX($D$189:$AD$189,($D$172-9)))</f>
        <v>0</v>
      </c>
      <c r="CI199" s="5">
        <f>IF(($D$172-8)&lt;1,NA(),INDEX($D$189:$AD$189,($D$172-8)))</f>
        <v>0</v>
      </c>
      <c r="CJ199" s="5">
        <f>IF(($D$172-7)&lt;1,NA(),INDEX($D$189:$AD$189,($D$172-7)))</f>
        <v>0</v>
      </c>
      <c r="CK199" s="5">
        <f>IF(($D$172-6)&lt;1,NA(),INDEX($D$189:$AD$189,($D$172-6)))</f>
        <v>0</v>
      </c>
      <c r="CL199" s="5">
        <f>IF(($D$172-5)&lt;1,NA(),INDEX($D$189:$AD$189,($D$172-5)))</f>
        <v>0</v>
      </c>
      <c r="CM199" s="5">
        <f>IF(($D$172-4)&lt;1,NA(),INDEX($D$189:$AD$189,($D$172-4)))</f>
        <v>0</v>
      </c>
      <c r="CN199" s="5">
        <f>IF(($D$172-3)&lt;1,NA(),INDEX($D$189:$AD$189,($D$172-3)))</f>
        <v>0</v>
      </c>
      <c r="CO199" s="5">
        <f>IF(($D$172-2)&lt;1,NA(),INDEX($D$189:$AD$189,($D$172-2)))</f>
        <v>0</v>
      </c>
      <c r="CP199" s="5">
        <f>IF(($D$172-1)&lt;1,NA(),INDEX($D$189:$AD$189,($D$172-1)))</f>
        <v>0</v>
      </c>
      <c r="CQ199" s="5">
        <f>IF(($D$172-0)&lt;1,NA(),INDEX($D$189:$AD$189,($D$172-0)))</f>
        <v>0</v>
      </c>
    </row>
    <row r="200" spans="1:95">
      <c r="A200" s="11" t="s">
        <v>467</v>
      </c>
      <c r="B200" s="11" t="s">
        <v>468</v>
      </c>
      <c r="C200" s="3" t="s">
        <v>408</v>
      </c>
      <c r="BR200" s="11">
        <f>IF(($D$172-25)&lt;1,"",INDEX($D$187:$AD$187,($D$172-25)))</f>
        <v>0</v>
      </c>
      <c r="BS200" s="11">
        <f>IF(($D$172-24)&lt;1,"",INDEX($D$187:$AD$187,($D$172-24)))</f>
        <v>0</v>
      </c>
      <c r="BT200" s="11">
        <f>IF(($D$172-23)&lt;1,"",INDEX($D$187:$AD$187,($D$172-23)))</f>
        <v>0</v>
      </c>
      <c r="BU200" s="11">
        <f>IF(($D$172-22)&lt;1,"",INDEX($D$187:$AD$187,($D$172-22)))</f>
        <v>0</v>
      </c>
      <c r="BV200" s="11">
        <f>IF(($D$172-21)&lt;1,"",INDEX($D$187:$AD$187,($D$172-21)))</f>
        <v>0</v>
      </c>
      <c r="BW200" s="11">
        <f>IF(($D$172-20)&lt;1,"",INDEX($D$187:$AD$187,($D$172-20)))</f>
        <v>0</v>
      </c>
      <c r="BX200" s="11">
        <f>IF(($D$172-19)&lt;1,"",INDEX($D$187:$AD$187,($D$172-19)))</f>
        <v>0</v>
      </c>
      <c r="BY200" s="11">
        <f>IF(($D$172-18)&lt;1,"",INDEX($D$187:$AD$187,($D$172-18)))</f>
        <v>0</v>
      </c>
      <c r="BZ200" s="11">
        <f>IF(($D$172-17)&lt;1,"",INDEX($D$187:$AD$187,($D$172-17)))</f>
        <v>0</v>
      </c>
      <c r="CA200" s="11">
        <f>IF(($D$172-16)&lt;1,"",INDEX($D$187:$AD$187,($D$172-16)))</f>
        <v>0</v>
      </c>
      <c r="CB200" s="11">
        <f>IF(($D$172-15)&lt;1,"",INDEX($D$187:$AD$187,($D$172-15)))</f>
        <v>0</v>
      </c>
      <c r="CC200" s="11">
        <f>IF(($D$172-14)&lt;1,"",INDEX($D$187:$AD$187,($D$172-14)))</f>
        <v>0</v>
      </c>
      <c r="CD200" s="11">
        <f>IF(($D$172-13)&lt;1,"",INDEX($D$187:$AD$187,($D$172-13)))</f>
        <v>0</v>
      </c>
      <c r="CE200" s="11">
        <f>IF(($D$172-12)&lt;1,"",INDEX($D$187:$AD$187,($D$172-12)))</f>
        <v>0</v>
      </c>
      <c r="CF200" s="11">
        <f>IF(($D$172-11)&lt;1,"",INDEX($D$187:$AD$187,($D$172-11)))</f>
        <v>0</v>
      </c>
      <c r="CG200" s="11">
        <f>IF(($D$172-10)&lt;1,"",INDEX($D$187:$AD$187,($D$172-10)))</f>
        <v>0</v>
      </c>
      <c r="CH200" s="11">
        <f>IF(($D$172-9)&lt;1,"",INDEX($D$187:$AD$187,($D$172-9)))</f>
        <v>0</v>
      </c>
      <c r="CI200" s="11">
        <f>IF(($D$172-8)&lt;1,"",INDEX($D$187:$AD$187,($D$172-8)))</f>
        <v>0</v>
      </c>
      <c r="CJ200" s="11">
        <f>IF(($D$172-7)&lt;1,"",INDEX($D$187:$AD$187,($D$172-7)))</f>
        <v>0</v>
      </c>
      <c r="CK200" s="11">
        <f>IF(($D$172-6)&lt;1,"",INDEX($D$187:$AD$187,($D$172-6)))</f>
        <v>0</v>
      </c>
      <c r="CL200" s="11">
        <f>IF(($D$172-5)&lt;1,"",INDEX($D$187:$AD$187,($D$172-5)))</f>
        <v>0</v>
      </c>
      <c r="CM200" s="11">
        <f>IF(($D$172-4)&lt;1,"",INDEX($D$187:$AD$187,($D$172-4)))</f>
        <v>0</v>
      </c>
      <c r="CN200" s="11">
        <f>IF(($D$172-3)&lt;1,"",INDEX($D$187:$AD$187,($D$172-3)))</f>
        <v>0</v>
      </c>
      <c r="CO200" s="11">
        <f>IF(($D$172-2)&lt;1,"",INDEX($D$187:$AD$187,($D$172-2)))</f>
        <v>0</v>
      </c>
      <c r="CP200" s="11">
        <f>IF(($D$172-1)&lt;1,"",INDEX($D$187:$AD$187,($D$172-1)))</f>
        <v>0</v>
      </c>
      <c r="CQ200" s="11">
        <f>IF(($D$172-0)&lt;1,"",INDEX($D$187:$AD$187,($D$172-0)))</f>
        <v>0</v>
      </c>
    </row>
    <row r="201" spans="1:95">
      <c r="A201" s="11" t="s">
        <v>469</v>
      </c>
      <c r="B201" s="11" t="s">
        <v>470</v>
      </c>
      <c r="C201" s="3" t="s">
        <v>408</v>
      </c>
      <c r="BR201" s="5">
        <f>IF(($D$172-25)&lt;1,NA(),INDEX($D$191:$AD$191,($D$172-25)))</f>
        <v>0</v>
      </c>
      <c r="BS201" s="5">
        <f>IF(($D$172-24)&lt;1,NA(),INDEX($D$191:$AD$191,($D$172-24)))</f>
        <v>0</v>
      </c>
      <c r="BT201" s="5">
        <f>IF(($D$172-23)&lt;1,NA(),INDEX($D$191:$AD$191,($D$172-23)))</f>
        <v>0</v>
      </c>
      <c r="BU201" s="5">
        <f>IF(($D$172-22)&lt;1,NA(),INDEX($D$191:$AD$191,($D$172-22)))</f>
        <v>0</v>
      </c>
      <c r="BV201" s="5">
        <f>IF(($D$172-21)&lt;1,NA(),INDEX($D$191:$AD$191,($D$172-21)))</f>
        <v>0</v>
      </c>
      <c r="BW201" s="5">
        <f>IF(($D$172-20)&lt;1,NA(),INDEX($D$191:$AD$191,($D$172-20)))</f>
        <v>0</v>
      </c>
      <c r="BX201" s="5">
        <f>IF(($D$172-19)&lt;1,NA(),INDEX($D$191:$AD$191,($D$172-19)))</f>
        <v>0</v>
      </c>
      <c r="BY201" s="5">
        <f>IF(($D$172-18)&lt;1,NA(),INDEX($D$191:$AD$191,($D$172-18)))</f>
        <v>0</v>
      </c>
      <c r="BZ201" s="5">
        <f>IF(($D$172-17)&lt;1,NA(),INDEX($D$191:$AD$191,($D$172-17)))</f>
        <v>0</v>
      </c>
      <c r="CA201" s="5">
        <f>IF(($D$172-16)&lt;1,NA(),INDEX($D$191:$AD$191,($D$172-16)))</f>
        <v>0</v>
      </c>
      <c r="CB201" s="5">
        <f>IF(($D$172-15)&lt;1,NA(),INDEX($D$191:$AD$191,($D$172-15)))</f>
        <v>0</v>
      </c>
      <c r="CC201" s="5">
        <f>IF(($D$172-14)&lt;1,NA(),INDEX($D$191:$AD$191,($D$172-14)))</f>
        <v>0</v>
      </c>
      <c r="CD201" s="5">
        <f>IF(($D$172-13)&lt;1,NA(),INDEX($D$191:$AD$191,($D$172-13)))</f>
        <v>0</v>
      </c>
      <c r="CE201" s="5">
        <f>IF(($D$172-12)&lt;1,NA(),INDEX($D$191:$AD$191,($D$172-12)))</f>
        <v>0</v>
      </c>
      <c r="CF201" s="5">
        <f>IF(($D$172-11)&lt;1,NA(),INDEX($D$191:$AD$191,($D$172-11)))</f>
        <v>0</v>
      </c>
      <c r="CG201" s="5">
        <f>IF(($D$172-10)&lt;1,NA(),INDEX($D$191:$AD$191,($D$172-10)))</f>
        <v>0</v>
      </c>
      <c r="CH201" s="5">
        <f>IF(($D$172-9)&lt;1,NA(),INDEX($D$191:$AD$191,($D$172-9)))</f>
        <v>0</v>
      </c>
      <c r="CI201" s="5">
        <f>IF(($D$172-8)&lt;1,NA(),INDEX($D$191:$AD$191,($D$172-8)))</f>
        <v>0</v>
      </c>
      <c r="CJ201" s="5">
        <f>IF(($D$172-7)&lt;1,NA(),INDEX($D$191:$AD$191,($D$172-7)))</f>
        <v>0</v>
      </c>
      <c r="CK201" s="5">
        <f>IF(($D$172-6)&lt;1,NA(),INDEX($D$191:$AD$191,($D$172-6)))</f>
        <v>0</v>
      </c>
      <c r="CL201" s="5">
        <f>IF(($D$172-5)&lt;1,NA(),INDEX($D$191:$AD$191,($D$172-5)))</f>
        <v>0</v>
      </c>
      <c r="CM201" s="5">
        <f>IF(($D$172-4)&lt;1,NA(),INDEX($D$191:$AD$191,($D$172-4)))</f>
        <v>0</v>
      </c>
      <c r="CN201" s="5">
        <f>IF(($D$172-3)&lt;1,NA(),INDEX($D$191:$AD$191,($D$172-3)))</f>
        <v>0</v>
      </c>
      <c r="CO201" s="5">
        <f>IF(($D$172-2)&lt;1,NA(),INDEX($D$191:$AD$191,($D$172-2)))</f>
        <v>0</v>
      </c>
      <c r="CP201" s="5">
        <f>IF(($D$172-1)&lt;1,NA(),INDEX($D$191:$AD$191,($D$172-1)))</f>
        <v>0</v>
      </c>
      <c r="CQ201" s="5">
        <f>IF(($D$172-0)&lt;1,NA(),INDEX($D$191:$AD$191,($D$172-0)))</f>
        <v>0</v>
      </c>
    </row>
    <row r="202" spans="1:95">
      <c r="A202" s="11" t="s">
        <v>471</v>
      </c>
      <c r="B202" s="11" t="s">
        <v>472</v>
      </c>
      <c r="C202" s="3" t="s">
        <v>408</v>
      </c>
      <c r="BR202" s="5">
        <f>IF(($D$172-25)&lt;1,NA(),INDEX($D$192:$AD$192,($D$172-25)))</f>
        <v>0</v>
      </c>
      <c r="BS202" s="5">
        <f>IF(($D$172-24)&lt;1,NA(),INDEX($D$192:$AD$192,($D$172-24)))</f>
        <v>0</v>
      </c>
      <c r="BT202" s="5">
        <f>IF(($D$172-23)&lt;1,NA(),INDEX($D$192:$AD$192,($D$172-23)))</f>
        <v>0</v>
      </c>
      <c r="BU202" s="5">
        <f>IF(($D$172-22)&lt;1,NA(),INDEX($D$192:$AD$192,($D$172-22)))</f>
        <v>0</v>
      </c>
      <c r="BV202" s="5">
        <f>IF(($D$172-21)&lt;1,NA(),INDEX($D$192:$AD$192,($D$172-21)))</f>
        <v>0</v>
      </c>
      <c r="BW202" s="5">
        <f>IF(($D$172-20)&lt;1,NA(),INDEX($D$192:$AD$192,($D$172-20)))</f>
        <v>0</v>
      </c>
      <c r="BX202" s="5">
        <f>IF(($D$172-19)&lt;1,NA(),INDEX($D$192:$AD$192,($D$172-19)))</f>
        <v>0</v>
      </c>
      <c r="BY202" s="5">
        <f>IF(($D$172-18)&lt;1,NA(),INDEX($D$192:$AD$192,($D$172-18)))</f>
        <v>0</v>
      </c>
      <c r="BZ202" s="5">
        <f>IF(($D$172-17)&lt;1,NA(),INDEX($D$192:$AD$192,($D$172-17)))</f>
        <v>0</v>
      </c>
      <c r="CA202" s="5">
        <f>IF(($D$172-16)&lt;1,NA(),INDEX($D$192:$AD$192,($D$172-16)))</f>
        <v>0</v>
      </c>
      <c r="CB202" s="5">
        <f>IF(($D$172-15)&lt;1,NA(),INDEX($D$192:$AD$192,($D$172-15)))</f>
        <v>0</v>
      </c>
      <c r="CC202" s="5">
        <f>IF(($D$172-14)&lt;1,NA(),INDEX($D$192:$AD$192,($D$172-14)))</f>
        <v>0</v>
      </c>
      <c r="CD202" s="5">
        <f>IF(($D$172-13)&lt;1,NA(),INDEX($D$192:$AD$192,($D$172-13)))</f>
        <v>0</v>
      </c>
      <c r="CE202" s="5">
        <f>IF(($D$172-12)&lt;1,NA(),INDEX($D$192:$AD$192,($D$172-12)))</f>
        <v>0</v>
      </c>
      <c r="CF202" s="5">
        <f>IF(($D$172-11)&lt;1,NA(),INDEX($D$192:$AD$192,($D$172-11)))</f>
        <v>0</v>
      </c>
      <c r="CG202" s="5">
        <f>IF(($D$172-10)&lt;1,NA(),INDEX($D$192:$AD$192,($D$172-10)))</f>
        <v>0</v>
      </c>
      <c r="CH202" s="5">
        <f>IF(($D$172-9)&lt;1,NA(),INDEX($D$192:$AD$192,($D$172-9)))</f>
        <v>0</v>
      </c>
      <c r="CI202" s="5">
        <f>IF(($D$172-8)&lt;1,NA(),INDEX($D$192:$AD$192,($D$172-8)))</f>
        <v>0</v>
      </c>
      <c r="CJ202" s="5">
        <f>IF(($D$172-7)&lt;1,NA(),INDEX($D$192:$AD$192,($D$172-7)))</f>
        <v>0</v>
      </c>
      <c r="CK202" s="5">
        <f>IF(($D$172-6)&lt;1,NA(),INDEX($D$192:$AD$192,($D$172-6)))</f>
        <v>0</v>
      </c>
      <c r="CL202" s="5">
        <f>IF(($D$172-5)&lt;1,NA(),INDEX($D$192:$AD$192,($D$172-5)))</f>
        <v>0</v>
      </c>
      <c r="CM202" s="5">
        <f>IF(($D$172-4)&lt;1,NA(),INDEX($D$192:$AD$192,($D$172-4)))</f>
        <v>0</v>
      </c>
      <c r="CN202" s="5">
        <f>IF(($D$172-3)&lt;1,NA(),INDEX($D$192:$AD$192,($D$172-3)))</f>
        <v>0</v>
      </c>
      <c r="CO202" s="5">
        <f>IF(($D$172-2)&lt;1,NA(),INDEX($D$192:$AD$192,($D$172-2)))</f>
        <v>0</v>
      </c>
      <c r="CP202" s="5">
        <f>IF(($D$172-1)&lt;1,NA(),INDEX($D$192:$AD$192,($D$172-1)))</f>
        <v>0</v>
      </c>
      <c r="CQ202" s="5">
        <f>IF(($D$172-0)&lt;1,NA(),INDEX($D$192:$AD$192,($D$172-0)))</f>
        <v>0</v>
      </c>
    </row>
    <row r="203" spans="1:95">
      <c r="A203" s="11" t="s">
        <v>473</v>
      </c>
      <c r="B203" s="11" t="s">
        <v>474</v>
      </c>
      <c r="C203" s="3" t="s">
        <v>408</v>
      </c>
      <c r="BR203" s="5">
        <f>IF(($D$172-25)&lt;1,NA(),INDEX($D$193:$AD$193,($D$172-25)))</f>
        <v>0</v>
      </c>
      <c r="BS203" s="5">
        <f>IF(($D$172-24)&lt;1,NA(),INDEX($D$193:$AD$193,($D$172-24)))</f>
        <v>0</v>
      </c>
      <c r="BT203" s="5">
        <f>IF(($D$172-23)&lt;1,NA(),INDEX($D$193:$AD$193,($D$172-23)))</f>
        <v>0</v>
      </c>
      <c r="BU203" s="5">
        <f>IF(($D$172-22)&lt;1,NA(),INDEX($D$193:$AD$193,($D$172-22)))</f>
        <v>0</v>
      </c>
      <c r="BV203" s="5">
        <f>IF(($D$172-21)&lt;1,NA(),INDEX($D$193:$AD$193,($D$172-21)))</f>
        <v>0</v>
      </c>
      <c r="BW203" s="5">
        <f>IF(($D$172-20)&lt;1,NA(),INDEX($D$193:$AD$193,($D$172-20)))</f>
        <v>0</v>
      </c>
      <c r="BX203" s="5">
        <f>IF(($D$172-19)&lt;1,NA(),INDEX($D$193:$AD$193,($D$172-19)))</f>
        <v>0</v>
      </c>
      <c r="BY203" s="5">
        <f>IF(($D$172-18)&lt;1,NA(),INDEX($D$193:$AD$193,($D$172-18)))</f>
        <v>0</v>
      </c>
      <c r="BZ203" s="5">
        <f>IF(($D$172-17)&lt;1,NA(),INDEX($D$193:$AD$193,($D$172-17)))</f>
        <v>0</v>
      </c>
      <c r="CA203" s="5">
        <f>IF(($D$172-16)&lt;1,NA(),INDEX($D$193:$AD$193,($D$172-16)))</f>
        <v>0</v>
      </c>
      <c r="CB203" s="5">
        <f>IF(($D$172-15)&lt;1,NA(),INDEX($D$193:$AD$193,($D$172-15)))</f>
        <v>0</v>
      </c>
      <c r="CC203" s="5">
        <f>IF(($D$172-14)&lt;1,NA(),INDEX($D$193:$AD$193,($D$172-14)))</f>
        <v>0</v>
      </c>
      <c r="CD203" s="5">
        <f>IF(($D$172-13)&lt;1,NA(),INDEX($D$193:$AD$193,($D$172-13)))</f>
        <v>0</v>
      </c>
      <c r="CE203" s="5">
        <f>IF(($D$172-12)&lt;1,NA(),INDEX($D$193:$AD$193,($D$172-12)))</f>
        <v>0</v>
      </c>
      <c r="CF203" s="5">
        <f>IF(($D$172-11)&lt;1,NA(),INDEX($D$193:$AD$193,($D$172-11)))</f>
        <v>0</v>
      </c>
      <c r="CG203" s="5">
        <f>IF(($D$172-10)&lt;1,NA(),INDEX($D$193:$AD$193,($D$172-10)))</f>
        <v>0</v>
      </c>
      <c r="CH203" s="5">
        <f>IF(($D$172-9)&lt;1,NA(),INDEX($D$193:$AD$193,($D$172-9)))</f>
        <v>0</v>
      </c>
      <c r="CI203" s="5">
        <f>IF(($D$172-8)&lt;1,NA(),INDEX($D$193:$AD$193,($D$172-8)))</f>
        <v>0</v>
      </c>
      <c r="CJ203" s="5">
        <f>IF(($D$172-7)&lt;1,NA(),INDEX($D$193:$AD$193,($D$172-7)))</f>
        <v>0</v>
      </c>
      <c r="CK203" s="5">
        <f>IF(($D$172-6)&lt;1,NA(),INDEX($D$193:$AD$193,($D$172-6)))</f>
        <v>0</v>
      </c>
      <c r="CL203" s="5">
        <f>IF(($D$172-5)&lt;1,NA(),INDEX($D$193:$AD$193,($D$172-5)))</f>
        <v>0</v>
      </c>
      <c r="CM203" s="5">
        <f>IF(($D$172-4)&lt;1,NA(),INDEX($D$193:$AD$193,($D$172-4)))</f>
        <v>0</v>
      </c>
      <c r="CN203" s="5">
        <f>IF(($D$172-3)&lt;1,NA(),INDEX($D$193:$AD$193,($D$172-3)))</f>
        <v>0</v>
      </c>
      <c r="CO203" s="5">
        <f>IF(($D$172-2)&lt;1,NA(),INDEX($D$193:$AD$193,($D$172-2)))</f>
        <v>0</v>
      </c>
      <c r="CP203" s="5">
        <f>IF(($D$172-1)&lt;1,NA(),INDEX($D$193:$AD$193,($D$172-1)))</f>
        <v>0</v>
      </c>
      <c r="CQ203" s="5">
        <f>IF(($D$172-0)&lt;1,NA(),INDEX($D$193:$AD$193,($D$172-0)))</f>
        <v>0</v>
      </c>
    </row>
    <row r="204" spans="1:95">
      <c r="A204" s="11" t="s">
        <v>475</v>
      </c>
      <c r="B204" s="11" t="s">
        <v>476</v>
      </c>
      <c r="C204" s="3" t="s">
        <v>408</v>
      </c>
      <c r="BR204" s="11">
        <f>IF(($D$172-25)&lt;1,"",INDEX($D$194:$AD$194,($D$172-25)))</f>
        <v>0</v>
      </c>
      <c r="BS204" s="11">
        <f>IF(($D$172-24)&lt;1,"",INDEX($D$194:$AD$194,($D$172-24)))</f>
        <v>0</v>
      </c>
      <c r="BT204" s="11">
        <f>IF(($D$172-23)&lt;1,"",INDEX($D$194:$AD$194,($D$172-23)))</f>
        <v>0</v>
      </c>
      <c r="BU204" s="11">
        <f>IF(($D$172-22)&lt;1,"",INDEX($D$194:$AD$194,($D$172-22)))</f>
        <v>0</v>
      </c>
      <c r="BV204" s="11">
        <f>IF(($D$172-21)&lt;1,"",INDEX($D$194:$AD$194,($D$172-21)))</f>
        <v>0</v>
      </c>
      <c r="BW204" s="11">
        <f>IF(($D$172-20)&lt;1,"",INDEX($D$194:$AD$194,($D$172-20)))</f>
        <v>0</v>
      </c>
      <c r="BX204" s="11">
        <f>IF(($D$172-19)&lt;1,"",INDEX($D$194:$AD$194,($D$172-19)))</f>
        <v>0</v>
      </c>
      <c r="BY204" s="11">
        <f>IF(($D$172-18)&lt;1,"",INDEX($D$194:$AD$194,($D$172-18)))</f>
        <v>0</v>
      </c>
      <c r="BZ204" s="11">
        <f>IF(($D$172-17)&lt;1,"",INDEX($D$194:$AD$194,($D$172-17)))</f>
        <v>0</v>
      </c>
      <c r="CA204" s="11">
        <f>IF(($D$172-16)&lt;1,"",INDEX($D$194:$AD$194,($D$172-16)))</f>
        <v>0</v>
      </c>
      <c r="CB204" s="11">
        <f>IF(($D$172-15)&lt;1,"",INDEX($D$194:$AD$194,($D$172-15)))</f>
        <v>0</v>
      </c>
      <c r="CC204" s="11">
        <f>IF(($D$172-14)&lt;1,"",INDEX($D$194:$AD$194,($D$172-14)))</f>
        <v>0</v>
      </c>
      <c r="CD204" s="11">
        <f>IF(($D$172-13)&lt;1,"",INDEX($D$194:$AD$194,($D$172-13)))</f>
        <v>0</v>
      </c>
      <c r="CE204" s="11">
        <f>IF(($D$172-12)&lt;1,"",INDEX($D$194:$AD$194,($D$172-12)))</f>
        <v>0</v>
      </c>
      <c r="CF204" s="11">
        <f>IF(($D$172-11)&lt;1,"",INDEX($D$194:$AD$194,($D$172-11)))</f>
        <v>0</v>
      </c>
      <c r="CG204" s="11">
        <f>IF(($D$172-10)&lt;1,"",INDEX($D$194:$AD$194,($D$172-10)))</f>
        <v>0</v>
      </c>
      <c r="CH204" s="11">
        <f>IF(($D$172-9)&lt;1,"",INDEX($D$194:$AD$194,($D$172-9)))</f>
        <v>0</v>
      </c>
      <c r="CI204" s="11">
        <f>IF(($D$172-8)&lt;1,"",INDEX($D$194:$AD$194,($D$172-8)))</f>
        <v>0</v>
      </c>
      <c r="CJ204" s="11">
        <f>IF(($D$172-7)&lt;1,"",INDEX($D$194:$AD$194,($D$172-7)))</f>
        <v>0</v>
      </c>
      <c r="CK204" s="11">
        <f>IF(($D$172-6)&lt;1,"",INDEX($D$194:$AD$194,($D$172-6)))</f>
        <v>0</v>
      </c>
      <c r="CL204" s="11">
        <f>IF(($D$172-5)&lt;1,"",INDEX($D$194:$AD$194,($D$172-5)))</f>
        <v>0</v>
      </c>
      <c r="CM204" s="11">
        <f>IF(($D$172-4)&lt;1,"",INDEX($D$194:$AD$194,($D$172-4)))</f>
        <v>0</v>
      </c>
      <c r="CN204" s="11">
        <f>IF(($D$172-3)&lt;1,"",INDEX($D$194:$AD$194,($D$172-3)))</f>
        <v>0</v>
      </c>
      <c r="CO204" s="11">
        <f>IF(($D$172-2)&lt;1,"",INDEX($D$194:$AD$194,($D$172-2)))</f>
        <v>0</v>
      </c>
      <c r="CP204" s="11">
        <f>IF(($D$172-1)&lt;1,"",INDEX($D$194:$AD$194,($D$172-1)))</f>
        <v>0</v>
      </c>
      <c r="CQ204" s="11">
        <f>IF(($D$172-0)&lt;1,"",INDEX($D$194:$AD$194,($D$172-0)))</f>
        <v>0</v>
      </c>
    </row>
    <row r="205" spans="1:95">
      <c r="A205" s="11" t="s">
        <v>477</v>
      </c>
      <c r="B205" s="11" t="s">
        <v>478</v>
      </c>
      <c r="C205" s="3" t="s">
        <v>137</v>
      </c>
      <c r="D205" s="5">
        <f>IF(MAX($D$206:$AD$206)=0,27,MAX($D$206:$AD$206))</f>
        <v>0</v>
      </c>
    </row>
    <row r="206" spans="1:95">
      <c r="A206" s="11" t="s">
        <v>479</v>
      </c>
      <c r="B206" s="11" t="s">
        <v>480</v>
      </c>
      <c r="C206" s="3" t="s">
        <v>137</v>
      </c>
      <c r="D206" s="5">
        <f>IF(OR(ISNUMBER(D12)),1,0)</f>
        <v>0</v>
      </c>
      <c r="E206" s="5">
        <f>IF(OR(ISNUMBER(E12)),2,0)</f>
        <v>0</v>
      </c>
      <c r="F206" s="5">
        <f>IF(OR(ISNUMBER(F12)),3,0)</f>
        <v>0</v>
      </c>
      <c r="G206" s="5">
        <f>IF(OR(ISNUMBER(G12)),4,0)</f>
        <v>0</v>
      </c>
      <c r="H206" s="5">
        <f>IF(OR(ISNUMBER(H12)),5,0)</f>
        <v>0</v>
      </c>
      <c r="I206" s="5">
        <f>IF(OR(ISNUMBER(I12)),6,0)</f>
        <v>0</v>
      </c>
      <c r="J206" s="5">
        <f>IF(OR(ISNUMBER(J12)),7,0)</f>
        <v>0</v>
      </c>
      <c r="K206" s="5">
        <f>IF(OR(ISNUMBER(K12)),8,0)</f>
        <v>0</v>
      </c>
      <c r="L206" s="5">
        <f>IF(OR(ISNUMBER(L12)),9,0)</f>
        <v>0</v>
      </c>
      <c r="M206" s="5">
        <f>IF(OR(ISNUMBER(M12)),10,0)</f>
        <v>0</v>
      </c>
      <c r="N206" s="5">
        <f>IF(OR(ISNUMBER(N12)),11,0)</f>
        <v>0</v>
      </c>
      <c r="O206" s="5">
        <f>IF(OR(ISNUMBER(O12)),12,0)</f>
        <v>0</v>
      </c>
      <c r="P206" s="5">
        <f>IF(OR(ISNUMBER(P12)),13,0)</f>
        <v>0</v>
      </c>
      <c r="Q206" s="5">
        <f>IF(OR(ISNUMBER(Q12)),14,0)</f>
        <v>0</v>
      </c>
      <c r="R206" s="5">
        <f>IF(OR(ISNUMBER(R12)),15,0)</f>
        <v>0</v>
      </c>
      <c r="S206" s="5">
        <f>IF(OR(ISNUMBER(S12)),16,0)</f>
        <v>0</v>
      </c>
      <c r="T206" s="5">
        <f>IF(OR(ISNUMBER(T12)),17,0)</f>
        <v>0</v>
      </c>
      <c r="U206" s="5">
        <f>IF(OR(ISNUMBER(U12)),18,0)</f>
        <v>0</v>
      </c>
      <c r="V206" s="5">
        <f>IF(OR(ISNUMBER(V12)),19,0)</f>
        <v>0</v>
      </c>
      <c r="W206" s="5">
        <f>IF(OR(ISNUMBER(W12)),20,0)</f>
        <v>0</v>
      </c>
      <c r="X206" s="5">
        <f>IF(OR(ISNUMBER(X12)),21,0)</f>
        <v>0</v>
      </c>
      <c r="Y206" s="5">
        <f>IF(OR(ISNUMBER(Y12)),22,0)</f>
        <v>0</v>
      </c>
      <c r="Z206" s="5">
        <f>IF(OR(ISNUMBER(Z12)),23,0)</f>
        <v>0</v>
      </c>
      <c r="AA206" s="5">
        <f>IF(OR(ISNUMBER(AA12)),24,0)</f>
        <v>0</v>
      </c>
      <c r="AB206" s="5">
        <f>IF(OR(ISNUMBER(AB12)),25,0)</f>
        <v>0</v>
      </c>
      <c r="AC206" s="5">
        <f>IF(OR(ISNUMBER(AC12)),26,0)</f>
        <v>0</v>
      </c>
      <c r="AD206" s="5">
        <f>IF(OR(ISNUMBER(AD12)),27,0)</f>
        <v>0</v>
      </c>
    </row>
    <row r="207" spans="1:95">
      <c r="A207" s="11" t="s">
        <v>481</v>
      </c>
      <c r="B207" s="11" t="s">
        <v>482</v>
      </c>
      <c r="C207" s="3" t="s">
        <v>397</v>
      </c>
      <c r="D207" s="80">
        <f>IF(MAX(IFERROR(N(INDEX(Wertstand!$A$113:$LJ$113,MATCH(INDEX($D$4:$AD$4,$D$205),RD_Kopf,0))),0))&gt;0,MAX(IFERROR(N(INDEX(Wertstand!$A$113:$LJ$113,MATCH(INDEX($D$4:$AD$4,$D$205),RD_Kopf,0))),0)),INDEX($D$4:$AD$4,$D$205))</f>
        <v>0</v>
      </c>
      <c r="E207" s="11">
        <f>"Stand: "&amp;TEXT(DAY($D$207),"00")&amp;"."&amp;TEXT(MONTH($D$207),"00")&amp;"."&amp;RIGHT(YEAR($D$207),2)</f>
        <v>0</v>
      </c>
      <c r="F207" s="11">
        <f>"Stand:"&amp;CHAR(10)&amp;TEXT(DAY($D$207),"00")&amp;"."&amp;TEXT(MONTH($D$207),"00")&amp;"."&amp;RIGHT(YEAR($D$207),2)</f>
        <v>0</v>
      </c>
    </row>
    <row r="208" spans="1:95">
      <c r="A208" s="11" t="s">
        <v>483</v>
      </c>
      <c r="B208" s="11" t="s">
        <v>484</v>
      </c>
      <c r="C208" s="3" t="s">
        <v>137</v>
      </c>
      <c r="D208" s="5">
        <f>MIN(IF(N(SLA_PV)&gt;0,1/$D$175+0.836104/N(SLA_PV),1.836104/$D$175),1.884971/MAX(1,IFERROR(_xlfn.AGGREGATE(4,6,INDEX($D$12:$AD$12,MAX(1,$D$205+1-$D$212)):INDEX($D$12:$AD$12,$D$205)),0)))</f>
        <v>0</v>
      </c>
    </row>
    <row r="209" spans="1:95">
      <c r="A209" s="11" t="s">
        <v>485</v>
      </c>
      <c r="B209" s="11" t="s">
        <v>486</v>
      </c>
      <c r="C209" s="3" t="s">
        <v>137</v>
      </c>
      <c r="D209" s="5">
        <f>IF(ISNUMBER(D12),D12*$D$208,NA())</f>
        <v>0</v>
      </c>
      <c r="E209" s="5">
        <f>IF(ISNUMBER(E12),E12*$D$208,NA())</f>
        <v>0</v>
      </c>
      <c r="F209" s="5">
        <f>IF(ISNUMBER(F12),F12*$D$208,NA())</f>
        <v>0</v>
      </c>
      <c r="G209" s="5">
        <f>IF(ISNUMBER(G12),G12*$D$208,NA())</f>
        <v>0</v>
      </c>
      <c r="H209" s="5">
        <f>IF(ISNUMBER(H12),H12*$D$208,NA())</f>
        <v>0</v>
      </c>
      <c r="I209" s="5">
        <f>IF(ISNUMBER(I12),I12*$D$208,NA())</f>
        <v>0</v>
      </c>
      <c r="J209" s="5">
        <f>IF(ISNUMBER(J12),J12*$D$208,NA())</f>
        <v>0</v>
      </c>
      <c r="K209" s="5">
        <f>IF(ISNUMBER(K12),K12*$D$208,NA())</f>
        <v>0</v>
      </c>
      <c r="L209" s="5">
        <f>IF(ISNUMBER(L12),L12*$D$208,NA())</f>
        <v>0</v>
      </c>
      <c r="M209" s="5">
        <f>IF(ISNUMBER(M12),M12*$D$208,NA())</f>
        <v>0</v>
      </c>
      <c r="N209" s="5">
        <f>IF(ISNUMBER(N12),N12*$D$208,NA())</f>
        <v>0</v>
      </c>
      <c r="O209" s="5">
        <f>IF(ISNUMBER(O12),O12*$D$208,NA())</f>
        <v>0</v>
      </c>
      <c r="P209" s="5">
        <f>IF(ISNUMBER(P12),P12*$D$208,NA())</f>
        <v>0</v>
      </c>
      <c r="Q209" s="5">
        <f>IF(ISNUMBER(Q12),Q12*$D$208,NA())</f>
        <v>0</v>
      </c>
      <c r="R209" s="5">
        <f>IF(ISNUMBER(R12),R12*$D$208,NA())</f>
        <v>0</v>
      </c>
      <c r="S209" s="5">
        <f>IF(ISNUMBER(S12),S12*$D$208,NA())</f>
        <v>0</v>
      </c>
      <c r="T209" s="5">
        <f>IF(ISNUMBER(T12),T12*$D$208,NA())</f>
        <v>0</v>
      </c>
      <c r="U209" s="5">
        <f>IF(ISNUMBER(U12),U12*$D$208,NA())</f>
        <v>0</v>
      </c>
      <c r="V209" s="5">
        <f>IF(ISNUMBER(V12),V12*$D$208,NA())</f>
        <v>0</v>
      </c>
      <c r="W209" s="5">
        <f>IF(ISNUMBER(W12),W12*$D$208,NA())</f>
        <v>0</v>
      </c>
      <c r="X209" s="5">
        <f>IF(ISNUMBER(X12),X12*$D$208,NA())</f>
        <v>0</v>
      </c>
      <c r="Y209" s="5">
        <f>IF(ISNUMBER(Y12),Y12*$D$208,NA())</f>
        <v>0</v>
      </c>
      <c r="Z209" s="5">
        <f>IF(ISNUMBER(Z12),Z12*$D$208,NA())</f>
        <v>0</v>
      </c>
      <c r="AA209" s="5">
        <f>IF(ISNUMBER(AA12),AA12*$D$208,NA())</f>
        <v>0</v>
      </c>
      <c r="AB209" s="5">
        <f>IF(ISNUMBER(AB12),AB12*$D$208,NA())</f>
        <v>0</v>
      </c>
      <c r="AC209" s="5">
        <f>IF(ISNUMBER(AC12),AC12*$D$208,NA())</f>
        <v>0</v>
      </c>
      <c r="AD209" s="5">
        <f>IF(ISNUMBER(AD12),AD12*$D$208,NA())</f>
        <v>0</v>
      </c>
    </row>
    <row r="210" spans="1:95">
      <c r="A210" s="11" t="s">
        <v>487</v>
      </c>
      <c r="B210" s="11" t="s">
        <v>488</v>
      </c>
      <c r="C210" s="3" t="s">
        <v>137</v>
      </c>
      <c r="D210" s="5">
        <f>IF(N(D154)&gt;0,N(D154)*$D$208,NA())</f>
        <v>0</v>
      </c>
      <c r="E210" s="5">
        <f>IF(N(E154)&gt;0,N(E154)*$D$208,NA())</f>
        <v>0</v>
      </c>
      <c r="F210" s="5">
        <f>IF(N(F154)&gt;0,N(F154)*$D$208,NA())</f>
        <v>0</v>
      </c>
      <c r="G210" s="5">
        <f>IF(N(G154)&gt;0,N(G154)*$D$208,NA())</f>
        <v>0</v>
      </c>
      <c r="H210" s="5">
        <f>IF(N(H154)&gt;0,N(H154)*$D$208,NA())</f>
        <v>0</v>
      </c>
      <c r="I210" s="5">
        <f>IF(N(I154)&gt;0,N(I154)*$D$208,NA())</f>
        <v>0</v>
      </c>
      <c r="J210" s="5">
        <f>IF(N(J154)&gt;0,N(J154)*$D$208,NA())</f>
        <v>0</v>
      </c>
      <c r="K210" s="5">
        <f>IF(N(K154)&gt;0,N(K154)*$D$208,NA())</f>
        <v>0</v>
      </c>
      <c r="L210" s="5">
        <f>IF(N(L154)&gt;0,N(L154)*$D$208,NA())</f>
        <v>0</v>
      </c>
      <c r="M210" s="5">
        <f>IF(N(M154)&gt;0,N(M154)*$D$208,NA())</f>
        <v>0</v>
      </c>
      <c r="N210" s="5">
        <f>IF(N(N154)&gt;0,N(N154)*$D$208,NA())</f>
        <v>0</v>
      </c>
      <c r="O210" s="5">
        <f>IF(N(O154)&gt;0,N(O154)*$D$208,NA())</f>
        <v>0</v>
      </c>
      <c r="P210" s="5">
        <f>IF(N(P154)&gt;0,N(P154)*$D$208,NA())</f>
        <v>0</v>
      </c>
      <c r="Q210" s="5">
        <f>IF(N(Q154)&gt;0,N(Q154)*$D$208,NA())</f>
        <v>0</v>
      </c>
      <c r="R210" s="5">
        <f>IF(N(R154)&gt;0,N(R154)*$D$208,NA())</f>
        <v>0</v>
      </c>
      <c r="S210" s="5">
        <f>IF(N(S154)&gt;0,N(S154)*$D$208,NA())</f>
        <v>0</v>
      </c>
      <c r="T210" s="5">
        <f>IF(N(T154)&gt;0,N(T154)*$D$208,NA())</f>
        <v>0</v>
      </c>
      <c r="U210" s="5">
        <f>IF(N(U154)&gt;0,N(U154)*$D$208,NA())</f>
        <v>0</v>
      </c>
      <c r="V210" s="5">
        <f>IF(N(V154)&gt;0,N(V154)*$D$208,NA())</f>
        <v>0</v>
      </c>
      <c r="W210" s="5">
        <f>IF(N(W154)&gt;0,N(W154)*$D$208,NA())</f>
        <v>0</v>
      </c>
      <c r="X210" s="5">
        <f>IF(N(X154)&gt;0,N(X154)*$D$208,NA())</f>
        <v>0</v>
      </c>
      <c r="Y210" s="5">
        <f>IF(N(Y154)&gt;0,N(Y154)*$D$208,NA())</f>
        <v>0</v>
      </c>
      <c r="Z210" s="5">
        <f>IF(N(Z154)&gt;0,N(Z154)*$D$208,NA())</f>
        <v>0</v>
      </c>
      <c r="AA210" s="5">
        <f>IF(N(AA154)&gt;0,N(AA154)*$D$208,NA())</f>
        <v>0</v>
      </c>
      <c r="AB210" s="5">
        <f>IF(N(AB154)&gt;0,N(AB154)*$D$208,NA())</f>
        <v>0</v>
      </c>
      <c r="AC210" s="5">
        <f>IF(N(AC154)&gt;0,N(AC154)*$D$208,NA())</f>
        <v>0</v>
      </c>
      <c r="AD210" s="5">
        <f>IF(N(AD154)&gt;0,N(AD154)*$D$208,NA())</f>
        <v>0</v>
      </c>
    </row>
    <row r="211" spans="1:95">
      <c r="A211" s="11" t="s">
        <v>489</v>
      </c>
      <c r="B211" s="11" t="s">
        <v>490</v>
      </c>
      <c r="C211" s="3" t="s">
        <v>137</v>
      </c>
      <c r="D211" s="11">
        <f>IF(ISNUMBER(D12),FIXED(D12,0),"")</f>
        <v>0</v>
      </c>
      <c r="E211" s="11">
        <f>IF(ISNUMBER(E12),FIXED(E12,0),"")</f>
        <v>0</v>
      </c>
      <c r="F211" s="11">
        <f>IF(ISNUMBER(F12),FIXED(F12,0),"")</f>
        <v>0</v>
      </c>
      <c r="G211" s="11">
        <f>IF(ISNUMBER(G12),FIXED(G12,0),"")</f>
        <v>0</v>
      </c>
      <c r="H211" s="11">
        <f>IF(ISNUMBER(H12),FIXED(H12,0),"")</f>
        <v>0</v>
      </c>
      <c r="I211" s="11">
        <f>IF(ISNUMBER(I12),FIXED(I12,0),"")</f>
        <v>0</v>
      </c>
      <c r="J211" s="11">
        <f>IF(ISNUMBER(J12),FIXED(J12,0),"")</f>
        <v>0</v>
      </c>
      <c r="K211" s="11">
        <f>IF(ISNUMBER(K12),FIXED(K12,0),"")</f>
        <v>0</v>
      </c>
      <c r="L211" s="11">
        <f>IF(ISNUMBER(L12),FIXED(L12,0),"")</f>
        <v>0</v>
      </c>
      <c r="M211" s="11">
        <f>IF(ISNUMBER(M12),FIXED(M12,0),"")</f>
        <v>0</v>
      </c>
      <c r="N211" s="11">
        <f>IF(ISNUMBER(N12),FIXED(N12,0),"")</f>
        <v>0</v>
      </c>
      <c r="O211" s="11">
        <f>IF(ISNUMBER(O12),FIXED(O12,0),"")</f>
        <v>0</v>
      </c>
      <c r="P211" s="11">
        <f>IF(ISNUMBER(P12),FIXED(P12,0),"")</f>
        <v>0</v>
      </c>
      <c r="Q211" s="11">
        <f>IF(ISNUMBER(Q12),FIXED(Q12,0),"")</f>
        <v>0</v>
      </c>
      <c r="R211" s="11">
        <f>IF(ISNUMBER(R12),FIXED(R12,0),"")</f>
        <v>0</v>
      </c>
      <c r="S211" s="11">
        <f>IF(ISNUMBER(S12),FIXED(S12,0),"")</f>
        <v>0</v>
      </c>
      <c r="T211" s="11">
        <f>IF(ISNUMBER(T12),FIXED(T12,0),"")</f>
        <v>0</v>
      </c>
      <c r="U211" s="11">
        <f>IF(ISNUMBER(U12),FIXED(U12,0),"")</f>
        <v>0</v>
      </c>
      <c r="V211" s="11">
        <f>IF(ISNUMBER(V12),FIXED(V12,0),"")</f>
        <v>0</v>
      </c>
      <c r="W211" s="11">
        <f>IF(ISNUMBER(W12),FIXED(W12,0),"")</f>
        <v>0</v>
      </c>
      <c r="X211" s="11">
        <f>IF(ISNUMBER(X12),FIXED(X12,0),"")</f>
        <v>0</v>
      </c>
      <c r="Y211" s="11">
        <f>IF(ISNUMBER(Y12),FIXED(Y12,0),"")</f>
        <v>0</v>
      </c>
      <c r="Z211" s="11">
        <f>IF(ISNUMBER(Z12),FIXED(Z12,0),"")</f>
        <v>0</v>
      </c>
      <c r="AA211" s="11">
        <f>IF(ISNUMBER(AA12),FIXED(AA12,0),"")</f>
        <v>0</v>
      </c>
      <c r="AB211" s="11">
        <f>IF(ISNUMBER(AB12),FIXED(AB12,0),"")</f>
        <v>0</v>
      </c>
      <c r="AC211" s="11">
        <f>IF(ISNUMBER(AC12),FIXED(AC12,0),"")</f>
        <v>0</v>
      </c>
      <c r="AD211" s="11">
        <f>IF(ISNUMBER(AD12),FIXED(AD12,0),"")</f>
        <v>0</v>
      </c>
    </row>
    <row r="212" spans="1:95">
      <c r="A212" s="11" t="s">
        <v>491</v>
      </c>
      <c r="B212" s="11" t="s">
        <v>492</v>
      </c>
      <c r="C212" s="3" t="s">
        <v>134</v>
      </c>
      <c r="D212" s="5">
        <v>10</v>
      </c>
    </row>
    <row r="213" spans="1:95">
      <c r="A213" s="11" t="s">
        <v>493</v>
      </c>
      <c r="B213" s="11" t="s">
        <v>494</v>
      </c>
      <c r="C213" s="3" t="s">
        <v>408</v>
      </c>
      <c r="BR213" s="11">
        <f>IF(($D$205-25)&lt;1,"",INDEX($D$3:$AD$3,($D$205-25)))</f>
        <v>0</v>
      </c>
      <c r="BS213" s="11">
        <f>IF(($D$205-24)&lt;1,"",INDEX($D$3:$AD$3,($D$205-24)))</f>
        <v>0</v>
      </c>
      <c r="BT213" s="11">
        <f>IF(($D$205-23)&lt;1,"",INDEX($D$3:$AD$3,($D$205-23)))</f>
        <v>0</v>
      </c>
      <c r="BU213" s="11">
        <f>IF(($D$205-22)&lt;1,"",INDEX($D$3:$AD$3,($D$205-22)))</f>
        <v>0</v>
      </c>
      <c r="BV213" s="11">
        <f>IF(($D$205-21)&lt;1,"",INDEX($D$3:$AD$3,($D$205-21)))</f>
        <v>0</v>
      </c>
      <c r="BW213" s="11">
        <f>IF(($D$205-20)&lt;1,"",INDEX($D$3:$AD$3,($D$205-20)))</f>
        <v>0</v>
      </c>
      <c r="BX213" s="11">
        <f>IF(($D$205-19)&lt;1,"",INDEX($D$3:$AD$3,($D$205-19)))</f>
        <v>0</v>
      </c>
      <c r="BY213" s="11">
        <f>IF(($D$205-18)&lt;1,"",INDEX($D$3:$AD$3,($D$205-18)))</f>
        <v>0</v>
      </c>
      <c r="BZ213" s="11">
        <f>IF(($D$205-17)&lt;1,"",INDEX($D$3:$AD$3,($D$205-17)))</f>
        <v>0</v>
      </c>
      <c r="CA213" s="11">
        <f>IF(($D$205-16)&lt;1,"",INDEX($D$3:$AD$3,($D$205-16)))</f>
        <v>0</v>
      </c>
      <c r="CB213" s="11">
        <f>IF(($D$205-15)&lt;1,"",INDEX($D$3:$AD$3,($D$205-15)))</f>
        <v>0</v>
      </c>
      <c r="CC213" s="11">
        <f>IF(($D$205-14)&lt;1,"",INDEX($D$3:$AD$3,($D$205-14)))</f>
        <v>0</v>
      </c>
      <c r="CD213" s="11">
        <f>IF(($D$205-13)&lt;1,"",INDEX($D$3:$AD$3,($D$205-13)))</f>
        <v>0</v>
      </c>
      <c r="CE213" s="11">
        <f>IF(($D$205-12)&lt;1,"",INDEX($D$3:$AD$3,($D$205-12)))</f>
        <v>0</v>
      </c>
      <c r="CF213" s="11">
        <f>IF(($D$205-11)&lt;1,"",INDEX($D$3:$AD$3,($D$205-11)))</f>
        <v>0</v>
      </c>
      <c r="CG213" s="11">
        <f>IF(($D$205-10)&lt;1,"",INDEX($D$3:$AD$3,($D$205-10)))</f>
        <v>0</v>
      </c>
      <c r="CH213" s="11">
        <f>IF(($D$205-9)&lt;1,"",INDEX($D$3:$AD$3,($D$205-9)))</f>
        <v>0</v>
      </c>
      <c r="CI213" s="11">
        <f>IF(($D$205-8)&lt;1,"",INDEX($D$3:$AD$3,($D$205-8)))</f>
        <v>0</v>
      </c>
      <c r="CJ213" s="11">
        <f>IF(($D$205-7)&lt;1,"",INDEX($D$3:$AD$3,($D$205-7)))</f>
        <v>0</v>
      </c>
      <c r="CK213" s="11">
        <f>IF(($D$205-6)&lt;1,"",INDEX($D$3:$AD$3,($D$205-6)))</f>
        <v>0</v>
      </c>
      <c r="CL213" s="11">
        <f>IF(($D$205-5)&lt;1,"",INDEX($D$3:$AD$3,($D$205-5)))</f>
        <v>0</v>
      </c>
      <c r="CM213" s="11">
        <f>IF(($D$205-4)&lt;1,"",INDEX($D$3:$AD$3,($D$205-4)))</f>
        <v>0</v>
      </c>
      <c r="CN213" s="11">
        <f>IF(($D$205-3)&lt;1,"",INDEX($D$3:$AD$3,($D$205-3)))</f>
        <v>0</v>
      </c>
      <c r="CO213" s="11">
        <f>IF(($D$205-2)&lt;1,"",INDEX($D$3:$AD$3,($D$205-2)))</f>
        <v>0</v>
      </c>
      <c r="CP213" s="11">
        <f>IF(($D$205-1)&lt;1,"",INDEX($D$3:$AD$3,($D$205-1)))</f>
        <v>0</v>
      </c>
      <c r="CQ213" s="11">
        <f>IF(($D$205-0)&lt;1,"",INDEX($D$3:$AD$3,($D$205-0)))</f>
        <v>0</v>
      </c>
    </row>
    <row r="214" spans="1:95">
      <c r="A214" s="11" t="s">
        <v>495</v>
      </c>
      <c r="B214" s="11" t="s">
        <v>496</v>
      </c>
      <c r="C214" s="3" t="s">
        <v>408</v>
      </c>
      <c r="BR214" s="5">
        <f>IF(($D$205-25)&lt;1,NA(),INDEX($D$209:$AD$209,($D$205-25)))</f>
        <v>0</v>
      </c>
      <c r="BS214" s="5">
        <f>IF(($D$205-24)&lt;1,NA(),INDEX($D$209:$AD$209,($D$205-24)))</f>
        <v>0</v>
      </c>
      <c r="BT214" s="5">
        <f>IF(($D$205-23)&lt;1,NA(),INDEX($D$209:$AD$209,($D$205-23)))</f>
        <v>0</v>
      </c>
      <c r="BU214" s="5">
        <f>IF(($D$205-22)&lt;1,NA(),INDEX($D$209:$AD$209,($D$205-22)))</f>
        <v>0</v>
      </c>
      <c r="BV214" s="5">
        <f>IF(($D$205-21)&lt;1,NA(),INDEX($D$209:$AD$209,($D$205-21)))</f>
        <v>0</v>
      </c>
      <c r="BW214" s="5">
        <f>IF(($D$205-20)&lt;1,NA(),INDEX($D$209:$AD$209,($D$205-20)))</f>
        <v>0</v>
      </c>
      <c r="BX214" s="5">
        <f>IF(($D$205-19)&lt;1,NA(),INDEX($D$209:$AD$209,($D$205-19)))</f>
        <v>0</v>
      </c>
      <c r="BY214" s="5">
        <f>IF(($D$205-18)&lt;1,NA(),INDEX($D$209:$AD$209,($D$205-18)))</f>
        <v>0</v>
      </c>
      <c r="BZ214" s="5">
        <f>IF(($D$205-17)&lt;1,NA(),INDEX($D$209:$AD$209,($D$205-17)))</f>
        <v>0</v>
      </c>
      <c r="CA214" s="5">
        <f>IF(($D$205-16)&lt;1,NA(),INDEX($D$209:$AD$209,($D$205-16)))</f>
        <v>0</v>
      </c>
      <c r="CB214" s="5">
        <f>IF(($D$205-15)&lt;1,NA(),INDEX($D$209:$AD$209,($D$205-15)))</f>
        <v>0</v>
      </c>
      <c r="CC214" s="5">
        <f>IF(($D$205-14)&lt;1,NA(),INDEX($D$209:$AD$209,($D$205-14)))</f>
        <v>0</v>
      </c>
      <c r="CD214" s="5">
        <f>IF(($D$205-13)&lt;1,NA(),INDEX($D$209:$AD$209,($D$205-13)))</f>
        <v>0</v>
      </c>
      <c r="CE214" s="5">
        <f>IF(($D$205-12)&lt;1,NA(),INDEX($D$209:$AD$209,($D$205-12)))</f>
        <v>0</v>
      </c>
      <c r="CF214" s="5">
        <f>IF(($D$205-11)&lt;1,NA(),INDEX($D$209:$AD$209,($D$205-11)))</f>
        <v>0</v>
      </c>
      <c r="CG214" s="5">
        <f>IF(($D$205-10)&lt;1,NA(),INDEX($D$209:$AD$209,($D$205-10)))</f>
        <v>0</v>
      </c>
      <c r="CH214" s="5">
        <f>IF(($D$205-9)&lt;1,NA(),INDEX($D$209:$AD$209,($D$205-9)))</f>
        <v>0</v>
      </c>
      <c r="CI214" s="5">
        <f>IF(($D$205-8)&lt;1,NA(),INDEX($D$209:$AD$209,($D$205-8)))</f>
        <v>0</v>
      </c>
      <c r="CJ214" s="5">
        <f>IF(($D$205-7)&lt;1,NA(),INDEX($D$209:$AD$209,($D$205-7)))</f>
        <v>0</v>
      </c>
      <c r="CK214" s="5">
        <f>IF(($D$205-6)&lt;1,NA(),INDEX($D$209:$AD$209,($D$205-6)))</f>
        <v>0</v>
      </c>
      <c r="CL214" s="5">
        <f>IF(($D$205-5)&lt;1,NA(),INDEX($D$209:$AD$209,($D$205-5)))</f>
        <v>0</v>
      </c>
      <c r="CM214" s="5">
        <f>IF(($D$205-4)&lt;1,NA(),INDEX($D$209:$AD$209,($D$205-4)))</f>
        <v>0</v>
      </c>
      <c r="CN214" s="5">
        <f>IF(($D$205-3)&lt;1,NA(),INDEX($D$209:$AD$209,($D$205-3)))</f>
        <v>0</v>
      </c>
      <c r="CO214" s="5">
        <f>IF(($D$205-2)&lt;1,NA(),INDEX($D$209:$AD$209,($D$205-2)))</f>
        <v>0</v>
      </c>
      <c r="CP214" s="5">
        <f>IF(($D$205-1)&lt;1,NA(),INDEX($D$209:$AD$209,($D$205-1)))</f>
        <v>0</v>
      </c>
      <c r="CQ214" s="5">
        <f>IF(($D$205-0)&lt;1,NA(),INDEX($D$209:$AD$209,($D$205-0)))</f>
        <v>0</v>
      </c>
    </row>
    <row r="215" spans="1:95">
      <c r="A215" s="11" t="s">
        <v>497</v>
      </c>
      <c r="B215" s="11" t="s">
        <v>498</v>
      </c>
      <c r="C215" s="3" t="s">
        <v>408</v>
      </c>
      <c r="BR215" s="11">
        <f>IF(($D$205-25)&lt;1,"",INDEX($D$211:$AD$211,($D$205-25)))</f>
        <v>0</v>
      </c>
      <c r="BS215" s="11">
        <f>IF(($D$205-24)&lt;1,"",INDEX($D$211:$AD$211,($D$205-24)))</f>
        <v>0</v>
      </c>
      <c r="BT215" s="11">
        <f>IF(($D$205-23)&lt;1,"",INDEX($D$211:$AD$211,($D$205-23)))</f>
        <v>0</v>
      </c>
      <c r="BU215" s="11">
        <f>IF(($D$205-22)&lt;1,"",INDEX($D$211:$AD$211,($D$205-22)))</f>
        <v>0</v>
      </c>
      <c r="BV215" s="11">
        <f>IF(($D$205-21)&lt;1,"",INDEX($D$211:$AD$211,($D$205-21)))</f>
        <v>0</v>
      </c>
      <c r="BW215" s="11">
        <f>IF(($D$205-20)&lt;1,"",INDEX($D$211:$AD$211,($D$205-20)))</f>
        <v>0</v>
      </c>
      <c r="BX215" s="11">
        <f>IF(($D$205-19)&lt;1,"",INDEX($D$211:$AD$211,($D$205-19)))</f>
        <v>0</v>
      </c>
      <c r="BY215" s="11">
        <f>IF(($D$205-18)&lt;1,"",INDEX($D$211:$AD$211,($D$205-18)))</f>
        <v>0</v>
      </c>
      <c r="BZ215" s="11">
        <f>IF(($D$205-17)&lt;1,"",INDEX($D$211:$AD$211,($D$205-17)))</f>
        <v>0</v>
      </c>
      <c r="CA215" s="11">
        <f>IF(($D$205-16)&lt;1,"",INDEX($D$211:$AD$211,($D$205-16)))</f>
        <v>0</v>
      </c>
      <c r="CB215" s="11">
        <f>IF(($D$205-15)&lt;1,"",INDEX($D$211:$AD$211,($D$205-15)))</f>
        <v>0</v>
      </c>
      <c r="CC215" s="11">
        <f>IF(($D$205-14)&lt;1,"",INDEX($D$211:$AD$211,($D$205-14)))</f>
        <v>0</v>
      </c>
      <c r="CD215" s="11">
        <f>IF(($D$205-13)&lt;1,"",INDEX($D$211:$AD$211,($D$205-13)))</f>
        <v>0</v>
      </c>
      <c r="CE215" s="11">
        <f>IF(($D$205-12)&lt;1,"",INDEX($D$211:$AD$211,($D$205-12)))</f>
        <v>0</v>
      </c>
      <c r="CF215" s="11">
        <f>IF(($D$205-11)&lt;1,"",INDEX($D$211:$AD$211,($D$205-11)))</f>
        <v>0</v>
      </c>
      <c r="CG215" s="11">
        <f>IF(($D$205-10)&lt;1,"",INDEX($D$211:$AD$211,($D$205-10)))</f>
        <v>0</v>
      </c>
      <c r="CH215" s="11">
        <f>IF(($D$205-9)&lt;1,"",INDEX($D$211:$AD$211,($D$205-9)))</f>
        <v>0</v>
      </c>
      <c r="CI215" s="11">
        <f>IF(($D$205-8)&lt;1,"",INDEX($D$211:$AD$211,($D$205-8)))</f>
        <v>0</v>
      </c>
      <c r="CJ215" s="11">
        <f>IF(($D$205-7)&lt;1,"",INDEX($D$211:$AD$211,($D$205-7)))</f>
        <v>0</v>
      </c>
      <c r="CK215" s="11">
        <f>IF(($D$205-6)&lt;1,"",INDEX($D$211:$AD$211,($D$205-6)))</f>
        <v>0</v>
      </c>
      <c r="CL215" s="11">
        <f>IF(($D$205-5)&lt;1,"",INDEX($D$211:$AD$211,($D$205-5)))</f>
        <v>0</v>
      </c>
      <c r="CM215" s="11">
        <f>IF(($D$205-4)&lt;1,"",INDEX($D$211:$AD$211,($D$205-4)))</f>
        <v>0</v>
      </c>
      <c r="CN215" s="11">
        <f>IF(($D$205-3)&lt;1,"",INDEX($D$211:$AD$211,($D$205-3)))</f>
        <v>0</v>
      </c>
      <c r="CO215" s="11">
        <f>IF(($D$205-2)&lt;1,"",INDEX($D$211:$AD$211,($D$205-2)))</f>
        <v>0</v>
      </c>
      <c r="CP215" s="11">
        <f>IF(($D$205-1)&lt;1,"",INDEX($D$211:$AD$211,($D$205-1)))</f>
        <v>0</v>
      </c>
      <c r="CQ215" s="11">
        <f>IF(($D$205-0)&lt;1,"",INDEX($D$211:$AD$211,($D$205-0)))</f>
        <v>0</v>
      </c>
    </row>
    <row r="216" spans="1:95">
      <c r="A216" s="11" t="s">
        <v>499</v>
      </c>
      <c r="B216" s="11" t="s">
        <v>500</v>
      </c>
      <c r="C216" s="3" t="s">
        <v>408</v>
      </c>
      <c r="BR216" s="5">
        <f>IF(($D$205-25)&lt;1,NA(),INDEX($D$210:$AD$210,($D$205-25)))</f>
        <v>0</v>
      </c>
      <c r="BS216" s="5">
        <f>IF(($D$205-24)&lt;1,NA(),INDEX($D$210:$AD$210,($D$205-24)))</f>
        <v>0</v>
      </c>
      <c r="BT216" s="5">
        <f>IF(($D$205-23)&lt;1,NA(),INDEX($D$210:$AD$210,($D$205-23)))</f>
        <v>0</v>
      </c>
      <c r="BU216" s="5">
        <f>IF(($D$205-22)&lt;1,NA(),INDEX($D$210:$AD$210,($D$205-22)))</f>
        <v>0</v>
      </c>
      <c r="BV216" s="5">
        <f>IF(($D$205-21)&lt;1,NA(),INDEX($D$210:$AD$210,($D$205-21)))</f>
        <v>0</v>
      </c>
      <c r="BW216" s="5">
        <f>IF(($D$205-20)&lt;1,NA(),INDEX($D$210:$AD$210,($D$205-20)))</f>
        <v>0</v>
      </c>
      <c r="BX216" s="5">
        <f>IF(($D$205-19)&lt;1,NA(),INDEX($D$210:$AD$210,($D$205-19)))</f>
        <v>0</v>
      </c>
      <c r="BY216" s="5">
        <f>IF(($D$205-18)&lt;1,NA(),INDEX($D$210:$AD$210,($D$205-18)))</f>
        <v>0</v>
      </c>
      <c r="BZ216" s="5">
        <f>IF(($D$205-17)&lt;1,NA(),INDEX($D$210:$AD$210,($D$205-17)))</f>
        <v>0</v>
      </c>
      <c r="CA216" s="5">
        <f>IF(($D$205-16)&lt;1,NA(),INDEX($D$210:$AD$210,($D$205-16)))</f>
        <v>0</v>
      </c>
      <c r="CB216" s="5">
        <f>IF(($D$205-15)&lt;1,NA(),INDEX($D$210:$AD$210,($D$205-15)))</f>
        <v>0</v>
      </c>
      <c r="CC216" s="5">
        <f>IF(($D$205-14)&lt;1,NA(),INDEX($D$210:$AD$210,($D$205-14)))</f>
        <v>0</v>
      </c>
      <c r="CD216" s="5">
        <f>IF(($D$205-13)&lt;1,NA(),INDEX($D$210:$AD$210,($D$205-13)))</f>
        <v>0</v>
      </c>
      <c r="CE216" s="5">
        <f>IF(($D$205-12)&lt;1,NA(),INDEX($D$210:$AD$210,($D$205-12)))</f>
        <v>0</v>
      </c>
      <c r="CF216" s="5">
        <f>IF(($D$205-11)&lt;1,NA(),INDEX($D$210:$AD$210,($D$205-11)))</f>
        <v>0</v>
      </c>
      <c r="CG216" s="5">
        <f>IF(($D$205-10)&lt;1,NA(),INDEX($D$210:$AD$210,($D$205-10)))</f>
        <v>0</v>
      </c>
      <c r="CH216" s="5">
        <f>IF(($D$205-9)&lt;1,NA(),INDEX($D$210:$AD$210,($D$205-9)))</f>
        <v>0</v>
      </c>
      <c r="CI216" s="5">
        <f>IF(($D$205-8)&lt;1,NA(),INDEX($D$210:$AD$210,($D$205-8)))</f>
        <v>0</v>
      </c>
      <c r="CJ216" s="5">
        <f>IF(($D$205-7)&lt;1,NA(),INDEX($D$210:$AD$210,($D$205-7)))</f>
        <v>0</v>
      </c>
      <c r="CK216" s="5">
        <f>IF(($D$205-6)&lt;1,NA(),INDEX($D$210:$AD$210,($D$205-6)))</f>
        <v>0</v>
      </c>
      <c r="CL216" s="5">
        <f>IF(($D$205-5)&lt;1,NA(),INDEX($D$210:$AD$210,($D$205-5)))</f>
        <v>0</v>
      </c>
      <c r="CM216" s="5">
        <f>IF(($D$205-4)&lt;1,NA(),INDEX($D$210:$AD$210,($D$205-4)))</f>
        <v>0</v>
      </c>
      <c r="CN216" s="5">
        <f>IF(($D$205-3)&lt;1,NA(),INDEX($D$210:$AD$210,($D$205-3)))</f>
        <v>0</v>
      </c>
      <c r="CO216" s="5">
        <f>IF(($D$205-2)&lt;1,NA(),INDEX($D$210:$AD$210,($D$205-2)))</f>
        <v>0</v>
      </c>
      <c r="CP216" s="5">
        <f>IF(($D$205-1)&lt;1,NA(),INDEX($D$210:$AD$210,($D$205-1)))</f>
        <v>0</v>
      </c>
      <c r="CQ216" s="5">
        <f>IF(($D$205-0)&lt;1,NA(),INDEX($D$210:$AD$210,($D$205-0)))</f>
        <v>0</v>
      </c>
    </row>
    <row r="217" spans="1:95">
      <c r="A217" s="11" t="s">
        <v>501</v>
      </c>
      <c r="B217" s="11" t="s">
        <v>502</v>
      </c>
      <c r="C217" s="3" t="s">
        <v>137</v>
      </c>
      <c r="D217" s="5">
        <f>IF(MAX($D$218:$AD$218)=0,27,MAX($D$218:$AD$218))</f>
        <v>0</v>
      </c>
    </row>
    <row r="218" spans="1:95">
      <c r="A218" s="11" t="s">
        <v>503</v>
      </c>
      <c r="B218" s="11" t="s">
        <v>504</v>
      </c>
      <c r="C218" s="3" t="s">
        <v>137</v>
      </c>
      <c r="D218" s="5">
        <f>IF(OR(ISNUMBER(D13)),1,0)</f>
        <v>0</v>
      </c>
      <c r="E218" s="5">
        <f>IF(OR(ISNUMBER(E13)),2,0)</f>
        <v>0</v>
      </c>
      <c r="F218" s="5">
        <f>IF(OR(ISNUMBER(F13)),3,0)</f>
        <v>0</v>
      </c>
      <c r="G218" s="5">
        <f>IF(OR(ISNUMBER(G13)),4,0)</f>
        <v>0</v>
      </c>
      <c r="H218" s="5">
        <f>IF(OR(ISNUMBER(H13)),5,0)</f>
        <v>0</v>
      </c>
      <c r="I218" s="5">
        <f>IF(OR(ISNUMBER(I13)),6,0)</f>
        <v>0</v>
      </c>
      <c r="J218" s="5">
        <f>IF(OR(ISNUMBER(J13)),7,0)</f>
        <v>0</v>
      </c>
      <c r="K218" s="5">
        <f>IF(OR(ISNUMBER(K13)),8,0)</f>
        <v>0</v>
      </c>
      <c r="L218" s="5">
        <f>IF(OR(ISNUMBER(L13)),9,0)</f>
        <v>0</v>
      </c>
      <c r="M218" s="5">
        <f>IF(OR(ISNUMBER(M13)),10,0)</f>
        <v>0</v>
      </c>
      <c r="N218" s="5">
        <f>IF(OR(ISNUMBER(N13)),11,0)</f>
        <v>0</v>
      </c>
      <c r="O218" s="5">
        <f>IF(OR(ISNUMBER(O13)),12,0)</f>
        <v>0</v>
      </c>
      <c r="P218" s="5">
        <f>IF(OR(ISNUMBER(P13)),13,0)</f>
        <v>0</v>
      </c>
      <c r="Q218" s="5">
        <f>IF(OR(ISNUMBER(Q13)),14,0)</f>
        <v>0</v>
      </c>
      <c r="R218" s="5">
        <f>IF(OR(ISNUMBER(R13)),15,0)</f>
        <v>0</v>
      </c>
      <c r="S218" s="5">
        <f>IF(OR(ISNUMBER(S13)),16,0)</f>
        <v>0</v>
      </c>
      <c r="T218" s="5">
        <f>IF(OR(ISNUMBER(T13)),17,0)</f>
        <v>0</v>
      </c>
      <c r="U218" s="5">
        <f>IF(OR(ISNUMBER(U13)),18,0)</f>
        <v>0</v>
      </c>
      <c r="V218" s="5">
        <f>IF(OR(ISNUMBER(V13)),19,0)</f>
        <v>0</v>
      </c>
      <c r="W218" s="5">
        <f>IF(OR(ISNUMBER(W13)),20,0)</f>
        <v>0</v>
      </c>
      <c r="X218" s="5">
        <f>IF(OR(ISNUMBER(X13)),21,0)</f>
        <v>0</v>
      </c>
      <c r="Y218" s="5">
        <f>IF(OR(ISNUMBER(Y13)),22,0)</f>
        <v>0</v>
      </c>
      <c r="Z218" s="5">
        <f>IF(OR(ISNUMBER(Z13)),23,0)</f>
        <v>0</v>
      </c>
      <c r="AA218" s="5">
        <f>IF(OR(ISNUMBER(AA13)),24,0)</f>
        <v>0</v>
      </c>
      <c r="AB218" s="5">
        <f>IF(OR(ISNUMBER(AB13)),25,0)</f>
        <v>0</v>
      </c>
      <c r="AC218" s="5">
        <f>IF(OR(ISNUMBER(AC13)),26,0)</f>
        <v>0</v>
      </c>
      <c r="AD218" s="5">
        <f>IF(OR(ISNUMBER(AD13)),27,0)</f>
        <v>0</v>
      </c>
    </row>
    <row r="219" spans="1:95">
      <c r="A219" s="11" t="s">
        <v>505</v>
      </c>
      <c r="B219" s="11" t="s">
        <v>506</v>
      </c>
      <c r="C219" s="3" t="s">
        <v>397</v>
      </c>
      <c r="D219" s="80">
        <f>IF(MAX(IFERROR(N(INDEX(Wertstand!$A$156:$LJ$156,MATCH(INDEX($D$4:$AD$4,$D$217),RD_Kopf,0))),0))&gt;0,MAX(IFERROR(N(INDEX(Wertstand!$A$156:$LJ$156,MATCH(INDEX($D$4:$AD$4,$D$217),RD_Kopf,0))),0)),INDEX($D$4:$AD$4,$D$217))</f>
        <v>0</v>
      </c>
      <c r="E219" s="11">
        <f>"Stand: "&amp;TEXT(DAY($D$219),"00")&amp;"."&amp;TEXT(MONTH($D$219),"00")&amp;"."&amp;RIGHT(YEAR($D$219),2)</f>
        <v>0</v>
      </c>
      <c r="F219" s="11">
        <f>"Stand:"&amp;CHAR(10)&amp;TEXT(DAY($D$219),"00")&amp;"."&amp;TEXT(MONTH($D$219),"00")&amp;"."&amp;RIGHT(YEAR($D$219),2)</f>
        <v>0</v>
      </c>
    </row>
    <row r="220" spans="1:95">
      <c r="A220" s="11" t="s">
        <v>507</v>
      </c>
      <c r="B220" s="11" t="s">
        <v>508</v>
      </c>
      <c r="C220" s="3" t="s">
        <v>408</v>
      </c>
      <c r="BR220" s="11">
        <f>IF(($D$217-25)&lt;1,"",INDEX($D$3:$AD$3,($D$217-25)))</f>
        <v>0</v>
      </c>
      <c r="BS220" s="11">
        <f>IF(($D$217-24)&lt;1,"",INDEX($D$3:$AD$3,($D$217-24)))</f>
        <v>0</v>
      </c>
      <c r="BT220" s="11">
        <f>IF(($D$217-23)&lt;1,"",INDEX($D$3:$AD$3,($D$217-23)))</f>
        <v>0</v>
      </c>
      <c r="BU220" s="11">
        <f>IF(($D$217-22)&lt;1,"",INDEX($D$3:$AD$3,($D$217-22)))</f>
        <v>0</v>
      </c>
      <c r="BV220" s="11">
        <f>IF(($D$217-21)&lt;1,"",INDEX($D$3:$AD$3,($D$217-21)))</f>
        <v>0</v>
      </c>
      <c r="BW220" s="11">
        <f>IF(($D$217-20)&lt;1,"",INDEX($D$3:$AD$3,($D$217-20)))</f>
        <v>0</v>
      </c>
      <c r="BX220" s="11">
        <f>IF(($D$217-19)&lt;1,"",INDEX($D$3:$AD$3,($D$217-19)))</f>
        <v>0</v>
      </c>
      <c r="BY220" s="11">
        <f>IF(($D$217-18)&lt;1,"",INDEX($D$3:$AD$3,($D$217-18)))</f>
        <v>0</v>
      </c>
      <c r="BZ220" s="11">
        <f>IF(($D$217-17)&lt;1,"",INDEX($D$3:$AD$3,($D$217-17)))</f>
        <v>0</v>
      </c>
      <c r="CA220" s="11">
        <f>IF(($D$217-16)&lt;1,"",INDEX($D$3:$AD$3,($D$217-16)))</f>
        <v>0</v>
      </c>
      <c r="CB220" s="11">
        <f>IF(($D$217-15)&lt;1,"",INDEX($D$3:$AD$3,($D$217-15)))</f>
        <v>0</v>
      </c>
      <c r="CC220" s="11">
        <f>IF(($D$217-14)&lt;1,"",INDEX($D$3:$AD$3,($D$217-14)))</f>
        <v>0</v>
      </c>
      <c r="CD220" s="11">
        <f>IF(($D$217-13)&lt;1,"",INDEX($D$3:$AD$3,($D$217-13)))</f>
        <v>0</v>
      </c>
      <c r="CE220" s="11">
        <f>IF(($D$217-12)&lt;1,"",INDEX($D$3:$AD$3,($D$217-12)))</f>
        <v>0</v>
      </c>
      <c r="CF220" s="11">
        <f>IF(($D$217-11)&lt;1,"",INDEX($D$3:$AD$3,($D$217-11)))</f>
        <v>0</v>
      </c>
      <c r="CG220" s="11">
        <f>IF(($D$217-10)&lt;1,"",INDEX($D$3:$AD$3,($D$217-10)))</f>
        <v>0</v>
      </c>
      <c r="CH220" s="11">
        <f>IF(($D$217-9)&lt;1,"",INDEX($D$3:$AD$3,($D$217-9)))</f>
        <v>0</v>
      </c>
      <c r="CI220" s="11">
        <f>IF(($D$217-8)&lt;1,"",INDEX($D$3:$AD$3,($D$217-8)))</f>
        <v>0</v>
      </c>
      <c r="CJ220" s="11">
        <f>IF(($D$217-7)&lt;1,"",INDEX($D$3:$AD$3,($D$217-7)))</f>
        <v>0</v>
      </c>
      <c r="CK220" s="11">
        <f>IF(($D$217-6)&lt;1,"",INDEX($D$3:$AD$3,($D$217-6)))</f>
        <v>0</v>
      </c>
      <c r="CL220" s="11">
        <f>IF(($D$217-5)&lt;1,"",INDEX($D$3:$AD$3,($D$217-5)))</f>
        <v>0</v>
      </c>
      <c r="CM220" s="11">
        <f>IF(($D$217-4)&lt;1,"",INDEX($D$3:$AD$3,($D$217-4)))</f>
        <v>0</v>
      </c>
      <c r="CN220" s="11">
        <f>IF(($D$217-3)&lt;1,"",INDEX($D$3:$AD$3,($D$217-3)))</f>
        <v>0</v>
      </c>
      <c r="CO220" s="11">
        <f>IF(($D$217-2)&lt;1,"",INDEX($D$3:$AD$3,($D$217-2)))</f>
        <v>0</v>
      </c>
      <c r="CP220" s="11">
        <f>IF(($D$217-1)&lt;1,"",INDEX($D$3:$AD$3,($D$217-1)))</f>
        <v>0</v>
      </c>
      <c r="CQ220" s="11">
        <f>IF(($D$217-0)&lt;1,"",INDEX($D$3:$AD$3,($D$217-0)))</f>
        <v>0</v>
      </c>
    </row>
    <row r="221" spans="1:95">
      <c r="A221" s="11" t="s">
        <v>509</v>
      </c>
      <c r="B221" s="11" t="s">
        <v>510</v>
      </c>
      <c r="C221" s="3" t="s">
        <v>408</v>
      </c>
      <c r="BR221" s="5">
        <f>IF(($D$217-25)&lt;1,NA(),INDEX($D$13:$AD$13,($D$217-25)))</f>
        <v>0</v>
      </c>
      <c r="BS221" s="5">
        <f>IF(($D$217-24)&lt;1,NA(),INDEX($D$13:$AD$13,($D$217-24)))</f>
        <v>0</v>
      </c>
      <c r="BT221" s="5">
        <f>IF(($D$217-23)&lt;1,NA(),INDEX($D$13:$AD$13,($D$217-23)))</f>
        <v>0</v>
      </c>
      <c r="BU221" s="5">
        <f>IF(($D$217-22)&lt;1,NA(),INDEX($D$13:$AD$13,($D$217-22)))</f>
        <v>0</v>
      </c>
      <c r="BV221" s="5">
        <f>IF(($D$217-21)&lt;1,NA(),INDEX($D$13:$AD$13,($D$217-21)))</f>
        <v>0</v>
      </c>
      <c r="BW221" s="5">
        <f>IF(($D$217-20)&lt;1,NA(),INDEX($D$13:$AD$13,($D$217-20)))</f>
        <v>0</v>
      </c>
      <c r="BX221" s="5">
        <f>IF(($D$217-19)&lt;1,NA(),INDEX($D$13:$AD$13,($D$217-19)))</f>
        <v>0</v>
      </c>
      <c r="BY221" s="5">
        <f>IF(($D$217-18)&lt;1,NA(),INDEX($D$13:$AD$13,($D$217-18)))</f>
        <v>0</v>
      </c>
      <c r="BZ221" s="5">
        <f>IF(($D$217-17)&lt;1,NA(),INDEX($D$13:$AD$13,($D$217-17)))</f>
        <v>0</v>
      </c>
      <c r="CA221" s="5">
        <f>IF(($D$217-16)&lt;1,NA(),INDEX($D$13:$AD$13,($D$217-16)))</f>
        <v>0</v>
      </c>
      <c r="CB221" s="5">
        <f>IF(($D$217-15)&lt;1,NA(),INDEX($D$13:$AD$13,($D$217-15)))</f>
        <v>0</v>
      </c>
      <c r="CC221" s="5">
        <f>IF(($D$217-14)&lt;1,NA(),INDEX($D$13:$AD$13,($D$217-14)))</f>
        <v>0</v>
      </c>
      <c r="CD221" s="5">
        <f>IF(($D$217-13)&lt;1,NA(),INDEX($D$13:$AD$13,($D$217-13)))</f>
        <v>0</v>
      </c>
      <c r="CE221" s="5">
        <f>IF(($D$217-12)&lt;1,NA(),INDEX($D$13:$AD$13,($D$217-12)))</f>
        <v>0</v>
      </c>
      <c r="CF221" s="5">
        <f>IF(($D$217-11)&lt;1,NA(),INDEX($D$13:$AD$13,($D$217-11)))</f>
        <v>0</v>
      </c>
      <c r="CG221" s="5">
        <f>IF(($D$217-10)&lt;1,NA(),INDEX($D$13:$AD$13,($D$217-10)))</f>
        <v>0</v>
      </c>
      <c r="CH221" s="5">
        <f>IF(($D$217-9)&lt;1,NA(),INDEX($D$13:$AD$13,($D$217-9)))</f>
        <v>0</v>
      </c>
      <c r="CI221" s="5">
        <f>IF(($D$217-8)&lt;1,NA(),INDEX($D$13:$AD$13,($D$217-8)))</f>
        <v>0</v>
      </c>
      <c r="CJ221" s="5">
        <f>IF(($D$217-7)&lt;1,NA(),INDEX($D$13:$AD$13,($D$217-7)))</f>
        <v>0</v>
      </c>
      <c r="CK221" s="5">
        <f>IF(($D$217-6)&lt;1,NA(),INDEX($D$13:$AD$13,($D$217-6)))</f>
        <v>0</v>
      </c>
      <c r="CL221" s="5">
        <f>IF(($D$217-5)&lt;1,NA(),INDEX($D$13:$AD$13,($D$217-5)))</f>
        <v>0</v>
      </c>
      <c r="CM221" s="5">
        <f>IF(($D$217-4)&lt;1,NA(),INDEX($D$13:$AD$13,($D$217-4)))</f>
        <v>0</v>
      </c>
      <c r="CN221" s="5">
        <f>IF(($D$217-3)&lt;1,NA(),INDEX($D$13:$AD$13,($D$217-3)))</f>
        <v>0</v>
      </c>
      <c r="CO221" s="5">
        <f>IF(($D$217-2)&lt;1,NA(),INDEX($D$13:$AD$13,($D$217-2)))</f>
        <v>0</v>
      </c>
      <c r="CP221" s="5">
        <f>IF(($D$217-1)&lt;1,NA(),INDEX($D$13:$AD$13,($D$217-1)))</f>
        <v>0</v>
      </c>
      <c r="CQ221" s="5">
        <f>IF(($D$217-0)&lt;1,NA(),INDEX($D$13:$AD$13,($D$217-0)))</f>
        <v>0</v>
      </c>
    </row>
    <row r="222" spans="1:95">
      <c r="A222" s="11" t="s">
        <v>511</v>
      </c>
      <c r="B222" s="11" t="s">
        <v>512</v>
      </c>
      <c r="C222" s="3" t="s">
        <v>137</v>
      </c>
      <c r="D222" s="5">
        <f>IF(MAX($D$223:$AD$223)=0,27,MAX($D$223:$AD$223))</f>
        <v>0</v>
      </c>
    </row>
    <row r="223" spans="1:95">
      <c r="A223" s="11" t="s">
        <v>513</v>
      </c>
      <c r="B223" s="11" t="s">
        <v>514</v>
      </c>
      <c r="C223" s="3" t="s">
        <v>137</v>
      </c>
      <c r="D223" s="5">
        <f>IF(OR(ISNUMBER(D14)),1,0)</f>
        <v>0</v>
      </c>
      <c r="E223" s="5">
        <f>IF(OR(ISNUMBER(E14)),2,0)</f>
        <v>0</v>
      </c>
      <c r="F223" s="5">
        <f>IF(OR(ISNUMBER(F14)),3,0)</f>
        <v>0</v>
      </c>
      <c r="G223" s="5">
        <f>IF(OR(ISNUMBER(G14)),4,0)</f>
        <v>0</v>
      </c>
      <c r="H223" s="5">
        <f>IF(OR(ISNUMBER(H14)),5,0)</f>
        <v>0</v>
      </c>
      <c r="I223" s="5">
        <f>IF(OR(ISNUMBER(I14)),6,0)</f>
        <v>0</v>
      </c>
      <c r="J223" s="5">
        <f>IF(OR(ISNUMBER(J14)),7,0)</f>
        <v>0</v>
      </c>
      <c r="K223" s="5">
        <f>IF(OR(ISNUMBER(K14)),8,0)</f>
        <v>0</v>
      </c>
      <c r="L223" s="5">
        <f>IF(OR(ISNUMBER(L14)),9,0)</f>
        <v>0</v>
      </c>
      <c r="M223" s="5">
        <f>IF(OR(ISNUMBER(M14)),10,0)</f>
        <v>0</v>
      </c>
      <c r="N223" s="5">
        <f>IF(OR(ISNUMBER(N14)),11,0)</f>
        <v>0</v>
      </c>
      <c r="O223" s="5">
        <f>IF(OR(ISNUMBER(O14)),12,0)</f>
        <v>0</v>
      </c>
      <c r="P223" s="5">
        <f>IF(OR(ISNUMBER(P14)),13,0)</f>
        <v>0</v>
      </c>
      <c r="Q223" s="5">
        <f>IF(OR(ISNUMBER(Q14)),14,0)</f>
        <v>0</v>
      </c>
      <c r="R223" s="5">
        <f>IF(OR(ISNUMBER(R14)),15,0)</f>
        <v>0</v>
      </c>
      <c r="S223" s="5">
        <f>IF(OR(ISNUMBER(S14)),16,0)</f>
        <v>0</v>
      </c>
      <c r="T223" s="5">
        <f>IF(OR(ISNUMBER(T14)),17,0)</f>
        <v>0</v>
      </c>
      <c r="U223" s="5">
        <f>IF(OR(ISNUMBER(U14)),18,0)</f>
        <v>0</v>
      </c>
      <c r="V223" s="5">
        <f>IF(OR(ISNUMBER(V14)),19,0)</f>
        <v>0</v>
      </c>
      <c r="W223" s="5">
        <f>IF(OR(ISNUMBER(W14)),20,0)</f>
        <v>0</v>
      </c>
      <c r="X223" s="5">
        <f>IF(OR(ISNUMBER(X14)),21,0)</f>
        <v>0</v>
      </c>
      <c r="Y223" s="5">
        <f>IF(OR(ISNUMBER(Y14)),22,0)</f>
        <v>0</v>
      </c>
      <c r="Z223" s="5">
        <f>IF(OR(ISNUMBER(Z14)),23,0)</f>
        <v>0</v>
      </c>
      <c r="AA223" s="5">
        <f>IF(OR(ISNUMBER(AA14)),24,0)</f>
        <v>0</v>
      </c>
      <c r="AB223" s="5">
        <f>IF(OR(ISNUMBER(AB14)),25,0)</f>
        <v>0</v>
      </c>
      <c r="AC223" s="5">
        <f>IF(OR(ISNUMBER(AC14)),26,0)</f>
        <v>0</v>
      </c>
      <c r="AD223" s="5">
        <f>IF(OR(ISNUMBER(AD14)),27,0)</f>
        <v>0</v>
      </c>
    </row>
    <row r="224" spans="1:95">
      <c r="A224" s="11" t="s">
        <v>515</v>
      </c>
      <c r="B224" s="11" t="s">
        <v>516</v>
      </c>
      <c r="C224" s="3" t="s">
        <v>397</v>
      </c>
      <c r="D224" s="80">
        <f>IF(MAX(IFERROR(N(INDEX(Wertstand!$A$157:$LJ$157,MATCH(INDEX($D$4:$AD$4,$D$222),RD_Kopf,0))),0))&gt;0,MAX(IFERROR(N(INDEX(Wertstand!$A$157:$LJ$157,MATCH(INDEX($D$4:$AD$4,$D$222),RD_Kopf,0))),0)),INDEX($D$4:$AD$4,$D$222))</f>
        <v>0</v>
      </c>
      <c r="E224" s="11">
        <f>"Stand: "&amp;TEXT(DAY($D$224),"00")&amp;"."&amp;TEXT(MONTH($D$224),"00")&amp;"."&amp;RIGHT(YEAR($D$224),2)</f>
        <v>0</v>
      </c>
      <c r="F224" s="11">
        <f>"Stand:"&amp;CHAR(10)&amp;TEXT(DAY($D$224),"00")&amp;"."&amp;TEXT(MONTH($D$224),"00")&amp;"."&amp;RIGHT(YEAR($D$224),2)</f>
        <v>0</v>
      </c>
    </row>
    <row r="225" spans="1:95">
      <c r="A225" s="11" t="s">
        <v>517</v>
      </c>
      <c r="B225" s="11" t="s">
        <v>518</v>
      </c>
      <c r="C225" s="3" t="s">
        <v>408</v>
      </c>
      <c r="BR225" s="11">
        <f>IF(($D$222-25)&lt;1,"",INDEX($D$3:$AD$3,($D$222-25)))</f>
        <v>0</v>
      </c>
      <c r="BS225" s="11">
        <f>IF(($D$222-24)&lt;1,"",INDEX($D$3:$AD$3,($D$222-24)))</f>
        <v>0</v>
      </c>
      <c r="BT225" s="11">
        <f>IF(($D$222-23)&lt;1,"",INDEX($D$3:$AD$3,($D$222-23)))</f>
        <v>0</v>
      </c>
      <c r="BU225" s="11">
        <f>IF(($D$222-22)&lt;1,"",INDEX($D$3:$AD$3,($D$222-22)))</f>
        <v>0</v>
      </c>
      <c r="BV225" s="11">
        <f>IF(($D$222-21)&lt;1,"",INDEX($D$3:$AD$3,($D$222-21)))</f>
        <v>0</v>
      </c>
      <c r="BW225" s="11">
        <f>IF(($D$222-20)&lt;1,"",INDEX($D$3:$AD$3,($D$222-20)))</f>
        <v>0</v>
      </c>
      <c r="BX225" s="11">
        <f>IF(($D$222-19)&lt;1,"",INDEX($D$3:$AD$3,($D$222-19)))</f>
        <v>0</v>
      </c>
      <c r="BY225" s="11">
        <f>IF(($D$222-18)&lt;1,"",INDEX($D$3:$AD$3,($D$222-18)))</f>
        <v>0</v>
      </c>
      <c r="BZ225" s="11">
        <f>IF(($D$222-17)&lt;1,"",INDEX($D$3:$AD$3,($D$222-17)))</f>
        <v>0</v>
      </c>
      <c r="CA225" s="11">
        <f>IF(($D$222-16)&lt;1,"",INDEX($D$3:$AD$3,($D$222-16)))</f>
        <v>0</v>
      </c>
      <c r="CB225" s="11">
        <f>IF(($D$222-15)&lt;1,"",INDEX($D$3:$AD$3,($D$222-15)))</f>
        <v>0</v>
      </c>
      <c r="CC225" s="11">
        <f>IF(($D$222-14)&lt;1,"",INDEX($D$3:$AD$3,($D$222-14)))</f>
        <v>0</v>
      </c>
      <c r="CD225" s="11">
        <f>IF(($D$222-13)&lt;1,"",INDEX($D$3:$AD$3,($D$222-13)))</f>
        <v>0</v>
      </c>
      <c r="CE225" s="11">
        <f>IF(($D$222-12)&lt;1,"",INDEX($D$3:$AD$3,($D$222-12)))</f>
        <v>0</v>
      </c>
      <c r="CF225" s="11">
        <f>IF(($D$222-11)&lt;1,"",INDEX($D$3:$AD$3,($D$222-11)))</f>
        <v>0</v>
      </c>
      <c r="CG225" s="11">
        <f>IF(($D$222-10)&lt;1,"",INDEX($D$3:$AD$3,($D$222-10)))</f>
        <v>0</v>
      </c>
      <c r="CH225" s="11">
        <f>IF(($D$222-9)&lt;1,"",INDEX($D$3:$AD$3,($D$222-9)))</f>
        <v>0</v>
      </c>
      <c r="CI225" s="11">
        <f>IF(($D$222-8)&lt;1,"",INDEX($D$3:$AD$3,($D$222-8)))</f>
        <v>0</v>
      </c>
      <c r="CJ225" s="11">
        <f>IF(($D$222-7)&lt;1,"",INDEX($D$3:$AD$3,($D$222-7)))</f>
        <v>0</v>
      </c>
      <c r="CK225" s="11">
        <f>IF(($D$222-6)&lt;1,"",INDEX($D$3:$AD$3,($D$222-6)))</f>
        <v>0</v>
      </c>
      <c r="CL225" s="11">
        <f>IF(($D$222-5)&lt;1,"",INDEX($D$3:$AD$3,($D$222-5)))</f>
        <v>0</v>
      </c>
      <c r="CM225" s="11">
        <f>IF(($D$222-4)&lt;1,"",INDEX($D$3:$AD$3,($D$222-4)))</f>
        <v>0</v>
      </c>
      <c r="CN225" s="11">
        <f>IF(($D$222-3)&lt;1,"",INDEX($D$3:$AD$3,($D$222-3)))</f>
        <v>0</v>
      </c>
      <c r="CO225" s="11">
        <f>IF(($D$222-2)&lt;1,"",INDEX($D$3:$AD$3,($D$222-2)))</f>
        <v>0</v>
      </c>
      <c r="CP225" s="11">
        <f>IF(($D$222-1)&lt;1,"",INDEX($D$3:$AD$3,($D$222-1)))</f>
        <v>0</v>
      </c>
      <c r="CQ225" s="11">
        <f>IF(($D$222-0)&lt;1,"",INDEX($D$3:$AD$3,($D$222-0)))</f>
        <v>0</v>
      </c>
    </row>
    <row r="226" spans="1:95">
      <c r="A226" s="11" t="s">
        <v>519</v>
      </c>
      <c r="B226" s="11" t="s">
        <v>520</v>
      </c>
      <c r="C226" s="3" t="s">
        <v>408</v>
      </c>
      <c r="BR226" s="5">
        <f>IF(($D$222-25)&lt;1,NA(),INDEX($D$14:$AD$14,($D$222-25)))</f>
        <v>0</v>
      </c>
      <c r="BS226" s="5">
        <f>IF(($D$222-24)&lt;1,NA(),INDEX($D$14:$AD$14,($D$222-24)))</f>
        <v>0</v>
      </c>
      <c r="BT226" s="5">
        <f>IF(($D$222-23)&lt;1,NA(),INDEX($D$14:$AD$14,($D$222-23)))</f>
        <v>0</v>
      </c>
      <c r="BU226" s="5">
        <f>IF(($D$222-22)&lt;1,NA(),INDEX($D$14:$AD$14,($D$222-22)))</f>
        <v>0</v>
      </c>
      <c r="BV226" s="5">
        <f>IF(($D$222-21)&lt;1,NA(),INDEX($D$14:$AD$14,($D$222-21)))</f>
        <v>0</v>
      </c>
      <c r="BW226" s="5">
        <f>IF(($D$222-20)&lt;1,NA(),INDEX($D$14:$AD$14,($D$222-20)))</f>
        <v>0</v>
      </c>
      <c r="BX226" s="5">
        <f>IF(($D$222-19)&lt;1,NA(),INDEX($D$14:$AD$14,($D$222-19)))</f>
        <v>0</v>
      </c>
      <c r="BY226" s="5">
        <f>IF(($D$222-18)&lt;1,NA(),INDEX($D$14:$AD$14,($D$222-18)))</f>
        <v>0</v>
      </c>
      <c r="BZ226" s="5">
        <f>IF(($D$222-17)&lt;1,NA(),INDEX($D$14:$AD$14,($D$222-17)))</f>
        <v>0</v>
      </c>
      <c r="CA226" s="5">
        <f>IF(($D$222-16)&lt;1,NA(),INDEX($D$14:$AD$14,($D$222-16)))</f>
        <v>0</v>
      </c>
      <c r="CB226" s="5">
        <f>IF(($D$222-15)&lt;1,NA(),INDEX($D$14:$AD$14,($D$222-15)))</f>
        <v>0</v>
      </c>
      <c r="CC226" s="5">
        <f>IF(($D$222-14)&lt;1,NA(),INDEX($D$14:$AD$14,($D$222-14)))</f>
        <v>0</v>
      </c>
      <c r="CD226" s="5">
        <f>IF(($D$222-13)&lt;1,NA(),INDEX($D$14:$AD$14,($D$222-13)))</f>
        <v>0</v>
      </c>
      <c r="CE226" s="5">
        <f>IF(($D$222-12)&lt;1,NA(),INDEX($D$14:$AD$14,($D$222-12)))</f>
        <v>0</v>
      </c>
      <c r="CF226" s="5">
        <f>IF(($D$222-11)&lt;1,NA(),INDEX($D$14:$AD$14,($D$222-11)))</f>
        <v>0</v>
      </c>
      <c r="CG226" s="5">
        <f>IF(($D$222-10)&lt;1,NA(),INDEX($D$14:$AD$14,($D$222-10)))</f>
        <v>0</v>
      </c>
      <c r="CH226" s="5">
        <f>IF(($D$222-9)&lt;1,NA(),INDEX($D$14:$AD$14,($D$222-9)))</f>
        <v>0</v>
      </c>
      <c r="CI226" s="5">
        <f>IF(($D$222-8)&lt;1,NA(),INDEX($D$14:$AD$14,($D$222-8)))</f>
        <v>0</v>
      </c>
      <c r="CJ226" s="5">
        <f>IF(($D$222-7)&lt;1,NA(),INDEX($D$14:$AD$14,($D$222-7)))</f>
        <v>0</v>
      </c>
      <c r="CK226" s="5">
        <f>IF(($D$222-6)&lt;1,NA(),INDEX($D$14:$AD$14,($D$222-6)))</f>
        <v>0</v>
      </c>
      <c r="CL226" s="5">
        <f>IF(($D$222-5)&lt;1,NA(),INDEX($D$14:$AD$14,($D$222-5)))</f>
        <v>0</v>
      </c>
      <c r="CM226" s="5">
        <f>IF(($D$222-4)&lt;1,NA(),INDEX($D$14:$AD$14,($D$222-4)))</f>
        <v>0</v>
      </c>
      <c r="CN226" s="5">
        <f>IF(($D$222-3)&lt;1,NA(),INDEX($D$14:$AD$14,($D$222-3)))</f>
        <v>0</v>
      </c>
      <c r="CO226" s="5">
        <f>IF(($D$222-2)&lt;1,NA(),INDEX($D$14:$AD$14,($D$222-2)))</f>
        <v>0</v>
      </c>
      <c r="CP226" s="5">
        <f>IF(($D$222-1)&lt;1,NA(),INDEX($D$14:$AD$14,($D$222-1)))</f>
        <v>0</v>
      </c>
      <c r="CQ226" s="5">
        <f>IF(($D$222-0)&lt;1,NA(),INDEX($D$14:$AD$14,($D$222-0)))</f>
        <v>0</v>
      </c>
    </row>
    <row r="227" spans="1:95">
      <c r="A227" s="11" t="s">
        <v>521</v>
      </c>
      <c r="B227" s="11" t="s">
        <v>522</v>
      </c>
      <c r="C227" s="3" t="s">
        <v>137</v>
      </c>
      <c r="D227" s="5">
        <f>IF(MAX($D$228:$AD$228)=0,27,MAX($D$228:$AD$228))</f>
        <v>0</v>
      </c>
    </row>
    <row r="228" spans="1:95">
      <c r="A228" s="11" t="s">
        <v>523</v>
      </c>
      <c r="B228" s="11" t="s">
        <v>524</v>
      </c>
      <c r="C228" s="3" t="s">
        <v>137</v>
      </c>
      <c r="D228" s="5">
        <f>IF(OR(ISNUMBER(D140)),1,0)</f>
        <v>0</v>
      </c>
      <c r="E228" s="5">
        <f>IF(OR(ISNUMBER(E140)),2,0)</f>
        <v>0</v>
      </c>
      <c r="F228" s="5">
        <f>IF(OR(ISNUMBER(F140)),3,0)</f>
        <v>0</v>
      </c>
      <c r="G228" s="5">
        <f>IF(OR(ISNUMBER(G140)),4,0)</f>
        <v>0</v>
      </c>
      <c r="H228" s="5">
        <f>IF(OR(ISNUMBER(H140)),5,0)</f>
        <v>0</v>
      </c>
      <c r="I228" s="5">
        <f>IF(OR(ISNUMBER(I140)),6,0)</f>
        <v>0</v>
      </c>
      <c r="J228" s="5">
        <f>IF(OR(ISNUMBER(J140)),7,0)</f>
        <v>0</v>
      </c>
      <c r="K228" s="5">
        <f>IF(OR(ISNUMBER(K140)),8,0)</f>
        <v>0</v>
      </c>
      <c r="L228" s="5">
        <f>IF(OR(ISNUMBER(L140)),9,0)</f>
        <v>0</v>
      </c>
      <c r="M228" s="5">
        <f>IF(OR(ISNUMBER(M140)),10,0)</f>
        <v>0</v>
      </c>
      <c r="N228" s="5">
        <f>IF(OR(ISNUMBER(N140)),11,0)</f>
        <v>0</v>
      </c>
      <c r="O228" s="5">
        <f>IF(OR(ISNUMBER(O140)),12,0)</f>
        <v>0</v>
      </c>
      <c r="P228" s="5">
        <f>IF(OR(ISNUMBER(P140)),13,0)</f>
        <v>0</v>
      </c>
      <c r="Q228" s="5">
        <f>IF(OR(ISNUMBER(Q140)),14,0)</f>
        <v>0</v>
      </c>
      <c r="R228" s="5">
        <f>IF(OR(ISNUMBER(R140)),15,0)</f>
        <v>0</v>
      </c>
      <c r="S228" s="5">
        <f>IF(OR(ISNUMBER(S140)),16,0)</f>
        <v>0</v>
      </c>
      <c r="T228" s="5">
        <f>IF(OR(ISNUMBER(T140)),17,0)</f>
        <v>0</v>
      </c>
      <c r="U228" s="5">
        <f>IF(OR(ISNUMBER(U140)),18,0)</f>
        <v>0</v>
      </c>
      <c r="V228" s="5">
        <f>IF(OR(ISNUMBER(V140)),19,0)</f>
        <v>0</v>
      </c>
      <c r="W228" s="5">
        <f>IF(OR(ISNUMBER(W140)),20,0)</f>
        <v>0</v>
      </c>
      <c r="X228" s="5">
        <f>IF(OR(ISNUMBER(X140)),21,0)</f>
        <v>0</v>
      </c>
      <c r="Y228" s="5">
        <f>IF(OR(ISNUMBER(Y140)),22,0)</f>
        <v>0</v>
      </c>
      <c r="Z228" s="5">
        <f>IF(OR(ISNUMBER(Z140)),23,0)</f>
        <v>0</v>
      </c>
      <c r="AA228" s="5">
        <f>IF(OR(ISNUMBER(AA140)),24,0)</f>
        <v>0</v>
      </c>
      <c r="AB228" s="5">
        <f>IF(OR(ISNUMBER(AB140)),25,0)</f>
        <v>0</v>
      </c>
      <c r="AC228" s="5">
        <f>IF(OR(ISNUMBER(AC140)),26,0)</f>
        <v>0</v>
      </c>
      <c r="AD228" s="5">
        <f>IF(OR(ISNUMBER(AD140)),27,0)</f>
        <v>0</v>
      </c>
    </row>
    <row r="229" spans="1:95">
      <c r="A229" s="11" t="s">
        <v>525</v>
      </c>
      <c r="B229" s="11" t="s">
        <v>526</v>
      </c>
      <c r="C229" s="3" t="s">
        <v>397</v>
      </c>
      <c r="D229" s="80">
        <f>IF(MAX(IFERROR(N(INDEX(Wertstand!$A$64:$LJ$64,MATCH(INDEX($D$4:$AD$4,$D$227),RD_Kopf,0))),0))&gt;0,MAX(IFERROR(N(INDEX(Wertstand!$A$64:$LJ$64,MATCH(INDEX($D$4:$AD$4,$D$227),RD_Kopf,0))),0)),INDEX($D$4:$AD$4,$D$227))</f>
        <v>0</v>
      </c>
      <c r="E229" s="11">
        <f>"Stand: "&amp;TEXT(DAY($D$229),"00")&amp;"."&amp;TEXT(MONTH($D$229),"00")&amp;"."&amp;RIGHT(YEAR($D$229),2)</f>
        <v>0</v>
      </c>
      <c r="F229" s="11">
        <f>"Stand:"&amp;CHAR(10)&amp;TEXT(DAY($D$229),"00")&amp;"."&amp;TEXT(MONTH($D$229),"00")&amp;"."&amp;RIGHT(YEAR($D$229),2)</f>
        <v>0</v>
      </c>
    </row>
    <row r="230" spans="1:95">
      <c r="A230" s="11" t="s">
        <v>527</v>
      </c>
      <c r="B230" s="11" t="s">
        <v>528</v>
      </c>
      <c r="C230" s="3" t="s">
        <v>408</v>
      </c>
      <c r="BR230" s="11">
        <f>IF(($D$227-25)&lt;1,"",INDEX($D$3:$AD$3,($D$227-25)))</f>
        <v>0</v>
      </c>
      <c r="BS230" s="11">
        <f>IF(($D$227-24)&lt;1,"",INDEX($D$3:$AD$3,($D$227-24)))</f>
        <v>0</v>
      </c>
      <c r="BT230" s="11">
        <f>IF(($D$227-23)&lt;1,"",INDEX($D$3:$AD$3,($D$227-23)))</f>
        <v>0</v>
      </c>
      <c r="BU230" s="11">
        <f>IF(($D$227-22)&lt;1,"",INDEX($D$3:$AD$3,($D$227-22)))</f>
        <v>0</v>
      </c>
      <c r="BV230" s="11">
        <f>IF(($D$227-21)&lt;1,"",INDEX($D$3:$AD$3,($D$227-21)))</f>
        <v>0</v>
      </c>
      <c r="BW230" s="11">
        <f>IF(($D$227-20)&lt;1,"",INDEX($D$3:$AD$3,($D$227-20)))</f>
        <v>0</v>
      </c>
      <c r="BX230" s="11">
        <f>IF(($D$227-19)&lt;1,"",INDEX($D$3:$AD$3,($D$227-19)))</f>
        <v>0</v>
      </c>
      <c r="BY230" s="11">
        <f>IF(($D$227-18)&lt;1,"",INDEX($D$3:$AD$3,($D$227-18)))</f>
        <v>0</v>
      </c>
      <c r="BZ230" s="11">
        <f>IF(($D$227-17)&lt;1,"",INDEX($D$3:$AD$3,($D$227-17)))</f>
        <v>0</v>
      </c>
      <c r="CA230" s="11">
        <f>IF(($D$227-16)&lt;1,"",INDEX($D$3:$AD$3,($D$227-16)))</f>
        <v>0</v>
      </c>
      <c r="CB230" s="11">
        <f>IF(($D$227-15)&lt;1,"",INDEX($D$3:$AD$3,($D$227-15)))</f>
        <v>0</v>
      </c>
      <c r="CC230" s="11">
        <f>IF(($D$227-14)&lt;1,"",INDEX($D$3:$AD$3,($D$227-14)))</f>
        <v>0</v>
      </c>
      <c r="CD230" s="11">
        <f>IF(($D$227-13)&lt;1,"",INDEX($D$3:$AD$3,($D$227-13)))</f>
        <v>0</v>
      </c>
      <c r="CE230" s="11">
        <f>IF(($D$227-12)&lt;1,"",INDEX($D$3:$AD$3,($D$227-12)))</f>
        <v>0</v>
      </c>
      <c r="CF230" s="11">
        <f>IF(($D$227-11)&lt;1,"",INDEX($D$3:$AD$3,($D$227-11)))</f>
        <v>0</v>
      </c>
      <c r="CG230" s="11">
        <f>IF(($D$227-10)&lt;1,"",INDEX($D$3:$AD$3,($D$227-10)))</f>
        <v>0</v>
      </c>
      <c r="CH230" s="11">
        <f>IF(($D$227-9)&lt;1,"",INDEX($D$3:$AD$3,($D$227-9)))</f>
        <v>0</v>
      </c>
      <c r="CI230" s="11">
        <f>IF(($D$227-8)&lt;1,"",INDEX($D$3:$AD$3,($D$227-8)))</f>
        <v>0</v>
      </c>
      <c r="CJ230" s="11">
        <f>IF(($D$227-7)&lt;1,"",INDEX($D$3:$AD$3,($D$227-7)))</f>
        <v>0</v>
      </c>
      <c r="CK230" s="11">
        <f>IF(($D$227-6)&lt;1,"",INDEX($D$3:$AD$3,($D$227-6)))</f>
        <v>0</v>
      </c>
      <c r="CL230" s="11">
        <f>IF(($D$227-5)&lt;1,"",INDEX($D$3:$AD$3,($D$227-5)))</f>
        <v>0</v>
      </c>
      <c r="CM230" s="11">
        <f>IF(($D$227-4)&lt;1,"",INDEX($D$3:$AD$3,($D$227-4)))</f>
        <v>0</v>
      </c>
      <c r="CN230" s="11">
        <f>IF(($D$227-3)&lt;1,"",INDEX($D$3:$AD$3,($D$227-3)))</f>
        <v>0</v>
      </c>
      <c r="CO230" s="11">
        <f>IF(($D$227-2)&lt;1,"",INDEX($D$3:$AD$3,($D$227-2)))</f>
        <v>0</v>
      </c>
      <c r="CP230" s="11">
        <f>IF(($D$227-1)&lt;1,"",INDEX($D$3:$AD$3,($D$227-1)))</f>
        <v>0</v>
      </c>
      <c r="CQ230" s="11">
        <f>IF(($D$227-0)&lt;1,"",INDEX($D$3:$AD$3,($D$227-0)))</f>
        <v>0</v>
      </c>
    </row>
    <row r="231" spans="1:95">
      <c r="A231" s="11" t="s">
        <v>529</v>
      </c>
      <c r="B231" s="11" t="s">
        <v>530</v>
      </c>
      <c r="C231" s="3" t="s">
        <v>408</v>
      </c>
      <c r="BR231" s="5">
        <f>IF(($D$227-25)&lt;1,NA(),INDEX($D$140:$AD$140,($D$227-25)))</f>
        <v>0</v>
      </c>
      <c r="BS231" s="5">
        <f>IF(($D$227-24)&lt;1,NA(),INDEX($D$140:$AD$140,($D$227-24)))</f>
        <v>0</v>
      </c>
      <c r="BT231" s="5">
        <f>IF(($D$227-23)&lt;1,NA(),INDEX($D$140:$AD$140,($D$227-23)))</f>
        <v>0</v>
      </c>
      <c r="BU231" s="5">
        <f>IF(($D$227-22)&lt;1,NA(),INDEX($D$140:$AD$140,($D$227-22)))</f>
        <v>0</v>
      </c>
      <c r="BV231" s="5">
        <f>IF(($D$227-21)&lt;1,NA(),INDEX($D$140:$AD$140,($D$227-21)))</f>
        <v>0</v>
      </c>
      <c r="BW231" s="5">
        <f>IF(($D$227-20)&lt;1,NA(),INDEX($D$140:$AD$140,($D$227-20)))</f>
        <v>0</v>
      </c>
      <c r="BX231" s="5">
        <f>IF(($D$227-19)&lt;1,NA(),INDEX($D$140:$AD$140,($D$227-19)))</f>
        <v>0</v>
      </c>
      <c r="BY231" s="5">
        <f>IF(($D$227-18)&lt;1,NA(),INDEX($D$140:$AD$140,($D$227-18)))</f>
        <v>0</v>
      </c>
      <c r="BZ231" s="5">
        <f>IF(($D$227-17)&lt;1,NA(),INDEX($D$140:$AD$140,($D$227-17)))</f>
        <v>0</v>
      </c>
      <c r="CA231" s="5">
        <f>IF(($D$227-16)&lt;1,NA(),INDEX($D$140:$AD$140,($D$227-16)))</f>
        <v>0</v>
      </c>
      <c r="CB231" s="5">
        <f>IF(($D$227-15)&lt;1,NA(),INDEX($D$140:$AD$140,($D$227-15)))</f>
        <v>0</v>
      </c>
      <c r="CC231" s="5">
        <f>IF(($D$227-14)&lt;1,NA(),INDEX($D$140:$AD$140,($D$227-14)))</f>
        <v>0</v>
      </c>
      <c r="CD231" s="5">
        <f>IF(($D$227-13)&lt;1,NA(),INDEX($D$140:$AD$140,($D$227-13)))</f>
        <v>0</v>
      </c>
      <c r="CE231" s="5">
        <f>IF(($D$227-12)&lt;1,NA(),INDEX($D$140:$AD$140,($D$227-12)))</f>
        <v>0</v>
      </c>
      <c r="CF231" s="5">
        <f>IF(($D$227-11)&lt;1,NA(),INDEX($D$140:$AD$140,($D$227-11)))</f>
        <v>0</v>
      </c>
      <c r="CG231" s="5">
        <f>IF(($D$227-10)&lt;1,NA(),INDEX($D$140:$AD$140,($D$227-10)))</f>
        <v>0</v>
      </c>
      <c r="CH231" s="5">
        <f>IF(($D$227-9)&lt;1,NA(),INDEX($D$140:$AD$140,($D$227-9)))</f>
        <v>0</v>
      </c>
      <c r="CI231" s="5">
        <f>IF(($D$227-8)&lt;1,NA(),INDEX($D$140:$AD$140,($D$227-8)))</f>
        <v>0</v>
      </c>
      <c r="CJ231" s="5">
        <f>IF(($D$227-7)&lt;1,NA(),INDEX($D$140:$AD$140,($D$227-7)))</f>
        <v>0</v>
      </c>
      <c r="CK231" s="5">
        <f>IF(($D$227-6)&lt;1,NA(),INDEX($D$140:$AD$140,($D$227-6)))</f>
        <v>0</v>
      </c>
      <c r="CL231" s="5">
        <f>IF(($D$227-5)&lt;1,NA(),INDEX($D$140:$AD$140,($D$227-5)))</f>
        <v>0</v>
      </c>
      <c r="CM231" s="5">
        <f>IF(($D$227-4)&lt;1,NA(),INDEX($D$140:$AD$140,($D$227-4)))</f>
        <v>0</v>
      </c>
      <c r="CN231" s="5">
        <f>IF(($D$227-3)&lt;1,NA(),INDEX($D$140:$AD$140,($D$227-3)))</f>
        <v>0</v>
      </c>
      <c r="CO231" s="5">
        <f>IF(($D$227-2)&lt;1,NA(),INDEX($D$140:$AD$140,($D$227-2)))</f>
        <v>0</v>
      </c>
      <c r="CP231" s="5">
        <f>IF(($D$227-1)&lt;1,NA(),INDEX($D$140:$AD$140,($D$227-1)))</f>
        <v>0</v>
      </c>
      <c r="CQ231" s="5">
        <f>IF(($D$227-0)&lt;1,NA(),INDEX($D$140:$AD$140,($D$227-0)))</f>
        <v>0</v>
      </c>
    </row>
    <row r="232" spans="1:95">
      <c r="A232" s="11" t="s">
        <v>531</v>
      </c>
      <c r="B232" s="11" t="s">
        <v>532</v>
      </c>
      <c r="C232" s="3" t="s">
        <v>137</v>
      </c>
      <c r="D232" s="5">
        <f>IF(MAX($D$233:$AD$233)=0,27,MAX($D$233:$AD$233))</f>
        <v>0</v>
      </c>
    </row>
    <row r="233" spans="1:95">
      <c r="A233" s="11" t="s">
        <v>533</v>
      </c>
      <c r="B233" s="11" t="s">
        <v>534</v>
      </c>
      <c r="C233" s="3" t="s">
        <v>137</v>
      </c>
      <c r="D233" s="5">
        <f>IF(OR(ISNUMBER(D141),ISNUMBER(D17),ISNUMBER(D18),ISNUMBER(D19)),1,0)</f>
        <v>0</v>
      </c>
      <c r="E233" s="5">
        <f>IF(OR(ISNUMBER(E141),ISNUMBER(E17),ISNUMBER(E18),ISNUMBER(E19)),2,0)</f>
        <v>0</v>
      </c>
      <c r="F233" s="5">
        <f>IF(OR(ISNUMBER(F141),ISNUMBER(F17),ISNUMBER(F18),ISNUMBER(F19)),3,0)</f>
        <v>0</v>
      </c>
      <c r="G233" s="5">
        <f>IF(OR(ISNUMBER(G141),ISNUMBER(G17),ISNUMBER(G18),ISNUMBER(G19)),4,0)</f>
        <v>0</v>
      </c>
      <c r="H233" s="5">
        <f>IF(OR(ISNUMBER(H141),ISNUMBER(H17),ISNUMBER(H18),ISNUMBER(H19)),5,0)</f>
        <v>0</v>
      </c>
      <c r="I233" s="5">
        <f>IF(OR(ISNUMBER(I141),ISNUMBER(I17),ISNUMBER(I18),ISNUMBER(I19)),6,0)</f>
        <v>0</v>
      </c>
      <c r="J233" s="5">
        <f>IF(OR(ISNUMBER(J141),ISNUMBER(J17),ISNUMBER(J18),ISNUMBER(J19)),7,0)</f>
        <v>0</v>
      </c>
      <c r="K233" s="5">
        <f>IF(OR(ISNUMBER(K141),ISNUMBER(K17),ISNUMBER(K18),ISNUMBER(K19)),8,0)</f>
        <v>0</v>
      </c>
      <c r="L233" s="5">
        <f>IF(OR(ISNUMBER(L141),ISNUMBER(L17),ISNUMBER(L18),ISNUMBER(L19)),9,0)</f>
        <v>0</v>
      </c>
      <c r="M233" s="5">
        <f>IF(OR(ISNUMBER(M141),ISNUMBER(M17),ISNUMBER(M18),ISNUMBER(M19)),10,0)</f>
        <v>0</v>
      </c>
      <c r="N233" s="5">
        <f>IF(OR(ISNUMBER(N141),ISNUMBER(N17),ISNUMBER(N18),ISNUMBER(N19)),11,0)</f>
        <v>0</v>
      </c>
      <c r="O233" s="5">
        <f>IF(OR(ISNUMBER(O141),ISNUMBER(O17),ISNUMBER(O18),ISNUMBER(O19)),12,0)</f>
        <v>0</v>
      </c>
      <c r="P233" s="5">
        <f>IF(OR(ISNUMBER(P141),ISNUMBER(P17),ISNUMBER(P18),ISNUMBER(P19)),13,0)</f>
        <v>0</v>
      </c>
      <c r="Q233" s="5">
        <f>IF(OR(ISNUMBER(Q141),ISNUMBER(Q17),ISNUMBER(Q18),ISNUMBER(Q19)),14,0)</f>
        <v>0</v>
      </c>
      <c r="R233" s="5">
        <f>IF(OR(ISNUMBER(R141),ISNUMBER(R17),ISNUMBER(R18),ISNUMBER(R19)),15,0)</f>
        <v>0</v>
      </c>
      <c r="S233" s="5">
        <f>IF(OR(ISNUMBER(S141),ISNUMBER(S17),ISNUMBER(S18),ISNUMBER(S19)),16,0)</f>
        <v>0</v>
      </c>
      <c r="T233" s="5">
        <f>IF(OR(ISNUMBER(T141),ISNUMBER(T17),ISNUMBER(T18),ISNUMBER(T19)),17,0)</f>
        <v>0</v>
      </c>
      <c r="U233" s="5">
        <f>IF(OR(ISNUMBER(U141),ISNUMBER(U17),ISNUMBER(U18),ISNUMBER(U19)),18,0)</f>
        <v>0</v>
      </c>
      <c r="V233" s="5">
        <f>IF(OR(ISNUMBER(V141),ISNUMBER(V17),ISNUMBER(V18),ISNUMBER(V19)),19,0)</f>
        <v>0</v>
      </c>
      <c r="W233" s="5">
        <f>IF(OR(ISNUMBER(W141),ISNUMBER(W17),ISNUMBER(W18),ISNUMBER(W19)),20,0)</f>
        <v>0</v>
      </c>
      <c r="X233" s="5">
        <f>IF(OR(ISNUMBER(X141),ISNUMBER(X17),ISNUMBER(X18),ISNUMBER(X19)),21,0)</f>
        <v>0</v>
      </c>
      <c r="Y233" s="5">
        <f>IF(OR(ISNUMBER(Y141),ISNUMBER(Y17),ISNUMBER(Y18),ISNUMBER(Y19)),22,0)</f>
        <v>0</v>
      </c>
      <c r="Z233" s="5">
        <f>IF(OR(ISNUMBER(Z141),ISNUMBER(Z17),ISNUMBER(Z18),ISNUMBER(Z19)),23,0)</f>
        <v>0</v>
      </c>
      <c r="AA233" s="5">
        <f>IF(OR(ISNUMBER(AA141),ISNUMBER(AA17),ISNUMBER(AA18),ISNUMBER(AA19)),24,0)</f>
        <v>0</v>
      </c>
      <c r="AB233" s="5">
        <f>IF(OR(ISNUMBER(AB141),ISNUMBER(AB17),ISNUMBER(AB18),ISNUMBER(AB19)),25,0)</f>
        <v>0</v>
      </c>
      <c r="AC233" s="5">
        <f>IF(OR(ISNUMBER(AC141),ISNUMBER(AC17),ISNUMBER(AC18),ISNUMBER(AC19)),26,0)</f>
        <v>0</v>
      </c>
      <c r="AD233" s="5">
        <f>IF(OR(ISNUMBER(AD141),ISNUMBER(AD17),ISNUMBER(AD18),ISNUMBER(AD19)),27,0)</f>
        <v>0</v>
      </c>
    </row>
    <row r="234" spans="1:95">
      <c r="A234" s="11" t="s">
        <v>535</v>
      </c>
      <c r="B234" s="11" t="s">
        <v>536</v>
      </c>
      <c r="C234" s="3" t="s">
        <v>397</v>
      </c>
      <c r="D234" s="80">
        <f>IF(MAX(IFERROR(N(INDEX(Wertstand!$A$142:$LJ$142,MATCH(INDEX($D$4:$AD$4,$D$232),RD_Kopf,0))),0),IFERROR(N(INDEX(Wertstand!$A$143:$LJ$143,MATCH(INDEX($D$4:$AD$4,$D$232),RD_Kopf,0))),0),IFERROR(N(INDEX(Wertstand!$A$144:$LJ$144,MATCH(INDEX($D$4:$AD$4,$D$232),RD_Kopf,0))),0),IFERROR(N(INDEX(Wertstand!$A$145:$LJ$145,MATCH(INDEX($D$4:$AD$4,$D$232),RD_Kopf,0))),0))&gt;0,MAX(IFERROR(N(INDEX(Wertstand!$A$142:$LJ$142,MATCH(INDEX($D$4:$AD$4,$D$232),RD_Kopf,0))),0),IFERROR(N(INDEX(Wertstand!$A$143:$LJ$143,MATCH(INDEX($D$4:$AD$4,$D$232),RD_Kopf,0))),0),IFERROR(N(INDEX(Wertstand!$A$144:$LJ$144,MATCH(INDEX($D$4:$AD$4,$D$232),RD_Kopf,0))),0),IFERROR(N(INDEX(Wertstand!$A$145:$LJ$145,MATCH(INDEX($D$4:$AD$4,$D$232),RD_Kopf,0))),0)),INDEX($D$4:$AD$4,$D$232))</f>
        <v>0</v>
      </c>
      <c r="E234" s="11">
        <f>"Stand: "&amp;TEXT(DAY($D$234),"00")&amp;"."&amp;TEXT(MONTH($D$234),"00")&amp;"."&amp;RIGHT(YEAR($D$234),2)</f>
        <v>0</v>
      </c>
      <c r="F234" s="11">
        <f>"Stand:"&amp;CHAR(10)&amp;TEXT(DAY($D$234),"00")&amp;"."&amp;TEXT(MONTH($D$234),"00")&amp;"."&amp;RIGHT(YEAR($D$234),2)</f>
        <v>0</v>
      </c>
    </row>
    <row r="235" spans="1:95">
      <c r="A235" s="11" t="s">
        <v>537</v>
      </c>
      <c r="B235" s="11" t="s">
        <v>538</v>
      </c>
      <c r="C235" s="3" t="s">
        <v>408</v>
      </c>
      <c r="BR235" s="11">
        <f>IF(($D$232-25)&lt;1,"",INDEX($D$3:$AD$3,($D$232-25)))</f>
        <v>0</v>
      </c>
      <c r="BS235" s="11">
        <f>IF(($D$232-24)&lt;1,"",INDEX($D$3:$AD$3,($D$232-24)))</f>
        <v>0</v>
      </c>
      <c r="BT235" s="11">
        <f>IF(($D$232-23)&lt;1,"",INDEX($D$3:$AD$3,($D$232-23)))</f>
        <v>0</v>
      </c>
      <c r="BU235" s="11">
        <f>IF(($D$232-22)&lt;1,"",INDEX($D$3:$AD$3,($D$232-22)))</f>
        <v>0</v>
      </c>
      <c r="BV235" s="11">
        <f>IF(($D$232-21)&lt;1,"",INDEX($D$3:$AD$3,($D$232-21)))</f>
        <v>0</v>
      </c>
      <c r="BW235" s="11">
        <f>IF(($D$232-20)&lt;1,"",INDEX($D$3:$AD$3,($D$232-20)))</f>
        <v>0</v>
      </c>
      <c r="BX235" s="11">
        <f>IF(($D$232-19)&lt;1,"",INDEX($D$3:$AD$3,($D$232-19)))</f>
        <v>0</v>
      </c>
      <c r="BY235" s="11">
        <f>IF(($D$232-18)&lt;1,"",INDEX($D$3:$AD$3,($D$232-18)))</f>
        <v>0</v>
      </c>
      <c r="BZ235" s="11">
        <f>IF(($D$232-17)&lt;1,"",INDEX($D$3:$AD$3,($D$232-17)))</f>
        <v>0</v>
      </c>
      <c r="CA235" s="11">
        <f>IF(($D$232-16)&lt;1,"",INDEX($D$3:$AD$3,($D$232-16)))</f>
        <v>0</v>
      </c>
      <c r="CB235" s="11">
        <f>IF(($D$232-15)&lt;1,"",INDEX($D$3:$AD$3,($D$232-15)))</f>
        <v>0</v>
      </c>
      <c r="CC235" s="11">
        <f>IF(($D$232-14)&lt;1,"",INDEX($D$3:$AD$3,($D$232-14)))</f>
        <v>0</v>
      </c>
      <c r="CD235" s="11">
        <f>IF(($D$232-13)&lt;1,"",INDEX($D$3:$AD$3,($D$232-13)))</f>
        <v>0</v>
      </c>
      <c r="CE235" s="11">
        <f>IF(($D$232-12)&lt;1,"",INDEX($D$3:$AD$3,($D$232-12)))</f>
        <v>0</v>
      </c>
      <c r="CF235" s="11">
        <f>IF(($D$232-11)&lt;1,"",INDEX($D$3:$AD$3,($D$232-11)))</f>
        <v>0</v>
      </c>
      <c r="CG235" s="11">
        <f>IF(($D$232-10)&lt;1,"",INDEX($D$3:$AD$3,($D$232-10)))</f>
        <v>0</v>
      </c>
      <c r="CH235" s="11">
        <f>IF(($D$232-9)&lt;1,"",INDEX($D$3:$AD$3,($D$232-9)))</f>
        <v>0</v>
      </c>
      <c r="CI235" s="11">
        <f>IF(($D$232-8)&lt;1,"",INDEX($D$3:$AD$3,($D$232-8)))</f>
        <v>0</v>
      </c>
      <c r="CJ235" s="11">
        <f>IF(($D$232-7)&lt;1,"",INDEX($D$3:$AD$3,($D$232-7)))</f>
        <v>0</v>
      </c>
      <c r="CK235" s="11">
        <f>IF(($D$232-6)&lt;1,"",INDEX($D$3:$AD$3,($D$232-6)))</f>
        <v>0</v>
      </c>
      <c r="CL235" s="11">
        <f>IF(($D$232-5)&lt;1,"",INDEX($D$3:$AD$3,($D$232-5)))</f>
        <v>0</v>
      </c>
      <c r="CM235" s="11">
        <f>IF(($D$232-4)&lt;1,"",INDEX($D$3:$AD$3,($D$232-4)))</f>
        <v>0</v>
      </c>
      <c r="CN235" s="11">
        <f>IF(($D$232-3)&lt;1,"",INDEX($D$3:$AD$3,($D$232-3)))</f>
        <v>0</v>
      </c>
      <c r="CO235" s="11">
        <f>IF(($D$232-2)&lt;1,"",INDEX($D$3:$AD$3,($D$232-2)))</f>
        <v>0</v>
      </c>
      <c r="CP235" s="11">
        <f>IF(($D$232-1)&lt;1,"",INDEX($D$3:$AD$3,($D$232-1)))</f>
        <v>0</v>
      </c>
      <c r="CQ235" s="11">
        <f>IF(($D$232-0)&lt;1,"",INDEX($D$3:$AD$3,($D$232-0)))</f>
        <v>0</v>
      </c>
    </row>
    <row r="236" spans="1:95">
      <c r="A236" s="11" t="s">
        <v>539</v>
      </c>
      <c r="B236" s="11" t="s">
        <v>540</v>
      </c>
      <c r="C236" s="3" t="s">
        <v>408</v>
      </c>
      <c r="BR236" s="5">
        <f>IF(($D$232-25)&lt;1,NA(),INDEX($D$141:$AD$141,($D$232-25)))</f>
        <v>0</v>
      </c>
      <c r="BS236" s="5">
        <f>IF(($D$232-24)&lt;1,NA(),INDEX($D$141:$AD$141,($D$232-24)))</f>
        <v>0</v>
      </c>
      <c r="BT236" s="5">
        <f>IF(($D$232-23)&lt;1,NA(),INDEX($D$141:$AD$141,($D$232-23)))</f>
        <v>0</v>
      </c>
      <c r="BU236" s="5">
        <f>IF(($D$232-22)&lt;1,NA(),INDEX($D$141:$AD$141,($D$232-22)))</f>
        <v>0</v>
      </c>
      <c r="BV236" s="5">
        <f>IF(($D$232-21)&lt;1,NA(),INDEX($D$141:$AD$141,($D$232-21)))</f>
        <v>0</v>
      </c>
      <c r="BW236" s="5">
        <f>IF(($D$232-20)&lt;1,NA(),INDEX($D$141:$AD$141,($D$232-20)))</f>
        <v>0</v>
      </c>
      <c r="BX236" s="5">
        <f>IF(($D$232-19)&lt;1,NA(),INDEX($D$141:$AD$141,($D$232-19)))</f>
        <v>0</v>
      </c>
      <c r="BY236" s="5">
        <f>IF(($D$232-18)&lt;1,NA(),INDEX($D$141:$AD$141,($D$232-18)))</f>
        <v>0</v>
      </c>
      <c r="BZ236" s="5">
        <f>IF(($D$232-17)&lt;1,NA(),INDEX($D$141:$AD$141,($D$232-17)))</f>
        <v>0</v>
      </c>
      <c r="CA236" s="5">
        <f>IF(($D$232-16)&lt;1,NA(),INDEX($D$141:$AD$141,($D$232-16)))</f>
        <v>0</v>
      </c>
      <c r="CB236" s="5">
        <f>IF(($D$232-15)&lt;1,NA(),INDEX($D$141:$AD$141,($D$232-15)))</f>
        <v>0</v>
      </c>
      <c r="CC236" s="5">
        <f>IF(($D$232-14)&lt;1,NA(),INDEX($D$141:$AD$141,($D$232-14)))</f>
        <v>0</v>
      </c>
      <c r="CD236" s="5">
        <f>IF(($D$232-13)&lt;1,NA(),INDEX($D$141:$AD$141,($D$232-13)))</f>
        <v>0</v>
      </c>
      <c r="CE236" s="5">
        <f>IF(($D$232-12)&lt;1,NA(),INDEX($D$141:$AD$141,($D$232-12)))</f>
        <v>0</v>
      </c>
      <c r="CF236" s="5">
        <f>IF(($D$232-11)&lt;1,NA(),INDEX($D$141:$AD$141,($D$232-11)))</f>
        <v>0</v>
      </c>
      <c r="CG236" s="5">
        <f>IF(($D$232-10)&lt;1,NA(),INDEX($D$141:$AD$141,($D$232-10)))</f>
        <v>0</v>
      </c>
      <c r="CH236" s="5">
        <f>IF(($D$232-9)&lt;1,NA(),INDEX($D$141:$AD$141,($D$232-9)))</f>
        <v>0</v>
      </c>
      <c r="CI236" s="5">
        <f>IF(($D$232-8)&lt;1,NA(),INDEX($D$141:$AD$141,($D$232-8)))</f>
        <v>0</v>
      </c>
      <c r="CJ236" s="5">
        <f>IF(($D$232-7)&lt;1,NA(),INDEX($D$141:$AD$141,($D$232-7)))</f>
        <v>0</v>
      </c>
      <c r="CK236" s="5">
        <f>IF(($D$232-6)&lt;1,NA(),INDEX($D$141:$AD$141,($D$232-6)))</f>
        <v>0</v>
      </c>
      <c r="CL236" s="5">
        <f>IF(($D$232-5)&lt;1,NA(),INDEX($D$141:$AD$141,($D$232-5)))</f>
        <v>0</v>
      </c>
      <c r="CM236" s="5">
        <f>IF(($D$232-4)&lt;1,NA(),INDEX($D$141:$AD$141,($D$232-4)))</f>
        <v>0</v>
      </c>
      <c r="CN236" s="5">
        <f>IF(($D$232-3)&lt;1,NA(),INDEX($D$141:$AD$141,($D$232-3)))</f>
        <v>0</v>
      </c>
      <c r="CO236" s="5">
        <f>IF(($D$232-2)&lt;1,NA(),INDEX($D$141:$AD$141,($D$232-2)))</f>
        <v>0</v>
      </c>
      <c r="CP236" s="5">
        <f>IF(($D$232-1)&lt;1,NA(),INDEX($D$141:$AD$141,($D$232-1)))</f>
        <v>0</v>
      </c>
      <c r="CQ236" s="5">
        <f>IF(($D$232-0)&lt;1,NA(),INDEX($D$141:$AD$141,($D$232-0)))</f>
        <v>0</v>
      </c>
    </row>
    <row r="237" spans="1:95">
      <c r="A237" s="11" t="s">
        <v>541</v>
      </c>
      <c r="B237" s="11" t="s">
        <v>542</v>
      </c>
      <c r="C237" s="3" t="s">
        <v>408</v>
      </c>
      <c r="BR237" s="5">
        <f>IF(($D$232-25)&lt;1,NA(),INDEX($D$17:$AD$17,($D$232-25)))</f>
        <v>0</v>
      </c>
      <c r="BS237" s="5">
        <f>IF(($D$232-24)&lt;1,NA(),INDEX($D$17:$AD$17,($D$232-24)))</f>
        <v>0</v>
      </c>
      <c r="BT237" s="5">
        <f>IF(($D$232-23)&lt;1,NA(),INDEX($D$17:$AD$17,($D$232-23)))</f>
        <v>0</v>
      </c>
      <c r="BU237" s="5">
        <f>IF(($D$232-22)&lt;1,NA(),INDEX($D$17:$AD$17,($D$232-22)))</f>
        <v>0</v>
      </c>
      <c r="BV237" s="5">
        <f>IF(($D$232-21)&lt;1,NA(),INDEX($D$17:$AD$17,($D$232-21)))</f>
        <v>0</v>
      </c>
      <c r="BW237" s="5">
        <f>IF(($D$232-20)&lt;1,NA(),INDEX($D$17:$AD$17,($D$232-20)))</f>
        <v>0</v>
      </c>
      <c r="BX237" s="5">
        <f>IF(($D$232-19)&lt;1,NA(),INDEX($D$17:$AD$17,($D$232-19)))</f>
        <v>0</v>
      </c>
      <c r="BY237" s="5">
        <f>IF(($D$232-18)&lt;1,NA(),INDEX($D$17:$AD$17,($D$232-18)))</f>
        <v>0</v>
      </c>
      <c r="BZ237" s="5">
        <f>IF(($D$232-17)&lt;1,NA(),INDEX($D$17:$AD$17,($D$232-17)))</f>
        <v>0</v>
      </c>
      <c r="CA237" s="5">
        <f>IF(($D$232-16)&lt;1,NA(),INDEX($D$17:$AD$17,($D$232-16)))</f>
        <v>0</v>
      </c>
      <c r="CB237" s="5">
        <f>IF(($D$232-15)&lt;1,NA(),INDEX($D$17:$AD$17,($D$232-15)))</f>
        <v>0</v>
      </c>
      <c r="CC237" s="5">
        <f>IF(($D$232-14)&lt;1,NA(),INDEX($D$17:$AD$17,($D$232-14)))</f>
        <v>0</v>
      </c>
      <c r="CD237" s="5">
        <f>IF(($D$232-13)&lt;1,NA(),INDEX($D$17:$AD$17,($D$232-13)))</f>
        <v>0</v>
      </c>
      <c r="CE237" s="5">
        <f>IF(($D$232-12)&lt;1,NA(),INDEX($D$17:$AD$17,($D$232-12)))</f>
        <v>0</v>
      </c>
      <c r="CF237" s="5">
        <f>IF(($D$232-11)&lt;1,NA(),INDEX($D$17:$AD$17,($D$232-11)))</f>
        <v>0</v>
      </c>
      <c r="CG237" s="5">
        <f>IF(($D$232-10)&lt;1,NA(),INDEX($D$17:$AD$17,($D$232-10)))</f>
        <v>0</v>
      </c>
      <c r="CH237" s="5">
        <f>IF(($D$232-9)&lt;1,NA(),INDEX($D$17:$AD$17,($D$232-9)))</f>
        <v>0</v>
      </c>
      <c r="CI237" s="5">
        <f>IF(($D$232-8)&lt;1,NA(),INDEX($D$17:$AD$17,($D$232-8)))</f>
        <v>0</v>
      </c>
      <c r="CJ237" s="5">
        <f>IF(($D$232-7)&lt;1,NA(),INDEX($D$17:$AD$17,($D$232-7)))</f>
        <v>0</v>
      </c>
      <c r="CK237" s="5">
        <f>IF(($D$232-6)&lt;1,NA(),INDEX($D$17:$AD$17,($D$232-6)))</f>
        <v>0</v>
      </c>
      <c r="CL237" s="5">
        <f>IF(($D$232-5)&lt;1,NA(),INDEX($D$17:$AD$17,($D$232-5)))</f>
        <v>0</v>
      </c>
      <c r="CM237" s="5">
        <f>IF(($D$232-4)&lt;1,NA(),INDEX($D$17:$AD$17,($D$232-4)))</f>
        <v>0</v>
      </c>
      <c r="CN237" s="5">
        <f>IF(($D$232-3)&lt;1,NA(),INDEX($D$17:$AD$17,($D$232-3)))</f>
        <v>0</v>
      </c>
      <c r="CO237" s="5">
        <f>IF(($D$232-2)&lt;1,NA(),INDEX($D$17:$AD$17,($D$232-2)))</f>
        <v>0</v>
      </c>
      <c r="CP237" s="5">
        <f>IF(($D$232-1)&lt;1,NA(),INDEX($D$17:$AD$17,($D$232-1)))</f>
        <v>0</v>
      </c>
      <c r="CQ237" s="5">
        <f>IF(($D$232-0)&lt;1,NA(),INDEX($D$17:$AD$17,($D$232-0)))</f>
        <v>0</v>
      </c>
    </row>
    <row r="238" spans="1:95">
      <c r="A238" s="11" t="s">
        <v>543</v>
      </c>
      <c r="B238" s="11" t="s">
        <v>544</v>
      </c>
      <c r="C238" s="3" t="s">
        <v>408</v>
      </c>
      <c r="BR238" s="11">
        <f>IF(($D$232-25)&lt;1,"",INDEX($D$143:$AD$143,($D$232-25)))</f>
        <v>0</v>
      </c>
      <c r="BS238" s="11">
        <f>IF(($D$232-24)&lt;1,"",INDEX($D$143:$AD$143,($D$232-24)))</f>
        <v>0</v>
      </c>
      <c r="BT238" s="11">
        <f>IF(($D$232-23)&lt;1,"",INDEX($D$143:$AD$143,($D$232-23)))</f>
        <v>0</v>
      </c>
      <c r="BU238" s="11">
        <f>IF(($D$232-22)&lt;1,"",INDEX($D$143:$AD$143,($D$232-22)))</f>
        <v>0</v>
      </c>
      <c r="BV238" s="11">
        <f>IF(($D$232-21)&lt;1,"",INDEX($D$143:$AD$143,($D$232-21)))</f>
        <v>0</v>
      </c>
      <c r="BW238" s="11">
        <f>IF(($D$232-20)&lt;1,"",INDEX($D$143:$AD$143,($D$232-20)))</f>
        <v>0</v>
      </c>
      <c r="BX238" s="11">
        <f>IF(($D$232-19)&lt;1,"",INDEX($D$143:$AD$143,($D$232-19)))</f>
        <v>0</v>
      </c>
      <c r="BY238" s="11">
        <f>IF(($D$232-18)&lt;1,"",INDEX($D$143:$AD$143,($D$232-18)))</f>
        <v>0</v>
      </c>
      <c r="BZ238" s="11">
        <f>IF(($D$232-17)&lt;1,"",INDEX($D$143:$AD$143,($D$232-17)))</f>
        <v>0</v>
      </c>
      <c r="CA238" s="11">
        <f>IF(($D$232-16)&lt;1,"",INDEX($D$143:$AD$143,($D$232-16)))</f>
        <v>0</v>
      </c>
      <c r="CB238" s="11">
        <f>IF(($D$232-15)&lt;1,"",INDEX($D$143:$AD$143,($D$232-15)))</f>
        <v>0</v>
      </c>
      <c r="CC238" s="11">
        <f>IF(($D$232-14)&lt;1,"",INDEX($D$143:$AD$143,($D$232-14)))</f>
        <v>0</v>
      </c>
      <c r="CD238" s="11">
        <f>IF(($D$232-13)&lt;1,"",INDEX($D$143:$AD$143,($D$232-13)))</f>
        <v>0</v>
      </c>
      <c r="CE238" s="11">
        <f>IF(($D$232-12)&lt;1,"",INDEX($D$143:$AD$143,($D$232-12)))</f>
        <v>0</v>
      </c>
      <c r="CF238" s="11">
        <f>IF(($D$232-11)&lt;1,"",INDEX($D$143:$AD$143,($D$232-11)))</f>
        <v>0</v>
      </c>
      <c r="CG238" s="11">
        <f>IF(($D$232-10)&lt;1,"",INDEX($D$143:$AD$143,($D$232-10)))</f>
        <v>0</v>
      </c>
      <c r="CH238" s="11">
        <f>IF(($D$232-9)&lt;1,"",INDEX($D$143:$AD$143,($D$232-9)))</f>
        <v>0</v>
      </c>
      <c r="CI238" s="11">
        <f>IF(($D$232-8)&lt;1,"",INDEX($D$143:$AD$143,($D$232-8)))</f>
        <v>0</v>
      </c>
      <c r="CJ238" s="11">
        <f>IF(($D$232-7)&lt;1,"",INDEX($D$143:$AD$143,($D$232-7)))</f>
        <v>0</v>
      </c>
      <c r="CK238" s="11">
        <f>IF(($D$232-6)&lt;1,"",INDEX($D$143:$AD$143,($D$232-6)))</f>
        <v>0</v>
      </c>
      <c r="CL238" s="11">
        <f>IF(($D$232-5)&lt;1,"",INDEX($D$143:$AD$143,($D$232-5)))</f>
        <v>0</v>
      </c>
      <c r="CM238" s="11">
        <f>IF(($D$232-4)&lt;1,"",INDEX($D$143:$AD$143,($D$232-4)))</f>
        <v>0</v>
      </c>
      <c r="CN238" s="11">
        <f>IF(($D$232-3)&lt;1,"",INDEX($D$143:$AD$143,($D$232-3)))</f>
        <v>0</v>
      </c>
      <c r="CO238" s="11">
        <f>IF(($D$232-2)&lt;1,"",INDEX($D$143:$AD$143,($D$232-2)))</f>
        <v>0</v>
      </c>
      <c r="CP238" s="11">
        <f>IF(($D$232-1)&lt;1,"",INDEX($D$143:$AD$143,($D$232-1)))</f>
        <v>0</v>
      </c>
      <c r="CQ238" s="11">
        <f>IF(($D$232-0)&lt;1,"",INDEX($D$143:$AD$143,($D$232-0)))</f>
        <v>0</v>
      </c>
    </row>
    <row r="239" spans="1:95">
      <c r="A239" s="11" t="s">
        <v>545</v>
      </c>
      <c r="B239" s="11" t="s">
        <v>546</v>
      </c>
      <c r="C239" s="3" t="s">
        <v>408</v>
      </c>
      <c r="BR239" s="5">
        <f>IF(($D$232-25)&lt;1,NA(),INDEX($D$18:$AD$18,($D$232-25)))</f>
        <v>0</v>
      </c>
      <c r="BS239" s="5">
        <f>IF(($D$232-24)&lt;1,NA(),INDEX($D$18:$AD$18,($D$232-24)))</f>
        <v>0</v>
      </c>
      <c r="BT239" s="5">
        <f>IF(($D$232-23)&lt;1,NA(),INDEX($D$18:$AD$18,($D$232-23)))</f>
        <v>0</v>
      </c>
      <c r="BU239" s="5">
        <f>IF(($D$232-22)&lt;1,NA(),INDEX($D$18:$AD$18,($D$232-22)))</f>
        <v>0</v>
      </c>
      <c r="BV239" s="5">
        <f>IF(($D$232-21)&lt;1,NA(),INDEX($D$18:$AD$18,($D$232-21)))</f>
        <v>0</v>
      </c>
      <c r="BW239" s="5">
        <f>IF(($D$232-20)&lt;1,NA(),INDEX($D$18:$AD$18,($D$232-20)))</f>
        <v>0</v>
      </c>
      <c r="BX239" s="5">
        <f>IF(($D$232-19)&lt;1,NA(),INDEX($D$18:$AD$18,($D$232-19)))</f>
        <v>0</v>
      </c>
      <c r="BY239" s="5">
        <f>IF(($D$232-18)&lt;1,NA(),INDEX($D$18:$AD$18,($D$232-18)))</f>
        <v>0</v>
      </c>
      <c r="BZ239" s="5">
        <f>IF(($D$232-17)&lt;1,NA(),INDEX($D$18:$AD$18,($D$232-17)))</f>
        <v>0</v>
      </c>
      <c r="CA239" s="5">
        <f>IF(($D$232-16)&lt;1,NA(),INDEX($D$18:$AD$18,($D$232-16)))</f>
        <v>0</v>
      </c>
      <c r="CB239" s="5">
        <f>IF(($D$232-15)&lt;1,NA(),INDEX($D$18:$AD$18,($D$232-15)))</f>
        <v>0</v>
      </c>
      <c r="CC239" s="5">
        <f>IF(($D$232-14)&lt;1,NA(),INDEX($D$18:$AD$18,($D$232-14)))</f>
        <v>0</v>
      </c>
      <c r="CD239" s="5">
        <f>IF(($D$232-13)&lt;1,NA(),INDEX($D$18:$AD$18,($D$232-13)))</f>
        <v>0</v>
      </c>
      <c r="CE239" s="5">
        <f>IF(($D$232-12)&lt;1,NA(),INDEX($D$18:$AD$18,($D$232-12)))</f>
        <v>0</v>
      </c>
      <c r="CF239" s="5">
        <f>IF(($D$232-11)&lt;1,NA(),INDEX($D$18:$AD$18,($D$232-11)))</f>
        <v>0</v>
      </c>
      <c r="CG239" s="5">
        <f>IF(($D$232-10)&lt;1,NA(),INDEX($D$18:$AD$18,($D$232-10)))</f>
        <v>0</v>
      </c>
      <c r="CH239" s="5">
        <f>IF(($D$232-9)&lt;1,NA(),INDEX($D$18:$AD$18,($D$232-9)))</f>
        <v>0</v>
      </c>
      <c r="CI239" s="5">
        <f>IF(($D$232-8)&lt;1,NA(),INDEX($D$18:$AD$18,($D$232-8)))</f>
        <v>0</v>
      </c>
      <c r="CJ239" s="5">
        <f>IF(($D$232-7)&lt;1,NA(),INDEX($D$18:$AD$18,($D$232-7)))</f>
        <v>0</v>
      </c>
      <c r="CK239" s="5">
        <f>IF(($D$232-6)&lt;1,NA(),INDEX($D$18:$AD$18,($D$232-6)))</f>
        <v>0</v>
      </c>
      <c r="CL239" s="5">
        <f>IF(($D$232-5)&lt;1,NA(),INDEX($D$18:$AD$18,($D$232-5)))</f>
        <v>0</v>
      </c>
      <c r="CM239" s="5">
        <f>IF(($D$232-4)&lt;1,NA(),INDEX($D$18:$AD$18,($D$232-4)))</f>
        <v>0</v>
      </c>
      <c r="CN239" s="5">
        <f>IF(($D$232-3)&lt;1,NA(),INDEX($D$18:$AD$18,($D$232-3)))</f>
        <v>0</v>
      </c>
      <c r="CO239" s="5">
        <f>IF(($D$232-2)&lt;1,NA(),INDEX($D$18:$AD$18,($D$232-2)))</f>
        <v>0</v>
      </c>
      <c r="CP239" s="5">
        <f>IF(($D$232-1)&lt;1,NA(),INDEX($D$18:$AD$18,($D$232-1)))</f>
        <v>0</v>
      </c>
      <c r="CQ239" s="5">
        <f>IF(($D$232-0)&lt;1,NA(),INDEX($D$18:$AD$18,($D$232-0)))</f>
        <v>0</v>
      </c>
    </row>
    <row r="240" spans="1:95">
      <c r="A240" s="11" t="s">
        <v>547</v>
      </c>
      <c r="B240" s="11" t="s">
        <v>548</v>
      </c>
      <c r="C240" s="3" t="s">
        <v>408</v>
      </c>
      <c r="BR240" s="11">
        <f>IF(($D$232-25)&lt;1,"",INDEX($D$145:$AD$145,($D$232-25)))</f>
        <v>0</v>
      </c>
      <c r="BS240" s="11">
        <f>IF(($D$232-24)&lt;1,"",INDEX($D$145:$AD$145,($D$232-24)))</f>
        <v>0</v>
      </c>
      <c r="BT240" s="11">
        <f>IF(($D$232-23)&lt;1,"",INDEX($D$145:$AD$145,($D$232-23)))</f>
        <v>0</v>
      </c>
      <c r="BU240" s="11">
        <f>IF(($D$232-22)&lt;1,"",INDEX($D$145:$AD$145,($D$232-22)))</f>
        <v>0</v>
      </c>
      <c r="BV240" s="11">
        <f>IF(($D$232-21)&lt;1,"",INDEX($D$145:$AD$145,($D$232-21)))</f>
        <v>0</v>
      </c>
      <c r="BW240" s="11">
        <f>IF(($D$232-20)&lt;1,"",INDEX($D$145:$AD$145,($D$232-20)))</f>
        <v>0</v>
      </c>
      <c r="BX240" s="11">
        <f>IF(($D$232-19)&lt;1,"",INDEX($D$145:$AD$145,($D$232-19)))</f>
        <v>0</v>
      </c>
      <c r="BY240" s="11">
        <f>IF(($D$232-18)&lt;1,"",INDEX($D$145:$AD$145,($D$232-18)))</f>
        <v>0</v>
      </c>
      <c r="BZ240" s="11">
        <f>IF(($D$232-17)&lt;1,"",INDEX($D$145:$AD$145,($D$232-17)))</f>
        <v>0</v>
      </c>
      <c r="CA240" s="11">
        <f>IF(($D$232-16)&lt;1,"",INDEX($D$145:$AD$145,($D$232-16)))</f>
        <v>0</v>
      </c>
      <c r="CB240" s="11">
        <f>IF(($D$232-15)&lt;1,"",INDEX($D$145:$AD$145,($D$232-15)))</f>
        <v>0</v>
      </c>
      <c r="CC240" s="11">
        <f>IF(($D$232-14)&lt;1,"",INDEX($D$145:$AD$145,($D$232-14)))</f>
        <v>0</v>
      </c>
      <c r="CD240" s="11">
        <f>IF(($D$232-13)&lt;1,"",INDEX($D$145:$AD$145,($D$232-13)))</f>
        <v>0</v>
      </c>
      <c r="CE240" s="11">
        <f>IF(($D$232-12)&lt;1,"",INDEX($D$145:$AD$145,($D$232-12)))</f>
        <v>0</v>
      </c>
      <c r="CF240" s="11">
        <f>IF(($D$232-11)&lt;1,"",INDEX($D$145:$AD$145,($D$232-11)))</f>
        <v>0</v>
      </c>
      <c r="CG240" s="11">
        <f>IF(($D$232-10)&lt;1,"",INDEX($D$145:$AD$145,($D$232-10)))</f>
        <v>0</v>
      </c>
      <c r="CH240" s="11">
        <f>IF(($D$232-9)&lt;1,"",INDEX($D$145:$AD$145,($D$232-9)))</f>
        <v>0</v>
      </c>
      <c r="CI240" s="11">
        <f>IF(($D$232-8)&lt;1,"",INDEX($D$145:$AD$145,($D$232-8)))</f>
        <v>0</v>
      </c>
      <c r="CJ240" s="11">
        <f>IF(($D$232-7)&lt;1,"",INDEX($D$145:$AD$145,($D$232-7)))</f>
        <v>0</v>
      </c>
      <c r="CK240" s="11">
        <f>IF(($D$232-6)&lt;1,"",INDEX($D$145:$AD$145,($D$232-6)))</f>
        <v>0</v>
      </c>
      <c r="CL240" s="11">
        <f>IF(($D$232-5)&lt;1,"",INDEX($D$145:$AD$145,($D$232-5)))</f>
        <v>0</v>
      </c>
      <c r="CM240" s="11">
        <f>IF(($D$232-4)&lt;1,"",INDEX($D$145:$AD$145,($D$232-4)))</f>
        <v>0</v>
      </c>
      <c r="CN240" s="11">
        <f>IF(($D$232-3)&lt;1,"",INDEX($D$145:$AD$145,($D$232-3)))</f>
        <v>0</v>
      </c>
      <c r="CO240" s="11">
        <f>IF(($D$232-2)&lt;1,"",INDEX($D$145:$AD$145,($D$232-2)))</f>
        <v>0</v>
      </c>
      <c r="CP240" s="11">
        <f>IF(($D$232-1)&lt;1,"",INDEX($D$145:$AD$145,($D$232-1)))</f>
        <v>0</v>
      </c>
      <c r="CQ240" s="11">
        <f>IF(($D$232-0)&lt;1,"",INDEX($D$145:$AD$145,($D$232-0)))</f>
        <v>0</v>
      </c>
    </row>
    <row r="241" spans="1:95">
      <c r="A241" s="11" t="s">
        <v>549</v>
      </c>
      <c r="B241" s="11" t="s">
        <v>550</v>
      </c>
      <c r="C241" s="3" t="s">
        <v>408</v>
      </c>
      <c r="BR241" s="5">
        <f>IF(($D$232-25)&lt;1,NA(),INDEX($D$19:$AD$19,($D$232-25)))</f>
        <v>0</v>
      </c>
      <c r="BS241" s="5">
        <f>IF(($D$232-24)&lt;1,NA(),INDEX($D$19:$AD$19,($D$232-24)))</f>
        <v>0</v>
      </c>
      <c r="BT241" s="5">
        <f>IF(($D$232-23)&lt;1,NA(),INDEX($D$19:$AD$19,($D$232-23)))</f>
        <v>0</v>
      </c>
      <c r="BU241" s="5">
        <f>IF(($D$232-22)&lt;1,NA(),INDEX($D$19:$AD$19,($D$232-22)))</f>
        <v>0</v>
      </c>
      <c r="BV241" s="5">
        <f>IF(($D$232-21)&lt;1,NA(),INDEX($D$19:$AD$19,($D$232-21)))</f>
        <v>0</v>
      </c>
      <c r="BW241" s="5">
        <f>IF(($D$232-20)&lt;1,NA(),INDEX($D$19:$AD$19,($D$232-20)))</f>
        <v>0</v>
      </c>
      <c r="BX241" s="5">
        <f>IF(($D$232-19)&lt;1,NA(),INDEX($D$19:$AD$19,($D$232-19)))</f>
        <v>0</v>
      </c>
      <c r="BY241" s="5">
        <f>IF(($D$232-18)&lt;1,NA(),INDEX($D$19:$AD$19,($D$232-18)))</f>
        <v>0</v>
      </c>
      <c r="BZ241" s="5">
        <f>IF(($D$232-17)&lt;1,NA(),INDEX($D$19:$AD$19,($D$232-17)))</f>
        <v>0</v>
      </c>
      <c r="CA241" s="5">
        <f>IF(($D$232-16)&lt;1,NA(),INDEX($D$19:$AD$19,($D$232-16)))</f>
        <v>0</v>
      </c>
      <c r="CB241" s="5">
        <f>IF(($D$232-15)&lt;1,NA(),INDEX($D$19:$AD$19,($D$232-15)))</f>
        <v>0</v>
      </c>
      <c r="CC241" s="5">
        <f>IF(($D$232-14)&lt;1,NA(),INDEX($D$19:$AD$19,($D$232-14)))</f>
        <v>0</v>
      </c>
      <c r="CD241" s="5">
        <f>IF(($D$232-13)&lt;1,NA(),INDEX($D$19:$AD$19,($D$232-13)))</f>
        <v>0</v>
      </c>
      <c r="CE241" s="5">
        <f>IF(($D$232-12)&lt;1,NA(),INDEX($D$19:$AD$19,($D$232-12)))</f>
        <v>0</v>
      </c>
      <c r="CF241" s="5">
        <f>IF(($D$232-11)&lt;1,NA(),INDEX($D$19:$AD$19,($D$232-11)))</f>
        <v>0</v>
      </c>
      <c r="CG241" s="5">
        <f>IF(($D$232-10)&lt;1,NA(),INDEX($D$19:$AD$19,($D$232-10)))</f>
        <v>0</v>
      </c>
      <c r="CH241" s="5">
        <f>IF(($D$232-9)&lt;1,NA(),INDEX($D$19:$AD$19,($D$232-9)))</f>
        <v>0</v>
      </c>
      <c r="CI241" s="5">
        <f>IF(($D$232-8)&lt;1,NA(),INDEX($D$19:$AD$19,($D$232-8)))</f>
        <v>0</v>
      </c>
      <c r="CJ241" s="5">
        <f>IF(($D$232-7)&lt;1,NA(),INDEX($D$19:$AD$19,($D$232-7)))</f>
        <v>0</v>
      </c>
      <c r="CK241" s="5">
        <f>IF(($D$232-6)&lt;1,NA(),INDEX($D$19:$AD$19,($D$232-6)))</f>
        <v>0</v>
      </c>
      <c r="CL241" s="5">
        <f>IF(($D$232-5)&lt;1,NA(),INDEX($D$19:$AD$19,($D$232-5)))</f>
        <v>0</v>
      </c>
      <c r="CM241" s="5">
        <f>IF(($D$232-4)&lt;1,NA(),INDEX($D$19:$AD$19,($D$232-4)))</f>
        <v>0</v>
      </c>
      <c r="CN241" s="5">
        <f>IF(($D$232-3)&lt;1,NA(),INDEX($D$19:$AD$19,($D$232-3)))</f>
        <v>0</v>
      </c>
      <c r="CO241" s="5">
        <f>IF(($D$232-2)&lt;1,NA(),INDEX($D$19:$AD$19,($D$232-2)))</f>
        <v>0</v>
      </c>
      <c r="CP241" s="5">
        <f>IF(($D$232-1)&lt;1,NA(),INDEX($D$19:$AD$19,($D$232-1)))</f>
        <v>0</v>
      </c>
      <c r="CQ241" s="5">
        <f>IF(($D$232-0)&lt;1,NA(),INDEX($D$19:$AD$19,($D$232-0)))</f>
        <v>0</v>
      </c>
    </row>
    <row r="242" spans="1:95">
      <c r="A242" s="11" t="s">
        <v>551</v>
      </c>
      <c r="B242" s="11" t="s">
        <v>552</v>
      </c>
      <c r="C242" s="3" t="s">
        <v>408</v>
      </c>
      <c r="BR242" s="11">
        <f>IF(($D$232-25)&lt;1,"",INDEX($D$147:$AD$147,($D$232-25)))</f>
        <v>0</v>
      </c>
      <c r="BS242" s="11">
        <f>IF(($D$232-24)&lt;1,"",INDEX($D$147:$AD$147,($D$232-24)))</f>
        <v>0</v>
      </c>
      <c r="BT242" s="11">
        <f>IF(($D$232-23)&lt;1,"",INDEX($D$147:$AD$147,($D$232-23)))</f>
        <v>0</v>
      </c>
      <c r="BU242" s="11">
        <f>IF(($D$232-22)&lt;1,"",INDEX($D$147:$AD$147,($D$232-22)))</f>
        <v>0</v>
      </c>
      <c r="BV242" s="11">
        <f>IF(($D$232-21)&lt;1,"",INDEX($D$147:$AD$147,($D$232-21)))</f>
        <v>0</v>
      </c>
      <c r="BW242" s="11">
        <f>IF(($D$232-20)&lt;1,"",INDEX($D$147:$AD$147,($D$232-20)))</f>
        <v>0</v>
      </c>
      <c r="BX242" s="11">
        <f>IF(($D$232-19)&lt;1,"",INDEX($D$147:$AD$147,($D$232-19)))</f>
        <v>0</v>
      </c>
      <c r="BY242" s="11">
        <f>IF(($D$232-18)&lt;1,"",INDEX($D$147:$AD$147,($D$232-18)))</f>
        <v>0</v>
      </c>
      <c r="BZ242" s="11">
        <f>IF(($D$232-17)&lt;1,"",INDEX($D$147:$AD$147,($D$232-17)))</f>
        <v>0</v>
      </c>
      <c r="CA242" s="11">
        <f>IF(($D$232-16)&lt;1,"",INDEX($D$147:$AD$147,($D$232-16)))</f>
        <v>0</v>
      </c>
      <c r="CB242" s="11">
        <f>IF(($D$232-15)&lt;1,"",INDEX($D$147:$AD$147,($D$232-15)))</f>
        <v>0</v>
      </c>
      <c r="CC242" s="11">
        <f>IF(($D$232-14)&lt;1,"",INDEX($D$147:$AD$147,($D$232-14)))</f>
        <v>0</v>
      </c>
      <c r="CD242" s="11">
        <f>IF(($D$232-13)&lt;1,"",INDEX($D$147:$AD$147,($D$232-13)))</f>
        <v>0</v>
      </c>
      <c r="CE242" s="11">
        <f>IF(($D$232-12)&lt;1,"",INDEX($D$147:$AD$147,($D$232-12)))</f>
        <v>0</v>
      </c>
      <c r="CF242" s="11">
        <f>IF(($D$232-11)&lt;1,"",INDEX($D$147:$AD$147,($D$232-11)))</f>
        <v>0</v>
      </c>
      <c r="CG242" s="11">
        <f>IF(($D$232-10)&lt;1,"",INDEX($D$147:$AD$147,($D$232-10)))</f>
        <v>0</v>
      </c>
      <c r="CH242" s="11">
        <f>IF(($D$232-9)&lt;1,"",INDEX($D$147:$AD$147,($D$232-9)))</f>
        <v>0</v>
      </c>
      <c r="CI242" s="11">
        <f>IF(($D$232-8)&lt;1,"",INDEX($D$147:$AD$147,($D$232-8)))</f>
        <v>0</v>
      </c>
      <c r="CJ242" s="11">
        <f>IF(($D$232-7)&lt;1,"",INDEX($D$147:$AD$147,($D$232-7)))</f>
        <v>0</v>
      </c>
      <c r="CK242" s="11">
        <f>IF(($D$232-6)&lt;1,"",INDEX($D$147:$AD$147,($D$232-6)))</f>
        <v>0</v>
      </c>
      <c r="CL242" s="11">
        <f>IF(($D$232-5)&lt;1,"",INDEX($D$147:$AD$147,($D$232-5)))</f>
        <v>0</v>
      </c>
      <c r="CM242" s="11">
        <f>IF(($D$232-4)&lt;1,"",INDEX($D$147:$AD$147,($D$232-4)))</f>
        <v>0</v>
      </c>
      <c r="CN242" s="11">
        <f>IF(($D$232-3)&lt;1,"",INDEX($D$147:$AD$147,($D$232-3)))</f>
        <v>0</v>
      </c>
      <c r="CO242" s="11">
        <f>IF(($D$232-2)&lt;1,"",INDEX($D$147:$AD$147,($D$232-2)))</f>
        <v>0</v>
      </c>
      <c r="CP242" s="11">
        <f>IF(($D$232-1)&lt;1,"",INDEX($D$147:$AD$147,($D$232-1)))</f>
        <v>0</v>
      </c>
      <c r="CQ242" s="11">
        <f>IF(($D$232-0)&lt;1,"",INDEX($D$147:$AD$147,($D$232-0)))</f>
        <v>0</v>
      </c>
    </row>
    <row r="243" spans="1:95">
      <c r="A243" s="11" t="s">
        <v>553</v>
      </c>
      <c r="B243" s="11" t="s">
        <v>554</v>
      </c>
      <c r="C243" s="3" t="s">
        <v>137</v>
      </c>
      <c r="D243" s="5">
        <f>IF(MAX($D$244:$AD$244)=0,27,MAX($D$244:$AD$244))</f>
        <v>0</v>
      </c>
    </row>
    <row r="244" spans="1:95">
      <c r="A244" s="11" t="s">
        <v>555</v>
      </c>
      <c r="B244" s="11" t="s">
        <v>556</v>
      </c>
      <c r="C244" s="3" t="s">
        <v>137</v>
      </c>
      <c r="D244" s="5">
        <f>IF(OR(ISNUMBER(D8)),1,0)</f>
        <v>0</v>
      </c>
      <c r="E244" s="5">
        <f>IF(OR(ISNUMBER(E8)),2,0)</f>
        <v>0</v>
      </c>
      <c r="F244" s="5">
        <f>IF(OR(ISNUMBER(F8)),3,0)</f>
        <v>0</v>
      </c>
      <c r="G244" s="5">
        <f>IF(OR(ISNUMBER(G8)),4,0)</f>
        <v>0</v>
      </c>
      <c r="H244" s="5">
        <f>IF(OR(ISNUMBER(H8)),5,0)</f>
        <v>0</v>
      </c>
      <c r="I244" s="5">
        <f>IF(OR(ISNUMBER(I8)),6,0)</f>
        <v>0</v>
      </c>
      <c r="J244" s="5">
        <f>IF(OR(ISNUMBER(J8)),7,0)</f>
        <v>0</v>
      </c>
      <c r="K244" s="5">
        <f>IF(OR(ISNUMBER(K8)),8,0)</f>
        <v>0</v>
      </c>
      <c r="L244" s="5">
        <f>IF(OR(ISNUMBER(L8)),9,0)</f>
        <v>0</v>
      </c>
      <c r="M244" s="5">
        <f>IF(OR(ISNUMBER(M8)),10,0)</f>
        <v>0</v>
      </c>
      <c r="N244" s="5">
        <f>IF(OR(ISNUMBER(N8)),11,0)</f>
        <v>0</v>
      </c>
      <c r="O244" s="5">
        <f>IF(OR(ISNUMBER(O8)),12,0)</f>
        <v>0</v>
      </c>
      <c r="P244" s="5">
        <f>IF(OR(ISNUMBER(P8)),13,0)</f>
        <v>0</v>
      </c>
      <c r="Q244" s="5">
        <f>IF(OR(ISNUMBER(Q8)),14,0)</f>
        <v>0</v>
      </c>
      <c r="R244" s="5">
        <f>IF(OR(ISNUMBER(R8)),15,0)</f>
        <v>0</v>
      </c>
      <c r="S244" s="5">
        <f>IF(OR(ISNUMBER(S8)),16,0)</f>
        <v>0</v>
      </c>
      <c r="T244" s="5">
        <f>IF(OR(ISNUMBER(T8)),17,0)</f>
        <v>0</v>
      </c>
      <c r="U244" s="5">
        <f>IF(OR(ISNUMBER(U8)),18,0)</f>
        <v>0</v>
      </c>
      <c r="V244" s="5">
        <f>IF(OR(ISNUMBER(V8)),19,0)</f>
        <v>0</v>
      </c>
      <c r="W244" s="5">
        <f>IF(OR(ISNUMBER(W8)),20,0)</f>
        <v>0</v>
      </c>
      <c r="X244" s="5">
        <f>IF(OR(ISNUMBER(X8)),21,0)</f>
        <v>0</v>
      </c>
      <c r="Y244" s="5">
        <f>IF(OR(ISNUMBER(Y8)),22,0)</f>
        <v>0</v>
      </c>
      <c r="Z244" s="5">
        <f>IF(OR(ISNUMBER(Z8)),23,0)</f>
        <v>0</v>
      </c>
      <c r="AA244" s="5">
        <f>IF(OR(ISNUMBER(AA8)),24,0)</f>
        <v>0</v>
      </c>
      <c r="AB244" s="5">
        <f>IF(OR(ISNUMBER(AB8)),25,0)</f>
        <v>0</v>
      </c>
      <c r="AC244" s="5">
        <f>IF(OR(ISNUMBER(AC8)),26,0)</f>
        <v>0</v>
      </c>
      <c r="AD244" s="5">
        <f>IF(OR(ISNUMBER(AD8)),27,0)</f>
        <v>0</v>
      </c>
    </row>
    <row r="245" spans="1:95">
      <c r="A245" s="11" t="s">
        <v>557</v>
      </c>
      <c r="B245" s="11" t="s">
        <v>558</v>
      </c>
      <c r="C245" s="3" t="s">
        <v>397</v>
      </c>
      <c r="D245" s="80">
        <f>IF(MAX(IFERROR(N(INDEX(Wertstand!$A$116:$LJ$116,MATCH(INDEX($D$4:$AD$4,$D$243),RD_Kopf,0))),0))&gt;0,MAX(IFERROR(N(INDEX(Wertstand!$A$116:$LJ$116,MATCH(INDEX($D$4:$AD$4,$D$243),RD_Kopf,0))),0)),INDEX($D$4:$AD$4,$D$243))</f>
        <v>0</v>
      </c>
      <c r="E245" s="11">
        <f>"Stand: "&amp;TEXT(DAY($D$245),"00")&amp;"."&amp;TEXT(MONTH($D$245),"00")&amp;"."&amp;RIGHT(YEAR($D$245),2)</f>
        <v>0</v>
      </c>
      <c r="F245" s="11">
        <f>"Stand:"&amp;CHAR(10)&amp;TEXT(DAY($D$245),"00")&amp;"."&amp;TEXT(MONTH($D$245),"00")&amp;"."&amp;RIGHT(YEAR($D$245),2)</f>
        <v>0</v>
      </c>
    </row>
    <row r="246" spans="1:95">
      <c r="A246" s="11" t="s">
        <v>559</v>
      </c>
      <c r="B246" s="11" t="s">
        <v>560</v>
      </c>
      <c r="C246" s="3" t="s">
        <v>408</v>
      </c>
      <c r="BR246" s="11">
        <f>IF(($D$243-25)&lt;1,"",INDEX($D$3:$AD$3,($D$243-25)))</f>
        <v>0</v>
      </c>
      <c r="BS246" s="11">
        <f>IF(($D$243-24)&lt;1,"",INDEX($D$3:$AD$3,($D$243-24)))</f>
        <v>0</v>
      </c>
      <c r="BT246" s="11">
        <f>IF(($D$243-23)&lt;1,"",INDEX($D$3:$AD$3,($D$243-23)))</f>
        <v>0</v>
      </c>
      <c r="BU246" s="11">
        <f>IF(($D$243-22)&lt;1,"",INDEX($D$3:$AD$3,($D$243-22)))</f>
        <v>0</v>
      </c>
      <c r="BV246" s="11">
        <f>IF(($D$243-21)&lt;1,"",INDEX($D$3:$AD$3,($D$243-21)))</f>
        <v>0</v>
      </c>
      <c r="BW246" s="11">
        <f>IF(($D$243-20)&lt;1,"",INDEX($D$3:$AD$3,($D$243-20)))</f>
        <v>0</v>
      </c>
      <c r="BX246" s="11">
        <f>IF(($D$243-19)&lt;1,"",INDEX($D$3:$AD$3,($D$243-19)))</f>
        <v>0</v>
      </c>
      <c r="BY246" s="11">
        <f>IF(($D$243-18)&lt;1,"",INDEX($D$3:$AD$3,($D$243-18)))</f>
        <v>0</v>
      </c>
      <c r="BZ246" s="11">
        <f>IF(($D$243-17)&lt;1,"",INDEX($D$3:$AD$3,($D$243-17)))</f>
        <v>0</v>
      </c>
      <c r="CA246" s="11">
        <f>IF(($D$243-16)&lt;1,"",INDEX($D$3:$AD$3,($D$243-16)))</f>
        <v>0</v>
      </c>
      <c r="CB246" s="11">
        <f>IF(($D$243-15)&lt;1,"",INDEX($D$3:$AD$3,($D$243-15)))</f>
        <v>0</v>
      </c>
      <c r="CC246" s="11">
        <f>IF(($D$243-14)&lt;1,"",INDEX($D$3:$AD$3,($D$243-14)))</f>
        <v>0</v>
      </c>
      <c r="CD246" s="11">
        <f>IF(($D$243-13)&lt;1,"",INDEX($D$3:$AD$3,($D$243-13)))</f>
        <v>0</v>
      </c>
      <c r="CE246" s="11">
        <f>IF(($D$243-12)&lt;1,"",INDEX($D$3:$AD$3,($D$243-12)))</f>
        <v>0</v>
      </c>
      <c r="CF246" s="11">
        <f>IF(($D$243-11)&lt;1,"",INDEX($D$3:$AD$3,($D$243-11)))</f>
        <v>0</v>
      </c>
      <c r="CG246" s="11">
        <f>IF(($D$243-10)&lt;1,"",INDEX($D$3:$AD$3,($D$243-10)))</f>
        <v>0</v>
      </c>
      <c r="CH246" s="11">
        <f>IF(($D$243-9)&lt;1,"",INDEX($D$3:$AD$3,($D$243-9)))</f>
        <v>0</v>
      </c>
      <c r="CI246" s="11">
        <f>IF(($D$243-8)&lt;1,"",INDEX($D$3:$AD$3,($D$243-8)))</f>
        <v>0</v>
      </c>
      <c r="CJ246" s="11">
        <f>IF(($D$243-7)&lt;1,"",INDEX($D$3:$AD$3,($D$243-7)))</f>
        <v>0</v>
      </c>
      <c r="CK246" s="11">
        <f>IF(($D$243-6)&lt;1,"",INDEX($D$3:$AD$3,($D$243-6)))</f>
        <v>0</v>
      </c>
      <c r="CL246" s="11">
        <f>IF(($D$243-5)&lt;1,"",INDEX($D$3:$AD$3,($D$243-5)))</f>
        <v>0</v>
      </c>
      <c r="CM246" s="11">
        <f>IF(($D$243-4)&lt;1,"",INDEX($D$3:$AD$3,($D$243-4)))</f>
        <v>0</v>
      </c>
      <c r="CN246" s="11">
        <f>IF(($D$243-3)&lt;1,"",INDEX($D$3:$AD$3,($D$243-3)))</f>
        <v>0</v>
      </c>
      <c r="CO246" s="11">
        <f>IF(($D$243-2)&lt;1,"",INDEX($D$3:$AD$3,($D$243-2)))</f>
        <v>0</v>
      </c>
      <c r="CP246" s="11">
        <f>IF(($D$243-1)&lt;1,"",INDEX($D$3:$AD$3,($D$243-1)))</f>
        <v>0</v>
      </c>
      <c r="CQ246" s="11">
        <f>IF(($D$243-0)&lt;1,"",INDEX($D$3:$AD$3,($D$243-0)))</f>
        <v>0</v>
      </c>
    </row>
    <row r="247" spans="1:95">
      <c r="A247" s="11" t="s">
        <v>561</v>
      </c>
      <c r="B247" s="11" t="s">
        <v>562</v>
      </c>
      <c r="C247" s="3" t="s">
        <v>408</v>
      </c>
      <c r="BR247" s="5">
        <f>IF(($D$243-25)&lt;1,NA(),INDEX($D$8:$AD$8,($D$243-25)))</f>
        <v>0</v>
      </c>
      <c r="BS247" s="5">
        <f>IF(($D$243-24)&lt;1,NA(),INDEX($D$8:$AD$8,($D$243-24)))</f>
        <v>0</v>
      </c>
      <c r="BT247" s="5">
        <f>IF(($D$243-23)&lt;1,NA(),INDEX($D$8:$AD$8,($D$243-23)))</f>
        <v>0</v>
      </c>
      <c r="BU247" s="5">
        <f>IF(($D$243-22)&lt;1,NA(),INDEX($D$8:$AD$8,($D$243-22)))</f>
        <v>0</v>
      </c>
      <c r="BV247" s="5">
        <f>IF(($D$243-21)&lt;1,NA(),INDEX($D$8:$AD$8,($D$243-21)))</f>
        <v>0</v>
      </c>
      <c r="BW247" s="5">
        <f>IF(($D$243-20)&lt;1,NA(),INDEX($D$8:$AD$8,($D$243-20)))</f>
        <v>0</v>
      </c>
      <c r="BX247" s="5">
        <f>IF(($D$243-19)&lt;1,NA(),INDEX($D$8:$AD$8,($D$243-19)))</f>
        <v>0</v>
      </c>
      <c r="BY247" s="5">
        <f>IF(($D$243-18)&lt;1,NA(),INDEX($D$8:$AD$8,($D$243-18)))</f>
        <v>0</v>
      </c>
      <c r="BZ247" s="5">
        <f>IF(($D$243-17)&lt;1,NA(),INDEX($D$8:$AD$8,($D$243-17)))</f>
        <v>0</v>
      </c>
      <c r="CA247" s="5">
        <f>IF(($D$243-16)&lt;1,NA(),INDEX($D$8:$AD$8,($D$243-16)))</f>
        <v>0</v>
      </c>
      <c r="CB247" s="5">
        <f>IF(($D$243-15)&lt;1,NA(),INDEX($D$8:$AD$8,($D$243-15)))</f>
        <v>0</v>
      </c>
      <c r="CC247" s="5">
        <f>IF(($D$243-14)&lt;1,NA(),INDEX($D$8:$AD$8,($D$243-14)))</f>
        <v>0</v>
      </c>
      <c r="CD247" s="5">
        <f>IF(($D$243-13)&lt;1,NA(),INDEX($D$8:$AD$8,($D$243-13)))</f>
        <v>0</v>
      </c>
      <c r="CE247" s="5">
        <f>IF(($D$243-12)&lt;1,NA(),INDEX($D$8:$AD$8,($D$243-12)))</f>
        <v>0</v>
      </c>
      <c r="CF247" s="5">
        <f>IF(($D$243-11)&lt;1,NA(),INDEX($D$8:$AD$8,($D$243-11)))</f>
        <v>0</v>
      </c>
      <c r="CG247" s="5">
        <f>IF(($D$243-10)&lt;1,NA(),INDEX($D$8:$AD$8,($D$243-10)))</f>
        <v>0</v>
      </c>
      <c r="CH247" s="5">
        <f>IF(($D$243-9)&lt;1,NA(),INDEX($D$8:$AD$8,($D$243-9)))</f>
        <v>0</v>
      </c>
      <c r="CI247" s="5">
        <f>IF(($D$243-8)&lt;1,NA(),INDEX($D$8:$AD$8,($D$243-8)))</f>
        <v>0</v>
      </c>
      <c r="CJ247" s="5">
        <f>IF(($D$243-7)&lt;1,NA(),INDEX($D$8:$AD$8,($D$243-7)))</f>
        <v>0</v>
      </c>
      <c r="CK247" s="5">
        <f>IF(($D$243-6)&lt;1,NA(),INDEX($D$8:$AD$8,($D$243-6)))</f>
        <v>0</v>
      </c>
      <c r="CL247" s="5">
        <f>IF(($D$243-5)&lt;1,NA(),INDEX($D$8:$AD$8,($D$243-5)))</f>
        <v>0</v>
      </c>
      <c r="CM247" s="5">
        <f>IF(($D$243-4)&lt;1,NA(),INDEX($D$8:$AD$8,($D$243-4)))</f>
        <v>0</v>
      </c>
      <c r="CN247" s="5">
        <f>IF(($D$243-3)&lt;1,NA(),INDEX($D$8:$AD$8,($D$243-3)))</f>
        <v>0</v>
      </c>
      <c r="CO247" s="5">
        <f>IF(($D$243-2)&lt;1,NA(),INDEX($D$8:$AD$8,($D$243-2)))</f>
        <v>0</v>
      </c>
      <c r="CP247" s="5">
        <f>IF(($D$243-1)&lt;1,NA(),INDEX($D$8:$AD$8,($D$243-1)))</f>
        <v>0</v>
      </c>
      <c r="CQ247" s="5">
        <f>IF(($D$243-0)&lt;1,NA(),INDEX($D$8:$AD$8,($D$243-0)))</f>
        <v>0</v>
      </c>
    </row>
    <row r="248" spans="1:95">
      <c r="A248" s="11" t="s">
        <v>563</v>
      </c>
      <c r="B248" s="11" t="s">
        <v>564</v>
      </c>
      <c r="C248" s="3" t="s">
        <v>137</v>
      </c>
      <c r="D248" s="5">
        <f>IF(MAX($D$249:$AD$249)=0,27,MAX($D$249:$AD$249))</f>
        <v>0</v>
      </c>
    </row>
    <row r="249" spans="1:95">
      <c r="A249" s="11" t="s">
        <v>565</v>
      </c>
      <c r="B249" s="11" t="s">
        <v>566</v>
      </c>
      <c r="C249" s="3" t="s">
        <v>137</v>
      </c>
      <c r="D249" s="5">
        <f>IF(OR(ISNUMBER(D23),ISNUMBER(D22),ISNUMBER(D21),ISNUMBER(D150),ISNUMBER(D24),ISNUMBER(D25)),1,0)</f>
        <v>0</v>
      </c>
      <c r="E249" s="5">
        <f>IF(OR(ISNUMBER(E23),ISNUMBER(E22),ISNUMBER(E21),ISNUMBER(E150),ISNUMBER(E24),ISNUMBER(E25)),2,0)</f>
        <v>0</v>
      </c>
      <c r="F249" s="5">
        <f>IF(OR(ISNUMBER(F23),ISNUMBER(F22),ISNUMBER(F21),ISNUMBER(F150),ISNUMBER(F24),ISNUMBER(F25)),3,0)</f>
        <v>0</v>
      </c>
      <c r="G249" s="5">
        <f>IF(OR(ISNUMBER(G23),ISNUMBER(G22),ISNUMBER(G21),ISNUMBER(G150),ISNUMBER(G24),ISNUMBER(G25)),4,0)</f>
        <v>0</v>
      </c>
      <c r="H249" s="5">
        <f>IF(OR(ISNUMBER(H23),ISNUMBER(H22),ISNUMBER(H21),ISNUMBER(H150),ISNUMBER(H24),ISNUMBER(H25)),5,0)</f>
        <v>0</v>
      </c>
      <c r="I249" s="5">
        <f>IF(OR(ISNUMBER(I23),ISNUMBER(I22),ISNUMBER(I21),ISNUMBER(I150),ISNUMBER(I24),ISNUMBER(I25)),6,0)</f>
        <v>0</v>
      </c>
      <c r="J249" s="5">
        <f>IF(OR(ISNUMBER(J23),ISNUMBER(J22),ISNUMBER(J21),ISNUMBER(J150),ISNUMBER(J24),ISNUMBER(J25)),7,0)</f>
        <v>0</v>
      </c>
      <c r="K249" s="5">
        <f>IF(OR(ISNUMBER(K23),ISNUMBER(K22),ISNUMBER(K21),ISNUMBER(K150),ISNUMBER(K24),ISNUMBER(K25)),8,0)</f>
        <v>0</v>
      </c>
      <c r="L249" s="5">
        <f>IF(OR(ISNUMBER(L23),ISNUMBER(L22),ISNUMBER(L21),ISNUMBER(L150),ISNUMBER(L24),ISNUMBER(L25)),9,0)</f>
        <v>0</v>
      </c>
      <c r="M249" s="5">
        <f>IF(OR(ISNUMBER(M23),ISNUMBER(M22),ISNUMBER(M21),ISNUMBER(M150),ISNUMBER(M24),ISNUMBER(M25)),10,0)</f>
        <v>0</v>
      </c>
      <c r="N249" s="5">
        <f>IF(OR(ISNUMBER(N23),ISNUMBER(N22),ISNUMBER(N21),ISNUMBER(N150),ISNUMBER(N24),ISNUMBER(N25)),11,0)</f>
        <v>0</v>
      </c>
      <c r="O249" s="5">
        <f>IF(OR(ISNUMBER(O23),ISNUMBER(O22),ISNUMBER(O21),ISNUMBER(O150),ISNUMBER(O24),ISNUMBER(O25)),12,0)</f>
        <v>0</v>
      </c>
      <c r="P249" s="5">
        <f>IF(OR(ISNUMBER(P23),ISNUMBER(P22),ISNUMBER(P21),ISNUMBER(P150),ISNUMBER(P24),ISNUMBER(P25)),13,0)</f>
        <v>0</v>
      </c>
      <c r="Q249" s="5">
        <f>IF(OR(ISNUMBER(Q23),ISNUMBER(Q22),ISNUMBER(Q21),ISNUMBER(Q150),ISNUMBER(Q24),ISNUMBER(Q25)),14,0)</f>
        <v>0</v>
      </c>
      <c r="R249" s="5">
        <f>IF(OR(ISNUMBER(R23),ISNUMBER(R22),ISNUMBER(R21),ISNUMBER(R150),ISNUMBER(R24),ISNUMBER(R25)),15,0)</f>
        <v>0</v>
      </c>
      <c r="S249" s="5">
        <f>IF(OR(ISNUMBER(S23),ISNUMBER(S22),ISNUMBER(S21),ISNUMBER(S150),ISNUMBER(S24),ISNUMBER(S25)),16,0)</f>
        <v>0</v>
      </c>
      <c r="T249" s="5">
        <f>IF(OR(ISNUMBER(T23),ISNUMBER(T22),ISNUMBER(T21),ISNUMBER(T150),ISNUMBER(T24),ISNUMBER(T25)),17,0)</f>
        <v>0</v>
      </c>
      <c r="U249" s="5">
        <f>IF(OR(ISNUMBER(U23),ISNUMBER(U22),ISNUMBER(U21),ISNUMBER(U150),ISNUMBER(U24),ISNUMBER(U25)),18,0)</f>
        <v>0</v>
      </c>
      <c r="V249" s="5">
        <f>IF(OR(ISNUMBER(V23),ISNUMBER(V22),ISNUMBER(V21),ISNUMBER(V150),ISNUMBER(V24),ISNUMBER(V25)),19,0)</f>
        <v>0</v>
      </c>
      <c r="W249" s="5">
        <f>IF(OR(ISNUMBER(W23),ISNUMBER(W22),ISNUMBER(W21),ISNUMBER(W150),ISNUMBER(W24),ISNUMBER(W25)),20,0)</f>
        <v>0</v>
      </c>
      <c r="X249" s="5">
        <f>IF(OR(ISNUMBER(X23),ISNUMBER(X22),ISNUMBER(X21),ISNUMBER(X150),ISNUMBER(X24),ISNUMBER(X25)),21,0)</f>
        <v>0</v>
      </c>
      <c r="Y249" s="5">
        <f>IF(OR(ISNUMBER(Y23),ISNUMBER(Y22),ISNUMBER(Y21),ISNUMBER(Y150),ISNUMBER(Y24),ISNUMBER(Y25)),22,0)</f>
        <v>0</v>
      </c>
      <c r="Z249" s="5">
        <f>IF(OR(ISNUMBER(Z23),ISNUMBER(Z22),ISNUMBER(Z21),ISNUMBER(Z150),ISNUMBER(Z24),ISNUMBER(Z25)),23,0)</f>
        <v>0</v>
      </c>
      <c r="AA249" s="5">
        <f>IF(OR(ISNUMBER(AA23),ISNUMBER(AA22),ISNUMBER(AA21),ISNUMBER(AA150),ISNUMBER(AA24),ISNUMBER(AA25)),24,0)</f>
        <v>0</v>
      </c>
      <c r="AB249" s="5">
        <f>IF(OR(ISNUMBER(AB23),ISNUMBER(AB22),ISNUMBER(AB21),ISNUMBER(AB150),ISNUMBER(AB24),ISNUMBER(AB25)),25,0)</f>
        <v>0</v>
      </c>
      <c r="AC249" s="5">
        <f>IF(OR(ISNUMBER(AC23),ISNUMBER(AC22),ISNUMBER(AC21),ISNUMBER(AC150),ISNUMBER(AC24),ISNUMBER(AC25)),26,0)</f>
        <v>0</v>
      </c>
      <c r="AD249" s="5">
        <f>IF(OR(ISNUMBER(AD23),ISNUMBER(AD22),ISNUMBER(AD21),ISNUMBER(AD150),ISNUMBER(AD24),ISNUMBER(AD25)),27,0)</f>
        <v>0</v>
      </c>
    </row>
    <row r="250" spans="1:95">
      <c r="A250" s="11" t="s">
        <v>567</v>
      </c>
      <c r="B250" s="11" t="s">
        <v>568</v>
      </c>
      <c r="C250" s="3" t="s">
        <v>397</v>
      </c>
      <c r="D250" s="80">
        <f>IF(MAX(IFERROR(N(INDEX(Wertstand!$A$118:$LJ$118,MATCH(INDEX($D$4:$AD$4,$D$248),RD_Kopf,0))),0),IFERROR(N(INDEX(Wertstand!$A$119:$LJ$119,MATCH(INDEX($D$4:$AD$4,$D$248),RD_Kopf,0))),0),IFERROR(N(INDEX(Wertstand!$A$120:$LJ$120,MATCH(INDEX($D$4:$AD$4,$D$248),RD_Kopf,0))),0),IFERROR(N(INDEX(Wertstand!$A$121:$LJ$121,MATCH(INDEX($D$4:$AD$4,$D$248),RD_Kopf,0))),0),IFERROR(N(INDEX(Wertstand!$A$125:$LJ$125,MATCH(INDEX($D$4:$AD$4,$D$248),RD_Kopf,0))),0))&gt;0,MAX(IFERROR(N(INDEX(Wertstand!$A$118:$LJ$118,MATCH(INDEX($D$4:$AD$4,$D$248),RD_Kopf,0))),0),IFERROR(N(INDEX(Wertstand!$A$119:$LJ$119,MATCH(INDEX($D$4:$AD$4,$D$248),RD_Kopf,0))),0),IFERROR(N(INDEX(Wertstand!$A$120:$LJ$120,MATCH(INDEX($D$4:$AD$4,$D$248),RD_Kopf,0))),0),IFERROR(N(INDEX(Wertstand!$A$121:$LJ$121,MATCH(INDEX($D$4:$AD$4,$D$248),RD_Kopf,0))),0),IFERROR(N(INDEX(Wertstand!$A$125:$LJ$125,MATCH(INDEX($D$4:$AD$4,$D$248),RD_Kopf,0))),0)),INDEX($D$4:$AD$4,$D$248))</f>
        <v>0</v>
      </c>
      <c r="E250" s="11">
        <f>"Stand: "&amp;TEXT(DAY($D$250),"00")&amp;"."&amp;TEXT(MONTH($D$250),"00")&amp;"."&amp;RIGHT(YEAR($D$250),2)</f>
        <v>0</v>
      </c>
      <c r="F250" s="11">
        <f>"Stand:"&amp;CHAR(10)&amp;TEXT(DAY($D$250),"00")&amp;"."&amp;TEXT(MONTH($D$250),"00")&amp;"."&amp;RIGHT(YEAR($D$250),2)</f>
        <v>0</v>
      </c>
    </row>
    <row r="251" spans="1:95">
      <c r="A251" s="11" t="s">
        <v>569</v>
      </c>
      <c r="B251" s="11" t="s">
        <v>570</v>
      </c>
      <c r="C251" s="3" t="s">
        <v>408</v>
      </c>
      <c r="BR251" s="11">
        <f>IF(($D$248-25)&lt;1,"",INDEX($D$3:$AD$3,($D$248-25)))</f>
        <v>0</v>
      </c>
      <c r="BS251" s="11">
        <f>IF(($D$248-24)&lt;1,"",INDEX($D$3:$AD$3,($D$248-24)))</f>
        <v>0</v>
      </c>
      <c r="BT251" s="11">
        <f>IF(($D$248-23)&lt;1,"",INDEX($D$3:$AD$3,($D$248-23)))</f>
        <v>0</v>
      </c>
      <c r="BU251" s="11">
        <f>IF(($D$248-22)&lt;1,"",INDEX($D$3:$AD$3,($D$248-22)))</f>
        <v>0</v>
      </c>
      <c r="BV251" s="11">
        <f>IF(($D$248-21)&lt;1,"",INDEX($D$3:$AD$3,($D$248-21)))</f>
        <v>0</v>
      </c>
      <c r="BW251" s="11">
        <f>IF(($D$248-20)&lt;1,"",INDEX($D$3:$AD$3,($D$248-20)))</f>
        <v>0</v>
      </c>
      <c r="BX251" s="11">
        <f>IF(($D$248-19)&lt;1,"",INDEX($D$3:$AD$3,($D$248-19)))</f>
        <v>0</v>
      </c>
      <c r="BY251" s="11">
        <f>IF(($D$248-18)&lt;1,"",INDEX($D$3:$AD$3,($D$248-18)))</f>
        <v>0</v>
      </c>
      <c r="BZ251" s="11">
        <f>IF(($D$248-17)&lt;1,"",INDEX($D$3:$AD$3,($D$248-17)))</f>
        <v>0</v>
      </c>
      <c r="CA251" s="11">
        <f>IF(($D$248-16)&lt;1,"",INDEX($D$3:$AD$3,($D$248-16)))</f>
        <v>0</v>
      </c>
      <c r="CB251" s="11">
        <f>IF(($D$248-15)&lt;1,"",INDEX($D$3:$AD$3,($D$248-15)))</f>
        <v>0</v>
      </c>
      <c r="CC251" s="11">
        <f>IF(($D$248-14)&lt;1,"",INDEX($D$3:$AD$3,($D$248-14)))</f>
        <v>0</v>
      </c>
      <c r="CD251" s="11">
        <f>IF(($D$248-13)&lt;1,"",INDEX($D$3:$AD$3,($D$248-13)))</f>
        <v>0</v>
      </c>
      <c r="CE251" s="11">
        <f>IF(($D$248-12)&lt;1,"",INDEX($D$3:$AD$3,($D$248-12)))</f>
        <v>0</v>
      </c>
      <c r="CF251" s="11">
        <f>IF(($D$248-11)&lt;1,"",INDEX($D$3:$AD$3,($D$248-11)))</f>
        <v>0</v>
      </c>
      <c r="CG251" s="11">
        <f>IF(($D$248-10)&lt;1,"",INDEX($D$3:$AD$3,($D$248-10)))</f>
        <v>0</v>
      </c>
      <c r="CH251" s="11">
        <f>IF(($D$248-9)&lt;1,"",INDEX($D$3:$AD$3,($D$248-9)))</f>
        <v>0</v>
      </c>
      <c r="CI251" s="11">
        <f>IF(($D$248-8)&lt;1,"",INDEX($D$3:$AD$3,($D$248-8)))</f>
        <v>0</v>
      </c>
      <c r="CJ251" s="11">
        <f>IF(($D$248-7)&lt;1,"",INDEX($D$3:$AD$3,($D$248-7)))</f>
        <v>0</v>
      </c>
      <c r="CK251" s="11">
        <f>IF(($D$248-6)&lt;1,"",INDEX($D$3:$AD$3,($D$248-6)))</f>
        <v>0</v>
      </c>
      <c r="CL251" s="11">
        <f>IF(($D$248-5)&lt;1,"",INDEX($D$3:$AD$3,($D$248-5)))</f>
        <v>0</v>
      </c>
      <c r="CM251" s="11">
        <f>IF(($D$248-4)&lt;1,"",INDEX($D$3:$AD$3,($D$248-4)))</f>
        <v>0</v>
      </c>
      <c r="CN251" s="11">
        <f>IF(($D$248-3)&lt;1,"",INDEX($D$3:$AD$3,($D$248-3)))</f>
        <v>0</v>
      </c>
      <c r="CO251" s="11">
        <f>IF(($D$248-2)&lt;1,"",INDEX($D$3:$AD$3,($D$248-2)))</f>
        <v>0</v>
      </c>
      <c r="CP251" s="11">
        <f>IF(($D$248-1)&lt;1,"",INDEX($D$3:$AD$3,($D$248-1)))</f>
        <v>0</v>
      </c>
      <c r="CQ251" s="11">
        <f>IF(($D$248-0)&lt;1,"",INDEX($D$3:$AD$3,($D$248-0)))</f>
        <v>0</v>
      </c>
    </row>
    <row r="252" spans="1:95">
      <c r="A252" s="11" t="s">
        <v>571</v>
      </c>
      <c r="B252" s="11" t="s">
        <v>572</v>
      </c>
      <c r="C252" s="3" t="s">
        <v>408</v>
      </c>
      <c r="BR252" s="5">
        <f>IF(($D$248-25)&lt;1,NA(),INDEX($D$23:$AD$23,($D$248-25)))</f>
        <v>0</v>
      </c>
      <c r="BS252" s="5">
        <f>IF(($D$248-24)&lt;1,NA(),INDEX($D$23:$AD$23,($D$248-24)))</f>
        <v>0</v>
      </c>
      <c r="BT252" s="5">
        <f>IF(($D$248-23)&lt;1,NA(),INDEX($D$23:$AD$23,($D$248-23)))</f>
        <v>0</v>
      </c>
      <c r="BU252" s="5">
        <f>IF(($D$248-22)&lt;1,NA(),INDEX($D$23:$AD$23,($D$248-22)))</f>
        <v>0</v>
      </c>
      <c r="BV252" s="5">
        <f>IF(($D$248-21)&lt;1,NA(),INDEX($D$23:$AD$23,($D$248-21)))</f>
        <v>0</v>
      </c>
      <c r="BW252" s="5">
        <f>IF(($D$248-20)&lt;1,NA(),INDEX($D$23:$AD$23,($D$248-20)))</f>
        <v>0</v>
      </c>
      <c r="BX252" s="5">
        <f>IF(($D$248-19)&lt;1,NA(),INDEX($D$23:$AD$23,($D$248-19)))</f>
        <v>0</v>
      </c>
      <c r="BY252" s="5">
        <f>IF(($D$248-18)&lt;1,NA(),INDEX($D$23:$AD$23,($D$248-18)))</f>
        <v>0</v>
      </c>
      <c r="BZ252" s="5">
        <f>IF(($D$248-17)&lt;1,NA(),INDEX($D$23:$AD$23,($D$248-17)))</f>
        <v>0</v>
      </c>
      <c r="CA252" s="5">
        <f>IF(($D$248-16)&lt;1,NA(),INDEX($D$23:$AD$23,($D$248-16)))</f>
        <v>0</v>
      </c>
      <c r="CB252" s="5">
        <f>IF(($D$248-15)&lt;1,NA(),INDEX($D$23:$AD$23,($D$248-15)))</f>
        <v>0</v>
      </c>
      <c r="CC252" s="5">
        <f>IF(($D$248-14)&lt;1,NA(),INDEX($D$23:$AD$23,($D$248-14)))</f>
        <v>0</v>
      </c>
      <c r="CD252" s="5">
        <f>IF(($D$248-13)&lt;1,NA(),INDEX($D$23:$AD$23,($D$248-13)))</f>
        <v>0</v>
      </c>
      <c r="CE252" s="5">
        <f>IF(($D$248-12)&lt;1,NA(),INDEX($D$23:$AD$23,($D$248-12)))</f>
        <v>0</v>
      </c>
      <c r="CF252" s="5">
        <f>IF(($D$248-11)&lt;1,NA(),INDEX($D$23:$AD$23,($D$248-11)))</f>
        <v>0</v>
      </c>
      <c r="CG252" s="5">
        <f>IF(($D$248-10)&lt;1,NA(),INDEX($D$23:$AD$23,($D$248-10)))</f>
        <v>0</v>
      </c>
      <c r="CH252" s="5">
        <f>IF(($D$248-9)&lt;1,NA(),INDEX($D$23:$AD$23,($D$248-9)))</f>
        <v>0</v>
      </c>
      <c r="CI252" s="5">
        <f>IF(($D$248-8)&lt;1,NA(),INDEX($D$23:$AD$23,($D$248-8)))</f>
        <v>0</v>
      </c>
      <c r="CJ252" s="5">
        <f>IF(($D$248-7)&lt;1,NA(),INDEX($D$23:$AD$23,($D$248-7)))</f>
        <v>0</v>
      </c>
      <c r="CK252" s="5">
        <f>IF(($D$248-6)&lt;1,NA(),INDEX($D$23:$AD$23,($D$248-6)))</f>
        <v>0</v>
      </c>
      <c r="CL252" s="5">
        <f>IF(($D$248-5)&lt;1,NA(),INDEX($D$23:$AD$23,($D$248-5)))</f>
        <v>0</v>
      </c>
      <c r="CM252" s="5">
        <f>IF(($D$248-4)&lt;1,NA(),INDEX($D$23:$AD$23,($D$248-4)))</f>
        <v>0</v>
      </c>
      <c r="CN252" s="5">
        <f>IF(($D$248-3)&lt;1,NA(),INDEX($D$23:$AD$23,($D$248-3)))</f>
        <v>0</v>
      </c>
      <c r="CO252" s="5">
        <f>IF(($D$248-2)&lt;1,NA(),INDEX($D$23:$AD$23,($D$248-2)))</f>
        <v>0</v>
      </c>
      <c r="CP252" s="5">
        <f>IF(($D$248-1)&lt;1,NA(),INDEX($D$23:$AD$23,($D$248-1)))</f>
        <v>0</v>
      </c>
      <c r="CQ252" s="5">
        <f>IF(($D$248-0)&lt;1,NA(),INDEX($D$23:$AD$23,($D$248-0)))</f>
        <v>0</v>
      </c>
    </row>
    <row r="253" spans="1:95">
      <c r="A253" s="11" t="s">
        <v>573</v>
      </c>
      <c r="B253" s="11" t="s">
        <v>574</v>
      </c>
      <c r="C253" s="3" t="s">
        <v>408</v>
      </c>
      <c r="BR253" s="5">
        <f>IF(($D$248-25)&lt;1,NA(),INDEX($D$22:$AD$22,($D$248-25)))</f>
        <v>0</v>
      </c>
      <c r="BS253" s="5">
        <f>IF(($D$248-24)&lt;1,NA(),INDEX($D$22:$AD$22,($D$248-24)))</f>
        <v>0</v>
      </c>
      <c r="BT253" s="5">
        <f>IF(($D$248-23)&lt;1,NA(),INDEX($D$22:$AD$22,($D$248-23)))</f>
        <v>0</v>
      </c>
      <c r="BU253" s="5">
        <f>IF(($D$248-22)&lt;1,NA(),INDEX($D$22:$AD$22,($D$248-22)))</f>
        <v>0</v>
      </c>
      <c r="BV253" s="5">
        <f>IF(($D$248-21)&lt;1,NA(),INDEX($D$22:$AD$22,($D$248-21)))</f>
        <v>0</v>
      </c>
      <c r="BW253" s="5">
        <f>IF(($D$248-20)&lt;1,NA(),INDEX($D$22:$AD$22,($D$248-20)))</f>
        <v>0</v>
      </c>
      <c r="BX253" s="5">
        <f>IF(($D$248-19)&lt;1,NA(),INDEX($D$22:$AD$22,($D$248-19)))</f>
        <v>0</v>
      </c>
      <c r="BY253" s="5">
        <f>IF(($D$248-18)&lt;1,NA(),INDEX($D$22:$AD$22,($D$248-18)))</f>
        <v>0</v>
      </c>
      <c r="BZ253" s="5">
        <f>IF(($D$248-17)&lt;1,NA(),INDEX($D$22:$AD$22,($D$248-17)))</f>
        <v>0</v>
      </c>
      <c r="CA253" s="5">
        <f>IF(($D$248-16)&lt;1,NA(),INDEX($D$22:$AD$22,($D$248-16)))</f>
        <v>0</v>
      </c>
      <c r="CB253" s="5">
        <f>IF(($D$248-15)&lt;1,NA(),INDEX($D$22:$AD$22,($D$248-15)))</f>
        <v>0</v>
      </c>
      <c r="CC253" s="5">
        <f>IF(($D$248-14)&lt;1,NA(),INDEX($D$22:$AD$22,($D$248-14)))</f>
        <v>0</v>
      </c>
      <c r="CD253" s="5">
        <f>IF(($D$248-13)&lt;1,NA(),INDEX($D$22:$AD$22,($D$248-13)))</f>
        <v>0</v>
      </c>
      <c r="CE253" s="5">
        <f>IF(($D$248-12)&lt;1,NA(),INDEX($D$22:$AD$22,($D$248-12)))</f>
        <v>0</v>
      </c>
      <c r="CF253" s="5">
        <f>IF(($D$248-11)&lt;1,NA(),INDEX($D$22:$AD$22,($D$248-11)))</f>
        <v>0</v>
      </c>
      <c r="CG253" s="5">
        <f>IF(($D$248-10)&lt;1,NA(),INDEX($D$22:$AD$22,($D$248-10)))</f>
        <v>0</v>
      </c>
      <c r="CH253" s="5">
        <f>IF(($D$248-9)&lt;1,NA(),INDEX($D$22:$AD$22,($D$248-9)))</f>
        <v>0</v>
      </c>
      <c r="CI253" s="5">
        <f>IF(($D$248-8)&lt;1,NA(),INDEX($D$22:$AD$22,($D$248-8)))</f>
        <v>0</v>
      </c>
      <c r="CJ253" s="5">
        <f>IF(($D$248-7)&lt;1,NA(),INDEX($D$22:$AD$22,($D$248-7)))</f>
        <v>0</v>
      </c>
      <c r="CK253" s="5">
        <f>IF(($D$248-6)&lt;1,NA(),INDEX($D$22:$AD$22,($D$248-6)))</f>
        <v>0</v>
      </c>
      <c r="CL253" s="5">
        <f>IF(($D$248-5)&lt;1,NA(),INDEX($D$22:$AD$22,($D$248-5)))</f>
        <v>0</v>
      </c>
      <c r="CM253" s="5">
        <f>IF(($D$248-4)&lt;1,NA(),INDEX($D$22:$AD$22,($D$248-4)))</f>
        <v>0</v>
      </c>
      <c r="CN253" s="5">
        <f>IF(($D$248-3)&lt;1,NA(),INDEX($D$22:$AD$22,($D$248-3)))</f>
        <v>0</v>
      </c>
      <c r="CO253" s="5">
        <f>IF(($D$248-2)&lt;1,NA(),INDEX($D$22:$AD$22,($D$248-2)))</f>
        <v>0</v>
      </c>
      <c r="CP253" s="5">
        <f>IF(($D$248-1)&lt;1,NA(),INDEX($D$22:$AD$22,($D$248-1)))</f>
        <v>0</v>
      </c>
      <c r="CQ253" s="5">
        <f>IF(($D$248-0)&lt;1,NA(),INDEX($D$22:$AD$22,($D$248-0)))</f>
        <v>0</v>
      </c>
    </row>
    <row r="254" spans="1:95">
      <c r="A254" s="11" t="s">
        <v>575</v>
      </c>
      <c r="B254" s="11" t="s">
        <v>576</v>
      </c>
      <c r="C254" s="3" t="s">
        <v>408</v>
      </c>
      <c r="BR254" s="5">
        <f>IF(($D$248-25)&lt;1,NA(),INDEX($D$21:$AD$21,($D$248-25)))</f>
        <v>0</v>
      </c>
      <c r="BS254" s="5">
        <f>IF(($D$248-24)&lt;1,NA(),INDEX($D$21:$AD$21,($D$248-24)))</f>
        <v>0</v>
      </c>
      <c r="BT254" s="5">
        <f>IF(($D$248-23)&lt;1,NA(),INDEX($D$21:$AD$21,($D$248-23)))</f>
        <v>0</v>
      </c>
      <c r="BU254" s="5">
        <f>IF(($D$248-22)&lt;1,NA(),INDEX($D$21:$AD$21,($D$248-22)))</f>
        <v>0</v>
      </c>
      <c r="BV254" s="5">
        <f>IF(($D$248-21)&lt;1,NA(),INDEX($D$21:$AD$21,($D$248-21)))</f>
        <v>0</v>
      </c>
      <c r="BW254" s="5">
        <f>IF(($D$248-20)&lt;1,NA(),INDEX($D$21:$AD$21,($D$248-20)))</f>
        <v>0</v>
      </c>
      <c r="BX254" s="5">
        <f>IF(($D$248-19)&lt;1,NA(),INDEX($D$21:$AD$21,($D$248-19)))</f>
        <v>0</v>
      </c>
      <c r="BY254" s="5">
        <f>IF(($D$248-18)&lt;1,NA(),INDEX($D$21:$AD$21,($D$248-18)))</f>
        <v>0</v>
      </c>
      <c r="BZ254" s="5">
        <f>IF(($D$248-17)&lt;1,NA(),INDEX($D$21:$AD$21,($D$248-17)))</f>
        <v>0</v>
      </c>
      <c r="CA254" s="5">
        <f>IF(($D$248-16)&lt;1,NA(),INDEX($D$21:$AD$21,($D$248-16)))</f>
        <v>0</v>
      </c>
      <c r="CB254" s="5">
        <f>IF(($D$248-15)&lt;1,NA(),INDEX($D$21:$AD$21,($D$248-15)))</f>
        <v>0</v>
      </c>
      <c r="CC254" s="5">
        <f>IF(($D$248-14)&lt;1,NA(),INDEX($D$21:$AD$21,($D$248-14)))</f>
        <v>0</v>
      </c>
      <c r="CD254" s="5">
        <f>IF(($D$248-13)&lt;1,NA(),INDEX($D$21:$AD$21,($D$248-13)))</f>
        <v>0</v>
      </c>
      <c r="CE254" s="5">
        <f>IF(($D$248-12)&lt;1,NA(),INDEX($D$21:$AD$21,($D$248-12)))</f>
        <v>0</v>
      </c>
      <c r="CF254" s="5">
        <f>IF(($D$248-11)&lt;1,NA(),INDEX($D$21:$AD$21,($D$248-11)))</f>
        <v>0</v>
      </c>
      <c r="CG254" s="5">
        <f>IF(($D$248-10)&lt;1,NA(),INDEX($D$21:$AD$21,($D$248-10)))</f>
        <v>0</v>
      </c>
      <c r="CH254" s="5">
        <f>IF(($D$248-9)&lt;1,NA(),INDEX($D$21:$AD$21,($D$248-9)))</f>
        <v>0</v>
      </c>
      <c r="CI254" s="5">
        <f>IF(($D$248-8)&lt;1,NA(),INDEX($D$21:$AD$21,($D$248-8)))</f>
        <v>0</v>
      </c>
      <c r="CJ254" s="5">
        <f>IF(($D$248-7)&lt;1,NA(),INDEX($D$21:$AD$21,($D$248-7)))</f>
        <v>0</v>
      </c>
      <c r="CK254" s="5">
        <f>IF(($D$248-6)&lt;1,NA(),INDEX($D$21:$AD$21,($D$248-6)))</f>
        <v>0</v>
      </c>
      <c r="CL254" s="5">
        <f>IF(($D$248-5)&lt;1,NA(),INDEX($D$21:$AD$21,($D$248-5)))</f>
        <v>0</v>
      </c>
      <c r="CM254" s="5">
        <f>IF(($D$248-4)&lt;1,NA(),INDEX($D$21:$AD$21,($D$248-4)))</f>
        <v>0</v>
      </c>
      <c r="CN254" s="5">
        <f>IF(($D$248-3)&lt;1,NA(),INDEX($D$21:$AD$21,($D$248-3)))</f>
        <v>0</v>
      </c>
      <c r="CO254" s="5">
        <f>IF(($D$248-2)&lt;1,NA(),INDEX($D$21:$AD$21,($D$248-2)))</f>
        <v>0</v>
      </c>
      <c r="CP254" s="5">
        <f>IF(($D$248-1)&lt;1,NA(),INDEX($D$21:$AD$21,($D$248-1)))</f>
        <v>0</v>
      </c>
      <c r="CQ254" s="5">
        <f>IF(($D$248-0)&lt;1,NA(),INDEX($D$21:$AD$21,($D$248-0)))</f>
        <v>0</v>
      </c>
    </row>
    <row r="255" spans="1:95">
      <c r="A255" s="11" t="s">
        <v>577</v>
      </c>
      <c r="B255" s="11" t="s">
        <v>578</v>
      </c>
      <c r="C255" s="3" t="s">
        <v>408</v>
      </c>
      <c r="BR255" s="5">
        <f>IF(($D$248-25)&lt;1,NA(),INDEX($D$150:$AD$150,($D$248-25)))</f>
        <v>0</v>
      </c>
      <c r="BS255" s="5">
        <f>IF(($D$248-24)&lt;1,NA(),INDEX($D$150:$AD$150,($D$248-24)))</f>
        <v>0</v>
      </c>
      <c r="BT255" s="5">
        <f>IF(($D$248-23)&lt;1,NA(),INDEX($D$150:$AD$150,($D$248-23)))</f>
        <v>0</v>
      </c>
      <c r="BU255" s="5">
        <f>IF(($D$248-22)&lt;1,NA(),INDEX($D$150:$AD$150,($D$248-22)))</f>
        <v>0</v>
      </c>
      <c r="BV255" s="5">
        <f>IF(($D$248-21)&lt;1,NA(),INDEX($D$150:$AD$150,($D$248-21)))</f>
        <v>0</v>
      </c>
      <c r="BW255" s="5">
        <f>IF(($D$248-20)&lt;1,NA(),INDEX($D$150:$AD$150,($D$248-20)))</f>
        <v>0</v>
      </c>
      <c r="BX255" s="5">
        <f>IF(($D$248-19)&lt;1,NA(),INDEX($D$150:$AD$150,($D$248-19)))</f>
        <v>0</v>
      </c>
      <c r="BY255" s="5">
        <f>IF(($D$248-18)&lt;1,NA(),INDEX($D$150:$AD$150,($D$248-18)))</f>
        <v>0</v>
      </c>
      <c r="BZ255" s="5">
        <f>IF(($D$248-17)&lt;1,NA(),INDEX($D$150:$AD$150,($D$248-17)))</f>
        <v>0</v>
      </c>
      <c r="CA255" s="5">
        <f>IF(($D$248-16)&lt;1,NA(),INDEX($D$150:$AD$150,($D$248-16)))</f>
        <v>0</v>
      </c>
      <c r="CB255" s="5">
        <f>IF(($D$248-15)&lt;1,NA(),INDEX($D$150:$AD$150,($D$248-15)))</f>
        <v>0</v>
      </c>
      <c r="CC255" s="5">
        <f>IF(($D$248-14)&lt;1,NA(),INDEX($D$150:$AD$150,($D$248-14)))</f>
        <v>0</v>
      </c>
      <c r="CD255" s="5">
        <f>IF(($D$248-13)&lt;1,NA(),INDEX($D$150:$AD$150,($D$248-13)))</f>
        <v>0</v>
      </c>
      <c r="CE255" s="5">
        <f>IF(($D$248-12)&lt;1,NA(),INDEX($D$150:$AD$150,($D$248-12)))</f>
        <v>0</v>
      </c>
      <c r="CF255" s="5">
        <f>IF(($D$248-11)&lt;1,NA(),INDEX($D$150:$AD$150,($D$248-11)))</f>
        <v>0</v>
      </c>
      <c r="CG255" s="5">
        <f>IF(($D$248-10)&lt;1,NA(),INDEX($D$150:$AD$150,($D$248-10)))</f>
        <v>0</v>
      </c>
      <c r="CH255" s="5">
        <f>IF(($D$248-9)&lt;1,NA(),INDEX($D$150:$AD$150,($D$248-9)))</f>
        <v>0</v>
      </c>
      <c r="CI255" s="5">
        <f>IF(($D$248-8)&lt;1,NA(),INDEX($D$150:$AD$150,($D$248-8)))</f>
        <v>0</v>
      </c>
      <c r="CJ255" s="5">
        <f>IF(($D$248-7)&lt;1,NA(),INDEX($D$150:$AD$150,($D$248-7)))</f>
        <v>0</v>
      </c>
      <c r="CK255" s="5">
        <f>IF(($D$248-6)&lt;1,NA(),INDEX($D$150:$AD$150,($D$248-6)))</f>
        <v>0</v>
      </c>
      <c r="CL255" s="5">
        <f>IF(($D$248-5)&lt;1,NA(),INDEX($D$150:$AD$150,($D$248-5)))</f>
        <v>0</v>
      </c>
      <c r="CM255" s="5">
        <f>IF(($D$248-4)&lt;1,NA(),INDEX($D$150:$AD$150,($D$248-4)))</f>
        <v>0</v>
      </c>
      <c r="CN255" s="5">
        <f>IF(($D$248-3)&lt;1,NA(),INDEX($D$150:$AD$150,($D$248-3)))</f>
        <v>0</v>
      </c>
      <c r="CO255" s="5">
        <f>IF(($D$248-2)&lt;1,NA(),INDEX($D$150:$AD$150,($D$248-2)))</f>
        <v>0</v>
      </c>
      <c r="CP255" s="5">
        <f>IF(($D$248-1)&lt;1,NA(),INDEX($D$150:$AD$150,($D$248-1)))</f>
        <v>0</v>
      </c>
      <c r="CQ255" s="5">
        <f>IF(($D$248-0)&lt;1,NA(),INDEX($D$150:$AD$150,($D$248-0)))</f>
        <v>0</v>
      </c>
    </row>
    <row r="256" spans="1:95">
      <c r="A256" s="11" t="s">
        <v>579</v>
      </c>
      <c r="B256" s="11" t="s">
        <v>580</v>
      </c>
      <c r="C256" s="3" t="s">
        <v>408</v>
      </c>
      <c r="BR256" s="11">
        <f>IF(($D$248-25)&lt;1,"",INDEX($D$149:$AD$149,($D$248-25)))</f>
        <v>0</v>
      </c>
      <c r="BS256" s="11">
        <f>IF(($D$248-24)&lt;1,"",INDEX($D$149:$AD$149,($D$248-24)))</f>
        <v>0</v>
      </c>
      <c r="BT256" s="11">
        <f>IF(($D$248-23)&lt;1,"",INDEX($D$149:$AD$149,($D$248-23)))</f>
        <v>0</v>
      </c>
      <c r="BU256" s="11">
        <f>IF(($D$248-22)&lt;1,"",INDEX($D$149:$AD$149,($D$248-22)))</f>
        <v>0</v>
      </c>
      <c r="BV256" s="11">
        <f>IF(($D$248-21)&lt;1,"",INDEX($D$149:$AD$149,($D$248-21)))</f>
        <v>0</v>
      </c>
      <c r="BW256" s="11">
        <f>IF(($D$248-20)&lt;1,"",INDEX($D$149:$AD$149,($D$248-20)))</f>
        <v>0</v>
      </c>
      <c r="BX256" s="11">
        <f>IF(($D$248-19)&lt;1,"",INDEX($D$149:$AD$149,($D$248-19)))</f>
        <v>0</v>
      </c>
      <c r="BY256" s="11">
        <f>IF(($D$248-18)&lt;1,"",INDEX($D$149:$AD$149,($D$248-18)))</f>
        <v>0</v>
      </c>
      <c r="BZ256" s="11">
        <f>IF(($D$248-17)&lt;1,"",INDEX($D$149:$AD$149,($D$248-17)))</f>
        <v>0</v>
      </c>
      <c r="CA256" s="11">
        <f>IF(($D$248-16)&lt;1,"",INDEX($D$149:$AD$149,($D$248-16)))</f>
        <v>0</v>
      </c>
      <c r="CB256" s="11">
        <f>IF(($D$248-15)&lt;1,"",INDEX($D$149:$AD$149,($D$248-15)))</f>
        <v>0</v>
      </c>
      <c r="CC256" s="11">
        <f>IF(($D$248-14)&lt;1,"",INDEX($D$149:$AD$149,($D$248-14)))</f>
        <v>0</v>
      </c>
      <c r="CD256" s="11">
        <f>IF(($D$248-13)&lt;1,"",INDEX($D$149:$AD$149,($D$248-13)))</f>
        <v>0</v>
      </c>
      <c r="CE256" s="11">
        <f>IF(($D$248-12)&lt;1,"",INDEX($D$149:$AD$149,($D$248-12)))</f>
        <v>0</v>
      </c>
      <c r="CF256" s="11">
        <f>IF(($D$248-11)&lt;1,"",INDEX($D$149:$AD$149,($D$248-11)))</f>
        <v>0</v>
      </c>
      <c r="CG256" s="11">
        <f>IF(($D$248-10)&lt;1,"",INDEX($D$149:$AD$149,($D$248-10)))</f>
        <v>0</v>
      </c>
      <c r="CH256" s="11">
        <f>IF(($D$248-9)&lt;1,"",INDEX($D$149:$AD$149,($D$248-9)))</f>
        <v>0</v>
      </c>
      <c r="CI256" s="11">
        <f>IF(($D$248-8)&lt;1,"",INDEX($D$149:$AD$149,($D$248-8)))</f>
        <v>0</v>
      </c>
      <c r="CJ256" s="11">
        <f>IF(($D$248-7)&lt;1,"",INDEX($D$149:$AD$149,($D$248-7)))</f>
        <v>0</v>
      </c>
      <c r="CK256" s="11">
        <f>IF(($D$248-6)&lt;1,"",INDEX($D$149:$AD$149,($D$248-6)))</f>
        <v>0</v>
      </c>
      <c r="CL256" s="11">
        <f>IF(($D$248-5)&lt;1,"",INDEX($D$149:$AD$149,($D$248-5)))</f>
        <v>0</v>
      </c>
      <c r="CM256" s="11">
        <f>IF(($D$248-4)&lt;1,"",INDEX($D$149:$AD$149,($D$248-4)))</f>
        <v>0</v>
      </c>
      <c r="CN256" s="11">
        <f>IF(($D$248-3)&lt;1,"",INDEX($D$149:$AD$149,($D$248-3)))</f>
        <v>0</v>
      </c>
      <c r="CO256" s="11">
        <f>IF(($D$248-2)&lt;1,"",INDEX($D$149:$AD$149,($D$248-2)))</f>
        <v>0</v>
      </c>
      <c r="CP256" s="11">
        <f>IF(($D$248-1)&lt;1,"",INDEX($D$149:$AD$149,($D$248-1)))</f>
        <v>0</v>
      </c>
      <c r="CQ256" s="11">
        <f>IF(($D$248-0)&lt;1,"",INDEX($D$149:$AD$149,($D$248-0)))</f>
        <v>0</v>
      </c>
    </row>
    <row r="257" spans="1:95">
      <c r="A257" s="11" t="s">
        <v>581</v>
      </c>
      <c r="B257" s="11" t="s">
        <v>582</v>
      </c>
      <c r="C257" s="3" t="s">
        <v>134</v>
      </c>
      <c r="D257" s="5">
        <v>10</v>
      </c>
    </row>
    <row r="258" spans="1:95">
      <c r="A258" s="11" t="s">
        <v>583</v>
      </c>
      <c r="B258" s="11" t="s">
        <v>584</v>
      </c>
      <c r="C258" s="3" t="s">
        <v>137</v>
      </c>
      <c r="D258" s="5">
        <f>IF(ISNUMBER(D24),D24/MAX(1,_xlfn.AGGREGATE(4,6,INDEX($D$24:$AD$24,MAX(1,$D$248+1-$D$257)):INDEX($D$24:$AD$24,$D$248)),_xlfn.AGGREGATE(4,6,INDEX($D$25:$AD$25,MAX(1,$D$248+1-$D$257)):INDEX($D$25:$AD$25,$D$248))),NA())</f>
        <v>0</v>
      </c>
      <c r="E258" s="5">
        <f>IF(ISNUMBER(E24),E24/MAX(1,_xlfn.AGGREGATE(4,6,INDEX($D$24:$AD$24,MAX(1,$D$248+1-$D$257)):INDEX($D$24:$AD$24,$D$248)),_xlfn.AGGREGATE(4,6,INDEX($D$25:$AD$25,MAX(1,$D$248+1-$D$257)):INDEX($D$25:$AD$25,$D$248))),NA())</f>
        <v>0</v>
      </c>
      <c r="F258" s="5">
        <f>IF(ISNUMBER(F24),F24/MAX(1,_xlfn.AGGREGATE(4,6,INDEX($D$24:$AD$24,MAX(1,$D$248+1-$D$257)):INDEX($D$24:$AD$24,$D$248)),_xlfn.AGGREGATE(4,6,INDEX($D$25:$AD$25,MAX(1,$D$248+1-$D$257)):INDEX($D$25:$AD$25,$D$248))),NA())</f>
        <v>0</v>
      </c>
      <c r="G258" s="5">
        <f>IF(ISNUMBER(G24),G24/MAX(1,_xlfn.AGGREGATE(4,6,INDEX($D$24:$AD$24,MAX(1,$D$248+1-$D$257)):INDEX($D$24:$AD$24,$D$248)),_xlfn.AGGREGATE(4,6,INDEX($D$25:$AD$25,MAX(1,$D$248+1-$D$257)):INDEX($D$25:$AD$25,$D$248))),NA())</f>
        <v>0</v>
      </c>
      <c r="H258" s="5">
        <f>IF(ISNUMBER(H24),H24/MAX(1,_xlfn.AGGREGATE(4,6,INDEX($D$24:$AD$24,MAX(1,$D$248+1-$D$257)):INDEX($D$24:$AD$24,$D$248)),_xlfn.AGGREGATE(4,6,INDEX($D$25:$AD$25,MAX(1,$D$248+1-$D$257)):INDEX($D$25:$AD$25,$D$248))),NA())</f>
        <v>0</v>
      </c>
      <c r="I258" s="5">
        <f>IF(ISNUMBER(I24),I24/MAX(1,_xlfn.AGGREGATE(4,6,INDEX($D$24:$AD$24,MAX(1,$D$248+1-$D$257)):INDEX($D$24:$AD$24,$D$248)),_xlfn.AGGREGATE(4,6,INDEX($D$25:$AD$25,MAX(1,$D$248+1-$D$257)):INDEX($D$25:$AD$25,$D$248))),NA())</f>
        <v>0</v>
      </c>
      <c r="J258" s="5">
        <f>IF(ISNUMBER(J24),J24/MAX(1,_xlfn.AGGREGATE(4,6,INDEX($D$24:$AD$24,MAX(1,$D$248+1-$D$257)):INDEX($D$24:$AD$24,$D$248)),_xlfn.AGGREGATE(4,6,INDEX($D$25:$AD$25,MAX(1,$D$248+1-$D$257)):INDEX($D$25:$AD$25,$D$248))),NA())</f>
        <v>0</v>
      </c>
      <c r="K258" s="5">
        <f>IF(ISNUMBER(K24),K24/MAX(1,_xlfn.AGGREGATE(4,6,INDEX($D$24:$AD$24,MAX(1,$D$248+1-$D$257)):INDEX($D$24:$AD$24,$D$248)),_xlfn.AGGREGATE(4,6,INDEX($D$25:$AD$25,MAX(1,$D$248+1-$D$257)):INDEX($D$25:$AD$25,$D$248))),NA())</f>
        <v>0</v>
      </c>
      <c r="L258" s="5">
        <f>IF(ISNUMBER(L24),L24/MAX(1,_xlfn.AGGREGATE(4,6,INDEX($D$24:$AD$24,MAX(1,$D$248+1-$D$257)):INDEX($D$24:$AD$24,$D$248)),_xlfn.AGGREGATE(4,6,INDEX($D$25:$AD$25,MAX(1,$D$248+1-$D$257)):INDEX($D$25:$AD$25,$D$248))),NA())</f>
        <v>0</v>
      </c>
      <c r="M258" s="5">
        <f>IF(ISNUMBER(M24),M24/MAX(1,_xlfn.AGGREGATE(4,6,INDEX($D$24:$AD$24,MAX(1,$D$248+1-$D$257)):INDEX($D$24:$AD$24,$D$248)),_xlfn.AGGREGATE(4,6,INDEX($D$25:$AD$25,MAX(1,$D$248+1-$D$257)):INDEX($D$25:$AD$25,$D$248))),NA())</f>
        <v>0</v>
      </c>
      <c r="N258" s="5">
        <f>IF(ISNUMBER(N24),N24/MAX(1,_xlfn.AGGREGATE(4,6,INDEX($D$24:$AD$24,MAX(1,$D$248+1-$D$257)):INDEX($D$24:$AD$24,$D$248)),_xlfn.AGGREGATE(4,6,INDEX($D$25:$AD$25,MAX(1,$D$248+1-$D$257)):INDEX($D$25:$AD$25,$D$248))),NA())</f>
        <v>0</v>
      </c>
      <c r="O258" s="5">
        <f>IF(ISNUMBER(O24),O24/MAX(1,_xlfn.AGGREGATE(4,6,INDEX($D$24:$AD$24,MAX(1,$D$248+1-$D$257)):INDEX($D$24:$AD$24,$D$248)),_xlfn.AGGREGATE(4,6,INDEX($D$25:$AD$25,MAX(1,$D$248+1-$D$257)):INDEX($D$25:$AD$25,$D$248))),NA())</f>
        <v>0</v>
      </c>
      <c r="P258" s="5">
        <f>IF(ISNUMBER(P24),P24/MAX(1,_xlfn.AGGREGATE(4,6,INDEX($D$24:$AD$24,MAX(1,$D$248+1-$D$257)):INDEX($D$24:$AD$24,$D$248)),_xlfn.AGGREGATE(4,6,INDEX($D$25:$AD$25,MAX(1,$D$248+1-$D$257)):INDEX($D$25:$AD$25,$D$248))),NA())</f>
        <v>0</v>
      </c>
      <c r="Q258" s="5">
        <f>IF(ISNUMBER(Q24),Q24/MAX(1,_xlfn.AGGREGATE(4,6,INDEX($D$24:$AD$24,MAX(1,$D$248+1-$D$257)):INDEX($D$24:$AD$24,$D$248)),_xlfn.AGGREGATE(4,6,INDEX($D$25:$AD$25,MAX(1,$D$248+1-$D$257)):INDEX($D$25:$AD$25,$D$248))),NA())</f>
        <v>0</v>
      </c>
      <c r="R258" s="5">
        <f>IF(ISNUMBER(R24),R24/MAX(1,_xlfn.AGGREGATE(4,6,INDEX($D$24:$AD$24,MAX(1,$D$248+1-$D$257)):INDEX($D$24:$AD$24,$D$248)),_xlfn.AGGREGATE(4,6,INDEX($D$25:$AD$25,MAX(1,$D$248+1-$D$257)):INDEX($D$25:$AD$25,$D$248))),NA())</f>
        <v>0</v>
      </c>
      <c r="S258" s="5">
        <f>IF(ISNUMBER(S24),S24/MAX(1,_xlfn.AGGREGATE(4,6,INDEX($D$24:$AD$24,MAX(1,$D$248+1-$D$257)):INDEX($D$24:$AD$24,$D$248)),_xlfn.AGGREGATE(4,6,INDEX($D$25:$AD$25,MAX(1,$D$248+1-$D$257)):INDEX($D$25:$AD$25,$D$248))),NA())</f>
        <v>0</v>
      </c>
      <c r="T258" s="5">
        <f>IF(ISNUMBER(T24),T24/MAX(1,_xlfn.AGGREGATE(4,6,INDEX($D$24:$AD$24,MAX(1,$D$248+1-$D$257)):INDEX($D$24:$AD$24,$D$248)),_xlfn.AGGREGATE(4,6,INDEX($D$25:$AD$25,MAX(1,$D$248+1-$D$257)):INDEX($D$25:$AD$25,$D$248))),NA())</f>
        <v>0</v>
      </c>
      <c r="U258" s="5">
        <f>IF(ISNUMBER(U24),U24/MAX(1,_xlfn.AGGREGATE(4,6,INDEX($D$24:$AD$24,MAX(1,$D$248+1-$D$257)):INDEX($D$24:$AD$24,$D$248)),_xlfn.AGGREGATE(4,6,INDEX($D$25:$AD$25,MAX(1,$D$248+1-$D$257)):INDEX($D$25:$AD$25,$D$248))),NA())</f>
        <v>0</v>
      </c>
      <c r="V258" s="5">
        <f>IF(ISNUMBER(V24),V24/MAX(1,_xlfn.AGGREGATE(4,6,INDEX($D$24:$AD$24,MAX(1,$D$248+1-$D$257)):INDEX($D$24:$AD$24,$D$248)),_xlfn.AGGREGATE(4,6,INDEX($D$25:$AD$25,MAX(1,$D$248+1-$D$257)):INDEX($D$25:$AD$25,$D$248))),NA())</f>
        <v>0</v>
      </c>
      <c r="W258" s="5">
        <f>IF(ISNUMBER(W24),W24/MAX(1,_xlfn.AGGREGATE(4,6,INDEX($D$24:$AD$24,MAX(1,$D$248+1-$D$257)):INDEX($D$24:$AD$24,$D$248)),_xlfn.AGGREGATE(4,6,INDEX($D$25:$AD$25,MAX(1,$D$248+1-$D$257)):INDEX($D$25:$AD$25,$D$248))),NA())</f>
        <v>0</v>
      </c>
      <c r="X258" s="5">
        <f>IF(ISNUMBER(X24),X24/MAX(1,_xlfn.AGGREGATE(4,6,INDEX($D$24:$AD$24,MAX(1,$D$248+1-$D$257)):INDEX($D$24:$AD$24,$D$248)),_xlfn.AGGREGATE(4,6,INDEX($D$25:$AD$25,MAX(1,$D$248+1-$D$257)):INDEX($D$25:$AD$25,$D$248))),NA())</f>
        <v>0</v>
      </c>
      <c r="Y258" s="5">
        <f>IF(ISNUMBER(Y24),Y24/MAX(1,_xlfn.AGGREGATE(4,6,INDEX($D$24:$AD$24,MAX(1,$D$248+1-$D$257)):INDEX($D$24:$AD$24,$D$248)),_xlfn.AGGREGATE(4,6,INDEX($D$25:$AD$25,MAX(1,$D$248+1-$D$257)):INDEX($D$25:$AD$25,$D$248))),NA())</f>
        <v>0</v>
      </c>
      <c r="Z258" s="5">
        <f>IF(ISNUMBER(Z24),Z24/MAX(1,_xlfn.AGGREGATE(4,6,INDEX($D$24:$AD$24,MAX(1,$D$248+1-$D$257)):INDEX($D$24:$AD$24,$D$248)),_xlfn.AGGREGATE(4,6,INDEX($D$25:$AD$25,MAX(1,$D$248+1-$D$257)):INDEX($D$25:$AD$25,$D$248))),NA())</f>
        <v>0</v>
      </c>
      <c r="AA258" s="5">
        <f>IF(ISNUMBER(AA24),AA24/MAX(1,_xlfn.AGGREGATE(4,6,INDEX($D$24:$AD$24,MAX(1,$D$248+1-$D$257)):INDEX($D$24:$AD$24,$D$248)),_xlfn.AGGREGATE(4,6,INDEX($D$25:$AD$25,MAX(1,$D$248+1-$D$257)):INDEX($D$25:$AD$25,$D$248))),NA())</f>
        <v>0</v>
      </c>
      <c r="AB258" s="5">
        <f>IF(ISNUMBER(AB24),AB24/MAX(1,_xlfn.AGGREGATE(4,6,INDEX($D$24:$AD$24,MAX(1,$D$248+1-$D$257)):INDEX($D$24:$AD$24,$D$248)),_xlfn.AGGREGATE(4,6,INDEX($D$25:$AD$25,MAX(1,$D$248+1-$D$257)):INDEX($D$25:$AD$25,$D$248))),NA())</f>
        <v>0</v>
      </c>
      <c r="AC258" s="5">
        <f>IF(ISNUMBER(AC24),AC24/MAX(1,_xlfn.AGGREGATE(4,6,INDEX($D$24:$AD$24,MAX(1,$D$248+1-$D$257)):INDEX($D$24:$AD$24,$D$248)),_xlfn.AGGREGATE(4,6,INDEX($D$25:$AD$25,MAX(1,$D$248+1-$D$257)):INDEX($D$25:$AD$25,$D$248))),NA())</f>
        <v>0</v>
      </c>
      <c r="AD258" s="5">
        <f>IF(ISNUMBER(AD24),AD24/MAX(1,_xlfn.AGGREGATE(4,6,INDEX($D$24:$AD$24,MAX(1,$D$248+1-$D$257)):INDEX($D$24:$AD$24,$D$248)),_xlfn.AGGREGATE(4,6,INDEX($D$25:$AD$25,MAX(1,$D$248+1-$D$257)):INDEX($D$25:$AD$25,$D$248))),NA())</f>
        <v>0</v>
      </c>
    </row>
    <row r="259" spans="1:95">
      <c r="A259" s="11" t="s">
        <v>585</v>
      </c>
      <c r="B259" s="11" t="s">
        <v>586</v>
      </c>
      <c r="C259" s="3" t="s">
        <v>137</v>
      </c>
      <c r="D259" s="11">
        <f>IF(ISNUMBER(D24),FIXED(D24,0)&amp;REPT(_xlfn.UNICHAR(160),3),"")</f>
        <v>0</v>
      </c>
      <c r="E259" s="11">
        <f>IF(ISNUMBER(E24),FIXED(E24,0)&amp;REPT(_xlfn.UNICHAR(160),3),"")</f>
        <v>0</v>
      </c>
      <c r="F259" s="11">
        <f>IF(ISNUMBER(F24),FIXED(F24,0)&amp;REPT(_xlfn.UNICHAR(160),3),"")</f>
        <v>0</v>
      </c>
      <c r="G259" s="11">
        <f>IF(ISNUMBER(G24),FIXED(G24,0)&amp;REPT(_xlfn.UNICHAR(160),3),"")</f>
        <v>0</v>
      </c>
      <c r="H259" s="11">
        <f>IF(ISNUMBER(H24),FIXED(H24,0)&amp;REPT(_xlfn.UNICHAR(160),3),"")</f>
        <v>0</v>
      </c>
      <c r="I259" s="11">
        <f>IF(ISNUMBER(I24),FIXED(I24,0)&amp;REPT(_xlfn.UNICHAR(160),3),"")</f>
        <v>0</v>
      </c>
      <c r="J259" s="11">
        <f>IF(ISNUMBER(J24),FIXED(J24,0)&amp;REPT(_xlfn.UNICHAR(160),3),"")</f>
        <v>0</v>
      </c>
      <c r="K259" s="11">
        <f>IF(ISNUMBER(K24),FIXED(K24,0)&amp;REPT(_xlfn.UNICHAR(160),3),"")</f>
        <v>0</v>
      </c>
      <c r="L259" s="11">
        <f>IF(ISNUMBER(L24),FIXED(L24,0)&amp;REPT(_xlfn.UNICHAR(160),3),"")</f>
        <v>0</v>
      </c>
      <c r="M259" s="11">
        <f>IF(ISNUMBER(M24),FIXED(M24,0)&amp;REPT(_xlfn.UNICHAR(160),3),"")</f>
        <v>0</v>
      </c>
      <c r="N259" s="11">
        <f>IF(ISNUMBER(N24),FIXED(N24,0)&amp;REPT(_xlfn.UNICHAR(160),3),"")</f>
        <v>0</v>
      </c>
      <c r="O259" s="11">
        <f>IF(ISNUMBER(O24),FIXED(O24,0)&amp;REPT(_xlfn.UNICHAR(160),3),"")</f>
        <v>0</v>
      </c>
      <c r="P259" s="11">
        <f>IF(ISNUMBER(P24),FIXED(P24,0)&amp;REPT(_xlfn.UNICHAR(160),3),"")</f>
        <v>0</v>
      </c>
      <c r="Q259" s="11">
        <f>IF(ISNUMBER(Q24),FIXED(Q24,0)&amp;REPT(_xlfn.UNICHAR(160),3),"")</f>
        <v>0</v>
      </c>
      <c r="R259" s="11">
        <f>IF(ISNUMBER(R24),FIXED(R24,0)&amp;REPT(_xlfn.UNICHAR(160),3),"")</f>
        <v>0</v>
      </c>
      <c r="S259" s="11">
        <f>IF(ISNUMBER(S24),FIXED(S24,0)&amp;REPT(_xlfn.UNICHAR(160),3),"")</f>
        <v>0</v>
      </c>
      <c r="T259" s="11">
        <f>IF(ISNUMBER(T24),FIXED(T24,0)&amp;REPT(_xlfn.UNICHAR(160),3),"")</f>
        <v>0</v>
      </c>
      <c r="U259" s="11">
        <f>IF(ISNUMBER(U24),FIXED(U24,0)&amp;REPT(_xlfn.UNICHAR(160),3),"")</f>
        <v>0</v>
      </c>
      <c r="V259" s="11">
        <f>IF(ISNUMBER(V24),FIXED(V24,0)&amp;REPT(_xlfn.UNICHAR(160),3),"")</f>
        <v>0</v>
      </c>
      <c r="W259" s="11">
        <f>IF(ISNUMBER(W24),FIXED(W24,0)&amp;REPT(_xlfn.UNICHAR(160),3),"")</f>
        <v>0</v>
      </c>
      <c r="X259" s="11">
        <f>IF(ISNUMBER(X24),FIXED(X24,0)&amp;REPT(_xlfn.UNICHAR(160),3),"")</f>
        <v>0</v>
      </c>
      <c r="Y259" s="11">
        <f>IF(ISNUMBER(Y24),FIXED(Y24,0)&amp;REPT(_xlfn.UNICHAR(160),3),"")</f>
        <v>0</v>
      </c>
      <c r="Z259" s="11">
        <f>IF(ISNUMBER(Z24),FIXED(Z24,0)&amp;REPT(_xlfn.UNICHAR(160),3),"")</f>
        <v>0</v>
      </c>
      <c r="AA259" s="11">
        <f>IF(ISNUMBER(AA24),FIXED(AA24,0)&amp;REPT(_xlfn.UNICHAR(160),3),"")</f>
        <v>0</v>
      </c>
      <c r="AB259" s="11">
        <f>IF(ISNUMBER(AB24),FIXED(AB24,0)&amp;REPT(_xlfn.UNICHAR(160),3),"")</f>
        <v>0</v>
      </c>
      <c r="AC259" s="11">
        <f>IF(ISNUMBER(AC24),FIXED(AC24,0)&amp;REPT(_xlfn.UNICHAR(160),3),"")</f>
        <v>0</v>
      </c>
      <c r="AD259" s="11">
        <f>IF(ISNUMBER(AD24),FIXED(AD24,0)&amp;REPT(_xlfn.UNICHAR(160),3),"")</f>
        <v>0</v>
      </c>
    </row>
    <row r="260" spans="1:95">
      <c r="A260" s="11" t="s">
        <v>587</v>
      </c>
      <c r="B260" s="11" t="s">
        <v>588</v>
      </c>
      <c r="C260" s="3" t="s">
        <v>137</v>
      </c>
      <c r="D260" s="5">
        <f>IF(ISNUMBER(D25),D25/MAX(1,_xlfn.AGGREGATE(4,6,INDEX($D$24:$AD$24,MAX(1,$D$248+1-$D$257)):INDEX($D$24:$AD$24,$D$248)),_xlfn.AGGREGATE(4,6,INDEX($D$25:$AD$25,MAX(1,$D$248+1-$D$257)):INDEX($D$25:$AD$25,$D$248))),NA())</f>
        <v>0</v>
      </c>
      <c r="E260" s="5">
        <f>IF(ISNUMBER(E25),E25/MAX(1,_xlfn.AGGREGATE(4,6,INDEX($D$24:$AD$24,MAX(1,$D$248+1-$D$257)):INDEX($D$24:$AD$24,$D$248)),_xlfn.AGGREGATE(4,6,INDEX($D$25:$AD$25,MAX(1,$D$248+1-$D$257)):INDEX($D$25:$AD$25,$D$248))),NA())</f>
        <v>0</v>
      </c>
      <c r="F260" s="5">
        <f>IF(ISNUMBER(F25),F25/MAX(1,_xlfn.AGGREGATE(4,6,INDEX($D$24:$AD$24,MAX(1,$D$248+1-$D$257)):INDEX($D$24:$AD$24,$D$248)),_xlfn.AGGREGATE(4,6,INDEX($D$25:$AD$25,MAX(1,$D$248+1-$D$257)):INDEX($D$25:$AD$25,$D$248))),NA())</f>
        <v>0</v>
      </c>
      <c r="G260" s="5">
        <f>IF(ISNUMBER(G25),G25/MAX(1,_xlfn.AGGREGATE(4,6,INDEX($D$24:$AD$24,MAX(1,$D$248+1-$D$257)):INDEX($D$24:$AD$24,$D$248)),_xlfn.AGGREGATE(4,6,INDEX($D$25:$AD$25,MAX(1,$D$248+1-$D$257)):INDEX($D$25:$AD$25,$D$248))),NA())</f>
        <v>0</v>
      </c>
      <c r="H260" s="5">
        <f>IF(ISNUMBER(H25),H25/MAX(1,_xlfn.AGGREGATE(4,6,INDEX($D$24:$AD$24,MAX(1,$D$248+1-$D$257)):INDEX($D$24:$AD$24,$D$248)),_xlfn.AGGREGATE(4,6,INDEX($D$25:$AD$25,MAX(1,$D$248+1-$D$257)):INDEX($D$25:$AD$25,$D$248))),NA())</f>
        <v>0</v>
      </c>
      <c r="I260" s="5">
        <f>IF(ISNUMBER(I25),I25/MAX(1,_xlfn.AGGREGATE(4,6,INDEX($D$24:$AD$24,MAX(1,$D$248+1-$D$257)):INDEX($D$24:$AD$24,$D$248)),_xlfn.AGGREGATE(4,6,INDEX($D$25:$AD$25,MAX(1,$D$248+1-$D$257)):INDEX($D$25:$AD$25,$D$248))),NA())</f>
        <v>0</v>
      </c>
      <c r="J260" s="5">
        <f>IF(ISNUMBER(J25),J25/MAX(1,_xlfn.AGGREGATE(4,6,INDEX($D$24:$AD$24,MAX(1,$D$248+1-$D$257)):INDEX($D$24:$AD$24,$D$248)),_xlfn.AGGREGATE(4,6,INDEX($D$25:$AD$25,MAX(1,$D$248+1-$D$257)):INDEX($D$25:$AD$25,$D$248))),NA())</f>
        <v>0</v>
      </c>
      <c r="K260" s="5">
        <f>IF(ISNUMBER(K25),K25/MAX(1,_xlfn.AGGREGATE(4,6,INDEX($D$24:$AD$24,MAX(1,$D$248+1-$D$257)):INDEX($D$24:$AD$24,$D$248)),_xlfn.AGGREGATE(4,6,INDEX($D$25:$AD$25,MAX(1,$D$248+1-$D$257)):INDEX($D$25:$AD$25,$D$248))),NA())</f>
        <v>0</v>
      </c>
      <c r="L260" s="5">
        <f>IF(ISNUMBER(L25),L25/MAX(1,_xlfn.AGGREGATE(4,6,INDEX($D$24:$AD$24,MAX(1,$D$248+1-$D$257)):INDEX($D$24:$AD$24,$D$248)),_xlfn.AGGREGATE(4,6,INDEX($D$25:$AD$25,MAX(1,$D$248+1-$D$257)):INDEX($D$25:$AD$25,$D$248))),NA())</f>
        <v>0</v>
      </c>
      <c r="M260" s="5">
        <f>IF(ISNUMBER(M25),M25/MAX(1,_xlfn.AGGREGATE(4,6,INDEX($D$24:$AD$24,MAX(1,$D$248+1-$D$257)):INDEX($D$24:$AD$24,$D$248)),_xlfn.AGGREGATE(4,6,INDEX($D$25:$AD$25,MAX(1,$D$248+1-$D$257)):INDEX($D$25:$AD$25,$D$248))),NA())</f>
        <v>0</v>
      </c>
      <c r="N260" s="5">
        <f>IF(ISNUMBER(N25),N25/MAX(1,_xlfn.AGGREGATE(4,6,INDEX($D$24:$AD$24,MAX(1,$D$248+1-$D$257)):INDEX($D$24:$AD$24,$D$248)),_xlfn.AGGREGATE(4,6,INDEX($D$25:$AD$25,MAX(1,$D$248+1-$D$257)):INDEX($D$25:$AD$25,$D$248))),NA())</f>
        <v>0</v>
      </c>
      <c r="O260" s="5">
        <f>IF(ISNUMBER(O25),O25/MAX(1,_xlfn.AGGREGATE(4,6,INDEX($D$24:$AD$24,MAX(1,$D$248+1-$D$257)):INDEX($D$24:$AD$24,$D$248)),_xlfn.AGGREGATE(4,6,INDEX($D$25:$AD$25,MAX(1,$D$248+1-$D$257)):INDEX($D$25:$AD$25,$D$248))),NA())</f>
        <v>0</v>
      </c>
      <c r="P260" s="5">
        <f>IF(ISNUMBER(P25),P25/MAX(1,_xlfn.AGGREGATE(4,6,INDEX($D$24:$AD$24,MAX(1,$D$248+1-$D$257)):INDEX($D$24:$AD$24,$D$248)),_xlfn.AGGREGATE(4,6,INDEX($D$25:$AD$25,MAX(1,$D$248+1-$D$257)):INDEX($D$25:$AD$25,$D$248))),NA())</f>
        <v>0</v>
      </c>
      <c r="Q260" s="5">
        <f>IF(ISNUMBER(Q25),Q25/MAX(1,_xlfn.AGGREGATE(4,6,INDEX($D$24:$AD$24,MAX(1,$D$248+1-$D$257)):INDEX($D$24:$AD$24,$D$248)),_xlfn.AGGREGATE(4,6,INDEX($D$25:$AD$25,MAX(1,$D$248+1-$D$257)):INDEX($D$25:$AD$25,$D$248))),NA())</f>
        <v>0</v>
      </c>
      <c r="R260" s="5">
        <f>IF(ISNUMBER(R25),R25/MAX(1,_xlfn.AGGREGATE(4,6,INDEX($D$24:$AD$24,MAX(1,$D$248+1-$D$257)):INDEX($D$24:$AD$24,$D$248)),_xlfn.AGGREGATE(4,6,INDEX($D$25:$AD$25,MAX(1,$D$248+1-$D$257)):INDEX($D$25:$AD$25,$D$248))),NA())</f>
        <v>0</v>
      </c>
      <c r="S260" s="5">
        <f>IF(ISNUMBER(S25),S25/MAX(1,_xlfn.AGGREGATE(4,6,INDEX($D$24:$AD$24,MAX(1,$D$248+1-$D$257)):INDEX($D$24:$AD$24,$D$248)),_xlfn.AGGREGATE(4,6,INDEX($D$25:$AD$25,MAX(1,$D$248+1-$D$257)):INDEX($D$25:$AD$25,$D$248))),NA())</f>
        <v>0</v>
      </c>
      <c r="T260" s="5">
        <f>IF(ISNUMBER(T25),T25/MAX(1,_xlfn.AGGREGATE(4,6,INDEX($D$24:$AD$24,MAX(1,$D$248+1-$D$257)):INDEX($D$24:$AD$24,$D$248)),_xlfn.AGGREGATE(4,6,INDEX($D$25:$AD$25,MAX(1,$D$248+1-$D$257)):INDEX($D$25:$AD$25,$D$248))),NA())</f>
        <v>0</v>
      </c>
      <c r="U260" s="5">
        <f>IF(ISNUMBER(U25),U25/MAX(1,_xlfn.AGGREGATE(4,6,INDEX($D$24:$AD$24,MAX(1,$D$248+1-$D$257)):INDEX($D$24:$AD$24,$D$248)),_xlfn.AGGREGATE(4,6,INDEX($D$25:$AD$25,MAX(1,$D$248+1-$D$257)):INDEX($D$25:$AD$25,$D$248))),NA())</f>
        <v>0</v>
      </c>
      <c r="V260" s="5">
        <f>IF(ISNUMBER(V25),V25/MAX(1,_xlfn.AGGREGATE(4,6,INDEX($D$24:$AD$24,MAX(1,$D$248+1-$D$257)):INDEX($D$24:$AD$24,$D$248)),_xlfn.AGGREGATE(4,6,INDEX($D$25:$AD$25,MAX(1,$D$248+1-$D$257)):INDEX($D$25:$AD$25,$D$248))),NA())</f>
        <v>0</v>
      </c>
      <c r="W260" s="5">
        <f>IF(ISNUMBER(W25),W25/MAX(1,_xlfn.AGGREGATE(4,6,INDEX($D$24:$AD$24,MAX(1,$D$248+1-$D$257)):INDEX($D$24:$AD$24,$D$248)),_xlfn.AGGREGATE(4,6,INDEX($D$25:$AD$25,MAX(1,$D$248+1-$D$257)):INDEX($D$25:$AD$25,$D$248))),NA())</f>
        <v>0</v>
      </c>
      <c r="X260" s="5">
        <f>IF(ISNUMBER(X25),X25/MAX(1,_xlfn.AGGREGATE(4,6,INDEX($D$24:$AD$24,MAX(1,$D$248+1-$D$257)):INDEX($D$24:$AD$24,$D$248)),_xlfn.AGGREGATE(4,6,INDEX($D$25:$AD$25,MAX(1,$D$248+1-$D$257)):INDEX($D$25:$AD$25,$D$248))),NA())</f>
        <v>0</v>
      </c>
      <c r="Y260" s="5">
        <f>IF(ISNUMBER(Y25),Y25/MAX(1,_xlfn.AGGREGATE(4,6,INDEX($D$24:$AD$24,MAX(1,$D$248+1-$D$257)):INDEX($D$24:$AD$24,$D$248)),_xlfn.AGGREGATE(4,6,INDEX($D$25:$AD$25,MAX(1,$D$248+1-$D$257)):INDEX($D$25:$AD$25,$D$248))),NA())</f>
        <v>0</v>
      </c>
      <c r="Z260" s="5">
        <f>IF(ISNUMBER(Z25),Z25/MAX(1,_xlfn.AGGREGATE(4,6,INDEX($D$24:$AD$24,MAX(1,$D$248+1-$D$257)):INDEX($D$24:$AD$24,$D$248)),_xlfn.AGGREGATE(4,6,INDEX($D$25:$AD$25,MAX(1,$D$248+1-$D$257)):INDEX($D$25:$AD$25,$D$248))),NA())</f>
        <v>0</v>
      </c>
      <c r="AA260" s="5">
        <f>IF(ISNUMBER(AA25),AA25/MAX(1,_xlfn.AGGREGATE(4,6,INDEX($D$24:$AD$24,MAX(1,$D$248+1-$D$257)):INDEX($D$24:$AD$24,$D$248)),_xlfn.AGGREGATE(4,6,INDEX($D$25:$AD$25,MAX(1,$D$248+1-$D$257)):INDEX($D$25:$AD$25,$D$248))),NA())</f>
        <v>0</v>
      </c>
      <c r="AB260" s="5">
        <f>IF(ISNUMBER(AB25),AB25/MAX(1,_xlfn.AGGREGATE(4,6,INDEX($D$24:$AD$24,MAX(1,$D$248+1-$D$257)):INDEX($D$24:$AD$24,$D$248)),_xlfn.AGGREGATE(4,6,INDEX($D$25:$AD$25,MAX(1,$D$248+1-$D$257)):INDEX($D$25:$AD$25,$D$248))),NA())</f>
        <v>0</v>
      </c>
      <c r="AC260" s="5">
        <f>IF(ISNUMBER(AC25),AC25/MAX(1,_xlfn.AGGREGATE(4,6,INDEX($D$24:$AD$24,MAX(1,$D$248+1-$D$257)):INDEX($D$24:$AD$24,$D$248)),_xlfn.AGGREGATE(4,6,INDEX($D$25:$AD$25,MAX(1,$D$248+1-$D$257)):INDEX($D$25:$AD$25,$D$248))),NA())</f>
        <v>0</v>
      </c>
      <c r="AD260" s="5">
        <f>IF(ISNUMBER(AD25),AD25/MAX(1,_xlfn.AGGREGATE(4,6,INDEX($D$24:$AD$24,MAX(1,$D$248+1-$D$257)):INDEX($D$24:$AD$24,$D$248)),_xlfn.AGGREGATE(4,6,INDEX($D$25:$AD$25,MAX(1,$D$248+1-$D$257)):INDEX($D$25:$AD$25,$D$248))),NA())</f>
        <v>0</v>
      </c>
    </row>
    <row r="261" spans="1:95">
      <c r="A261" s="11" t="s">
        <v>589</v>
      </c>
      <c r="B261" s="11" t="s">
        <v>590</v>
      </c>
      <c r="C261" s="3" t="s">
        <v>137</v>
      </c>
      <c r="D261" s="11">
        <f>IF(ISNUMBER(D25),REPT(_xlfn.UNICHAR(160),3)&amp;FIXED(D25,0),"")</f>
        <v>0</v>
      </c>
      <c r="E261" s="11">
        <f>IF(ISNUMBER(E25),REPT(_xlfn.UNICHAR(160),3)&amp;FIXED(E25,0),"")</f>
        <v>0</v>
      </c>
      <c r="F261" s="11">
        <f>IF(ISNUMBER(F25),REPT(_xlfn.UNICHAR(160),3)&amp;FIXED(F25,0),"")</f>
        <v>0</v>
      </c>
      <c r="G261" s="11">
        <f>IF(ISNUMBER(G25),REPT(_xlfn.UNICHAR(160),3)&amp;FIXED(G25,0),"")</f>
        <v>0</v>
      </c>
      <c r="H261" s="11">
        <f>IF(ISNUMBER(H25),REPT(_xlfn.UNICHAR(160),3)&amp;FIXED(H25,0),"")</f>
        <v>0</v>
      </c>
      <c r="I261" s="11">
        <f>IF(ISNUMBER(I25),REPT(_xlfn.UNICHAR(160),3)&amp;FIXED(I25,0),"")</f>
        <v>0</v>
      </c>
      <c r="J261" s="11">
        <f>IF(ISNUMBER(J25),REPT(_xlfn.UNICHAR(160),3)&amp;FIXED(J25,0),"")</f>
        <v>0</v>
      </c>
      <c r="K261" s="11">
        <f>IF(ISNUMBER(K25),REPT(_xlfn.UNICHAR(160),3)&amp;FIXED(K25,0),"")</f>
        <v>0</v>
      </c>
      <c r="L261" s="11">
        <f>IF(ISNUMBER(L25),REPT(_xlfn.UNICHAR(160),3)&amp;FIXED(L25,0),"")</f>
        <v>0</v>
      </c>
      <c r="M261" s="11">
        <f>IF(ISNUMBER(M25),REPT(_xlfn.UNICHAR(160),3)&amp;FIXED(M25,0),"")</f>
        <v>0</v>
      </c>
      <c r="N261" s="11">
        <f>IF(ISNUMBER(N25),REPT(_xlfn.UNICHAR(160),3)&amp;FIXED(N25,0),"")</f>
        <v>0</v>
      </c>
      <c r="O261" s="11">
        <f>IF(ISNUMBER(O25),REPT(_xlfn.UNICHAR(160),3)&amp;FIXED(O25,0),"")</f>
        <v>0</v>
      </c>
      <c r="P261" s="11">
        <f>IF(ISNUMBER(P25),REPT(_xlfn.UNICHAR(160),3)&amp;FIXED(P25,0),"")</f>
        <v>0</v>
      </c>
      <c r="Q261" s="11">
        <f>IF(ISNUMBER(Q25),REPT(_xlfn.UNICHAR(160),3)&amp;FIXED(Q25,0),"")</f>
        <v>0</v>
      </c>
      <c r="R261" s="11">
        <f>IF(ISNUMBER(R25),REPT(_xlfn.UNICHAR(160),3)&amp;FIXED(R25,0),"")</f>
        <v>0</v>
      </c>
      <c r="S261" s="11">
        <f>IF(ISNUMBER(S25),REPT(_xlfn.UNICHAR(160),3)&amp;FIXED(S25,0),"")</f>
        <v>0</v>
      </c>
      <c r="T261" s="11">
        <f>IF(ISNUMBER(T25),REPT(_xlfn.UNICHAR(160),3)&amp;FIXED(T25,0),"")</f>
        <v>0</v>
      </c>
      <c r="U261" s="11">
        <f>IF(ISNUMBER(U25),REPT(_xlfn.UNICHAR(160),3)&amp;FIXED(U25,0),"")</f>
        <v>0</v>
      </c>
      <c r="V261" s="11">
        <f>IF(ISNUMBER(V25),REPT(_xlfn.UNICHAR(160),3)&amp;FIXED(V25,0),"")</f>
        <v>0</v>
      </c>
      <c r="W261" s="11">
        <f>IF(ISNUMBER(W25),REPT(_xlfn.UNICHAR(160),3)&amp;FIXED(W25,0),"")</f>
        <v>0</v>
      </c>
      <c r="X261" s="11">
        <f>IF(ISNUMBER(X25),REPT(_xlfn.UNICHAR(160),3)&amp;FIXED(X25,0),"")</f>
        <v>0</v>
      </c>
      <c r="Y261" s="11">
        <f>IF(ISNUMBER(Y25),REPT(_xlfn.UNICHAR(160),3)&amp;FIXED(Y25,0),"")</f>
        <v>0</v>
      </c>
      <c r="Z261" s="11">
        <f>IF(ISNUMBER(Z25),REPT(_xlfn.UNICHAR(160),3)&amp;FIXED(Z25,0),"")</f>
        <v>0</v>
      </c>
      <c r="AA261" s="11">
        <f>IF(ISNUMBER(AA25),REPT(_xlfn.UNICHAR(160),3)&amp;FIXED(AA25,0),"")</f>
        <v>0</v>
      </c>
      <c r="AB261" s="11">
        <f>IF(ISNUMBER(AB25),REPT(_xlfn.UNICHAR(160),3)&amp;FIXED(AB25,0),"")</f>
        <v>0</v>
      </c>
      <c r="AC261" s="11">
        <f>IF(ISNUMBER(AC25),REPT(_xlfn.UNICHAR(160),3)&amp;FIXED(AC25,0),"")</f>
        <v>0</v>
      </c>
      <c r="AD261" s="11">
        <f>IF(ISNUMBER(AD25),REPT(_xlfn.UNICHAR(160),3)&amp;FIXED(AD25,0),"")</f>
        <v>0</v>
      </c>
    </row>
    <row r="262" spans="1:95">
      <c r="A262" s="11" t="s">
        <v>591</v>
      </c>
      <c r="B262" s="11" t="s">
        <v>592</v>
      </c>
      <c r="C262" s="3" t="s">
        <v>137</v>
      </c>
      <c r="D262" s="5">
        <f>IF(ISNUMBER(D24),IF(AND(D258&gt;=IFERROR(D260,-9),D258-IFERROR(D260,-9)&lt;0.28509),D260+0.28509,D258),NA())</f>
        <v>0</v>
      </c>
      <c r="E262" s="5">
        <f>IF(ISNUMBER(E24),IF(AND(E258&gt;=IFERROR(E260,-9),E258-IFERROR(E260,-9)&lt;0.28509),E260+0.28509,E258),NA())</f>
        <v>0</v>
      </c>
      <c r="F262" s="5">
        <f>IF(ISNUMBER(F24),IF(AND(F258&gt;=IFERROR(F260,-9),F258-IFERROR(F260,-9)&lt;0.28509),F260+0.28509,F258),NA())</f>
        <v>0</v>
      </c>
      <c r="G262" s="5">
        <f>IF(ISNUMBER(G24),IF(AND(G258&gt;=IFERROR(G260,-9),G258-IFERROR(G260,-9)&lt;0.28509),G260+0.28509,G258),NA())</f>
        <v>0</v>
      </c>
      <c r="H262" s="5">
        <f>IF(ISNUMBER(H24),IF(AND(H258&gt;=IFERROR(H260,-9),H258-IFERROR(H260,-9)&lt;0.28509),H260+0.28509,H258),NA())</f>
        <v>0</v>
      </c>
      <c r="I262" s="5">
        <f>IF(ISNUMBER(I24),IF(AND(I258&gt;=IFERROR(I260,-9),I258-IFERROR(I260,-9)&lt;0.28509),I260+0.28509,I258),NA())</f>
        <v>0</v>
      </c>
      <c r="J262" s="5">
        <f>IF(ISNUMBER(J24),IF(AND(J258&gt;=IFERROR(J260,-9),J258-IFERROR(J260,-9)&lt;0.28509),J260+0.28509,J258),NA())</f>
        <v>0</v>
      </c>
      <c r="K262" s="5">
        <f>IF(ISNUMBER(K24),IF(AND(K258&gt;=IFERROR(K260,-9),K258-IFERROR(K260,-9)&lt;0.28509),K260+0.28509,K258),NA())</f>
        <v>0</v>
      </c>
      <c r="L262" s="5">
        <f>IF(ISNUMBER(L24),IF(AND(L258&gt;=IFERROR(L260,-9),L258-IFERROR(L260,-9)&lt;0.28509),L260+0.28509,L258),NA())</f>
        <v>0</v>
      </c>
      <c r="M262" s="5">
        <f>IF(ISNUMBER(M24),IF(AND(M258&gt;=IFERROR(M260,-9),M258-IFERROR(M260,-9)&lt;0.28509),M260+0.28509,M258),NA())</f>
        <v>0</v>
      </c>
      <c r="N262" s="5">
        <f>IF(ISNUMBER(N24),IF(AND(N258&gt;=IFERROR(N260,-9),N258-IFERROR(N260,-9)&lt;0.28509),N260+0.28509,N258),NA())</f>
        <v>0</v>
      </c>
      <c r="O262" s="5">
        <f>IF(ISNUMBER(O24),IF(AND(O258&gt;=IFERROR(O260,-9),O258-IFERROR(O260,-9)&lt;0.28509),O260+0.28509,O258),NA())</f>
        <v>0</v>
      </c>
      <c r="P262" s="5">
        <f>IF(ISNUMBER(P24),IF(AND(P258&gt;=IFERROR(P260,-9),P258-IFERROR(P260,-9)&lt;0.28509),P260+0.28509,P258),NA())</f>
        <v>0</v>
      </c>
      <c r="Q262" s="5">
        <f>IF(ISNUMBER(Q24),IF(AND(Q258&gt;=IFERROR(Q260,-9),Q258-IFERROR(Q260,-9)&lt;0.28509),Q260+0.28509,Q258),NA())</f>
        <v>0</v>
      </c>
      <c r="R262" s="5">
        <f>IF(ISNUMBER(R24),IF(AND(R258&gt;=IFERROR(R260,-9),R258-IFERROR(R260,-9)&lt;0.28509),R260+0.28509,R258),NA())</f>
        <v>0</v>
      </c>
      <c r="S262" s="5">
        <f>IF(ISNUMBER(S24),IF(AND(S258&gt;=IFERROR(S260,-9),S258-IFERROR(S260,-9)&lt;0.28509),S260+0.28509,S258),NA())</f>
        <v>0</v>
      </c>
      <c r="T262" s="5">
        <f>IF(ISNUMBER(T24),IF(AND(T258&gt;=IFERROR(T260,-9),T258-IFERROR(T260,-9)&lt;0.28509),T260+0.28509,T258),NA())</f>
        <v>0</v>
      </c>
      <c r="U262" s="5">
        <f>IF(ISNUMBER(U24),IF(AND(U258&gt;=IFERROR(U260,-9),U258-IFERROR(U260,-9)&lt;0.28509),U260+0.28509,U258),NA())</f>
        <v>0</v>
      </c>
      <c r="V262" s="5">
        <f>IF(ISNUMBER(V24),IF(AND(V258&gt;=IFERROR(V260,-9),V258-IFERROR(V260,-9)&lt;0.28509),V260+0.28509,V258),NA())</f>
        <v>0</v>
      </c>
      <c r="W262" s="5">
        <f>IF(ISNUMBER(W24),IF(AND(W258&gt;=IFERROR(W260,-9),W258-IFERROR(W260,-9)&lt;0.28509),W260+0.28509,W258),NA())</f>
        <v>0</v>
      </c>
      <c r="X262" s="5">
        <f>IF(ISNUMBER(X24),IF(AND(X258&gt;=IFERROR(X260,-9),X258-IFERROR(X260,-9)&lt;0.28509),X260+0.28509,X258),NA())</f>
        <v>0</v>
      </c>
      <c r="Y262" s="5">
        <f>IF(ISNUMBER(Y24),IF(AND(Y258&gt;=IFERROR(Y260,-9),Y258-IFERROR(Y260,-9)&lt;0.28509),Y260+0.28509,Y258),NA())</f>
        <v>0</v>
      </c>
      <c r="Z262" s="5">
        <f>IF(ISNUMBER(Z24),IF(AND(Z258&gt;=IFERROR(Z260,-9),Z258-IFERROR(Z260,-9)&lt;0.28509),Z260+0.28509,Z258),NA())</f>
        <v>0</v>
      </c>
      <c r="AA262" s="5">
        <f>IF(ISNUMBER(AA24),IF(AND(AA258&gt;=IFERROR(AA260,-9),AA258-IFERROR(AA260,-9)&lt;0.28509),AA260+0.28509,AA258),NA())</f>
        <v>0</v>
      </c>
      <c r="AB262" s="5">
        <f>IF(ISNUMBER(AB24),IF(AND(AB258&gt;=IFERROR(AB260,-9),AB258-IFERROR(AB260,-9)&lt;0.28509),AB260+0.28509,AB258),NA())</f>
        <v>0</v>
      </c>
      <c r="AC262" s="5">
        <f>IF(ISNUMBER(AC24),IF(AND(AC258&gt;=IFERROR(AC260,-9),AC258-IFERROR(AC260,-9)&lt;0.28509),AC260+0.28509,AC258),NA())</f>
        <v>0</v>
      </c>
      <c r="AD262" s="5">
        <f>IF(ISNUMBER(AD24),IF(AND(AD258&gt;=IFERROR(AD260,-9),AD258-IFERROR(AD260,-9)&lt;0.28509),AD260+0.28509,AD258),NA())</f>
        <v>0</v>
      </c>
    </row>
    <row r="263" spans="1:95">
      <c r="A263" s="11" t="s">
        <v>593</v>
      </c>
      <c r="B263" s="11" t="s">
        <v>594</v>
      </c>
      <c r="C263" s="3" t="s">
        <v>137</v>
      </c>
      <c r="D263" s="5">
        <f>IF(ISNUMBER(D25),IF(AND(D260&gt;IFERROR(D258,-9),D260-IFERROR(D258,-9)&lt;0.28509),D258+0.28509,D260),NA())</f>
        <v>0</v>
      </c>
      <c r="E263" s="5">
        <f>IF(ISNUMBER(E25),IF(AND(E260&gt;IFERROR(E258,-9),E260-IFERROR(E258,-9)&lt;0.28509),E258+0.28509,E260),NA())</f>
        <v>0</v>
      </c>
      <c r="F263" s="5">
        <f>IF(ISNUMBER(F25),IF(AND(F260&gt;IFERROR(F258,-9),F260-IFERROR(F258,-9)&lt;0.28509),F258+0.28509,F260),NA())</f>
        <v>0</v>
      </c>
      <c r="G263" s="5">
        <f>IF(ISNUMBER(G25),IF(AND(G260&gt;IFERROR(G258,-9),G260-IFERROR(G258,-9)&lt;0.28509),G258+0.28509,G260),NA())</f>
        <v>0</v>
      </c>
      <c r="H263" s="5">
        <f>IF(ISNUMBER(H25),IF(AND(H260&gt;IFERROR(H258,-9),H260-IFERROR(H258,-9)&lt;0.28509),H258+0.28509,H260),NA())</f>
        <v>0</v>
      </c>
      <c r="I263" s="5">
        <f>IF(ISNUMBER(I25),IF(AND(I260&gt;IFERROR(I258,-9),I260-IFERROR(I258,-9)&lt;0.28509),I258+0.28509,I260),NA())</f>
        <v>0</v>
      </c>
      <c r="J263" s="5">
        <f>IF(ISNUMBER(J25),IF(AND(J260&gt;IFERROR(J258,-9),J260-IFERROR(J258,-9)&lt;0.28509),J258+0.28509,J260),NA())</f>
        <v>0</v>
      </c>
      <c r="K263" s="5">
        <f>IF(ISNUMBER(K25),IF(AND(K260&gt;IFERROR(K258,-9),K260-IFERROR(K258,-9)&lt;0.28509),K258+0.28509,K260),NA())</f>
        <v>0</v>
      </c>
      <c r="L263" s="5">
        <f>IF(ISNUMBER(L25),IF(AND(L260&gt;IFERROR(L258,-9),L260-IFERROR(L258,-9)&lt;0.28509),L258+0.28509,L260),NA())</f>
        <v>0</v>
      </c>
      <c r="M263" s="5">
        <f>IF(ISNUMBER(M25),IF(AND(M260&gt;IFERROR(M258,-9),M260-IFERROR(M258,-9)&lt;0.28509),M258+0.28509,M260),NA())</f>
        <v>0</v>
      </c>
      <c r="N263" s="5">
        <f>IF(ISNUMBER(N25),IF(AND(N260&gt;IFERROR(N258,-9),N260-IFERROR(N258,-9)&lt;0.28509),N258+0.28509,N260),NA())</f>
        <v>0</v>
      </c>
      <c r="O263" s="5">
        <f>IF(ISNUMBER(O25),IF(AND(O260&gt;IFERROR(O258,-9),O260-IFERROR(O258,-9)&lt;0.28509),O258+0.28509,O260),NA())</f>
        <v>0</v>
      </c>
      <c r="P263" s="5">
        <f>IF(ISNUMBER(P25),IF(AND(P260&gt;IFERROR(P258,-9),P260-IFERROR(P258,-9)&lt;0.28509),P258+0.28509,P260),NA())</f>
        <v>0</v>
      </c>
      <c r="Q263" s="5">
        <f>IF(ISNUMBER(Q25),IF(AND(Q260&gt;IFERROR(Q258,-9),Q260-IFERROR(Q258,-9)&lt;0.28509),Q258+0.28509,Q260),NA())</f>
        <v>0</v>
      </c>
      <c r="R263" s="5">
        <f>IF(ISNUMBER(R25),IF(AND(R260&gt;IFERROR(R258,-9),R260-IFERROR(R258,-9)&lt;0.28509),R258+0.28509,R260),NA())</f>
        <v>0</v>
      </c>
      <c r="S263" s="5">
        <f>IF(ISNUMBER(S25),IF(AND(S260&gt;IFERROR(S258,-9),S260-IFERROR(S258,-9)&lt;0.28509),S258+0.28509,S260),NA())</f>
        <v>0</v>
      </c>
      <c r="T263" s="5">
        <f>IF(ISNUMBER(T25),IF(AND(T260&gt;IFERROR(T258,-9),T260-IFERROR(T258,-9)&lt;0.28509),T258+0.28509,T260),NA())</f>
        <v>0</v>
      </c>
      <c r="U263" s="5">
        <f>IF(ISNUMBER(U25),IF(AND(U260&gt;IFERROR(U258,-9),U260-IFERROR(U258,-9)&lt;0.28509),U258+0.28509,U260),NA())</f>
        <v>0</v>
      </c>
      <c r="V263" s="5">
        <f>IF(ISNUMBER(V25),IF(AND(V260&gt;IFERROR(V258,-9),V260-IFERROR(V258,-9)&lt;0.28509),V258+0.28509,V260),NA())</f>
        <v>0</v>
      </c>
      <c r="W263" s="5">
        <f>IF(ISNUMBER(W25),IF(AND(W260&gt;IFERROR(W258,-9),W260-IFERROR(W258,-9)&lt;0.28509),W258+0.28509,W260),NA())</f>
        <v>0</v>
      </c>
      <c r="X263" s="5">
        <f>IF(ISNUMBER(X25),IF(AND(X260&gt;IFERROR(X258,-9),X260-IFERROR(X258,-9)&lt;0.28509),X258+0.28509,X260),NA())</f>
        <v>0</v>
      </c>
      <c r="Y263" s="5">
        <f>IF(ISNUMBER(Y25),IF(AND(Y260&gt;IFERROR(Y258,-9),Y260-IFERROR(Y258,-9)&lt;0.28509),Y258+0.28509,Y260),NA())</f>
        <v>0</v>
      </c>
      <c r="Z263" s="5">
        <f>IF(ISNUMBER(Z25),IF(AND(Z260&gt;IFERROR(Z258,-9),Z260-IFERROR(Z258,-9)&lt;0.28509),Z258+0.28509,Z260),NA())</f>
        <v>0</v>
      </c>
      <c r="AA263" s="5">
        <f>IF(ISNUMBER(AA25),IF(AND(AA260&gt;IFERROR(AA258,-9),AA260-IFERROR(AA258,-9)&lt;0.28509),AA258+0.28509,AA260),NA())</f>
        <v>0</v>
      </c>
      <c r="AB263" s="5">
        <f>IF(ISNUMBER(AB25),IF(AND(AB260&gt;IFERROR(AB258,-9),AB260-IFERROR(AB258,-9)&lt;0.28509),AB258+0.28509,AB260),NA())</f>
        <v>0</v>
      </c>
      <c r="AC263" s="5">
        <f>IF(ISNUMBER(AC25),IF(AND(AC260&gt;IFERROR(AC258,-9),AC260-IFERROR(AC258,-9)&lt;0.28509),AC258+0.28509,AC260),NA())</f>
        <v>0</v>
      </c>
      <c r="AD263" s="5">
        <f>IF(ISNUMBER(AD25),IF(AND(AD260&gt;IFERROR(AD258,-9),AD260-IFERROR(AD258,-9)&lt;0.28509),AD258+0.28509,AD260),NA())</f>
        <v>0</v>
      </c>
    </row>
    <row r="264" spans="1:95">
      <c r="A264" s="11" t="s">
        <v>595</v>
      </c>
      <c r="B264" s="11" t="s">
        <v>596</v>
      </c>
      <c r="C264" s="3" t="s">
        <v>134</v>
      </c>
      <c r="D264" s="5">
        <v>1</v>
      </c>
    </row>
    <row r="265" spans="1:95">
      <c r="A265" s="11" t="s">
        <v>597</v>
      </c>
      <c r="B265" s="11" t="s">
        <v>598</v>
      </c>
      <c r="C265" s="3" t="s">
        <v>137</v>
      </c>
      <c r="D265" s="5">
        <f>IF(AND($D$264=1,ISNUMBER(D24),ISNUMBER(D25)),IF((D24-D25)&gt;0,0.5,NA()),NA())</f>
        <v>0</v>
      </c>
      <c r="E265" s="5">
        <f>IF(AND($D$264=1,ISNUMBER(E24),ISNUMBER(E25)),IF((E24-E25)&gt;0,0.5,NA()),NA())</f>
        <v>0</v>
      </c>
      <c r="F265" s="5">
        <f>IF(AND($D$264=1,ISNUMBER(F24),ISNUMBER(F25)),IF((F24-F25)&gt;0,0.5,NA()),NA())</f>
        <v>0</v>
      </c>
      <c r="G265" s="5">
        <f>IF(AND($D$264=1,ISNUMBER(G24),ISNUMBER(G25)),IF((G24-G25)&gt;0,0.5,NA()),NA())</f>
        <v>0</v>
      </c>
      <c r="H265" s="5">
        <f>IF(AND($D$264=1,ISNUMBER(H24),ISNUMBER(H25)),IF((H24-H25)&gt;0,0.5,NA()),NA())</f>
        <v>0</v>
      </c>
      <c r="I265" s="5">
        <f>IF(AND($D$264=1,ISNUMBER(I24),ISNUMBER(I25)),IF((I24-I25)&gt;0,0.5,NA()),NA())</f>
        <v>0</v>
      </c>
      <c r="J265" s="5">
        <f>IF(AND($D$264=1,ISNUMBER(J24),ISNUMBER(J25)),IF((J24-J25)&gt;0,0.5,NA()),NA())</f>
        <v>0</v>
      </c>
      <c r="K265" s="5">
        <f>IF(AND($D$264=1,ISNUMBER(K24),ISNUMBER(K25)),IF((K24-K25)&gt;0,0.5,NA()),NA())</f>
        <v>0</v>
      </c>
      <c r="L265" s="5">
        <f>IF(AND($D$264=1,ISNUMBER(L24),ISNUMBER(L25)),IF((L24-L25)&gt;0,0.5,NA()),NA())</f>
        <v>0</v>
      </c>
      <c r="M265" s="5">
        <f>IF(AND($D$264=1,ISNUMBER(M24),ISNUMBER(M25)),IF((M24-M25)&gt;0,0.5,NA()),NA())</f>
        <v>0</v>
      </c>
      <c r="N265" s="5">
        <f>IF(AND($D$264=1,ISNUMBER(N24),ISNUMBER(N25)),IF((N24-N25)&gt;0,0.5,NA()),NA())</f>
        <v>0</v>
      </c>
      <c r="O265" s="5">
        <f>IF(AND($D$264=1,ISNUMBER(O24),ISNUMBER(O25)),IF((O24-O25)&gt;0,0.5,NA()),NA())</f>
        <v>0</v>
      </c>
      <c r="P265" s="5">
        <f>IF(AND($D$264=1,ISNUMBER(P24),ISNUMBER(P25)),IF((P24-P25)&gt;0,0.5,NA()),NA())</f>
        <v>0</v>
      </c>
      <c r="Q265" s="5">
        <f>IF(AND($D$264=1,ISNUMBER(Q24),ISNUMBER(Q25)),IF((Q24-Q25)&gt;0,0.5,NA()),NA())</f>
        <v>0</v>
      </c>
      <c r="R265" s="5">
        <f>IF(AND($D$264=1,ISNUMBER(R24),ISNUMBER(R25)),IF((R24-R25)&gt;0,0.5,NA()),NA())</f>
        <v>0</v>
      </c>
      <c r="S265" s="5">
        <f>IF(AND($D$264=1,ISNUMBER(S24),ISNUMBER(S25)),IF((S24-S25)&gt;0,0.5,NA()),NA())</f>
        <v>0</v>
      </c>
      <c r="T265" s="5">
        <f>IF(AND($D$264=1,ISNUMBER(T24),ISNUMBER(T25)),IF((T24-T25)&gt;0,0.5,NA()),NA())</f>
        <v>0</v>
      </c>
      <c r="U265" s="5">
        <f>IF(AND($D$264=1,ISNUMBER(U24),ISNUMBER(U25)),IF((U24-U25)&gt;0,0.5,NA()),NA())</f>
        <v>0</v>
      </c>
      <c r="V265" s="5">
        <f>IF(AND($D$264=1,ISNUMBER(V24),ISNUMBER(V25)),IF((V24-V25)&gt;0,0.5,NA()),NA())</f>
        <v>0</v>
      </c>
      <c r="W265" s="5">
        <f>IF(AND($D$264=1,ISNUMBER(W24),ISNUMBER(W25)),IF((W24-W25)&gt;0,0.5,NA()),NA())</f>
        <v>0</v>
      </c>
      <c r="X265" s="5">
        <f>IF(AND($D$264=1,ISNUMBER(X24),ISNUMBER(X25)),IF((X24-X25)&gt;0,0.5,NA()),NA())</f>
        <v>0</v>
      </c>
      <c r="Y265" s="5">
        <f>IF(AND($D$264=1,ISNUMBER(Y24),ISNUMBER(Y25)),IF((Y24-Y25)&gt;0,0.5,NA()),NA())</f>
        <v>0</v>
      </c>
      <c r="Z265" s="5">
        <f>IF(AND($D$264=1,ISNUMBER(Z24),ISNUMBER(Z25)),IF((Z24-Z25)&gt;0,0.5,NA()),NA())</f>
        <v>0</v>
      </c>
      <c r="AA265" s="5">
        <f>IF(AND($D$264=1,ISNUMBER(AA24),ISNUMBER(AA25)),IF((AA24-AA25)&gt;0,0.5,NA()),NA())</f>
        <v>0</v>
      </c>
      <c r="AB265" s="5">
        <f>IF(AND($D$264=1,ISNUMBER(AB24),ISNUMBER(AB25)),IF((AB24-AB25)&gt;0,0.5,NA()),NA())</f>
        <v>0</v>
      </c>
      <c r="AC265" s="5">
        <f>IF(AND($D$264=1,ISNUMBER(AC24),ISNUMBER(AC25)),IF((AC24-AC25)&gt;0,0.5,NA()),NA())</f>
        <v>0</v>
      </c>
      <c r="AD265" s="5">
        <f>IF(AND($D$264=1,ISNUMBER(AD24),ISNUMBER(AD25)),IF((AD24-AD25)&gt;0,0.5,NA()),NA())</f>
        <v>0</v>
      </c>
    </row>
    <row r="266" spans="1:95">
      <c r="A266" s="11" t="s">
        <v>599</v>
      </c>
      <c r="B266" s="11" t="s">
        <v>600</v>
      </c>
      <c r="C266" s="3" t="s">
        <v>137</v>
      </c>
      <c r="D266" s="5">
        <f>IF(AND($D$264=1,ISNUMBER(D24),ISNUMBER(D25)),IF((D24-D25)&lt;0,0.5,NA()),NA())</f>
        <v>0</v>
      </c>
      <c r="E266" s="5">
        <f>IF(AND($D$264=1,ISNUMBER(E24),ISNUMBER(E25)),IF((E24-E25)&lt;0,0.5,NA()),NA())</f>
        <v>0</v>
      </c>
      <c r="F266" s="5">
        <f>IF(AND($D$264=1,ISNUMBER(F24),ISNUMBER(F25)),IF((F24-F25)&lt;0,0.5,NA()),NA())</f>
        <v>0</v>
      </c>
      <c r="G266" s="5">
        <f>IF(AND($D$264=1,ISNUMBER(G24),ISNUMBER(G25)),IF((G24-G25)&lt;0,0.5,NA()),NA())</f>
        <v>0</v>
      </c>
      <c r="H266" s="5">
        <f>IF(AND($D$264=1,ISNUMBER(H24),ISNUMBER(H25)),IF((H24-H25)&lt;0,0.5,NA()),NA())</f>
        <v>0</v>
      </c>
      <c r="I266" s="5">
        <f>IF(AND($D$264=1,ISNUMBER(I24),ISNUMBER(I25)),IF((I24-I25)&lt;0,0.5,NA()),NA())</f>
        <v>0</v>
      </c>
      <c r="J266" s="5">
        <f>IF(AND($D$264=1,ISNUMBER(J24),ISNUMBER(J25)),IF((J24-J25)&lt;0,0.5,NA()),NA())</f>
        <v>0</v>
      </c>
      <c r="K266" s="5">
        <f>IF(AND($D$264=1,ISNUMBER(K24),ISNUMBER(K25)),IF((K24-K25)&lt;0,0.5,NA()),NA())</f>
        <v>0</v>
      </c>
      <c r="L266" s="5">
        <f>IF(AND($D$264=1,ISNUMBER(L24),ISNUMBER(L25)),IF((L24-L25)&lt;0,0.5,NA()),NA())</f>
        <v>0</v>
      </c>
      <c r="M266" s="5">
        <f>IF(AND($D$264=1,ISNUMBER(M24),ISNUMBER(M25)),IF((M24-M25)&lt;0,0.5,NA()),NA())</f>
        <v>0</v>
      </c>
      <c r="N266" s="5">
        <f>IF(AND($D$264=1,ISNUMBER(N24),ISNUMBER(N25)),IF((N24-N25)&lt;0,0.5,NA()),NA())</f>
        <v>0</v>
      </c>
      <c r="O266" s="5">
        <f>IF(AND($D$264=1,ISNUMBER(O24),ISNUMBER(O25)),IF((O24-O25)&lt;0,0.5,NA()),NA())</f>
        <v>0</v>
      </c>
      <c r="P266" s="5">
        <f>IF(AND($D$264=1,ISNUMBER(P24),ISNUMBER(P25)),IF((P24-P25)&lt;0,0.5,NA()),NA())</f>
        <v>0</v>
      </c>
      <c r="Q266" s="5">
        <f>IF(AND($D$264=1,ISNUMBER(Q24),ISNUMBER(Q25)),IF((Q24-Q25)&lt;0,0.5,NA()),NA())</f>
        <v>0</v>
      </c>
      <c r="R266" s="5">
        <f>IF(AND($D$264=1,ISNUMBER(R24),ISNUMBER(R25)),IF((R24-R25)&lt;0,0.5,NA()),NA())</f>
        <v>0</v>
      </c>
      <c r="S266" s="5">
        <f>IF(AND($D$264=1,ISNUMBER(S24),ISNUMBER(S25)),IF((S24-S25)&lt;0,0.5,NA()),NA())</f>
        <v>0</v>
      </c>
      <c r="T266" s="5">
        <f>IF(AND($D$264=1,ISNUMBER(T24),ISNUMBER(T25)),IF((T24-T25)&lt;0,0.5,NA()),NA())</f>
        <v>0</v>
      </c>
      <c r="U266" s="5">
        <f>IF(AND($D$264=1,ISNUMBER(U24),ISNUMBER(U25)),IF((U24-U25)&lt;0,0.5,NA()),NA())</f>
        <v>0</v>
      </c>
      <c r="V266" s="5">
        <f>IF(AND($D$264=1,ISNUMBER(V24),ISNUMBER(V25)),IF((V24-V25)&lt;0,0.5,NA()),NA())</f>
        <v>0</v>
      </c>
      <c r="W266" s="5">
        <f>IF(AND($D$264=1,ISNUMBER(W24),ISNUMBER(W25)),IF((W24-W25)&lt;0,0.5,NA()),NA())</f>
        <v>0</v>
      </c>
      <c r="X266" s="5">
        <f>IF(AND($D$264=1,ISNUMBER(X24),ISNUMBER(X25)),IF((X24-X25)&lt;0,0.5,NA()),NA())</f>
        <v>0</v>
      </c>
      <c r="Y266" s="5">
        <f>IF(AND($D$264=1,ISNUMBER(Y24),ISNUMBER(Y25)),IF((Y24-Y25)&lt;0,0.5,NA()),NA())</f>
        <v>0</v>
      </c>
      <c r="Z266" s="5">
        <f>IF(AND($D$264=1,ISNUMBER(Z24),ISNUMBER(Z25)),IF((Z24-Z25)&lt;0,0.5,NA()),NA())</f>
        <v>0</v>
      </c>
      <c r="AA266" s="5">
        <f>IF(AND($D$264=1,ISNUMBER(AA24),ISNUMBER(AA25)),IF((AA24-AA25)&lt;0,0.5,NA()),NA())</f>
        <v>0</v>
      </c>
      <c r="AB266" s="5">
        <f>IF(AND($D$264=1,ISNUMBER(AB24),ISNUMBER(AB25)),IF((AB24-AB25)&lt;0,0.5,NA()),NA())</f>
        <v>0</v>
      </c>
      <c r="AC266" s="5">
        <f>IF(AND($D$264=1,ISNUMBER(AC24),ISNUMBER(AC25)),IF((AC24-AC25)&lt;0,0.5,NA()),NA())</f>
        <v>0</v>
      </c>
      <c r="AD266" s="5">
        <f>IF(AND($D$264=1,ISNUMBER(AD24),ISNUMBER(AD25)),IF((AD24-AD25)&lt;0,0.5,NA()),NA())</f>
        <v>0</v>
      </c>
    </row>
    <row r="267" spans="1:95">
      <c r="A267" s="11" t="s">
        <v>601</v>
      </c>
      <c r="B267" s="11" t="s">
        <v>602</v>
      </c>
      <c r="C267" s="3" t="s">
        <v>137</v>
      </c>
      <c r="D267" s="5">
        <f>IF(AND($D$264=1,ISNUMBER(D24),ISNUMBER(D25)),IF((D24-D25)=0,0.5,NA()),NA())</f>
        <v>0</v>
      </c>
      <c r="E267" s="5">
        <f>IF(AND($D$264=1,ISNUMBER(E24),ISNUMBER(E25)),IF((E24-E25)=0,0.5,NA()),NA())</f>
        <v>0</v>
      </c>
      <c r="F267" s="5">
        <f>IF(AND($D$264=1,ISNUMBER(F24),ISNUMBER(F25)),IF((F24-F25)=0,0.5,NA()),NA())</f>
        <v>0</v>
      </c>
      <c r="G267" s="5">
        <f>IF(AND($D$264=1,ISNUMBER(G24),ISNUMBER(G25)),IF((G24-G25)=0,0.5,NA()),NA())</f>
        <v>0</v>
      </c>
      <c r="H267" s="5">
        <f>IF(AND($D$264=1,ISNUMBER(H24),ISNUMBER(H25)),IF((H24-H25)=0,0.5,NA()),NA())</f>
        <v>0</v>
      </c>
      <c r="I267" s="5">
        <f>IF(AND($D$264=1,ISNUMBER(I24),ISNUMBER(I25)),IF((I24-I25)=0,0.5,NA()),NA())</f>
        <v>0</v>
      </c>
      <c r="J267" s="5">
        <f>IF(AND($D$264=1,ISNUMBER(J24),ISNUMBER(J25)),IF((J24-J25)=0,0.5,NA()),NA())</f>
        <v>0</v>
      </c>
      <c r="K267" s="5">
        <f>IF(AND($D$264=1,ISNUMBER(K24),ISNUMBER(K25)),IF((K24-K25)=0,0.5,NA()),NA())</f>
        <v>0</v>
      </c>
      <c r="L267" s="5">
        <f>IF(AND($D$264=1,ISNUMBER(L24),ISNUMBER(L25)),IF((L24-L25)=0,0.5,NA()),NA())</f>
        <v>0</v>
      </c>
      <c r="M267" s="5">
        <f>IF(AND($D$264=1,ISNUMBER(M24),ISNUMBER(M25)),IF((M24-M25)=0,0.5,NA()),NA())</f>
        <v>0</v>
      </c>
      <c r="N267" s="5">
        <f>IF(AND($D$264=1,ISNUMBER(N24),ISNUMBER(N25)),IF((N24-N25)=0,0.5,NA()),NA())</f>
        <v>0</v>
      </c>
      <c r="O267" s="5">
        <f>IF(AND($D$264=1,ISNUMBER(O24),ISNUMBER(O25)),IF((O24-O25)=0,0.5,NA()),NA())</f>
        <v>0</v>
      </c>
      <c r="P267" s="5">
        <f>IF(AND($D$264=1,ISNUMBER(P24),ISNUMBER(P25)),IF((P24-P25)=0,0.5,NA()),NA())</f>
        <v>0</v>
      </c>
      <c r="Q267" s="5">
        <f>IF(AND($D$264=1,ISNUMBER(Q24),ISNUMBER(Q25)),IF((Q24-Q25)=0,0.5,NA()),NA())</f>
        <v>0</v>
      </c>
      <c r="R267" s="5">
        <f>IF(AND($D$264=1,ISNUMBER(R24),ISNUMBER(R25)),IF((R24-R25)=0,0.5,NA()),NA())</f>
        <v>0</v>
      </c>
      <c r="S267" s="5">
        <f>IF(AND($D$264=1,ISNUMBER(S24),ISNUMBER(S25)),IF((S24-S25)=0,0.5,NA()),NA())</f>
        <v>0</v>
      </c>
      <c r="T267" s="5">
        <f>IF(AND($D$264=1,ISNUMBER(T24),ISNUMBER(T25)),IF((T24-T25)=0,0.5,NA()),NA())</f>
        <v>0</v>
      </c>
      <c r="U267" s="5">
        <f>IF(AND($D$264=1,ISNUMBER(U24),ISNUMBER(U25)),IF((U24-U25)=0,0.5,NA()),NA())</f>
        <v>0</v>
      </c>
      <c r="V267" s="5">
        <f>IF(AND($D$264=1,ISNUMBER(V24),ISNUMBER(V25)),IF((V24-V25)=0,0.5,NA()),NA())</f>
        <v>0</v>
      </c>
      <c r="W267" s="5">
        <f>IF(AND($D$264=1,ISNUMBER(W24),ISNUMBER(W25)),IF((W24-W25)=0,0.5,NA()),NA())</f>
        <v>0</v>
      </c>
      <c r="X267" s="5">
        <f>IF(AND($D$264=1,ISNUMBER(X24),ISNUMBER(X25)),IF((X24-X25)=0,0.5,NA()),NA())</f>
        <v>0</v>
      </c>
      <c r="Y267" s="5">
        <f>IF(AND($D$264=1,ISNUMBER(Y24),ISNUMBER(Y25)),IF((Y24-Y25)=0,0.5,NA()),NA())</f>
        <v>0</v>
      </c>
      <c r="Z267" s="5">
        <f>IF(AND($D$264=1,ISNUMBER(Z24),ISNUMBER(Z25)),IF((Z24-Z25)=0,0.5,NA()),NA())</f>
        <v>0</v>
      </c>
      <c r="AA267" s="5">
        <f>IF(AND($D$264=1,ISNUMBER(AA24),ISNUMBER(AA25)),IF((AA24-AA25)=0,0.5,NA()),NA())</f>
        <v>0</v>
      </c>
      <c r="AB267" s="5">
        <f>IF(AND($D$264=1,ISNUMBER(AB24),ISNUMBER(AB25)),IF((AB24-AB25)=0,0.5,NA()),NA())</f>
        <v>0</v>
      </c>
      <c r="AC267" s="5">
        <f>IF(AND($D$264=1,ISNUMBER(AC24),ISNUMBER(AC25)),IF((AC24-AC25)=0,0.5,NA()),NA())</f>
        <v>0</v>
      </c>
      <c r="AD267" s="5">
        <f>IF(AND($D$264=1,ISNUMBER(AD24),ISNUMBER(AD25)),IF((AD24-AD25)=0,0.5,NA()),NA())</f>
        <v>0</v>
      </c>
    </row>
    <row r="268" spans="1:95">
      <c r="A268" s="11" t="s">
        <v>603</v>
      </c>
      <c r="B268" s="11" t="s">
        <v>604</v>
      </c>
      <c r="C268" s="3" t="s">
        <v>137</v>
      </c>
      <c r="D268" s="11">
        <f>IF(AND(ISNUMBER(D24),ISNUMBER(D25)),IF((D24-D25)&gt;0,"+"&amp;FIXED((D24-D25),0),IF((D24-D25)&lt;0,"−"&amp;FIXED(-(D24-D25),0),"±0")),"")</f>
        <v>0</v>
      </c>
      <c r="E268" s="11">
        <f>IF(AND(ISNUMBER(E24),ISNUMBER(E25)),IF((E24-E25)&gt;0,"+"&amp;FIXED((E24-E25),0),IF((E24-E25)&lt;0,"−"&amp;FIXED(-(E24-E25),0),"±0")),"")</f>
        <v>0</v>
      </c>
      <c r="F268" s="11">
        <f>IF(AND(ISNUMBER(F24),ISNUMBER(F25)),IF((F24-F25)&gt;0,"+"&amp;FIXED((F24-F25),0),IF((F24-F25)&lt;0,"−"&amp;FIXED(-(F24-F25),0),"±0")),"")</f>
        <v>0</v>
      </c>
      <c r="G268" s="11">
        <f>IF(AND(ISNUMBER(G24),ISNUMBER(G25)),IF((G24-G25)&gt;0,"+"&amp;FIXED((G24-G25),0),IF((G24-G25)&lt;0,"−"&amp;FIXED(-(G24-G25),0),"±0")),"")</f>
        <v>0</v>
      </c>
      <c r="H268" s="11">
        <f>IF(AND(ISNUMBER(H24),ISNUMBER(H25)),IF((H24-H25)&gt;0,"+"&amp;FIXED((H24-H25),0),IF((H24-H25)&lt;0,"−"&amp;FIXED(-(H24-H25),0),"±0")),"")</f>
        <v>0</v>
      </c>
      <c r="I268" s="11">
        <f>IF(AND(ISNUMBER(I24),ISNUMBER(I25)),IF((I24-I25)&gt;0,"+"&amp;FIXED((I24-I25),0),IF((I24-I25)&lt;0,"−"&amp;FIXED(-(I24-I25),0),"±0")),"")</f>
        <v>0</v>
      </c>
      <c r="J268" s="11">
        <f>IF(AND(ISNUMBER(J24),ISNUMBER(J25)),IF((J24-J25)&gt;0,"+"&amp;FIXED((J24-J25),0),IF((J24-J25)&lt;0,"−"&amp;FIXED(-(J24-J25),0),"±0")),"")</f>
        <v>0</v>
      </c>
      <c r="K268" s="11">
        <f>IF(AND(ISNUMBER(K24),ISNUMBER(K25)),IF((K24-K25)&gt;0,"+"&amp;FIXED((K24-K25),0),IF((K24-K25)&lt;0,"−"&amp;FIXED(-(K24-K25),0),"±0")),"")</f>
        <v>0</v>
      </c>
      <c r="L268" s="11">
        <f>IF(AND(ISNUMBER(L24),ISNUMBER(L25)),IF((L24-L25)&gt;0,"+"&amp;FIXED((L24-L25),0),IF((L24-L25)&lt;0,"−"&amp;FIXED(-(L24-L25),0),"±0")),"")</f>
        <v>0</v>
      </c>
      <c r="M268" s="11">
        <f>IF(AND(ISNUMBER(M24),ISNUMBER(M25)),IF((M24-M25)&gt;0,"+"&amp;FIXED((M24-M25),0),IF((M24-M25)&lt;0,"−"&amp;FIXED(-(M24-M25),0),"±0")),"")</f>
        <v>0</v>
      </c>
      <c r="N268" s="11">
        <f>IF(AND(ISNUMBER(N24),ISNUMBER(N25)),IF((N24-N25)&gt;0,"+"&amp;FIXED((N24-N25),0),IF((N24-N25)&lt;0,"−"&amp;FIXED(-(N24-N25),0),"±0")),"")</f>
        <v>0</v>
      </c>
      <c r="O268" s="11">
        <f>IF(AND(ISNUMBER(O24),ISNUMBER(O25)),IF((O24-O25)&gt;0,"+"&amp;FIXED((O24-O25),0),IF((O24-O25)&lt;0,"−"&amp;FIXED(-(O24-O25),0),"±0")),"")</f>
        <v>0</v>
      </c>
      <c r="P268" s="11">
        <f>IF(AND(ISNUMBER(P24),ISNUMBER(P25)),IF((P24-P25)&gt;0,"+"&amp;FIXED((P24-P25),0),IF((P24-P25)&lt;0,"−"&amp;FIXED(-(P24-P25),0),"±0")),"")</f>
        <v>0</v>
      </c>
      <c r="Q268" s="11">
        <f>IF(AND(ISNUMBER(Q24),ISNUMBER(Q25)),IF((Q24-Q25)&gt;0,"+"&amp;FIXED((Q24-Q25),0),IF((Q24-Q25)&lt;0,"−"&amp;FIXED(-(Q24-Q25),0),"±0")),"")</f>
        <v>0</v>
      </c>
      <c r="R268" s="11">
        <f>IF(AND(ISNUMBER(R24),ISNUMBER(R25)),IF((R24-R25)&gt;0,"+"&amp;FIXED((R24-R25),0),IF((R24-R25)&lt;0,"−"&amp;FIXED(-(R24-R25),0),"±0")),"")</f>
        <v>0</v>
      </c>
      <c r="S268" s="11">
        <f>IF(AND(ISNUMBER(S24),ISNUMBER(S25)),IF((S24-S25)&gt;0,"+"&amp;FIXED((S24-S25),0),IF((S24-S25)&lt;0,"−"&amp;FIXED(-(S24-S25),0),"±0")),"")</f>
        <v>0</v>
      </c>
      <c r="T268" s="11">
        <f>IF(AND(ISNUMBER(T24),ISNUMBER(T25)),IF((T24-T25)&gt;0,"+"&amp;FIXED((T24-T25),0),IF((T24-T25)&lt;0,"−"&amp;FIXED(-(T24-T25),0),"±0")),"")</f>
        <v>0</v>
      </c>
      <c r="U268" s="11">
        <f>IF(AND(ISNUMBER(U24),ISNUMBER(U25)),IF((U24-U25)&gt;0,"+"&amp;FIXED((U24-U25),0),IF((U24-U25)&lt;0,"−"&amp;FIXED(-(U24-U25),0),"±0")),"")</f>
        <v>0</v>
      </c>
      <c r="V268" s="11">
        <f>IF(AND(ISNUMBER(V24),ISNUMBER(V25)),IF((V24-V25)&gt;0,"+"&amp;FIXED((V24-V25),0),IF((V24-V25)&lt;0,"−"&amp;FIXED(-(V24-V25),0),"±0")),"")</f>
        <v>0</v>
      </c>
      <c r="W268" s="11">
        <f>IF(AND(ISNUMBER(W24),ISNUMBER(W25)),IF((W24-W25)&gt;0,"+"&amp;FIXED((W24-W25),0),IF((W24-W25)&lt;0,"−"&amp;FIXED(-(W24-W25),0),"±0")),"")</f>
        <v>0</v>
      </c>
      <c r="X268" s="11">
        <f>IF(AND(ISNUMBER(X24),ISNUMBER(X25)),IF((X24-X25)&gt;0,"+"&amp;FIXED((X24-X25),0),IF((X24-X25)&lt;0,"−"&amp;FIXED(-(X24-X25),0),"±0")),"")</f>
        <v>0</v>
      </c>
      <c r="Y268" s="11">
        <f>IF(AND(ISNUMBER(Y24),ISNUMBER(Y25)),IF((Y24-Y25)&gt;0,"+"&amp;FIXED((Y24-Y25),0),IF((Y24-Y25)&lt;0,"−"&amp;FIXED(-(Y24-Y25),0),"±0")),"")</f>
        <v>0</v>
      </c>
      <c r="Z268" s="11">
        <f>IF(AND(ISNUMBER(Z24),ISNUMBER(Z25)),IF((Z24-Z25)&gt;0,"+"&amp;FIXED((Z24-Z25),0),IF((Z24-Z25)&lt;0,"−"&amp;FIXED(-(Z24-Z25),0),"±0")),"")</f>
        <v>0</v>
      </c>
      <c r="AA268" s="11">
        <f>IF(AND(ISNUMBER(AA24),ISNUMBER(AA25)),IF((AA24-AA25)&gt;0,"+"&amp;FIXED((AA24-AA25),0),IF((AA24-AA25)&lt;0,"−"&amp;FIXED(-(AA24-AA25),0),"±0")),"")</f>
        <v>0</v>
      </c>
      <c r="AB268" s="11">
        <f>IF(AND(ISNUMBER(AB24),ISNUMBER(AB25)),IF((AB24-AB25)&gt;0,"+"&amp;FIXED((AB24-AB25),0),IF((AB24-AB25)&lt;0,"−"&amp;FIXED(-(AB24-AB25),0),"±0")),"")</f>
        <v>0</v>
      </c>
      <c r="AC268" s="11">
        <f>IF(AND(ISNUMBER(AC24),ISNUMBER(AC25)),IF((AC24-AC25)&gt;0,"+"&amp;FIXED((AC24-AC25),0),IF((AC24-AC25)&lt;0,"−"&amp;FIXED(-(AC24-AC25),0),"±0")),"")</f>
        <v>0</v>
      </c>
      <c r="AD268" s="11">
        <f>IF(AND(ISNUMBER(AD24),ISNUMBER(AD25)),IF((AD24-AD25)&gt;0,"+"&amp;FIXED((AD24-AD25),0),IF((AD24-AD25)&lt;0,"−"&amp;FIXED(-(AD24-AD25),0),"±0")),"")</f>
        <v>0</v>
      </c>
    </row>
    <row r="269" spans="1:95">
      <c r="A269" s="11" t="s">
        <v>605</v>
      </c>
      <c r="B269" s="11" t="s">
        <v>606</v>
      </c>
      <c r="C269" s="3" t="s">
        <v>408</v>
      </c>
      <c r="BR269" s="5">
        <f>IF(($D$248-25)&lt;1,NA(),INDEX($D$258:$AD$258,($D$248-25)))</f>
        <v>0</v>
      </c>
      <c r="BS269" s="5">
        <f>IF(($D$248-24)&lt;1,NA(),INDEX($D$258:$AD$258,($D$248-24)))</f>
        <v>0</v>
      </c>
      <c r="BT269" s="5">
        <f>IF(($D$248-23)&lt;1,NA(),INDEX($D$258:$AD$258,($D$248-23)))</f>
        <v>0</v>
      </c>
      <c r="BU269" s="5">
        <f>IF(($D$248-22)&lt;1,NA(),INDEX($D$258:$AD$258,($D$248-22)))</f>
        <v>0</v>
      </c>
      <c r="BV269" s="5">
        <f>IF(($D$248-21)&lt;1,NA(),INDEX($D$258:$AD$258,($D$248-21)))</f>
        <v>0</v>
      </c>
      <c r="BW269" s="5">
        <f>IF(($D$248-20)&lt;1,NA(),INDEX($D$258:$AD$258,($D$248-20)))</f>
        <v>0</v>
      </c>
      <c r="BX269" s="5">
        <f>IF(($D$248-19)&lt;1,NA(),INDEX($D$258:$AD$258,($D$248-19)))</f>
        <v>0</v>
      </c>
      <c r="BY269" s="5">
        <f>IF(($D$248-18)&lt;1,NA(),INDEX($D$258:$AD$258,($D$248-18)))</f>
        <v>0</v>
      </c>
      <c r="BZ269" s="5">
        <f>IF(($D$248-17)&lt;1,NA(),INDEX($D$258:$AD$258,($D$248-17)))</f>
        <v>0</v>
      </c>
      <c r="CA269" s="5">
        <f>IF(($D$248-16)&lt;1,NA(),INDEX($D$258:$AD$258,($D$248-16)))</f>
        <v>0</v>
      </c>
      <c r="CB269" s="5">
        <f>IF(($D$248-15)&lt;1,NA(),INDEX($D$258:$AD$258,($D$248-15)))</f>
        <v>0</v>
      </c>
      <c r="CC269" s="5">
        <f>IF(($D$248-14)&lt;1,NA(),INDEX($D$258:$AD$258,($D$248-14)))</f>
        <v>0</v>
      </c>
      <c r="CD269" s="5">
        <f>IF(($D$248-13)&lt;1,NA(),INDEX($D$258:$AD$258,($D$248-13)))</f>
        <v>0</v>
      </c>
      <c r="CE269" s="5">
        <f>IF(($D$248-12)&lt;1,NA(),INDEX($D$258:$AD$258,($D$248-12)))</f>
        <v>0</v>
      </c>
      <c r="CF269" s="5">
        <f>IF(($D$248-11)&lt;1,NA(),INDEX($D$258:$AD$258,($D$248-11)))</f>
        <v>0</v>
      </c>
      <c r="CG269" s="5">
        <f>IF(($D$248-10)&lt;1,NA(),INDEX($D$258:$AD$258,($D$248-10)))</f>
        <v>0</v>
      </c>
      <c r="CH269" s="5">
        <f>IF(($D$248-9)&lt;1,NA(),INDEX($D$258:$AD$258,($D$248-9)))</f>
        <v>0</v>
      </c>
      <c r="CI269" s="5">
        <f>IF(($D$248-8)&lt;1,NA(),INDEX($D$258:$AD$258,($D$248-8)))</f>
        <v>0</v>
      </c>
      <c r="CJ269" s="5">
        <f>IF(($D$248-7)&lt;1,NA(),INDEX($D$258:$AD$258,($D$248-7)))</f>
        <v>0</v>
      </c>
      <c r="CK269" s="5">
        <f>IF(($D$248-6)&lt;1,NA(),INDEX($D$258:$AD$258,($D$248-6)))</f>
        <v>0</v>
      </c>
      <c r="CL269" s="5">
        <f>IF(($D$248-5)&lt;1,NA(),INDEX($D$258:$AD$258,($D$248-5)))</f>
        <v>0</v>
      </c>
      <c r="CM269" s="5">
        <f>IF(($D$248-4)&lt;1,NA(),INDEX($D$258:$AD$258,($D$248-4)))</f>
        <v>0</v>
      </c>
      <c r="CN269" s="5">
        <f>IF(($D$248-3)&lt;1,NA(),INDEX($D$258:$AD$258,($D$248-3)))</f>
        <v>0</v>
      </c>
      <c r="CO269" s="5">
        <f>IF(($D$248-2)&lt;1,NA(),INDEX($D$258:$AD$258,($D$248-2)))</f>
        <v>0</v>
      </c>
      <c r="CP269" s="5">
        <f>IF(($D$248-1)&lt;1,NA(),INDEX($D$258:$AD$258,($D$248-1)))</f>
        <v>0</v>
      </c>
      <c r="CQ269" s="5">
        <f>IF(($D$248-0)&lt;1,NA(),INDEX($D$258:$AD$258,($D$248-0)))</f>
        <v>0</v>
      </c>
    </row>
    <row r="270" spans="1:95">
      <c r="A270" s="11" t="s">
        <v>607</v>
      </c>
      <c r="B270" s="11" t="s">
        <v>608</v>
      </c>
      <c r="C270" s="3" t="s">
        <v>408</v>
      </c>
      <c r="BR270" s="5">
        <f>IF(($D$248-25)&lt;1,NA(),INDEX($D$260:$AD$260,($D$248-25)))</f>
        <v>0</v>
      </c>
      <c r="BS270" s="5">
        <f>IF(($D$248-24)&lt;1,NA(),INDEX($D$260:$AD$260,($D$248-24)))</f>
        <v>0</v>
      </c>
      <c r="BT270" s="5">
        <f>IF(($D$248-23)&lt;1,NA(),INDEX($D$260:$AD$260,($D$248-23)))</f>
        <v>0</v>
      </c>
      <c r="BU270" s="5">
        <f>IF(($D$248-22)&lt;1,NA(),INDEX($D$260:$AD$260,($D$248-22)))</f>
        <v>0</v>
      </c>
      <c r="BV270" s="5">
        <f>IF(($D$248-21)&lt;1,NA(),INDEX($D$260:$AD$260,($D$248-21)))</f>
        <v>0</v>
      </c>
      <c r="BW270" s="5">
        <f>IF(($D$248-20)&lt;1,NA(),INDEX($D$260:$AD$260,($D$248-20)))</f>
        <v>0</v>
      </c>
      <c r="BX270" s="5">
        <f>IF(($D$248-19)&lt;1,NA(),INDEX($D$260:$AD$260,($D$248-19)))</f>
        <v>0</v>
      </c>
      <c r="BY270" s="5">
        <f>IF(($D$248-18)&lt;1,NA(),INDEX($D$260:$AD$260,($D$248-18)))</f>
        <v>0</v>
      </c>
      <c r="BZ270" s="5">
        <f>IF(($D$248-17)&lt;1,NA(),INDEX($D$260:$AD$260,($D$248-17)))</f>
        <v>0</v>
      </c>
      <c r="CA270" s="5">
        <f>IF(($D$248-16)&lt;1,NA(),INDEX($D$260:$AD$260,($D$248-16)))</f>
        <v>0</v>
      </c>
      <c r="CB270" s="5">
        <f>IF(($D$248-15)&lt;1,NA(),INDEX($D$260:$AD$260,($D$248-15)))</f>
        <v>0</v>
      </c>
      <c r="CC270" s="5">
        <f>IF(($D$248-14)&lt;1,NA(),INDEX($D$260:$AD$260,($D$248-14)))</f>
        <v>0</v>
      </c>
      <c r="CD270" s="5">
        <f>IF(($D$248-13)&lt;1,NA(),INDEX($D$260:$AD$260,($D$248-13)))</f>
        <v>0</v>
      </c>
      <c r="CE270" s="5">
        <f>IF(($D$248-12)&lt;1,NA(),INDEX($D$260:$AD$260,($D$248-12)))</f>
        <v>0</v>
      </c>
      <c r="CF270" s="5">
        <f>IF(($D$248-11)&lt;1,NA(),INDEX($D$260:$AD$260,($D$248-11)))</f>
        <v>0</v>
      </c>
      <c r="CG270" s="5">
        <f>IF(($D$248-10)&lt;1,NA(),INDEX($D$260:$AD$260,($D$248-10)))</f>
        <v>0</v>
      </c>
      <c r="CH270" s="5">
        <f>IF(($D$248-9)&lt;1,NA(),INDEX($D$260:$AD$260,($D$248-9)))</f>
        <v>0</v>
      </c>
      <c r="CI270" s="5">
        <f>IF(($D$248-8)&lt;1,NA(),INDEX($D$260:$AD$260,($D$248-8)))</f>
        <v>0</v>
      </c>
      <c r="CJ270" s="5">
        <f>IF(($D$248-7)&lt;1,NA(),INDEX($D$260:$AD$260,($D$248-7)))</f>
        <v>0</v>
      </c>
      <c r="CK270" s="5">
        <f>IF(($D$248-6)&lt;1,NA(),INDEX($D$260:$AD$260,($D$248-6)))</f>
        <v>0</v>
      </c>
      <c r="CL270" s="5">
        <f>IF(($D$248-5)&lt;1,NA(),INDEX($D$260:$AD$260,($D$248-5)))</f>
        <v>0</v>
      </c>
      <c r="CM270" s="5">
        <f>IF(($D$248-4)&lt;1,NA(),INDEX($D$260:$AD$260,($D$248-4)))</f>
        <v>0</v>
      </c>
      <c r="CN270" s="5">
        <f>IF(($D$248-3)&lt;1,NA(),INDEX($D$260:$AD$260,($D$248-3)))</f>
        <v>0</v>
      </c>
      <c r="CO270" s="5">
        <f>IF(($D$248-2)&lt;1,NA(),INDEX($D$260:$AD$260,($D$248-2)))</f>
        <v>0</v>
      </c>
      <c r="CP270" s="5">
        <f>IF(($D$248-1)&lt;1,NA(),INDEX($D$260:$AD$260,($D$248-1)))</f>
        <v>0</v>
      </c>
      <c r="CQ270" s="5">
        <f>IF(($D$248-0)&lt;1,NA(),INDEX($D$260:$AD$260,($D$248-0)))</f>
        <v>0</v>
      </c>
    </row>
    <row r="271" spans="1:95">
      <c r="A271" s="11" t="s">
        <v>609</v>
      </c>
      <c r="B271" s="11" t="s">
        <v>610</v>
      </c>
      <c r="C271" s="3" t="s">
        <v>408</v>
      </c>
      <c r="BR271" s="5">
        <f>IF(($D$248-25)&lt;1,NA(),INDEX($D$262:$AD$262,($D$248-25)))</f>
        <v>0</v>
      </c>
      <c r="BS271" s="5">
        <f>IF(($D$248-24)&lt;1,NA(),INDEX($D$262:$AD$262,($D$248-24)))</f>
        <v>0</v>
      </c>
      <c r="BT271" s="5">
        <f>IF(($D$248-23)&lt;1,NA(),INDEX($D$262:$AD$262,($D$248-23)))</f>
        <v>0</v>
      </c>
      <c r="BU271" s="5">
        <f>IF(($D$248-22)&lt;1,NA(),INDEX($D$262:$AD$262,($D$248-22)))</f>
        <v>0</v>
      </c>
      <c r="BV271" s="5">
        <f>IF(($D$248-21)&lt;1,NA(),INDEX($D$262:$AD$262,($D$248-21)))</f>
        <v>0</v>
      </c>
      <c r="BW271" s="5">
        <f>IF(($D$248-20)&lt;1,NA(),INDEX($D$262:$AD$262,($D$248-20)))</f>
        <v>0</v>
      </c>
      <c r="BX271" s="5">
        <f>IF(($D$248-19)&lt;1,NA(),INDEX($D$262:$AD$262,($D$248-19)))</f>
        <v>0</v>
      </c>
      <c r="BY271" s="5">
        <f>IF(($D$248-18)&lt;1,NA(),INDEX($D$262:$AD$262,($D$248-18)))</f>
        <v>0</v>
      </c>
      <c r="BZ271" s="5">
        <f>IF(($D$248-17)&lt;1,NA(),INDEX($D$262:$AD$262,($D$248-17)))</f>
        <v>0</v>
      </c>
      <c r="CA271" s="5">
        <f>IF(($D$248-16)&lt;1,NA(),INDEX($D$262:$AD$262,($D$248-16)))</f>
        <v>0</v>
      </c>
      <c r="CB271" s="5">
        <f>IF(($D$248-15)&lt;1,NA(),INDEX($D$262:$AD$262,($D$248-15)))</f>
        <v>0</v>
      </c>
      <c r="CC271" s="5">
        <f>IF(($D$248-14)&lt;1,NA(),INDEX($D$262:$AD$262,($D$248-14)))</f>
        <v>0</v>
      </c>
      <c r="CD271" s="5">
        <f>IF(($D$248-13)&lt;1,NA(),INDEX($D$262:$AD$262,($D$248-13)))</f>
        <v>0</v>
      </c>
      <c r="CE271" s="5">
        <f>IF(($D$248-12)&lt;1,NA(),INDEX($D$262:$AD$262,($D$248-12)))</f>
        <v>0</v>
      </c>
      <c r="CF271" s="5">
        <f>IF(($D$248-11)&lt;1,NA(),INDEX($D$262:$AD$262,($D$248-11)))</f>
        <v>0</v>
      </c>
      <c r="CG271" s="5">
        <f>IF(($D$248-10)&lt;1,NA(),INDEX($D$262:$AD$262,($D$248-10)))</f>
        <v>0</v>
      </c>
      <c r="CH271" s="5">
        <f>IF(($D$248-9)&lt;1,NA(),INDEX($D$262:$AD$262,($D$248-9)))</f>
        <v>0</v>
      </c>
      <c r="CI271" s="5">
        <f>IF(($D$248-8)&lt;1,NA(),INDEX($D$262:$AD$262,($D$248-8)))</f>
        <v>0</v>
      </c>
      <c r="CJ271" s="5">
        <f>IF(($D$248-7)&lt;1,NA(),INDEX($D$262:$AD$262,($D$248-7)))</f>
        <v>0</v>
      </c>
      <c r="CK271" s="5">
        <f>IF(($D$248-6)&lt;1,NA(),INDEX($D$262:$AD$262,($D$248-6)))</f>
        <v>0</v>
      </c>
      <c r="CL271" s="5">
        <f>IF(($D$248-5)&lt;1,NA(),INDEX($D$262:$AD$262,($D$248-5)))</f>
        <v>0</v>
      </c>
      <c r="CM271" s="5">
        <f>IF(($D$248-4)&lt;1,NA(),INDEX($D$262:$AD$262,($D$248-4)))</f>
        <v>0</v>
      </c>
      <c r="CN271" s="5">
        <f>IF(($D$248-3)&lt;1,NA(),INDEX($D$262:$AD$262,($D$248-3)))</f>
        <v>0</v>
      </c>
      <c r="CO271" s="5">
        <f>IF(($D$248-2)&lt;1,NA(),INDEX($D$262:$AD$262,($D$248-2)))</f>
        <v>0</v>
      </c>
      <c r="CP271" s="5">
        <f>IF(($D$248-1)&lt;1,NA(),INDEX($D$262:$AD$262,($D$248-1)))</f>
        <v>0</v>
      </c>
      <c r="CQ271" s="5">
        <f>IF(($D$248-0)&lt;1,NA(),INDEX($D$262:$AD$262,($D$248-0)))</f>
        <v>0</v>
      </c>
    </row>
    <row r="272" spans="1:95">
      <c r="A272" s="11" t="s">
        <v>611</v>
      </c>
      <c r="B272" s="11" t="s">
        <v>612</v>
      </c>
      <c r="C272" s="3" t="s">
        <v>408</v>
      </c>
      <c r="BR272" s="11">
        <f>IF(($D$248-25)&lt;1,"",INDEX($D$259:$AD$259,($D$248-25)))</f>
        <v>0</v>
      </c>
      <c r="BS272" s="11">
        <f>IF(($D$248-24)&lt;1,"",INDEX($D$259:$AD$259,($D$248-24)))</f>
        <v>0</v>
      </c>
      <c r="BT272" s="11">
        <f>IF(($D$248-23)&lt;1,"",INDEX($D$259:$AD$259,($D$248-23)))</f>
        <v>0</v>
      </c>
      <c r="BU272" s="11">
        <f>IF(($D$248-22)&lt;1,"",INDEX($D$259:$AD$259,($D$248-22)))</f>
        <v>0</v>
      </c>
      <c r="BV272" s="11">
        <f>IF(($D$248-21)&lt;1,"",INDEX($D$259:$AD$259,($D$248-21)))</f>
        <v>0</v>
      </c>
      <c r="BW272" s="11">
        <f>IF(($D$248-20)&lt;1,"",INDEX($D$259:$AD$259,($D$248-20)))</f>
        <v>0</v>
      </c>
      <c r="BX272" s="11">
        <f>IF(($D$248-19)&lt;1,"",INDEX($D$259:$AD$259,($D$248-19)))</f>
        <v>0</v>
      </c>
      <c r="BY272" s="11">
        <f>IF(($D$248-18)&lt;1,"",INDEX($D$259:$AD$259,($D$248-18)))</f>
        <v>0</v>
      </c>
      <c r="BZ272" s="11">
        <f>IF(($D$248-17)&lt;1,"",INDEX($D$259:$AD$259,($D$248-17)))</f>
        <v>0</v>
      </c>
      <c r="CA272" s="11">
        <f>IF(($D$248-16)&lt;1,"",INDEX($D$259:$AD$259,($D$248-16)))</f>
        <v>0</v>
      </c>
      <c r="CB272" s="11">
        <f>IF(($D$248-15)&lt;1,"",INDEX($D$259:$AD$259,($D$248-15)))</f>
        <v>0</v>
      </c>
      <c r="CC272" s="11">
        <f>IF(($D$248-14)&lt;1,"",INDEX($D$259:$AD$259,($D$248-14)))</f>
        <v>0</v>
      </c>
      <c r="CD272" s="11">
        <f>IF(($D$248-13)&lt;1,"",INDEX($D$259:$AD$259,($D$248-13)))</f>
        <v>0</v>
      </c>
      <c r="CE272" s="11">
        <f>IF(($D$248-12)&lt;1,"",INDEX($D$259:$AD$259,($D$248-12)))</f>
        <v>0</v>
      </c>
      <c r="CF272" s="11">
        <f>IF(($D$248-11)&lt;1,"",INDEX($D$259:$AD$259,($D$248-11)))</f>
        <v>0</v>
      </c>
      <c r="CG272" s="11">
        <f>IF(($D$248-10)&lt;1,"",INDEX($D$259:$AD$259,($D$248-10)))</f>
        <v>0</v>
      </c>
      <c r="CH272" s="11">
        <f>IF(($D$248-9)&lt;1,"",INDEX($D$259:$AD$259,($D$248-9)))</f>
        <v>0</v>
      </c>
      <c r="CI272" s="11">
        <f>IF(($D$248-8)&lt;1,"",INDEX($D$259:$AD$259,($D$248-8)))</f>
        <v>0</v>
      </c>
      <c r="CJ272" s="11">
        <f>IF(($D$248-7)&lt;1,"",INDEX($D$259:$AD$259,($D$248-7)))</f>
        <v>0</v>
      </c>
      <c r="CK272" s="11">
        <f>IF(($D$248-6)&lt;1,"",INDEX($D$259:$AD$259,($D$248-6)))</f>
        <v>0</v>
      </c>
      <c r="CL272" s="11">
        <f>IF(($D$248-5)&lt;1,"",INDEX($D$259:$AD$259,($D$248-5)))</f>
        <v>0</v>
      </c>
      <c r="CM272" s="11">
        <f>IF(($D$248-4)&lt;1,"",INDEX($D$259:$AD$259,($D$248-4)))</f>
        <v>0</v>
      </c>
      <c r="CN272" s="11">
        <f>IF(($D$248-3)&lt;1,"",INDEX($D$259:$AD$259,($D$248-3)))</f>
        <v>0</v>
      </c>
      <c r="CO272" s="11">
        <f>IF(($D$248-2)&lt;1,"",INDEX($D$259:$AD$259,($D$248-2)))</f>
        <v>0</v>
      </c>
      <c r="CP272" s="11">
        <f>IF(($D$248-1)&lt;1,"",INDEX($D$259:$AD$259,($D$248-1)))</f>
        <v>0</v>
      </c>
      <c r="CQ272" s="11">
        <f>IF(($D$248-0)&lt;1,"",INDEX($D$259:$AD$259,($D$248-0)))</f>
        <v>0</v>
      </c>
    </row>
    <row r="273" spans="1:95">
      <c r="A273" s="11" t="s">
        <v>613</v>
      </c>
      <c r="B273" s="11" t="s">
        <v>614</v>
      </c>
      <c r="C273" s="3" t="s">
        <v>408</v>
      </c>
      <c r="BR273" s="5">
        <f>IF(($D$248-25)&lt;1,NA(),INDEX($D$263:$AD$263,($D$248-25)))</f>
        <v>0</v>
      </c>
      <c r="BS273" s="5">
        <f>IF(($D$248-24)&lt;1,NA(),INDEX($D$263:$AD$263,($D$248-24)))</f>
        <v>0</v>
      </c>
      <c r="BT273" s="5">
        <f>IF(($D$248-23)&lt;1,NA(),INDEX($D$263:$AD$263,($D$248-23)))</f>
        <v>0</v>
      </c>
      <c r="BU273" s="5">
        <f>IF(($D$248-22)&lt;1,NA(),INDEX($D$263:$AD$263,($D$248-22)))</f>
        <v>0</v>
      </c>
      <c r="BV273" s="5">
        <f>IF(($D$248-21)&lt;1,NA(),INDEX($D$263:$AD$263,($D$248-21)))</f>
        <v>0</v>
      </c>
      <c r="BW273" s="5">
        <f>IF(($D$248-20)&lt;1,NA(),INDEX($D$263:$AD$263,($D$248-20)))</f>
        <v>0</v>
      </c>
      <c r="BX273" s="5">
        <f>IF(($D$248-19)&lt;1,NA(),INDEX($D$263:$AD$263,($D$248-19)))</f>
        <v>0</v>
      </c>
      <c r="BY273" s="5">
        <f>IF(($D$248-18)&lt;1,NA(),INDEX($D$263:$AD$263,($D$248-18)))</f>
        <v>0</v>
      </c>
      <c r="BZ273" s="5">
        <f>IF(($D$248-17)&lt;1,NA(),INDEX($D$263:$AD$263,($D$248-17)))</f>
        <v>0</v>
      </c>
      <c r="CA273" s="5">
        <f>IF(($D$248-16)&lt;1,NA(),INDEX($D$263:$AD$263,($D$248-16)))</f>
        <v>0</v>
      </c>
      <c r="CB273" s="5">
        <f>IF(($D$248-15)&lt;1,NA(),INDEX($D$263:$AD$263,($D$248-15)))</f>
        <v>0</v>
      </c>
      <c r="CC273" s="5">
        <f>IF(($D$248-14)&lt;1,NA(),INDEX($D$263:$AD$263,($D$248-14)))</f>
        <v>0</v>
      </c>
      <c r="CD273" s="5">
        <f>IF(($D$248-13)&lt;1,NA(),INDEX($D$263:$AD$263,($D$248-13)))</f>
        <v>0</v>
      </c>
      <c r="CE273" s="5">
        <f>IF(($D$248-12)&lt;1,NA(),INDEX($D$263:$AD$263,($D$248-12)))</f>
        <v>0</v>
      </c>
      <c r="CF273" s="5">
        <f>IF(($D$248-11)&lt;1,NA(),INDEX($D$263:$AD$263,($D$248-11)))</f>
        <v>0</v>
      </c>
      <c r="CG273" s="5">
        <f>IF(($D$248-10)&lt;1,NA(),INDEX($D$263:$AD$263,($D$248-10)))</f>
        <v>0</v>
      </c>
      <c r="CH273" s="5">
        <f>IF(($D$248-9)&lt;1,NA(),INDEX($D$263:$AD$263,($D$248-9)))</f>
        <v>0</v>
      </c>
      <c r="CI273" s="5">
        <f>IF(($D$248-8)&lt;1,NA(),INDEX($D$263:$AD$263,($D$248-8)))</f>
        <v>0</v>
      </c>
      <c r="CJ273" s="5">
        <f>IF(($D$248-7)&lt;1,NA(),INDEX($D$263:$AD$263,($D$248-7)))</f>
        <v>0</v>
      </c>
      <c r="CK273" s="5">
        <f>IF(($D$248-6)&lt;1,NA(),INDEX($D$263:$AD$263,($D$248-6)))</f>
        <v>0</v>
      </c>
      <c r="CL273" s="5">
        <f>IF(($D$248-5)&lt;1,NA(),INDEX($D$263:$AD$263,($D$248-5)))</f>
        <v>0</v>
      </c>
      <c r="CM273" s="5">
        <f>IF(($D$248-4)&lt;1,NA(),INDEX($D$263:$AD$263,($D$248-4)))</f>
        <v>0</v>
      </c>
      <c r="CN273" s="5">
        <f>IF(($D$248-3)&lt;1,NA(),INDEX($D$263:$AD$263,($D$248-3)))</f>
        <v>0</v>
      </c>
      <c r="CO273" s="5">
        <f>IF(($D$248-2)&lt;1,NA(),INDEX($D$263:$AD$263,($D$248-2)))</f>
        <v>0</v>
      </c>
      <c r="CP273" s="5">
        <f>IF(($D$248-1)&lt;1,NA(),INDEX($D$263:$AD$263,($D$248-1)))</f>
        <v>0</v>
      </c>
      <c r="CQ273" s="5">
        <f>IF(($D$248-0)&lt;1,NA(),INDEX($D$263:$AD$263,($D$248-0)))</f>
        <v>0</v>
      </c>
    </row>
    <row r="274" spans="1:95">
      <c r="A274" s="11" t="s">
        <v>615</v>
      </c>
      <c r="B274" s="11" t="s">
        <v>616</v>
      </c>
      <c r="C274" s="3" t="s">
        <v>408</v>
      </c>
      <c r="BR274" s="11">
        <f>IF(($D$248-25)&lt;1,"",INDEX($D$261:$AD$261,($D$248-25)))</f>
        <v>0</v>
      </c>
      <c r="BS274" s="11">
        <f>IF(($D$248-24)&lt;1,"",INDEX($D$261:$AD$261,($D$248-24)))</f>
        <v>0</v>
      </c>
      <c r="BT274" s="11">
        <f>IF(($D$248-23)&lt;1,"",INDEX($D$261:$AD$261,($D$248-23)))</f>
        <v>0</v>
      </c>
      <c r="BU274" s="11">
        <f>IF(($D$248-22)&lt;1,"",INDEX($D$261:$AD$261,($D$248-22)))</f>
        <v>0</v>
      </c>
      <c r="BV274" s="11">
        <f>IF(($D$248-21)&lt;1,"",INDEX($D$261:$AD$261,($D$248-21)))</f>
        <v>0</v>
      </c>
      <c r="BW274" s="11">
        <f>IF(($D$248-20)&lt;1,"",INDEX($D$261:$AD$261,($D$248-20)))</f>
        <v>0</v>
      </c>
      <c r="BX274" s="11">
        <f>IF(($D$248-19)&lt;1,"",INDEX($D$261:$AD$261,($D$248-19)))</f>
        <v>0</v>
      </c>
      <c r="BY274" s="11">
        <f>IF(($D$248-18)&lt;1,"",INDEX($D$261:$AD$261,($D$248-18)))</f>
        <v>0</v>
      </c>
      <c r="BZ274" s="11">
        <f>IF(($D$248-17)&lt;1,"",INDEX($D$261:$AD$261,($D$248-17)))</f>
        <v>0</v>
      </c>
      <c r="CA274" s="11">
        <f>IF(($D$248-16)&lt;1,"",INDEX($D$261:$AD$261,($D$248-16)))</f>
        <v>0</v>
      </c>
      <c r="CB274" s="11">
        <f>IF(($D$248-15)&lt;1,"",INDEX($D$261:$AD$261,($D$248-15)))</f>
        <v>0</v>
      </c>
      <c r="CC274" s="11">
        <f>IF(($D$248-14)&lt;1,"",INDEX($D$261:$AD$261,($D$248-14)))</f>
        <v>0</v>
      </c>
      <c r="CD274" s="11">
        <f>IF(($D$248-13)&lt;1,"",INDEX($D$261:$AD$261,($D$248-13)))</f>
        <v>0</v>
      </c>
      <c r="CE274" s="11">
        <f>IF(($D$248-12)&lt;1,"",INDEX($D$261:$AD$261,($D$248-12)))</f>
        <v>0</v>
      </c>
      <c r="CF274" s="11">
        <f>IF(($D$248-11)&lt;1,"",INDEX($D$261:$AD$261,($D$248-11)))</f>
        <v>0</v>
      </c>
      <c r="CG274" s="11">
        <f>IF(($D$248-10)&lt;1,"",INDEX($D$261:$AD$261,($D$248-10)))</f>
        <v>0</v>
      </c>
      <c r="CH274" s="11">
        <f>IF(($D$248-9)&lt;1,"",INDEX($D$261:$AD$261,($D$248-9)))</f>
        <v>0</v>
      </c>
      <c r="CI274" s="11">
        <f>IF(($D$248-8)&lt;1,"",INDEX($D$261:$AD$261,($D$248-8)))</f>
        <v>0</v>
      </c>
      <c r="CJ274" s="11">
        <f>IF(($D$248-7)&lt;1,"",INDEX($D$261:$AD$261,($D$248-7)))</f>
        <v>0</v>
      </c>
      <c r="CK274" s="11">
        <f>IF(($D$248-6)&lt;1,"",INDEX($D$261:$AD$261,($D$248-6)))</f>
        <v>0</v>
      </c>
      <c r="CL274" s="11">
        <f>IF(($D$248-5)&lt;1,"",INDEX($D$261:$AD$261,($D$248-5)))</f>
        <v>0</v>
      </c>
      <c r="CM274" s="11">
        <f>IF(($D$248-4)&lt;1,"",INDEX($D$261:$AD$261,($D$248-4)))</f>
        <v>0</v>
      </c>
      <c r="CN274" s="11">
        <f>IF(($D$248-3)&lt;1,"",INDEX($D$261:$AD$261,($D$248-3)))</f>
        <v>0</v>
      </c>
      <c r="CO274" s="11">
        <f>IF(($D$248-2)&lt;1,"",INDEX($D$261:$AD$261,($D$248-2)))</f>
        <v>0</v>
      </c>
      <c r="CP274" s="11">
        <f>IF(($D$248-1)&lt;1,"",INDEX($D$261:$AD$261,($D$248-1)))</f>
        <v>0</v>
      </c>
      <c r="CQ274" s="11">
        <f>IF(($D$248-0)&lt;1,"",INDEX($D$261:$AD$261,($D$248-0)))</f>
        <v>0</v>
      </c>
    </row>
    <row r="275" spans="1:95">
      <c r="A275" s="11" t="s">
        <v>617</v>
      </c>
      <c r="B275" s="11" t="s">
        <v>618</v>
      </c>
      <c r="C275" s="3" t="s">
        <v>408</v>
      </c>
      <c r="BR275" s="5">
        <f>IF(($D$248-25)&lt;1,NA(),INDEX($D$265:$AD$265,($D$248-25)))</f>
        <v>0</v>
      </c>
      <c r="BS275" s="5">
        <f>IF(($D$248-24)&lt;1,NA(),INDEX($D$265:$AD$265,($D$248-24)))</f>
        <v>0</v>
      </c>
      <c r="BT275" s="5">
        <f>IF(($D$248-23)&lt;1,NA(),INDEX($D$265:$AD$265,($D$248-23)))</f>
        <v>0</v>
      </c>
      <c r="BU275" s="5">
        <f>IF(($D$248-22)&lt;1,NA(),INDEX($D$265:$AD$265,($D$248-22)))</f>
        <v>0</v>
      </c>
      <c r="BV275" s="5">
        <f>IF(($D$248-21)&lt;1,NA(),INDEX($D$265:$AD$265,($D$248-21)))</f>
        <v>0</v>
      </c>
      <c r="BW275" s="5">
        <f>IF(($D$248-20)&lt;1,NA(),INDEX($D$265:$AD$265,($D$248-20)))</f>
        <v>0</v>
      </c>
      <c r="BX275" s="5">
        <f>IF(($D$248-19)&lt;1,NA(),INDEX($D$265:$AD$265,($D$248-19)))</f>
        <v>0</v>
      </c>
      <c r="BY275" s="5">
        <f>IF(($D$248-18)&lt;1,NA(),INDEX($D$265:$AD$265,($D$248-18)))</f>
        <v>0</v>
      </c>
      <c r="BZ275" s="5">
        <f>IF(($D$248-17)&lt;1,NA(),INDEX($D$265:$AD$265,($D$248-17)))</f>
        <v>0</v>
      </c>
      <c r="CA275" s="5">
        <f>IF(($D$248-16)&lt;1,NA(),INDEX($D$265:$AD$265,($D$248-16)))</f>
        <v>0</v>
      </c>
      <c r="CB275" s="5">
        <f>IF(($D$248-15)&lt;1,NA(),INDEX($D$265:$AD$265,($D$248-15)))</f>
        <v>0</v>
      </c>
      <c r="CC275" s="5">
        <f>IF(($D$248-14)&lt;1,NA(),INDEX($D$265:$AD$265,($D$248-14)))</f>
        <v>0</v>
      </c>
      <c r="CD275" s="5">
        <f>IF(($D$248-13)&lt;1,NA(),INDEX($D$265:$AD$265,($D$248-13)))</f>
        <v>0</v>
      </c>
      <c r="CE275" s="5">
        <f>IF(($D$248-12)&lt;1,NA(),INDEX($D$265:$AD$265,($D$248-12)))</f>
        <v>0</v>
      </c>
      <c r="CF275" s="5">
        <f>IF(($D$248-11)&lt;1,NA(),INDEX($D$265:$AD$265,($D$248-11)))</f>
        <v>0</v>
      </c>
      <c r="CG275" s="5">
        <f>IF(($D$248-10)&lt;1,NA(),INDEX($D$265:$AD$265,($D$248-10)))</f>
        <v>0</v>
      </c>
      <c r="CH275" s="5">
        <f>IF(($D$248-9)&lt;1,NA(),INDEX($D$265:$AD$265,($D$248-9)))</f>
        <v>0</v>
      </c>
      <c r="CI275" s="5">
        <f>IF(($D$248-8)&lt;1,NA(),INDEX($D$265:$AD$265,($D$248-8)))</f>
        <v>0</v>
      </c>
      <c r="CJ275" s="5">
        <f>IF(($D$248-7)&lt;1,NA(),INDEX($D$265:$AD$265,($D$248-7)))</f>
        <v>0</v>
      </c>
      <c r="CK275" s="5">
        <f>IF(($D$248-6)&lt;1,NA(),INDEX($D$265:$AD$265,($D$248-6)))</f>
        <v>0</v>
      </c>
      <c r="CL275" s="5">
        <f>IF(($D$248-5)&lt;1,NA(),INDEX($D$265:$AD$265,($D$248-5)))</f>
        <v>0</v>
      </c>
      <c r="CM275" s="5">
        <f>IF(($D$248-4)&lt;1,NA(),INDEX($D$265:$AD$265,($D$248-4)))</f>
        <v>0</v>
      </c>
      <c r="CN275" s="5">
        <f>IF(($D$248-3)&lt;1,NA(),INDEX($D$265:$AD$265,($D$248-3)))</f>
        <v>0</v>
      </c>
      <c r="CO275" s="5">
        <f>IF(($D$248-2)&lt;1,NA(),INDEX($D$265:$AD$265,($D$248-2)))</f>
        <v>0</v>
      </c>
      <c r="CP275" s="5">
        <f>IF(($D$248-1)&lt;1,NA(),INDEX($D$265:$AD$265,($D$248-1)))</f>
        <v>0</v>
      </c>
      <c r="CQ275" s="5">
        <f>IF(($D$248-0)&lt;1,NA(),INDEX($D$265:$AD$265,($D$248-0)))</f>
        <v>0</v>
      </c>
    </row>
    <row r="276" spans="1:95">
      <c r="A276" s="11" t="s">
        <v>619</v>
      </c>
      <c r="B276" s="11" t="s">
        <v>620</v>
      </c>
      <c r="C276" s="3" t="s">
        <v>408</v>
      </c>
      <c r="BR276" s="5">
        <f>IF(($D$248-25)&lt;1,NA(),INDEX($D$266:$AD$266,($D$248-25)))</f>
        <v>0</v>
      </c>
      <c r="BS276" s="5">
        <f>IF(($D$248-24)&lt;1,NA(),INDEX($D$266:$AD$266,($D$248-24)))</f>
        <v>0</v>
      </c>
      <c r="BT276" s="5">
        <f>IF(($D$248-23)&lt;1,NA(),INDEX($D$266:$AD$266,($D$248-23)))</f>
        <v>0</v>
      </c>
      <c r="BU276" s="5">
        <f>IF(($D$248-22)&lt;1,NA(),INDEX($D$266:$AD$266,($D$248-22)))</f>
        <v>0</v>
      </c>
      <c r="BV276" s="5">
        <f>IF(($D$248-21)&lt;1,NA(),INDEX($D$266:$AD$266,($D$248-21)))</f>
        <v>0</v>
      </c>
      <c r="BW276" s="5">
        <f>IF(($D$248-20)&lt;1,NA(),INDEX($D$266:$AD$266,($D$248-20)))</f>
        <v>0</v>
      </c>
      <c r="BX276" s="5">
        <f>IF(($D$248-19)&lt;1,NA(),INDEX($D$266:$AD$266,($D$248-19)))</f>
        <v>0</v>
      </c>
      <c r="BY276" s="5">
        <f>IF(($D$248-18)&lt;1,NA(),INDEX($D$266:$AD$266,($D$248-18)))</f>
        <v>0</v>
      </c>
      <c r="BZ276" s="5">
        <f>IF(($D$248-17)&lt;1,NA(),INDEX($D$266:$AD$266,($D$248-17)))</f>
        <v>0</v>
      </c>
      <c r="CA276" s="5">
        <f>IF(($D$248-16)&lt;1,NA(),INDEX($D$266:$AD$266,($D$248-16)))</f>
        <v>0</v>
      </c>
      <c r="CB276" s="5">
        <f>IF(($D$248-15)&lt;1,NA(),INDEX($D$266:$AD$266,($D$248-15)))</f>
        <v>0</v>
      </c>
      <c r="CC276" s="5">
        <f>IF(($D$248-14)&lt;1,NA(),INDEX($D$266:$AD$266,($D$248-14)))</f>
        <v>0</v>
      </c>
      <c r="CD276" s="5">
        <f>IF(($D$248-13)&lt;1,NA(),INDEX($D$266:$AD$266,($D$248-13)))</f>
        <v>0</v>
      </c>
      <c r="CE276" s="5">
        <f>IF(($D$248-12)&lt;1,NA(),INDEX($D$266:$AD$266,($D$248-12)))</f>
        <v>0</v>
      </c>
      <c r="CF276" s="5">
        <f>IF(($D$248-11)&lt;1,NA(),INDEX($D$266:$AD$266,($D$248-11)))</f>
        <v>0</v>
      </c>
      <c r="CG276" s="5">
        <f>IF(($D$248-10)&lt;1,NA(),INDEX($D$266:$AD$266,($D$248-10)))</f>
        <v>0</v>
      </c>
      <c r="CH276" s="5">
        <f>IF(($D$248-9)&lt;1,NA(),INDEX($D$266:$AD$266,($D$248-9)))</f>
        <v>0</v>
      </c>
      <c r="CI276" s="5">
        <f>IF(($D$248-8)&lt;1,NA(),INDEX($D$266:$AD$266,($D$248-8)))</f>
        <v>0</v>
      </c>
      <c r="CJ276" s="5">
        <f>IF(($D$248-7)&lt;1,NA(),INDEX($D$266:$AD$266,($D$248-7)))</f>
        <v>0</v>
      </c>
      <c r="CK276" s="5">
        <f>IF(($D$248-6)&lt;1,NA(),INDEX($D$266:$AD$266,($D$248-6)))</f>
        <v>0</v>
      </c>
      <c r="CL276" s="5">
        <f>IF(($D$248-5)&lt;1,NA(),INDEX($D$266:$AD$266,($D$248-5)))</f>
        <v>0</v>
      </c>
      <c r="CM276" s="5">
        <f>IF(($D$248-4)&lt;1,NA(),INDEX($D$266:$AD$266,($D$248-4)))</f>
        <v>0</v>
      </c>
      <c r="CN276" s="5">
        <f>IF(($D$248-3)&lt;1,NA(),INDEX($D$266:$AD$266,($D$248-3)))</f>
        <v>0</v>
      </c>
      <c r="CO276" s="5">
        <f>IF(($D$248-2)&lt;1,NA(),INDEX($D$266:$AD$266,($D$248-2)))</f>
        <v>0</v>
      </c>
      <c r="CP276" s="5">
        <f>IF(($D$248-1)&lt;1,NA(),INDEX($D$266:$AD$266,($D$248-1)))</f>
        <v>0</v>
      </c>
      <c r="CQ276" s="5">
        <f>IF(($D$248-0)&lt;1,NA(),INDEX($D$266:$AD$266,($D$248-0)))</f>
        <v>0</v>
      </c>
    </row>
    <row r="277" spans="1:95">
      <c r="A277" s="11" t="s">
        <v>621</v>
      </c>
      <c r="B277" s="11" t="s">
        <v>622</v>
      </c>
      <c r="C277" s="3" t="s">
        <v>408</v>
      </c>
      <c r="BR277" s="5">
        <f>IF(($D$248-25)&lt;1,NA(),INDEX($D$267:$AD$267,($D$248-25)))</f>
        <v>0</v>
      </c>
      <c r="BS277" s="5">
        <f>IF(($D$248-24)&lt;1,NA(),INDEX($D$267:$AD$267,($D$248-24)))</f>
        <v>0</v>
      </c>
      <c r="BT277" s="5">
        <f>IF(($D$248-23)&lt;1,NA(),INDEX($D$267:$AD$267,($D$248-23)))</f>
        <v>0</v>
      </c>
      <c r="BU277" s="5">
        <f>IF(($D$248-22)&lt;1,NA(),INDEX($D$267:$AD$267,($D$248-22)))</f>
        <v>0</v>
      </c>
      <c r="BV277" s="5">
        <f>IF(($D$248-21)&lt;1,NA(),INDEX($D$267:$AD$267,($D$248-21)))</f>
        <v>0</v>
      </c>
      <c r="BW277" s="5">
        <f>IF(($D$248-20)&lt;1,NA(),INDEX($D$267:$AD$267,($D$248-20)))</f>
        <v>0</v>
      </c>
      <c r="BX277" s="5">
        <f>IF(($D$248-19)&lt;1,NA(),INDEX($D$267:$AD$267,($D$248-19)))</f>
        <v>0</v>
      </c>
      <c r="BY277" s="5">
        <f>IF(($D$248-18)&lt;1,NA(),INDEX($D$267:$AD$267,($D$248-18)))</f>
        <v>0</v>
      </c>
      <c r="BZ277" s="5">
        <f>IF(($D$248-17)&lt;1,NA(),INDEX($D$267:$AD$267,($D$248-17)))</f>
        <v>0</v>
      </c>
      <c r="CA277" s="5">
        <f>IF(($D$248-16)&lt;1,NA(),INDEX($D$267:$AD$267,($D$248-16)))</f>
        <v>0</v>
      </c>
      <c r="CB277" s="5">
        <f>IF(($D$248-15)&lt;1,NA(),INDEX($D$267:$AD$267,($D$248-15)))</f>
        <v>0</v>
      </c>
      <c r="CC277" s="5">
        <f>IF(($D$248-14)&lt;1,NA(),INDEX($D$267:$AD$267,($D$248-14)))</f>
        <v>0</v>
      </c>
      <c r="CD277" s="5">
        <f>IF(($D$248-13)&lt;1,NA(),INDEX($D$267:$AD$267,($D$248-13)))</f>
        <v>0</v>
      </c>
      <c r="CE277" s="5">
        <f>IF(($D$248-12)&lt;1,NA(),INDEX($D$267:$AD$267,($D$248-12)))</f>
        <v>0</v>
      </c>
      <c r="CF277" s="5">
        <f>IF(($D$248-11)&lt;1,NA(),INDEX($D$267:$AD$267,($D$248-11)))</f>
        <v>0</v>
      </c>
      <c r="CG277" s="5">
        <f>IF(($D$248-10)&lt;1,NA(),INDEX($D$267:$AD$267,($D$248-10)))</f>
        <v>0</v>
      </c>
      <c r="CH277" s="5">
        <f>IF(($D$248-9)&lt;1,NA(),INDEX($D$267:$AD$267,($D$248-9)))</f>
        <v>0</v>
      </c>
      <c r="CI277" s="5">
        <f>IF(($D$248-8)&lt;1,NA(),INDEX($D$267:$AD$267,($D$248-8)))</f>
        <v>0</v>
      </c>
      <c r="CJ277" s="5">
        <f>IF(($D$248-7)&lt;1,NA(),INDEX($D$267:$AD$267,($D$248-7)))</f>
        <v>0</v>
      </c>
      <c r="CK277" s="5">
        <f>IF(($D$248-6)&lt;1,NA(),INDEX($D$267:$AD$267,($D$248-6)))</f>
        <v>0</v>
      </c>
      <c r="CL277" s="5">
        <f>IF(($D$248-5)&lt;1,NA(),INDEX($D$267:$AD$267,($D$248-5)))</f>
        <v>0</v>
      </c>
      <c r="CM277" s="5">
        <f>IF(($D$248-4)&lt;1,NA(),INDEX($D$267:$AD$267,($D$248-4)))</f>
        <v>0</v>
      </c>
      <c r="CN277" s="5">
        <f>IF(($D$248-3)&lt;1,NA(),INDEX($D$267:$AD$267,($D$248-3)))</f>
        <v>0</v>
      </c>
      <c r="CO277" s="5">
        <f>IF(($D$248-2)&lt;1,NA(),INDEX($D$267:$AD$267,($D$248-2)))</f>
        <v>0</v>
      </c>
      <c r="CP277" s="5">
        <f>IF(($D$248-1)&lt;1,NA(),INDEX($D$267:$AD$267,($D$248-1)))</f>
        <v>0</v>
      </c>
      <c r="CQ277" s="5">
        <f>IF(($D$248-0)&lt;1,NA(),INDEX($D$267:$AD$267,($D$248-0)))</f>
        <v>0</v>
      </c>
    </row>
    <row r="278" spans="1:95">
      <c r="A278" s="11" t="s">
        <v>623</v>
      </c>
      <c r="B278" s="11" t="s">
        <v>624</v>
      </c>
      <c r="C278" s="3" t="s">
        <v>408</v>
      </c>
      <c r="BR278" s="11">
        <f>IF(($D$248-25)&lt;1,"",INDEX($D$268:$AD$268,($D$248-25)))</f>
        <v>0</v>
      </c>
      <c r="BS278" s="11">
        <f>IF(($D$248-24)&lt;1,"",INDEX($D$268:$AD$268,($D$248-24)))</f>
        <v>0</v>
      </c>
      <c r="BT278" s="11">
        <f>IF(($D$248-23)&lt;1,"",INDEX($D$268:$AD$268,($D$248-23)))</f>
        <v>0</v>
      </c>
      <c r="BU278" s="11">
        <f>IF(($D$248-22)&lt;1,"",INDEX($D$268:$AD$268,($D$248-22)))</f>
        <v>0</v>
      </c>
      <c r="BV278" s="11">
        <f>IF(($D$248-21)&lt;1,"",INDEX($D$268:$AD$268,($D$248-21)))</f>
        <v>0</v>
      </c>
      <c r="BW278" s="11">
        <f>IF(($D$248-20)&lt;1,"",INDEX($D$268:$AD$268,($D$248-20)))</f>
        <v>0</v>
      </c>
      <c r="BX278" s="11">
        <f>IF(($D$248-19)&lt;1,"",INDEX($D$268:$AD$268,($D$248-19)))</f>
        <v>0</v>
      </c>
      <c r="BY278" s="11">
        <f>IF(($D$248-18)&lt;1,"",INDEX($D$268:$AD$268,($D$248-18)))</f>
        <v>0</v>
      </c>
      <c r="BZ278" s="11">
        <f>IF(($D$248-17)&lt;1,"",INDEX($D$268:$AD$268,($D$248-17)))</f>
        <v>0</v>
      </c>
      <c r="CA278" s="11">
        <f>IF(($D$248-16)&lt;1,"",INDEX($D$268:$AD$268,($D$248-16)))</f>
        <v>0</v>
      </c>
      <c r="CB278" s="11">
        <f>IF(($D$248-15)&lt;1,"",INDEX($D$268:$AD$268,($D$248-15)))</f>
        <v>0</v>
      </c>
      <c r="CC278" s="11">
        <f>IF(($D$248-14)&lt;1,"",INDEX($D$268:$AD$268,($D$248-14)))</f>
        <v>0</v>
      </c>
      <c r="CD278" s="11">
        <f>IF(($D$248-13)&lt;1,"",INDEX($D$268:$AD$268,($D$248-13)))</f>
        <v>0</v>
      </c>
      <c r="CE278" s="11">
        <f>IF(($D$248-12)&lt;1,"",INDEX($D$268:$AD$268,($D$248-12)))</f>
        <v>0</v>
      </c>
      <c r="CF278" s="11">
        <f>IF(($D$248-11)&lt;1,"",INDEX($D$268:$AD$268,($D$248-11)))</f>
        <v>0</v>
      </c>
      <c r="CG278" s="11">
        <f>IF(($D$248-10)&lt;1,"",INDEX($D$268:$AD$268,($D$248-10)))</f>
        <v>0</v>
      </c>
      <c r="CH278" s="11">
        <f>IF(($D$248-9)&lt;1,"",INDEX($D$268:$AD$268,($D$248-9)))</f>
        <v>0</v>
      </c>
      <c r="CI278" s="11">
        <f>IF(($D$248-8)&lt;1,"",INDEX($D$268:$AD$268,($D$248-8)))</f>
        <v>0</v>
      </c>
      <c r="CJ278" s="11">
        <f>IF(($D$248-7)&lt;1,"",INDEX($D$268:$AD$268,($D$248-7)))</f>
        <v>0</v>
      </c>
      <c r="CK278" s="11">
        <f>IF(($D$248-6)&lt;1,"",INDEX($D$268:$AD$268,($D$248-6)))</f>
        <v>0</v>
      </c>
      <c r="CL278" s="11">
        <f>IF(($D$248-5)&lt;1,"",INDEX($D$268:$AD$268,($D$248-5)))</f>
        <v>0</v>
      </c>
      <c r="CM278" s="11">
        <f>IF(($D$248-4)&lt;1,"",INDEX($D$268:$AD$268,($D$248-4)))</f>
        <v>0</v>
      </c>
      <c r="CN278" s="11">
        <f>IF(($D$248-3)&lt;1,"",INDEX($D$268:$AD$268,($D$248-3)))</f>
        <v>0</v>
      </c>
      <c r="CO278" s="11">
        <f>IF(($D$248-2)&lt;1,"",INDEX($D$268:$AD$268,($D$248-2)))</f>
        <v>0</v>
      </c>
      <c r="CP278" s="11">
        <f>IF(($D$248-1)&lt;1,"",INDEX($D$268:$AD$268,($D$248-1)))</f>
        <v>0</v>
      </c>
      <c r="CQ278" s="11">
        <f>IF(($D$248-0)&lt;1,"",INDEX($D$268:$AD$268,($D$248-0)))</f>
        <v>0</v>
      </c>
    </row>
    <row r="279" spans="1:95">
      <c r="A279" s="11" t="s">
        <v>625</v>
      </c>
      <c r="B279" s="11" t="s">
        <v>626</v>
      </c>
      <c r="C279" s="3" t="s">
        <v>137</v>
      </c>
      <c r="D279" s="5">
        <f>IF(MAX($D$280:$AD$280)=0,27,MAX($D$280:$AD$280))</f>
        <v>0</v>
      </c>
    </row>
    <row r="280" spans="1:95">
      <c r="A280" s="11" t="s">
        <v>627</v>
      </c>
      <c r="B280" s="11" t="s">
        <v>628</v>
      </c>
      <c r="C280" s="3" t="s">
        <v>137</v>
      </c>
      <c r="D280" s="5">
        <f>IF(OR(ISNUMBER(D29),ISNUMBER(D28),ISNUMBER(D27),ISNUMBER(D153),ISNUMBER(D30),ISNUMBER(D31)),1,0)</f>
        <v>0</v>
      </c>
      <c r="E280" s="5">
        <f>IF(OR(ISNUMBER(E29),ISNUMBER(E28),ISNUMBER(E27),ISNUMBER(E153),ISNUMBER(E30),ISNUMBER(E31)),2,0)</f>
        <v>0</v>
      </c>
      <c r="F280" s="5">
        <f>IF(OR(ISNUMBER(F29),ISNUMBER(F28),ISNUMBER(F27),ISNUMBER(F153),ISNUMBER(F30),ISNUMBER(F31)),3,0)</f>
        <v>0</v>
      </c>
      <c r="G280" s="5">
        <f>IF(OR(ISNUMBER(G29),ISNUMBER(G28),ISNUMBER(G27),ISNUMBER(G153),ISNUMBER(G30),ISNUMBER(G31)),4,0)</f>
        <v>0</v>
      </c>
      <c r="H280" s="5">
        <f>IF(OR(ISNUMBER(H29),ISNUMBER(H28),ISNUMBER(H27),ISNUMBER(H153),ISNUMBER(H30),ISNUMBER(H31)),5,0)</f>
        <v>0</v>
      </c>
      <c r="I280" s="5">
        <f>IF(OR(ISNUMBER(I29),ISNUMBER(I28),ISNUMBER(I27),ISNUMBER(I153),ISNUMBER(I30),ISNUMBER(I31)),6,0)</f>
        <v>0</v>
      </c>
      <c r="J280" s="5">
        <f>IF(OR(ISNUMBER(J29),ISNUMBER(J28),ISNUMBER(J27),ISNUMBER(J153),ISNUMBER(J30),ISNUMBER(J31)),7,0)</f>
        <v>0</v>
      </c>
      <c r="K280" s="5">
        <f>IF(OR(ISNUMBER(K29),ISNUMBER(K28),ISNUMBER(K27),ISNUMBER(K153),ISNUMBER(K30),ISNUMBER(K31)),8,0)</f>
        <v>0</v>
      </c>
      <c r="L280" s="5">
        <f>IF(OR(ISNUMBER(L29),ISNUMBER(L28),ISNUMBER(L27),ISNUMBER(L153),ISNUMBER(L30),ISNUMBER(L31)),9,0)</f>
        <v>0</v>
      </c>
      <c r="M280" s="5">
        <f>IF(OR(ISNUMBER(M29),ISNUMBER(M28),ISNUMBER(M27),ISNUMBER(M153),ISNUMBER(M30),ISNUMBER(M31)),10,0)</f>
        <v>0</v>
      </c>
      <c r="N280" s="5">
        <f>IF(OR(ISNUMBER(N29),ISNUMBER(N28),ISNUMBER(N27),ISNUMBER(N153),ISNUMBER(N30),ISNUMBER(N31)),11,0)</f>
        <v>0</v>
      </c>
      <c r="O280" s="5">
        <f>IF(OR(ISNUMBER(O29),ISNUMBER(O28),ISNUMBER(O27),ISNUMBER(O153),ISNUMBER(O30),ISNUMBER(O31)),12,0)</f>
        <v>0</v>
      </c>
      <c r="P280" s="5">
        <f>IF(OR(ISNUMBER(P29),ISNUMBER(P28),ISNUMBER(P27),ISNUMBER(P153),ISNUMBER(P30),ISNUMBER(P31)),13,0)</f>
        <v>0</v>
      </c>
      <c r="Q280" s="5">
        <f>IF(OR(ISNUMBER(Q29),ISNUMBER(Q28),ISNUMBER(Q27),ISNUMBER(Q153),ISNUMBER(Q30),ISNUMBER(Q31)),14,0)</f>
        <v>0</v>
      </c>
      <c r="R280" s="5">
        <f>IF(OR(ISNUMBER(R29),ISNUMBER(R28),ISNUMBER(R27),ISNUMBER(R153),ISNUMBER(R30),ISNUMBER(R31)),15,0)</f>
        <v>0</v>
      </c>
      <c r="S280" s="5">
        <f>IF(OR(ISNUMBER(S29),ISNUMBER(S28),ISNUMBER(S27),ISNUMBER(S153),ISNUMBER(S30),ISNUMBER(S31)),16,0)</f>
        <v>0</v>
      </c>
      <c r="T280" s="5">
        <f>IF(OR(ISNUMBER(T29),ISNUMBER(T28),ISNUMBER(T27),ISNUMBER(T153),ISNUMBER(T30),ISNUMBER(T31)),17,0)</f>
        <v>0</v>
      </c>
      <c r="U280" s="5">
        <f>IF(OR(ISNUMBER(U29),ISNUMBER(U28),ISNUMBER(U27),ISNUMBER(U153),ISNUMBER(U30),ISNUMBER(U31)),18,0)</f>
        <v>0</v>
      </c>
      <c r="V280" s="5">
        <f>IF(OR(ISNUMBER(V29),ISNUMBER(V28),ISNUMBER(V27),ISNUMBER(V153),ISNUMBER(V30),ISNUMBER(V31)),19,0)</f>
        <v>0</v>
      </c>
      <c r="W280" s="5">
        <f>IF(OR(ISNUMBER(W29),ISNUMBER(W28),ISNUMBER(W27),ISNUMBER(W153),ISNUMBER(W30),ISNUMBER(W31)),20,0)</f>
        <v>0</v>
      </c>
      <c r="X280" s="5">
        <f>IF(OR(ISNUMBER(X29),ISNUMBER(X28),ISNUMBER(X27),ISNUMBER(X153),ISNUMBER(X30),ISNUMBER(X31)),21,0)</f>
        <v>0</v>
      </c>
      <c r="Y280" s="5">
        <f>IF(OR(ISNUMBER(Y29),ISNUMBER(Y28),ISNUMBER(Y27),ISNUMBER(Y153),ISNUMBER(Y30),ISNUMBER(Y31)),22,0)</f>
        <v>0</v>
      </c>
      <c r="Z280" s="5">
        <f>IF(OR(ISNUMBER(Z29),ISNUMBER(Z28),ISNUMBER(Z27),ISNUMBER(Z153),ISNUMBER(Z30),ISNUMBER(Z31)),23,0)</f>
        <v>0</v>
      </c>
      <c r="AA280" s="5">
        <f>IF(OR(ISNUMBER(AA29),ISNUMBER(AA28),ISNUMBER(AA27),ISNUMBER(AA153),ISNUMBER(AA30),ISNUMBER(AA31)),24,0)</f>
        <v>0</v>
      </c>
      <c r="AB280" s="5">
        <f>IF(OR(ISNUMBER(AB29),ISNUMBER(AB28),ISNUMBER(AB27),ISNUMBER(AB153),ISNUMBER(AB30),ISNUMBER(AB31)),25,0)</f>
        <v>0</v>
      </c>
      <c r="AC280" s="5">
        <f>IF(OR(ISNUMBER(AC29),ISNUMBER(AC28),ISNUMBER(AC27),ISNUMBER(AC153),ISNUMBER(AC30),ISNUMBER(AC31)),26,0)</f>
        <v>0</v>
      </c>
      <c r="AD280" s="5">
        <f>IF(OR(ISNUMBER(AD29),ISNUMBER(AD28),ISNUMBER(AD27),ISNUMBER(AD153),ISNUMBER(AD30),ISNUMBER(AD31)),27,0)</f>
        <v>0</v>
      </c>
    </row>
    <row r="281" spans="1:95">
      <c r="A281" s="11" t="s">
        <v>629</v>
      </c>
      <c r="B281" s="11" t="s">
        <v>630</v>
      </c>
      <c r="C281" s="3" t="s">
        <v>397</v>
      </c>
      <c r="D281" s="80">
        <f>IF(MAX(IFERROR(N(INDEX(Wertstand!$A$130:$LJ$130,MATCH(INDEX($D$4:$AD$4,$D$279),RD_Kopf,0))),0),IFERROR(N(INDEX(Wertstand!$A$131:$LJ$131,MATCH(INDEX($D$4:$AD$4,$D$279),RD_Kopf,0))),0),IFERROR(N(INDEX(Wertstand!$A$132:$LJ$132,MATCH(INDEX($D$4:$AD$4,$D$279),RD_Kopf,0))),0),IFERROR(N(INDEX(Wertstand!$A$133:$LJ$133,MATCH(INDEX($D$4:$AD$4,$D$279),RD_Kopf,0))),0),IFERROR(N(INDEX(Wertstand!$A$137:$LJ$137,MATCH(INDEX($D$4:$AD$4,$D$279),RD_Kopf,0))),0))&gt;0,MAX(IFERROR(N(INDEX(Wertstand!$A$130:$LJ$130,MATCH(INDEX($D$4:$AD$4,$D$279),RD_Kopf,0))),0),IFERROR(N(INDEX(Wertstand!$A$131:$LJ$131,MATCH(INDEX($D$4:$AD$4,$D$279),RD_Kopf,0))),0),IFERROR(N(INDEX(Wertstand!$A$132:$LJ$132,MATCH(INDEX($D$4:$AD$4,$D$279),RD_Kopf,0))),0),IFERROR(N(INDEX(Wertstand!$A$133:$LJ$133,MATCH(INDEX($D$4:$AD$4,$D$279),RD_Kopf,0))),0),IFERROR(N(INDEX(Wertstand!$A$137:$LJ$137,MATCH(INDEX($D$4:$AD$4,$D$279),RD_Kopf,0))),0)),INDEX($D$4:$AD$4,$D$279))</f>
        <v>0</v>
      </c>
      <c r="E281" s="11">
        <f>"Stand: "&amp;TEXT(DAY($D$281),"00")&amp;"."&amp;TEXT(MONTH($D$281),"00")&amp;"."&amp;RIGHT(YEAR($D$281),2)</f>
        <v>0</v>
      </c>
      <c r="F281" s="11">
        <f>"Stand:"&amp;CHAR(10)&amp;TEXT(DAY($D$281),"00")&amp;"."&amp;TEXT(MONTH($D$281),"00")&amp;"."&amp;RIGHT(YEAR($D$281),2)</f>
        <v>0</v>
      </c>
    </row>
    <row r="282" spans="1:95">
      <c r="A282" s="11" t="s">
        <v>631</v>
      </c>
      <c r="B282" s="11" t="s">
        <v>632</v>
      </c>
      <c r="C282" s="3" t="s">
        <v>408</v>
      </c>
      <c r="BR282" s="11">
        <f>IF(($D$279-25)&lt;1,"",INDEX($D$3:$AD$3,($D$279-25)))</f>
        <v>0</v>
      </c>
      <c r="BS282" s="11">
        <f>IF(($D$279-24)&lt;1,"",INDEX($D$3:$AD$3,($D$279-24)))</f>
        <v>0</v>
      </c>
      <c r="BT282" s="11">
        <f>IF(($D$279-23)&lt;1,"",INDEX($D$3:$AD$3,($D$279-23)))</f>
        <v>0</v>
      </c>
      <c r="BU282" s="11">
        <f>IF(($D$279-22)&lt;1,"",INDEX($D$3:$AD$3,($D$279-22)))</f>
        <v>0</v>
      </c>
      <c r="BV282" s="11">
        <f>IF(($D$279-21)&lt;1,"",INDEX($D$3:$AD$3,($D$279-21)))</f>
        <v>0</v>
      </c>
      <c r="BW282" s="11">
        <f>IF(($D$279-20)&lt;1,"",INDEX($D$3:$AD$3,($D$279-20)))</f>
        <v>0</v>
      </c>
      <c r="BX282" s="11">
        <f>IF(($D$279-19)&lt;1,"",INDEX($D$3:$AD$3,($D$279-19)))</f>
        <v>0</v>
      </c>
      <c r="BY282" s="11">
        <f>IF(($D$279-18)&lt;1,"",INDEX($D$3:$AD$3,($D$279-18)))</f>
        <v>0</v>
      </c>
      <c r="BZ282" s="11">
        <f>IF(($D$279-17)&lt;1,"",INDEX($D$3:$AD$3,($D$279-17)))</f>
        <v>0</v>
      </c>
      <c r="CA282" s="11">
        <f>IF(($D$279-16)&lt;1,"",INDEX($D$3:$AD$3,($D$279-16)))</f>
        <v>0</v>
      </c>
      <c r="CB282" s="11">
        <f>IF(($D$279-15)&lt;1,"",INDEX($D$3:$AD$3,($D$279-15)))</f>
        <v>0</v>
      </c>
      <c r="CC282" s="11">
        <f>IF(($D$279-14)&lt;1,"",INDEX($D$3:$AD$3,($D$279-14)))</f>
        <v>0</v>
      </c>
      <c r="CD282" s="11">
        <f>IF(($D$279-13)&lt;1,"",INDEX($D$3:$AD$3,($D$279-13)))</f>
        <v>0</v>
      </c>
      <c r="CE282" s="11">
        <f>IF(($D$279-12)&lt;1,"",INDEX($D$3:$AD$3,($D$279-12)))</f>
        <v>0</v>
      </c>
      <c r="CF282" s="11">
        <f>IF(($D$279-11)&lt;1,"",INDEX($D$3:$AD$3,($D$279-11)))</f>
        <v>0</v>
      </c>
      <c r="CG282" s="11">
        <f>IF(($D$279-10)&lt;1,"",INDEX($D$3:$AD$3,($D$279-10)))</f>
        <v>0</v>
      </c>
      <c r="CH282" s="11">
        <f>IF(($D$279-9)&lt;1,"",INDEX($D$3:$AD$3,($D$279-9)))</f>
        <v>0</v>
      </c>
      <c r="CI282" s="11">
        <f>IF(($D$279-8)&lt;1,"",INDEX($D$3:$AD$3,($D$279-8)))</f>
        <v>0</v>
      </c>
      <c r="CJ282" s="11">
        <f>IF(($D$279-7)&lt;1,"",INDEX($D$3:$AD$3,($D$279-7)))</f>
        <v>0</v>
      </c>
      <c r="CK282" s="11">
        <f>IF(($D$279-6)&lt;1,"",INDEX($D$3:$AD$3,($D$279-6)))</f>
        <v>0</v>
      </c>
      <c r="CL282" s="11">
        <f>IF(($D$279-5)&lt;1,"",INDEX($D$3:$AD$3,($D$279-5)))</f>
        <v>0</v>
      </c>
      <c r="CM282" s="11">
        <f>IF(($D$279-4)&lt;1,"",INDEX($D$3:$AD$3,($D$279-4)))</f>
        <v>0</v>
      </c>
      <c r="CN282" s="11">
        <f>IF(($D$279-3)&lt;1,"",INDEX($D$3:$AD$3,($D$279-3)))</f>
        <v>0</v>
      </c>
      <c r="CO282" s="11">
        <f>IF(($D$279-2)&lt;1,"",INDEX($D$3:$AD$3,($D$279-2)))</f>
        <v>0</v>
      </c>
      <c r="CP282" s="11">
        <f>IF(($D$279-1)&lt;1,"",INDEX($D$3:$AD$3,($D$279-1)))</f>
        <v>0</v>
      </c>
      <c r="CQ282" s="11">
        <f>IF(($D$279-0)&lt;1,"",INDEX($D$3:$AD$3,($D$279-0)))</f>
        <v>0</v>
      </c>
    </row>
    <row r="283" spans="1:95">
      <c r="A283" s="11" t="s">
        <v>633</v>
      </c>
      <c r="B283" s="11" t="s">
        <v>634</v>
      </c>
      <c r="C283" s="3" t="s">
        <v>408</v>
      </c>
      <c r="BR283" s="5">
        <f>IF(($D$279-25)&lt;1,NA(),INDEX($D$29:$AD$29,($D$279-25)))</f>
        <v>0</v>
      </c>
      <c r="BS283" s="5">
        <f>IF(($D$279-24)&lt;1,NA(),INDEX($D$29:$AD$29,($D$279-24)))</f>
        <v>0</v>
      </c>
      <c r="BT283" s="5">
        <f>IF(($D$279-23)&lt;1,NA(),INDEX($D$29:$AD$29,($D$279-23)))</f>
        <v>0</v>
      </c>
      <c r="BU283" s="5">
        <f>IF(($D$279-22)&lt;1,NA(),INDEX($D$29:$AD$29,($D$279-22)))</f>
        <v>0</v>
      </c>
      <c r="BV283" s="5">
        <f>IF(($D$279-21)&lt;1,NA(),INDEX($D$29:$AD$29,($D$279-21)))</f>
        <v>0</v>
      </c>
      <c r="BW283" s="5">
        <f>IF(($D$279-20)&lt;1,NA(),INDEX($D$29:$AD$29,($D$279-20)))</f>
        <v>0</v>
      </c>
      <c r="BX283" s="5">
        <f>IF(($D$279-19)&lt;1,NA(),INDEX($D$29:$AD$29,($D$279-19)))</f>
        <v>0</v>
      </c>
      <c r="BY283" s="5">
        <f>IF(($D$279-18)&lt;1,NA(),INDEX($D$29:$AD$29,($D$279-18)))</f>
        <v>0</v>
      </c>
      <c r="BZ283" s="5">
        <f>IF(($D$279-17)&lt;1,NA(),INDEX($D$29:$AD$29,($D$279-17)))</f>
        <v>0</v>
      </c>
      <c r="CA283" s="5">
        <f>IF(($D$279-16)&lt;1,NA(),INDEX($D$29:$AD$29,($D$279-16)))</f>
        <v>0</v>
      </c>
      <c r="CB283" s="5">
        <f>IF(($D$279-15)&lt;1,NA(),INDEX($D$29:$AD$29,($D$279-15)))</f>
        <v>0</v>
      </c>
      <c r="CC283" s="5">
        <f>IF(($D$279-14)&lt;1,NA(),INDEX($D$29:$AD$29,($D$279-14)))</f>
        <v>0</v>
      </c>
      <c r="CD283" s="5">
        <f>IF(($D$279-13)&lt;1,NA(),INDEX($D$29:$AD$29,($D$279-13)))</f>
        <v>0</v>
      </c>
      <c r="CE283" s="5">
        <f>IF(($D$279-12)&lt;1,NA(),INDEX($D$29:$AD$29,($D$279-12)))</f>
        <v>0</v>
      </c>
      <c r="CF283" s="5">
        <f>IF(($D$279-11)&lt;1,NA(),INDEX($D$29:$AD$29,($D$279-11)))</f>
        <v>0</v>
      </c>
      <c r="CG283" s="5">
        <f>IF(($D$279-10)&lt;1,NA(),INDEX($D$29:$AD$29,($D$279-10)))</f>
        <v>0</v>
      </c>
      <c r="CH283" s="5">
        <f>IF(($D$279-9)&lt;1,NA(),INDEX($D$29:$AD$29,($D$279-9)))</f>
        <v>0</v>
      </c>
      <c r="CI283" s="5">
        <f>IF(($D$279-8)&lt;1,NA(),INDEX($D$29:$AD$29,($D$279-8)))</f>
        <v>0</v>
      </c>
      <c r="CJ283" s="5">
        <f>IF(($D$279-7)&lt;1,NA(),INDEX($D$29:$AD$29,($D$279-7)))</f>
        <v>0</v>
      </c>
      <c r="CK283" s="5">
        <f>IF(($D$279-6)&lt;1,NA(),INDEX($D$29:$AD$29,($D$279-6)))</f>
        <v>0</v>
      </c>
      <c r="CL283" s="5">
        <f>IF(($D$279-5)&lt;1,NA(),INDEX($D$29:$AD$29,($D$279-5)))</f>
        <v>0</v>
      </c>
      <c r="CM283" s="5">
        <f>IF(($D$279-4)&lt;1,NA(),INDEX($D$29:$AD$29,($D$279-4)))</f>
        <v>0</v>
      </c>
      <c r="CN283" s="5">
        <f>IF(($D$279-3)&lt;1,NA(),INDEX($D$29:$AD$29,($D$279-3)))</f>
        <v>0</v>
      </c>
      <c r="CO283" s="5">
        <f>IF(($D$279-2)&lt;1,NA(),INDEX($D$29:$AD$29,($D$279-2)))</f>
        <v>0</v>
      </c>
      <c r="CP283" s="5">
        <f>IF(($D$279-1)&lt;1,NA(),INDEX($D$29:$AD$29,($D$279-1)))</f>
        <v>0</v>
      </c>
      <c r="CQ283" s="5">
        <f>IF(($D$279-0)&lt;1,NA(),INDEX($D$29:$AD$29,($D$279-0)))</f>
        <v>0</v>
      </c>
    </row>
    <row r="284" spans="1:95">
      <c r="A284" s="11" t="s">
        <v>635</v>
      </c>
      <c r="B284" s="11" t="s">
        <v>636</v>
      </c>
      <c r="C284" s="3" t="s">
        <v>408</v>
      </c>
      <c r="BR284" s="5">
        <f>IF(($D$279-25)&lt;1,NA(),INDEX($D$28:$AD$28,($D$279-25)))</f>
        <v>0</v>
      </c>
      <c r="BS284" s="5">
        <f>IF(($D$279-24)&lt;1,NA(),INDEX($D$28:$AD$28,($D$279-24)))</f>
        <v>0</v>
      </c>
      <c r="BT284" s="5">
        <f>IF(($D$279-23)&lt;1,NA(),INDEX($D$28:$AD$28,($D$279-23)))</f>
        <v>0</v>
      </c>
      <c r="BU284" s="5">
        <f>IF(($D$279-22)&lt;1,NA(),INDEX($D$28:$AD$28,($D$279-22)))</f>
        <v>0</v>
      </c>
      <c r="BV284" s="5">
        <f>IF(($D$279-21)&lt;1,NA(),INDEX($D$28:$AD$28,($D$279-21)))</f>
        <v>0</v>
      </c>
      <c r="BW284" s="5">
        <f>IF(($D$279-20)&lt;1,NA(),INDEX($D$28:$AD$28,($D$279-20)))</f>
        <v>0</v>
      </c>
      <c r="BX284" s="5">
        <f>IF(($D$279-19)&lt;1,NA(),INDEX($D$28:$AD$28,($D$279-19)))</f>
        <v>0</v>
      </c>
      <c r="BY284" s="5">
        <f>IF(($D$279-18)&lt;1,NA(),INDEX($D$28:$AD$28,($D$279-18)))</f>
        <v>0</v>
      </c>
      <c r="BZ284" s="5">
        <f>IF(($D$279-17)&lt;1,NA(),INDEX($D$28:$AD$28,($D$279-17)))</f>
        <v>0</v>
      </c>
      <c r="CA284" s="5">
        <f>IF(($D$279-16)&lt;1,NA(),INDEX($D$28:$AD$28,($D$279-16)))</f>
        <v>0</v>
      </c>
      <c r="CB284" s="5">
        <f>IF(($D$279-15)&lt;1,NA(),INDEX($D$28:$AD$28,($D$279-15)))</f>
        <v>0</v>
      </c>
      <c r="CC284" s="5">
        <f>IF(($D$279-14)&lt;1,NA(),INDEX($D$28:$AD$28,($D$279-14)))</f>
        <v>0</v>
      </c>
      <c r="CD284" s="5">
        <f>IF(($D$279-13)&lt;1,NA(),INDEX($D$28:$AD$28,($D$279-13)))</f>
        <v>0</v>
      </c>
      <c r="CE284" s="5">
        <f>IF(($D$279-12)&lt;1,NA(),INDEX($D$28:$AD$28,($D$279-12)))</f>
        <v>0</v>
      </c>
      <c r="CF284" s="5">
        <f>IF(($D$279-11)&lt;1,NA(),INDEX($D$28:$AD$28,($D$279-11)))</f>
        <v>0</v>
      </c>
      <c r="CG284" s="5">
        <f>IF(($D$279-10)&lt;1,NA(),INDEX($D$28:$AD$28,($D$279-10)))</f>
        <v>0</v>
      </c>
      <c r="CH284" s="5">
        <f>IF(($D$279-9)&lt;1,NA(),INDEX($D$28:$AD$28,($D$279-9)))</f>
        <v>0</v>
      </c>
      <c r="CI284" s="5">
        <f>IF(($D$279-8)&lt;1,NA(),INDEX($D$28:$AD$28,($D$279-8)))</f>
        <v>0</v>
      </c>
      <c r="CJ284" s="5">
        <f>IF(($D$279-7)&lt;1,NA(),INDEX($D$28:$AD$28,($D$279-7)))</f>
        <v>0</v>
      </c>
      <c r="CK284" s="5">
        <f>IF(($D$279-6)&lt;1,NA(),INDEX($D$28:$AD$28,($D$279-6)))</f>
        <v>0</v>
      </c>
      <c r="CL284" s="5">
        <f>IF(($D$279-5)&lt;1,NA(),INDEX($D$28:$AD$28,($D$279-5)))</f>
        <v>0</v>
      </c>
      <c r="CM284" s="5">
        <f>IF(($D$279-4)&lt;1,NA(),INDEX($D$28:$AD$28,($D$279-4)))</f>
        <v>0</v>
      </c>
      <c r="CN284" s="5">
        <f>IF(($D$279-3)&lt;1,NA(),INDEX($D$28:$AD$28,($D$279-3)))</f>
        <v>0</v>
      </c>
      <c r="CO284" s="5">
        <f>IF(($D$279-2)&lt;1,NA(),INDEX($D$28:$AD$28,($D$279-2)))</f>
        <v>0</v>
      </c>
      <c r="CP284" s="5">
        <f>IF(($D$279-1)&lt;1,NA(),INDEX($D$28:$AD$28,($D$279-1)))</f>
        <v>0</v>
      </c>
      <c r="CQ284" s="5">
        <f>IF(($D$279-0)&lt;1,NA(),INDEX($D$28:$AD$28,($D$279-0)))</f>
        <v>0</v>
      </c>
    </row>
    <row r="285" spans="1:95">
      <c r="A285" s="11" t="s">
        <v>637</v>
      </c>
      <c r="B285" s="11" t="s">
        <v>638</v>
      </c>
      <c r="C285" s="3" t="s">
        <v>408</v>
      </c>
      <c r="BR285" s="5">
        <f>IF(($D$279-25)&lt;1,NA(),INDEX($D$27:$AD$27,($D$279-25)))</f>
        <v>0</v>
      </c>
      <c r="BS285" s="5">
        <f>IF(($D$279-24)&lt;1,NA(),INDEX($D$27:$AD$27,($D$279-24)))</f>
        <v>0</v>
      </c>
      <c r="BT285" s="5">
        <f>IF(($D$279-23)&lt;1,NA(),INDEX($D$27:$AD$27,($D$279-23)))</f>
        <v>0</v>
      </c>
      <c r="BU285" s="5">
        <f>IF(($D$279-22)&lt;1,NA(),INDEX($D$27:$AD$27,($D$279-22)))</f>
        <v>0</v>
      </c>
      <c r="BV285" s="5">
        <f>IF(($D$279-21)&lt;1,NA(),INDEX($D$27:$AD$27,($D$279-21)))</f>
        <v>0</v>
      </c>
      <c r="BW285" s="5">
        <f>IF(($D$279-20)&lt;1,NA(),INDEX($D$27:$AD$27,($D$279-20)))</f>
        <v>0</v>
      </c>
      <c r="BX285" s="5">
        <f>IF(($D$279-19)&lt;1,NA(),INDEX($D$27:$AD$27,($D$279-19)))</f>
        <v>0</v>
      </c>
      <c r="BY285" s="5">
        <f>IF(($D$279-18)&lt;1,NA(),INDEX($D$27:$AD$27,($D$279-18)))</f>
        <v>0</v>
      </c>
      <c r="BZ285" s="5">
        <f>IF(($D$279-17)&lt;1,NA(),INDEX($D$27:$AD$27,($D$279-17)))</f>
        <v>0</v>
      </c>
      <c r="CA285" s="5">
        <f>IF(($D$279-16)&lt;1,NA(),INDEX($D$27:$AD$27,($D$279-16)))</f>
        <v>0</v>
      </c>
      <c r="CB285" s="5">
        <f>IF(($D$279-15)&lt;1,NA(),INDEX($D$27:$AD$27,($D$279-15)))</f>
        <v>0</v>
      </c>
      <c r="CC285" s="5">
        <f>IF(($D$279-14)&lt;1,NA(),INDEX($D$27:$AD$27,($D$279-14)))</f>
        <v>0</v>
      </c>
      <c r="CD285" s="5">
        <f>IF(($D$279-13)&lt;1,NA(),INDEX($D$27:$AD$27,($D$279-13)))</f>
        <v>0</v>
      </c>
      <c r="CE285" s="5">
        <f>IF(($D$279-12)&lt;1,NA(),INDEX($D$27:$AD$27,($D$279-12)))</f>
        <v>0</v>
      </c>
      <c r="CF285" s="5">
        <f>IF(($D$279-11)&lt;1,NA(),INDEX($D$27:$AD$27,($D$279-11)))</f>
        <v>0</v>
      </c>
      <c r="CG285" s="5">
        <f>IF(($D$279-10)&lt;1,NA(),INDEX($D$27:$AD$27,($D$279-10)))</f>
        <v>0</v>
      </c>
      <c r="CH285" s="5">
        <f>IF(($D$279-9)&lt;1,NA(),INDEX($D$27:$AD$27,($D$279-9)))</f>
        <v>0</v>
      </c>
      <c r="CI285" s="5">
        <f>IF(($D$279-8)&lt;1,NA(),INDEX($D$27:$AD$27,($D$279-8)))</f>
        <v>0</v>
      </c>
      <c r="CJ285" s="5">
        <f>IF(($D$279-7)&lt;1,NA(),INDEX($D$27:$AD$27,($D$279-7)))</f>
        <v>0</v>
      </c>
      <c r="CK285" s="5">
        <f>IF(($D$279-6)&lt;1,NA(),INDEX($D$27:$AD$27,($D$279-6)))</f>
        <v>0</v>
      </c>
      <c r="CL285" s="5">
        <f>IF(($D$279-5)&lt;1,NA(),INDEX($D$27:$AD$27,($D$279-5)))</f>
        <v>0</v>
      </c>
      <c r="CM285" s="5">
        <f>IF(($D$279-4)&lt;1,NA(),INDEX($D$27:$AD$27,($D$279-4)))</f>
        <v>0</v>
      </c>
      <c r="CN285" s="5">
        <f>IF(($D$279-3)&lt;1,NA(),INDEX($D$27:$AD$27,($D$279-3)))</f>
        <v>0</v>
      </c>
      <c r="CO285" s="5">
        <f>IF(($D$279-2)&lt;1,NA(),INDEX($D$27:$AD$27,($D$279-2)))</f>
        <v>0</v>
      </c>
      <c r="CP285" s="5">
        <f>IF(($D$279-1)&lt;1,NA(),INDEX($D$27:$AD$27,($D$279-1)))</f>
        <v>0</v>
      </c>
      <c r="CQ285" s="5">
        <f>IF(($D$279-0)&lt;1,NA(),INDEX($D$27:$AD$27,($D$279-0)))</f>
        <v>0</v>
      </c>
    </row>
    <row r="286" spans="1:95">
      <c r="A286" s="11" t="s">
        <v>639</v>
      </c>
      <c r="B286" s="11" t="s">
        <v>640</v>
      </c>
      <c r="C286" s="3" t="s">
        <v>408</v>
      </c>
      <c r="BR286" s="5">
        <f>IF(($D$279-25)&lt;1,NA(),INDEX($D$153:$AD$153,($D$279-25)))</f>
        <v>0</v>
      </c>
      <c r="BS286" s="5">
        <f>IF(($D$279-24)&lt;1,NA(),INDEX($D$153:$AD$153,($D$279-24)))</f>
        <v>0</v>
      </c>
      <c r="BT286" s="5">
        <f>IF(($D$279-23)&lt;1,NA(),INDEX($D$153:$AD$153,($D$279-23)))</f>
        <v>0</v>
      </c>
      <c r="BU286" s="5">
        <f>IF(($D$279-22)&lt;1,NA(),INDEX($D$153:$AD$153,($D$279-22)))</f>
        <v>0</v>
      </c>
      <c r="BV286" s="5">
        <f>IF(($D$279-21)&lt;1,NA(),INDEX($D$153:$AD$153,($D$279-21)))</f>
        <v>0</v>
      </c>
      <c r="BW286" s="5">
        <f>IF(($D$279-20)&lt;1,NA(),INDEX($D$153:$AD$153,($D$279-20)))</f>
        <v>0</v>
      </c>
      <c r="BX286" s="5">
        <f>IF(($D$279-19)&lt;1,NA(),INDEX($D$153:$AD$153,($D$279-19)))</f>
        <v>0</v>
      </c>
      <c r="BY286" s="5">
        <f>IF(($D$279-18)&lt;1,NA(),INDEX($D$153:$AD$153,($D$279-18)))</f>
        <v>0</v>
      </c>
      <c r="BZ286" s="5">
        <f>IF(($D$279-17)&lt;1,NA(),INDEX($D$153:$AD$153,($D$279-17)))</f>
        <v>0</v>
      </c>
      <c r="CA286" s="5">
        <f>IF(($D$279-16)&lt;1,NA(),INDEX($D$153:$AD$153,($D$279-16)))</f>
        <v>0</v>
      </c>
      <c r="CB286" s="5">
        <f>IF(($D$279-15)&lt;1,NA(),INDEX($D$153:$AD$153,($D$279-15)))</f>
        <v>0</v>
      </c>
      <c r="CC286" s="5">
        <f>IF(($D$279-14)&lt;1,NA(),INDEX($D$153:$AD$153,($D$279-14)))</f>
        <v>0</v>
      </c>
      <c r="CD286" s="5">
        <f>IF(($D$279-13)&lt;1,NA(),INDEX($D$153:$AD$153,($D$279-13)))</f>
        <v>0</v>
      </c>
      <c r="CE286" s="5">
        <f>IF(($D$279-12)&lt;1,NA(),INDEX($D$153:$AD$153,($D$279-12)))</f>
        <v>0</v>
      </c>
      <c r="CF286" s="5">
        <f>IF(($D$279-11)&lt;1,NA(),INDEX($D$153:$AD$153,($D$279-11)))</f>
        <v>0</v>
      </c>
      <c r="CG286" s="5">
        <f>IF(($D$279-10)&lt;1,NA(),INDEX($D$153:$AD$153,($D$279-10)))</f>
        <v>0</v>
      </c>
      <c r="CH286" s="5">
        <f>IF(($D$279-9)&lt;1,NA(),INDEX($D$153:$AD$153,($D$279-9)))</f>
        <v>0</v>
      </c>
      <c r="CI286" s="5">
        <f>IF(($D$279-8)&lt;1,NA(),INDEX($D$153:$AD$153,($D$279-8)))</f>
        <v>0</v>
      </c>
      <c r="CJ286" s="5">
        <f>IF(($D$279-7)&lt;1,NA(),INDEX($D$153:$AD$153,($D$279-7)))</f>
        <v>0</v>
      </c>
      <c r="CK286" s="5">
        <f>IF(($D$279-6)&lt;1,NA(),INDEX($D$153:$AD$153,($D$279-6)))</f>
        <v>0</v>
      </c>
      <c r="CL286" s="5">
        <f>IF(($D$279-5)&lt;1,NA(),INDEX($D$153:$AD$153,($D$279-5)))</f>
        <v>0</v>
      </c>
      <c r="CM286" s="5">
        <f>IF(($D$279-4)&lt;1,NA(),INDEX($D$153:$AD$153,($D$279-4)))</f>
        <v>0</v>
      </c>
      <c r="CN286" s="5">
        <f>IF(($D$279-3)&lt;1,NA(),INDEX($D$153:$AD$153,($D$279-3)))</f>
        <v>0</v>
      </c>
      <c r="CO286" s="5">
        <f>IF(($D$279-2)&lt;1,NA(),INDEX($D$153:$AD$153,($D$279-2)))</f>
        <v>0</v>
      </c>
      <c r="CP286" s="5">
        <f>IF(($D$279-1)&lt;1,NA(),INDEX($D$153:$AD$153,($D$279-1)))</f>
        <v>0</v>
      </c>
      <c r="CQ286" s="5">
        <f>IF(($D$279-0)&lt;1,NA(),INDEX($D$153:$AD$153,($D$279-0)))</f>
        <v>0</v>
      </c>
    </row>
    <row r="287" spans="1:95">
      <c r="A287" s="11" t="s">
        <v>641</v>
      </c>
      <c r="B287" s="11" t="s">
        <v>642</v>
      </c>
      <c r="C287" s="3" t="s">
        <v>408</v>
      </c>
      <c r="BR287" s="11">
        <f>IF(($D$279-25)&lt;1,"",INDEX($D$152:$AD$152,($D$279-25)))</f>
        <v>0</v>
      </c>
      <c r="BS287" s="11">
        <f>IF(($D$279-24)&lt;1,"",INDEX($D$152:$AD$152,($D$279-24)))</f>
        <v>0</v>
      </c>
      <c r="BT287" s="11">
        <f>IF(($D$279-23)&lt;1,"",INDEX($D$152:$AD$152,($D$279-23)))</f>
        <v>0</v>
      </c>
      <c r="BU287" s="11">
        <f>IF(($D$279-22)&lt;1,"",INDEX($D$152:$AD$152,($D$279-22)))</f>
        <v>0</v>
      </c>
      <c r="BV287" s="11">
        <f>IF(($D$279-21)&lt;1,"",INDEX($D$152:$AD$152,($D$279-21)))</f>
        <v>0</v>
      </c>
      <c r="BW287" s="11">
        <f>IF(($D$279-20)&lt;1,"",INDEX($D$152:$AD$152,($D$279-20)))</f>
        <v>0</v>
      </c>
      <c r="BX287" s="11">
        <f>IF(($D$279-19)&lt;1,"",INDEX($D$152:$AD$152,($D$279-19)))</f>
        <v>0</v>
      </c>
      <c r="BY287" s="11">
        <f>IF(($D$279-18)&lt;1,"",INDEX($D$152:$AD$152,($D$279-18)))</f>
        <v>0</v>
      </c>
      <c r="BZ287" s="11">
        <f>IF(($D$279-17)&lt;1,"",INDEX($D$152:$AD$152,($D$279-17)))</f>
        <v>0</v>
      </c>
      <c r="CA287" s="11">
        <f>IF(($D$279-16)&lt;1,"",INDEX($D$152:$AD$152,($D$279-16)))</f>
        <v>0</v>
      </c>
      <c r="CB287" s="11">
        <f>IF(($D$279-15)&lt;1,"",INDEX($D$152:$AD$152,($D$279-15)))</f>
        <v>0</v>
      </c>
      <c r="CC287" s="11">
        <f>IF(($D$279-14)&lt;1,"",INDEX($D$152:$AD$152,($D$279-14)))</f>
        <v>0</v>
      </c>
      <c r="CD287" s="11">
        <f>IF(($D$279-13)&lt;1,"",INDEX($D$152:$AD$152,($D$279-13)))</f>
        <v>0</v>
      </c>
      <c r="CE287" s="11">
        <f>IF(($D$279-12)&lt;1,"",INDEX($D$152:$AD$152,($D$279-12)))</f>
        <v>0</v>
      </c>
      <c r="CF287" s="11">
        <f>IF(($D$279-11)&lt;1,"",INDEX($D$152:$AD$152,($D$279-11)))</f>
        <v>0</v>
      </c>
      <c r="CG287" s="11">
        <f>IF(($D$279-10)&lt;1,"",INDEX($D$152:$AD$152,($D$279-10)))</f>
        <v>0</v>
      </c>
      <c r="CH287" s="11">
        <f>IF(($D$279-9)&lt;1,"",INDEX($D$152:$AD$152,($D$279-9)))</f>
        <v>0</v>
      </c>
      <c r="CI287" s="11">
        <f>IF(($D$279-8)&lt;1,"",INDEX($D$152:$AD$152,($D$279-8)))</f>
        <v>0</v>
      </c>
      <c r="CJ287" s="11">
        <f>IF(($D$279-7)&lt;1,"",INDEX($D$152:$AD$152,($D$279-7)))</f>
        <v>0</v>
      </c>
      <c r="CK287" s="11">
        <f>IF(($D$279-6)&lt;1,"",INDEX($D$152:$AD$152,($D$279-6)))</f>
        <v>0</v>
      </c>
      <c r="CL287" s="11">
        <f>IF(($D$279-5)&lt;1,"",INDEX($D$152:$AD$152,($D$279-5)))</f>
        <v>0</v>
      </c>
      <c r="CM287" s="11">
        <f>IF(($D$279-4)&lt;1,"",INDEX($D$152:$AD$152,($D$279-4)))</f>
        <v>0</v>
      </c>
      <c r="CN287" s="11">
        <f>IF(($D$279-3)&lt;1,"",INDEX($D$152:$AD$152,($D$279-3)))</f>
        <v>0</v>
      </c>
      <c r="CO287" s="11">
        <f>IF(($D$279-2)&lt;1,"",INDEX($D$152:$AD$152,($D$279-2)))</f>
        <v>0</v>
      </c>
      <c r="CP287" s="11">
        <f>IF(($D$279-1)&lt;1,"",INDEX($D$152:$AD$152,($D$279-1)))</f>
        <v>0</v>
      </c>
      <c r="CQ287" s="11">
        <f>IF(($D$279-0)&lt;1,"",INDEX($D$152:$AD$152,($D$279-0)))</f>
        <v>0</v>
      </c>
    </row>
    <row r="288" spans="1:95">
      <c r="A288" s="11" t="s">
        <v>643</v>
      </c>
      <c r="B288" s="11" t="s">
        <v>644</v>
      </c>
      <c r="C288" s="3" t="s">
        <v>134</v>
      </c>
      <c r="D288" s="5">
        <v>10</v>
      </c>
    </row>
    <row r="289" spans="1:95">
      <c r="A289" s="11" t="s">
        <v>645</v>
      </c>
      <c r="B289" s="11" t="s">
        <v>646</v>
      </c>
      <c r="C289" s="3" t="s">
        <v>137</v>
      </c>
      <c r="D289" s="5">
        <f>IF(ISNUMBER(D30),D30/MAX(1,_xlfn.AGGREGATE(4,6,INDEX($D$30:$AD$30,MAX(1,$D$279+1-$D$288)):INDEX($D$30:$AD$30,$D$279)),_xlfn.AGGREGATE(4,6,INDEX($D$31:$AD$31,MAX(1,$D$279+1-$D$288)):INDEX($D$31:$AD$31,$D$279))),NA())</f>
        <v>0</v>
      </c>
      <c r="E289" s="5">
        <f>IF(ISNUMBER(E30),E30/MAX(1,_xlfn.AGGREGATE(4,6,INDEX($D$30:$AD$30,MAX(1,$D$279+1-$D$288)):INDEX($D$30:$AD$30,$D$279)),_xlfn.AGGREGATE(4,6,INDEX($D$31:$AD$31,MAX(1,$D$279+1-$D$288)):INDEX($D$31:$AD$31,$D$279))),NA())</f>
        <v>0</v>
      </c>
      <c r="F289" s="5">
        <f>IF(ISNUMBER(F30),F30/MAX(1,_xlfn.AGGREGATE(4,6,INDEX($D$30:$AD$30,MAX(1,$D$279+1-$D$288)):INDEX($D$30:$AD$30,$D$279)),_xlfn.AGGREGATE(4,6,INDEX($D$31:$AD$31,MAX(1,$D$279+1-$D$288)):INDEX($D$31:$AD$31,$D$279))),NA())</f>
        <v>0</v>
      </c>
      <c r="G289" s="5">
        <f>IF(ISNUMBER(G30),G30/MAX(1,_xlfn.AGGREGATE(4,6,INDEX($D$30:$AD$30,MAX(1,$D$279+1-$D$288)):INDEX($D$30:$AD$30,$D$279)),_xlfn.AGGREGATE(4,6,INDEX($D$31:$AD$31,MAX(1,$D$279+1-$D$288)):INDEX($D$31:$AD$31,$D$279))),NA())</f>
        <v>0</v>
      </c>
      <c r="H289" s="5">
        <f>IF(ISNUMBER(H30),H30/MAX(1,_xlfn.AGGREGATE(4,6,INDEX($D$30:$AD$30,MAX(1,$D$279+1-$D$288)):INDEX($D$30:$AD$30,$D$279)),_xlfn.AGGREGATE(4,6,INDEX($D$31:$AD$31,MAX(1,$D$279+1-$D$288)):INDEX($D$31:$AD$31,$D$279))),NA())</f>
        <v>0</v>
      </c>
      <c r="I289" s="5">
        <f>IF(ISNUMBER(I30),I30/MAX(1,_xlfn.AGGREGATE(4,6,INDEX($D$30:$AD$30,MAX(1,$D$279+1-$D$288)):INDEX($D$30:$AD$30,$D$279)),_xlfn.AGGREGATE(4,6,INDEX($D$31:$AD$31,MAX(1,$D$279+1-$D$288)):INDEX($D$31:$AD$31,$D$279))),NA())</f>
        <v>0</v>
      </c>
      <c r="J289" s="5">
        <f>IF(ISNUMBER(J30),J30/MAX(1,_xlfn.AGGREGATE(4,6,INDEX($D$30:$AD$30,MAX(1,$D$279+1-$D$288)):INDEX($D$30:$AD$30,$D$279)),_xlfn.AGGREGATE(4,6,INDEX($D$31:$AD$31,MAX(1,$D$279+1-$D$288)):INDEX($D$31:$AD$31,$D$279))),NA())</f>
        <v>0</v>
      </c>
      <c r="K289" s="5">
        <f>IF(ISNUMBER(K30),K30/MAX(1,_xlfn.AGGREGATE(4,6,INDEX($D$30:$AD$30,MAX(1,$D$279+1-$D$288)):INDEX($D$30:$AD$30,$D$279)),_xlfn.AGGREGATE(4,6,INDEX($D$31:$AD$31,MAX(1,$D$279+1-$D$288)):INDEX($D$31:$AD$31,$D$279))),NA())</f>
        <v>0</v>
      </c>
      <c r="L289" s="5">
        <f>IF(ISNUMBER(L30),L30/MAX(1,_xlfn.AGGREGATE(4,6,INDEX($D$30:$AD$30,MAX(1,$D$279+1-$D$288)):INDEX($D$30:$AD$30,$D$279)),_xlfn.AGGREGATE(4,6,INDEX($D$31:$AD$31,MAX(1,$D$279+1-$D$288)):INDEX($D$31:$AD$31,$D$279))),NA())</f>
        <v>0</v>
      </c>
      <c r="M289" s="5">
        <f>IF(ISNUMBER(M30),M30/MAX(1,_xlfn.AGGREGATE(4,6,INDEX($D$30:$AD$30,MAX(1,$D$279+1-$D$288)):INDEX($D$30:$AD$30,$D$279)),_xlfn.AGGREGATE(4,6,INDEX($D$31:$AD$31,MAX(1,$D$279+1-$D$288)):INDEX($D$31:$AD$31,$D$279))),NA())</f>
        <v>0</v>
      </c>
      <c r="N289" s="5">
        <f>IF(ISNUMBER(N30),N30/MAX(1,_xlfn.AGGREGATE(4,6,INDEX($D$30:$AD$30,MAX(1,$D$279+1-$D$288)):INDEX($D$30:$AD$30,$D$279)),_xlfn.AGGREGATE(4,6,INDEX($D$31:$AD$31,MAX(1,$D$279+1-$D$288)):INDEX($D$31:$AD$31,$D$279))),NA())</f>
        <v>0</v>
      </c>
      <c r="O289" s="5">
        <f>IF(ISNUMBER(O30),O30/MAX(1,_xlfn.AGGREGATE(4,6,INDEX($D$30:$AD$30,MAX(1,$D$279+1-$D$288)):INDEX($D$30:$AD$30,$D$279)),_xlfn.AGGREGATE(4,6,INDEX($D$31:$AD$31,MAX(1,$D$279+1-$D$288)):INDEX($D$31:$AD$31,$D$279))),NA())</f>
        <v>0</v>
      </c>
      <c r="P289" s="5">
        <f>IF(ISNUMBER(P30),P30/MAX(1,_xlfn.AGGREGATE(4,6,INDEX($D$30:$AD$30,MAX(1,$D$279+1-$D$288)):INDEX($D$30:$AD$30,$D$279)),_xlfn.AGGREGATE(4,6,INDEX($D$31:$AD$31,MAX(1,$D$279+1-$D$288)):INDEX($D$31:$AD$31,$D$279))),NA())</f>
        <v>0</v>
      </c>
      <c r="Q289" s="5">
        <f>IF(ISNUMBER(Q30),Q30/MAX(1,_xlfn.AGGREGATE(4,6,INDEX($D$30:$AD$30,MAX(1,$D$279+1-$D$288)):INDEX($D$30:$AD$30,$D$279)),_xlfn.AGGREGATE(4,6,INDEX($D$31:$AD$31,MAX(1,$D$279+1-$D$288)):INDEX($D$31:$AD$31,$D$279))),NA())</f>
        <v>0</v>
      </c>
      <c r="R289" s="5">
        <f>IF(ISNUMBER(R30),R30/MAX(1,_xlfn.AGGREGATE(4,6,INDEX($D$30:$AD$30,MAX(1,$D$279+1-$D$288)):INDEX($D$30:$AD$30,$D$279)),_xlfn.AGGREGATE(4,6,INDEX($D$31:$AD$31,MAX(1,$D$279+1-$D$288)):INDEX($D$31:$AD$31,$D$279))),NA())</f>
        <v>0</v>
      </c>
      <c r="S289" s="5">
        <f>IF(ISNUMBER(S30),S30/MAX(1,_xlfn.AGGREGATE(4,6,INDEX($D$30:$AD$30,MAX(1,$D$279+1-$D$288)):INDEX($D$30:$AD$30,$D$279)),_xlfn.AGGREGATE(4,6,INDEX($D$31:$AD$31,MAX(1,$D$279+1-$D$288)):INDEX($D$31:$AD$31,$D$279))),NA())</f>
        <v>0</v>
      </c>
      <c r="T289" s="5">
        <f>IF(ISNUMBER(T30),T30/MAX(1,_xlfn.AGGREGATE(4,6,INDEX($D$30:$AD$30,MAX(1,$D$279+1-$D$288)):INDEX($D$30:$AD$30,$D$279)),_xlfn.AGGREGATE(4,6,INDEX($D$31:$AD$31,MAX(1,$D$279+1-$D$288)):INDEX($D$31:$AD$31,$D$279))),NA())</f>
        <v>0</v>
      </c>
      <c r="U289" s="5">
        <f>IF(ISNUMBER(U30),U30/MAX(1,_xlfn.AGGREGATE(4,6,INDEX($D$30:$AD$30,MAX(1,$D$279+1-$D$288)):INDEX($D$30:$AD$30,$D$279)),_xlfn.AGGREGATE(4,6,INDEX($D$31:$AD$31,MAX(1,$D$279+1-$D$288)):INDEX($D$31:$AD$31,$D$279))),NA())</f>
        <v>0</v>
      </c>
      <c r="V289" s="5">
        <f>IF(ISNUMBER(V30),V30/MAX(1,_xlfn.AGGREGATE(4,6,INDEX($D$30:$AD$30,MAX(1,$D$279+1-$D$288)):INDEX($D$30:$AD$30,$D$279)),_xlfn.AGGREGATE(4,6,INDEX($D$31:$AD$31,MAX(1,$D$279+1-$D$288)):INDEX($D$31:$AD$31,$D$279))),NA())</f>
        <v>0</v>
      </c>
      <c r="W289" s="5">
        <f>IF(ISNUMBER(W30),W30/MAX(1,_xlfn.AGGREGATE(4,6,INDEX($D$30:$AD$30,MAX(1,$D$279+1-$D$288)):INDEX($D$30:$AD$30,$D$279)),_xlfn.AGGREGATE(4,6,INDEX($D$31:$AD$31,MAX(1,$D$279+1-$D$288)):INDEX($D$31:$AD$31,$D$279))),NA())</f>
        <v>0</v>
      </c>
      <c r="X289" s="5">
        <f>IF(ISNUMBER(X30),X30/MAX(1,_xlfn.AGGREGATE(4,6,INDEX($D$30:$AD$30,MAX(1,$D$279+1-$D$288)):INDEX($D$30:$AD$30,$D$279)),_xlfn.AGGREGATE(4,6,INDEX($D$31:$AD$31,MAX(1,$D$279+1-$D$288)):INDEX($D$31:$AD$31,$D$279))),NA())</f>
        <v>0</v>
      </c>
      <c r="Y289" s="5">
        <f>IF(ISNUMBER(Y30),Y30/MAX(1,_xlfn.AGGREGATE(4,6,INDEX($D$30:$AD$30,MAX(1,$D$279+1-$D$288)):INDEX($D$30:$AD$30,$D$279)),_xlfn.AGGREGATE(4,6,INDEX($D$31:$AD$31,MAX(1,$D$279+1-$D$288)):INDEX($D$31:$AD$31,$D$279))),NA())</f>
        <v>0</v>
      </c>
      <c r="Z289" s="5">
        <f>IF(ISNUMBER(Z30),Z30/MAX(1,_xlfn.AGGREGATE(4,6,INDEX($D$30:$AD$30,MAX(1,$D$279+1-$D$288)):INDEX($D$30:$AD$30,$D$279)),_xlfn.AGGREGATE(4,6,INDEX($D$31:$AD$31,MAX(1,$D$279+1-$D$288)):INDEX($D$31:$AD$31,$D$279))),NA())</f>
        <v>0</v>
      </c>
      <c r="AA289" s="5">
        <f>IF(ISNUMBER(AA30),AA30/MAX(1,_xlfn.AGGREGATE(4,6,INDEX($D$30:$AD$30,MAX(1,$D$279+1-$D$288)):INDEX($D$30:$AD$30,$D$279)),_xlfn.AGGREGATE(4,6,INDEX($D$31:$AD$31,MAX(1,$D$279+1-$D$288)):INDEX($D$31:$AD$31,$D$279))),NA())</f>
        <v>0</v>
      </c>
      <c r="AB289" s="5">
        <f>IF(ISNUMBER(AB30),AB30/MAX(1,_xlfn.AGGREGATE(4,6,INDEX($D$30:$AD$30,MAX(1,$D$279+1-$D$288)):INDEX($D$30:$AD$30,$D$279)),_xlfn.AGGREGATE(4,6,INDEX($D$31:$AD$31,MAX(1,$D$279+1-$D$288)):INDEX($D$31:$AD$31,$D$279))),NA())</f>
        <v>0</v>
      </c>
      <c r="AC289" s="5">
        <f>IF(ISNUMBER(AC30),AC30/MAX(1,_xlfn.AGGREGATE(4,6,INDEX($D$30:$AD$30,MAX(1,$D$279+1-$D$288)):INDEX($D$30:$AD$30,$D$279)),_xlfn.AGGREGATE(4,6,INDEX($D$31:$AD$31,MAX(1,$D$279+1-$D$288)):INDEX($D$31:$AD$31,$D$279))),NA())</f>
        <v>0</v>
      </c>
      <c r="AD289" s="5">
        <f>IF(ISNUMBER(AD30),AD30/MAX(1,_xlfn.AGGREGATE(4,6,INDEX($D$30:$AD$30,MAX(1,$D$279+1-$D$288)):INDEX($D$30:$AD$30,$D$279)),_xlfn.AGGREGATE(4,6,INDEX($D$31:$AD$31,MAX(1,$D$279+1-$D$288)):INDEX($D$31:$AD$31,$D$279))),NA())</f>
        <v>0</v>
      </c>
    </row>
    <row r="290" spans="1:95">
      <c r="A290" s="11" t="s">
        <v>647</v>
      </c>
      <c r="B290" s="11" t="s">
        <v>648</v>
      </c>
      <c r="C290" s="3" t="s">
        <v>137</v>
      </c>
      <c r="D290" s="11">
        <f>IF(ISNUMBER(D30),FIXED(D30,0)&amp;REPT(_xlfn.UNICHAR(160),3),"")</f>
        <v>0</v>
      </c>
      <c r="E290" s="11">
        <f>IF(ISNUMBER(E30),FIXED(E30,0)&amp;REPT(_xlfn.UNICHAR(160),3),"")</f>
        <v>0</v>
      </c>
      <c r="F290" s="11">
        <f>IF(ISNUMBER(F30),FIXED(F30,0)&amp;REPT(_xlfn.UNICHAR(160),3),"")</f>
        <v>0</v>
      </c>
      <c r="G290" s="11">
        <f>IF(ISNUMBER(G30),FIXED(G30,0)&amp;REPT(_xlfn.UNICHAR(160),3),"")</f>
        <v>0</v>
      </c>
      <c r="H290" s="11">
        <f>IF(ISNUMBER(H30),FIXED(H30,0)&amp;REPT(_xlfn.UNICHAR(160),3),"")</f>
        <v>0</v>
      </c>
      <c r="I290" s="11">
        <f>IF(ISNUMBER(I30),FIXED(I30,0)&amp;REPT(_xlfn.UNICHAR(160),3),"")</f>
        <v>0</v>
      </c>
      <c r="J290" s="11">
        <f>IF(ISNUMBER(J30),FIXED(J30,0)&amp;REPT(_xlfn.UNICHAR(160),3),"")</f>
        <v>0</v>
      </c>
      <c r="K290" s="11">
        <f>IF(ISNUMBER(K30),FIXED(K30,0)&amp;REPT(_xlfn.UNICHAR(160),3),"")</f>
        <v>0</v>
      </c>
      <c r="L290" s="11">
        <f>IF(ISNUMBER(L30),FIXED(L30,0)&amp;REPT(_xlfn.UNICHAR(160),3),"")</f>
        <v>0</v>
      </c>
      <c r="M290" s="11">
        <f>IF(ISNUMBER(M30),FIXED(M30,0)&amp;REPT(_xlfn.UNICHAR(160),3),"")</f>
        <v>0</v>
      </c>
      <c r="N290" s="11">
        <f>IF(ISNUMBER(N30),FIXED(N30,0)&amp;REPT(_xlfn.UNICHAR(160),3),"")</f>
        <v>0</v>
      </c>
      <c r="O290" s="11">
        <f>IF(ISNUMBER(O30),FIXED(O30,0)&amp;REPT(_xlfn.UNICHAR(160),3),"")</f>
        <v>0</v>
      </c>
      <c r="P290" s="11">
        <f>IF(ISNUMBER(P30),FIXED(P30,0)&amp;REPT(_xlfn.UNICHAR(160),3),"")</f>
        <v>0</v>
      </c>
      <c r="Q290" s="11">
        <f>IF(ISNUMBER(Q30),FIXED(Q30,0)&amp;REPT(_xlfn.UNICHAR(160),3),"")</f>
        <v>0</v>
      </c>
      <c r="R290" s="11">
        <f>IF(ISNUMBER(R30),FIXED(R30,0)&amp;REPT(_xlfn.UNICHAR(160),3),"")</f>
        <v>0</v>
      </c>
      <c r="S290" s="11">
        <f>IF(ISNUMBER(S30),FIXED(S30,0)&amp;REPT(_xlfn.UNICHAR(160),3),"")</f>
        <v>0</v>
      </c>
      <c r="T290" s="11">
        <f>IF(ISNUMBER(T30),FIXED(T30,0)&amp;REPT(_xlfn.UNICHAR(160),3),"")</f>
        <v>0</v>
      </c>
      <c r="U290" s="11">
        <f>IF(ISNUMBER(U30),FIXED(U30,0)&amp;REPT(_xlfn.UNICHAR(160),3),"")</f>
        <v>0</v>
      </c>
      <c r="V290" s="11">
        <f>IF(ISNUMBER(V30),FIXED(V30,0)&amp;REPT(_xlfn.UNICHAR(160),3),"")</f>
        <v>0</v>
      </c>
      <c r="W290" s="11">
        <f>IF(ISNUMBER(W30),FIXED(W30,0)&amp;REPT(_xlfn.UNICHAR(160),3),"")</f>
        <v>0</v>
      </c>
      <c r="X290" s="11">
        <f>IF(ISNUMBER(X30),FIXED(X30,0)&amp;REPT(_xlfn.UNICHAR(160),3),"")</f>
        <v>0</v>
      </c>
      <c r="Y290" s="11">
        <f>IF(ISNUMBER(Y30),FIXED(Y30,0)&amp;REPT(_xlfn.UNICHAR(160),3),"")</f>
        <v>0</v>
      </c>
      <c r="Z290" s="11">
        <f>IF(ISNUMBER(Z30),FIXED(Z30,0)&amp;REPT(_xlfn.UNICHAR(160),3),"")</f>
        <v>0</v>
      </c>
      <c r="AA290" s="11">
        <f>IF(ISNUMBER(AA30),FIXED(AA30,0)&amp;REPT(_xlfn.UNICHAR(160),3),"")</f>
        <v>0</v>
      </c>
      <c r="AB290" s="11">
        <f>IF(ISNUMBER(AB30),FIXED(AB30,0)&amp;REPT(_xlfn.UNICHAR(160),3),"")</f>
        <v>0</v>
      </c>
      <c r="AC290" s="11">
        <f>IF(ISNUMBER(AC30),FIXED(AC30,0)&amp;REPT(_xlfn.UNICHAR(160),3),"")</f>
        <v>0</v>
      </c>
      <c r="AD290" s="11">
        <f>IF(ISNUMBER(AD30),FIXED(AD30,0)&amp;REPT(_xlfn.UNICHAR(160),3),"")</f>
        <v>0</v>
      </c>
    </row>
    <row r="291" spans="1:95">
      <c r="A291" s="11" t="s">
        <v>649</v>
      </c>
      <c r="B291" s="11" t="s">
        <v>650</v>
      </c>
      <c r="C291" s="3" t="s">
        <v>137</v>
      </c>
      <c r="D291" s="5">
        <f>IF(ISNUMBER(D31),D31/MAX(1,_xlfn.AGGREGATE(4,6,INDEX($D$30:$AD$30,MAX(1,$D$279+1-$D$288)):INDEX($D$30:$AD$30,$D$279)),_xlfn.AGGREGATE(4,6,INDEX($D$31:$AD$31,MAX(1,$D$279+1-$D$288)):INDEX($D$31:$AD$31,$D$279))),NA())</f>
        <v>0</v>
      </c>
      <c r="E291" s="5">
        <f>IF(ISNUMBER(E31),E31/MAX(1,_xlfn.AGGREGATE(4,6,INDEX($D$30:$AD$30,MAX(1,$D$279+1-$D$288)):INDEX($D$30:$AD$30,$D$279)),_xlfn.AGGREGATE(4,6,INDEX($D$31:$AD$31,MAX(1,$D$279+1-$D$288)):INDEX($D$31:$AD$31,$D$279))),NA())</f>
        <v>0</v>
      </c>
      <c r="F291" s="5">
        <f>IF(ISNUMBER(F31),F31/MAX(1,_xlfn.AGGREGATE(4,6,INDEX($D$30:$AD$30,MAX(1,$D$279+1-$D$288)):INDEX($D$30:$AD$30,$D$279)),_xlfn.AGGREGATE(4,6,INDEX($D$31:$AD$31,MAX(1,$D$279+1-$D$288)):INDEX($D$31:$AD$31,$D$279))),NA())</f>
        <v>0</v>
      </c>
      <c r="G291" s="5">
        <f>IF(ISNUMBER(G31),G31/MAX(1,_xlfn.AGGREGATE(4,6,INDEX($D$30:$AD$30,MAX(1,$D$279+1-$D$288)):INDEX($D$30:$AD$30,$D$279)),_xlfn.AGGREGATE(4,6,INDEX($D$31:$AD$31,MAX(1,$D$279+1-$D$288)):INDEX($D$31:$AD$31,$D$279))),NA())</f>
        <v>0</v>
      </c>
      <c r="H291" s="5">
        <f>IF(ISNUMBER(H31),H31/MAX(1,_xlfn.AGGREGATE(4,6,INDEX($D$30:$AD$30,MAX(1,$D$279+1-$D$288)):INDEX($D$30:$AD$30,$D$279)),_xlfn.AGGREGATE(4,6,INDEX($D$31:$AD$31,MAX(1,$D$279+1-$D$288)):INDEX($D$31:$AD$31,$D$279))),NA())</f>
        <v>0</v>
      </c>
      <c r="I291" s="5">
        <f>IF(ISNUMBER(I31),I31/MAX(1,_xlfn.AGGREGATE(4,6,INDEX($D$30:$AD$30,MAX(1,$D$279+1-$D$288)):INDEX($D$30:$AD$30,$D$279)),_xlfn.AGGREGATE(4,6,INDEX($D$31:$AD$31,MAX(1,$D$279+1-$D$288)):INDEX($D$31:$AD$31,$D$279))),NA())</f>
        <v>0</v>
      </c>
      <c r="J291" s="5">
        <f>IF(ISNUMBER(J31),J31/MAX(1,_xlfn.AGGREGATE(4,6,INDEX($D$30:$AD$30,MAX(1,$D$279+1-$D$288)):INDEX($D$30:$AD$30,$D$279)),_xlfn.AGGREGATE(4,6,INDEX($D$31:$AD$31,MAX(1,$D$279+1-$D$288)):INDEX($D$31:$AD$31,$D$279))),NA())</f>
        <v>0</v>
      </c>
      <c r="K291" s="5">
        <f>IF(ISNUMBER(K31),K31/MAX(1,_xlfn.AGGREGATE(4,6,INDEX($D$30:$AD$30,MAX(1,$D$279+1-$D$288)):INDEX($D$30:$AD$30,$D$279)),_xlfn.AGGREGATE(4,6,INDEX($D$31:$AD$31,MAX(1,$D$279+1-$D$288)):INDEX($D$31:$AD$31,$D$279))),NA())</f>
        <v>0</v>
      </c>
      <c r="L291" s="5">
        <f>IF(ISNUMBER(L31),L31/MAX(1,_xlfn.AGGREGATE(4,6,INDEX($D$30:$AD$30,MAX(1,$D$279+1-$D$288)):INDEX($D$30:$AD$30,$D$279)),_xlfn.AGGREGATE(4,6,INDEX($D$31:$AD$31,MAX(1,$D$279+1-$D$288)):INDEX($D$31:$AD$31,$D$279))),NA())</f>
        <v>0</v>
      </c>
      <c r="M291" s="5">
        <f>IF(ISNUMBER(M31),M31/MAX(1,_xlfn.AGGREGATE(4,6,INDEX($D$30:$AD$30,MAX(1,$D$279+1-$D$288)):INDEX($D$30:$AD$30,$D$279)),_xlfn.AGGREGATE(4,6,INDEX($D$31:$AD$31,MAX(1,$D$279+1-$D$288)):INDEX($D$31:$AD$31,$D$279))),NA())</f>
        <v>0</v>
      </c>
      <c r="N291" s="5">
        <f>IF(ISNUMBER(N31),N31/MAX(1,_xlfn.AGGREGATE(4,6,INDEX($D$30:$AD$30,MAX(1,$D$279+1-$D$288)):INDEX($D$30:$AD$30,$D$279)),_xlfn.AGGREGATE(4,6,INDEX($D$31:$AD$31,MAX(1,$D$279+1-$D$288)):INDEX($D$31:$AD$31,$D$279))),NA())</f>
        <v>0</v>
      </c>
      <c r="O291" s="5">
        <f>IF(ISNUMBER(O31),O31/MAX(1,_xlfn.AGGREGATE(4,6,INDEX($D$30:$AD$30,MAX(1,$D$279+1-$D$288)):INDEX($D$30:$AD$30,$D$279)),_xlfn.AGGREGATE(4,6,INDEX($D$31:$AD$31,MAX(1,$D$279+1-$D$288)):INDEX($D$31:$AD$31,$D$279))),NA())</f>
        <v>0</v>
      </c>
      <c r="P291" s="5">
        <f>IF(ISNUMBER(P31),P31/MAX(1,_xlfn.AGGREGATE(4,6,INDEX($D$30:$AD$30,MAX(1,$D$279+1-$D$288)):INDEX($D$30:$AD$30,$D$279)),_xlfn.AGGREGATE(4,6,INDEX($D$31:$AD$31,MAX(1,$D$279+1-$D$288)):INDEX($D$31:$AD$31,$D$279))),NA())</f>
        <v>0</v>
      </c>
      <c r="Q291" s="5">
        <f>IF(ISNUMBER(Q31),Q31/MAX(1,_xlfn.AGGREGATE(4,6,INDEX($D$30:$AD$30,MAX(1,$D$279+1-$D$288)):INDEX($D$30:$AD$30,$D$279)),_xlfn.AGGREGATE(4,6,INDEX($D$31:$AD$31,MAX(1,$D$279+1-$D$288)):INDEX($D$31:$AD$31,$D$279))),NA())</f>
        <v>0</v>
      </c>
      <c r="R291" s="5">
        <f>IF(ISNUMBER(R31),R31/MAX(1,_xlfn.AGGREGATE(4,6,INDEX($D$30:$AD$30,MAX(1,$D$279+1-$D$288)):INDEX($D$30:$AD$30,$D$279)),_xlfn.AGGREGATE(4,6,INDEX($D$31:$AD$31,MAX(1,$D$279+1-$D$288)):INDEX($D$31:$AD$31,$D$279))),NA())</f>
        <v>0</v>
      </c>
      <c r="S291" s="5">
        <f>IF(ISNUMBER(S31),S31/MAX(1,_xlfn.AGGREGATE(4,6,INDEX($D$30:$AD$30,MAX(1,$D$279+1-$D$288)):INDEX($D$30:$AD$30,$D$279)),_xlfn.AGGREGATE(4,6,INDEX($D$31:$AD$31,MAX(1,$D$279+1-$D$288)):INDEX($D$31:$AD$31,$D$279))),NA())</f>
        <v>0</v>
      </c>
      <c r="T291" s="5">
        <f>IF(ISNUMBER(T31),T31/MAX(1,_xlfn.AGGREGATE(4,6,INDEX($D$30:$AD$30,MAX(1,$D$279+1-$D$288)):INDEX($D$30:$AD$30,$D$279)),_xlfn.AGGREGATE(4,6,INDEX($D$31:$AD$31,MAX(1,$D$279+1-$D$288)):INDEX($D$31:$AD$31,$D$279))),NA())</f>
        <v>0</v>
      </c>
      <c r="U291" s="5">
        <f>IF(ISNUMBER(U31),U31/MAX(1,_xlfn.AGGREGATE(4,6,INDEX($D$30:$AD$30,MAX(1,$D$279+1-$D$288)):INDEX($D$30:$AD$30,$D$279)),_xlfn.AGGREGATE(4,6,INDEX($D$31:$AD$31,MAX(1,$D$279+1-$D$288)):INDEX($D$31:$AD$31,$D$279))),NA())</f>
        <v>0</v>
      </c>
      <c r="V291" s="5">
        <f>IF(ISNUMBER(V31),V31/MAX(1,_xlfn.AGGREGATE(4,6,INDEX($D$30:$AD$30,MAX(1,$D$279+1-$D$288)):INDEX($D$30:$AD$30,$D$279)),_xlfn.AGGREGATE(4,6,INDEX($D$31:$AD$31,MAX(1,$D$279+1-$D$288)):INDEX($D$31:$AD$31,$D$279))),NA())</f>
        <v>0</v>
      </c>
      <c r="W291" s="5">
        <f>IF(ISNUMBER(W31),W31/MAX(1,_xlfn.AGGREGATE(4,6,INDEX($D$30:$AD$30,MAX(1,$D$279+1-$D$288)):INDEX($D$30:$AD$30,$D$279)),_xlfn.AGGREGATE(4,6,INDEX($D$31:$AD$31,MAX(1,$D$279+1-$D$288)):INDEX($D$31:$AD$31,$D$279))),NA())</f>
        <v>0</v>
      </c>
      <c r="X291" s="5">
        <f>IF(ISNUMBER(X31),X31/MAX(1,_xlfn.AGGREGATE(4,6,INDEX($D$30:$AD$30,MAX(1,$D$279+1-$D$288)):INDEX($D$30:$AD$30,$D$279)),_xlfn.AGGREGATE(4,6,INDEX($D$31:$AD$31,MAX(1,$D$279+1-$D$288)):INDEX($D$31:$AD$31,$D$279))),NA())</f>
        <v>0</v>
      </c>
      <c r="Y291" s="5">
        <f>IF(ISNUMBER(Y31),Y31/MAX(1,_xlfn.AGGREGATE(4,6,INDEX($D$30:$AD$30,MAX(1,$D$279+1-$D$288)):INDEX($D$30:$AD$30,$D$279)),_xlfn.AGGREGATE(4,6,INDEX($D$31:$AD$31,MAX(1,$D$279+1-$D$288)):INDEX($D$31:$AD$31,$D$279))),NA())</f>
        <v>0</v>
      </c>
      <c r="Z291" s="5">
        <f>IF(ISNUMBER(Z31),Z31/MAX(1,_xlfn.AGGREGATE(4,6,INDEX($D$30:$AD$30,MAX(1,$D$279+1-$D$288)):INDEX($D$30:$AD$30,$D$279)),_xlfn.AGGREGATE(4,6,INDEX($D$31:$AD$31,MAX(1,$D$279+1-$D$288)):INDEX($D$31:$AD$31,$D$279))),NA())</f>
        <v>0</v>
      </c>
      <c r="AA291" s="5">
        <f>IF(ISNUMBER(AA31),AA31/MAX(1,_xlfn.AGGREGATE(4,6,INDEX($D$30:$AD$30,MAX(1,$D$279+1-$D$288)):INDEX($D$30:$AD$30,$D$279)),_xlfn.AGGREGATE(4,6,INDEX($D$31:$AD$31,MAX(1,$D$279+1-$D$288)):INDEX($D$31:$AD$31,$D$279))),NA())</f>
        <v>0</v>
      </c>
      <c r="AB291" s="5">
        <f>IF(ISNUMBER(AB31),AB31/MAX(1,_xlfn.AGGREGATE(4,6,INDEX($D$30:$AD$30,MAX(1,$D$279+1-$D$288)):INDEX($D$30:$AD$30,$D$279)),_xlfn.AGGREGATE(4,6,INDEX($D$31:$AD$31,MAX(1,$D$279+1-$D$288)):INDEX($D$31:$AD$31,$D$279))),NA())</f>
        <v>0</v>
      </c>
      <c r="AC291" s="5">
        <f>IF(ISNUMBER(AC31),AC31/MAX(1,_xlfn.AGGREGATE(4,6,INDEX($D$30:$AD$30,MAX(1,$D$279+1-$D$288)):INDEX($D$30:$AD$30,$D$279)),_xlfn.AGGREGATE(4,6,INDEX($D$31:$AD$31,MAX(1,$D$279+1-$D$288)):INDEX($D$31:$AD$31,$D$279))),NA())</f>
        <v>0</v>
      </c>
      <c r="AD291" s="5">
        <f>IF(ISNUMBER(AD31),AD31/MAX(1,_xlfn.AGGREGATE(4,6,INDEX($D$30:$AD$30,MAX(1,$D$279+1-$D$288)):INDEX($D$30:$AD$30,$D$279)),_xlfn.AGGREGATE(4,6,INDEX($D$31:$AD$31,MAX(1,$D$279+1-$D$288)):INDEX($D$31:$AD$31,$D$279))),NA())</f>
        <v>0</v>
      </c>
    </row>
    <row r="292" spans="1:95">
      <c r="A292" s="11" t="s">
        <v>651</v>
      </c>
      <c r="B292" s="11" t="s">
        <v>652</v>
      </c>
      <c r="C292" s="3" t="s">
        <v>137</v>
      </c>
      <c r="D292" s="11">
        <f>IF(ISNUMBER(D31),REPT(_xlfn.UNICHAR(160),3)&amp;FIXED(D31,0),"")</f>
        <v>0</v>
      </c>
      <c r="E292" s="11">
        <f>IF(ISNUMBER(E31),REPT(_xlfn.UNICHAR(160),3)&amp;FIXED(E31,0),"")</f>
        <v>0</v>
      </c>
      <c r="F292" s="11">
        <f>IF(ISNUMBER(F31),REPT(_xlfn.UNICHAR(160),3)&amp;FIXED(F31,0),"")</f>
        <v>0</v>
      </c>
      <c r="G292" s="11">
        <f>IF(ISNUMBER(G31),REPT(_xlfn.UNICHAR(160),3)&amp;FIXED(G31,0),"")</f>
        <v>0</v>
      </c>
      <c r="H292" s="11">
        <f>IF(ISNUMBER(H31),REPT(_xlfn.UNICHAR(160),3)&amp;FIXED(H31,0),"")</f>
        <v>0</v>
      </c>
      <c r="I292" s="11">
        <f>IF(ISNUMBER(I31),REPT(_xlfn.UNICHAR(160),3)&amp;FIXED(I31,0),"")</f>
        <v>0</v>
      </c>
      <c r="J292" s="11">
        <f>IF(ISNUMBER(J31),REPT(_xlfn.UNICHAR(160),3)&amp;FIXED(J31,0),"")</f>
        <v>0</v>
      </c>
      <c r="K292" s="11">
        <f>IF(ISNUMBER(K31),REPT(_xlfn.UNICHAR(160),3)&amp;FIXED(K31,0),"")</f>
        <v>0</v>
      </c>
      <c r="L292" s="11">
        <f>IF(ISNUMBER(L31),REPT(_xlfn.UNICHAR(160),3)&amp;FIXED(L31,0),"")</f>
        <v>0</v>
      </c>
      <c r="M292" s="11">
        <f>IF(ISNUMBER(M31),REPT(_xlfn.UNICHAR(160),3)&amp;FIXED(M31,0),"")</f>
        <v>0</v>
      </c>
      <c r="N292" s="11">
        <f>IF(ISNUMBER(N31),REPT(_xlfn.UNICHAR(160),3)&amp;FIXED(N31,0),"")</f>
        <v>0</v>
      </c>
      <c r="O292" s="11">
        <f>IF(ISNUMBER(O31),REPT(_xlfn.UNICHAR(160),3)&amp;FIXED(O31,0),"")</f>
        <v>0</v>
      </c>
      <c r="P292" s="11">
        <f>IF(ISNUMBER(P31),REPT(_xlfn.UNICHAR(160),3)&amp;FIXED(P31,0),"")</f>
        <v>0</v>
      </c>
      <c r="Q292" s="11">
        <f>IF(ISNUMBER(Q31),REPT(_xlfn.UNICHAR(160),3)&amp;FIXED(Q31,0),"")</f>
        <v>0</v>
      </c>
      <c r="R292" s="11">
        <f>IF(ISNUMBER(R31),REPT(_xlfn.UNICHAR(160),3)&amp;FIXED(R31,0),"")</f>
        <v>0</v>
      </c>
      <c r="S292" s="11">
        <f>IF(ISNUMBER(S31),REPT(_xlfn.UNICHAR(160),3)&amp;FIXED(S31,0),"")</f>
        <v>0</v>
      </c>
      <c r="T292" s="11">
        <f>IF(ISNUMBER(T31),REPT(_xlfn.UNICHAR(160),3)&amp;FIXED(T31,0),"")</f>
        <v>0</v>
      </c>
      <c r="U292" s="11">
        <f>IF(ISNUMBER(U31),REPT(_xlfn.UNICHAR(160),3)&amp;FIXED(U31,0),"")</f>
        <v>0</v>
      </c>
      <c r="V292" s="11">
        <f>IF(ISNUMBER(V31),REPT(_xlfn.UNICHAR(160),3)&amp;FIXED(V31,0),"")</f>
        <v>0</v>
      </c>
      <c r="W292" s="11">
        <f>IF(ISNUMBER(W31),REPT(_xlfn.UNICHAR(160),3)&amp;FIXED(W31,0),"")</f>
        <v>0</v>
      </c>
      <c r="X292" s="11">
        <f>IF(ISNUMBER(X31),REPT(_xlfn.UNICHAR(160),3)&amp;FIXED(X31,0),"")</f>
        <v>0</v>
      </c>
      <c r="Y292" s="11">
        <f>IF(ISNUMBER(Y31),REPT(_xlfn.UNICHAR(160),3)&amp;FIXED(Y31,0),"")</f>
        <v>0</v>
      </c>
      <c r="Z292" s="11">
        <f>IF(ISNUMBER(Z31),REPT(_xlfn.UNICHAR(160),3)&amp;FIXED(Z31,0),"")</f>
        <v>0</v>
      </c>
      <c r="AA292" s="11">
        <f>IF(ISNUMBER(AA31),REPT(_xlfn.UNICHAR(160),3)&amp;FIXED(AA31,0),"")</f>
        <v>0</v>
      </c>
      <c r="AB292" s="11">
        <f>IF(ISNUMBER(AB31),REPT(_xlfn.UNICHAR(160),3)&amp;FIXED(AB31,0),"")</f>
        <v>0</v>
      </c>
      <c r="AC292" s="11">
        <f>IF(ISNUMBER(AC31),REPT(_xlfn.UNICHAR(160),3)&amp;FIXED(AC31,0),"")</f>
        <v>0</v>
      </c>
      <c r="AD292" s="11">
        <f>IF(ISNUMBER(AD31),REPT(_xlfn.UNICHAR(160),3)&amp;FIXED(AD31,0),"")</f>
        <v>0</v>
      </c>
    </row>
    <row r="293" spans="1:95">
      <c r="A293" s="11" t="s">
        <v>653</v>
      </c>
      <c r="B293" s="11" t="s">
        <v>654</v>
      </c>
      <c r="C293" s="3" t="s">
        <v>137</v>
      </c>
      <c r="D293" s="5">
        <f>IF(ISNUMBER(D30),IF(AND(D289&gt;=IFERROR(D291,-9),D289-IFERROR(D291,-9)&lt;0.28509),D291+0.28509,D289),NA())</f>
        <v>0</v>
      </c>
      <c r="E293" s="5">
        <f>IF(ISNUMBER(E30),IF(AND(E289&gt;=IFERROR(E291,-9),E289-IFERROR(E291,-9)&lt;0.28509),E291+0.28509,E289),NA())</f>
        <v>0</v>
      </c>
      <c r="F293" s="5">
        <f>IF(ISNUMBER(F30),IF(AND(F289&gt;=IFERROR(F291,-9),F289-IFERROR(F291,-9)&lt;0.28509),F291+0.28509,F289),NA())</f>
        <v>0</v>
      </c>
      <c r="G293" s="5">
        <f>IF(ISNUMBER(G30),IF(AND(G289&gt;=IFERROR(G291,-9),G289-IFERROR(G291,-9)&lt;0.28509),G291+0.28509,G289),NA())</f>
        <v>0</v>
      </c>
      <c r="H293" s="5">
        <f>IF(ISNUMBER(H30),IF(AND(H289&gt;=IFERROR(H291,-9),H289-IFERROR(H291,-9)&lt;0.28509),H291+0.28509,H289),NA())</f>
        <v>0</v>
      </c>
      <c r="I293" s="5">
        <f>IF(ISNUMBER(I30),IF(AND(I289&gt;=IFERROR(I291,-9),I289-IFERROR(I291,-9)&lt;0.28509),I291+0.28509,I289),NA())</f>
        <v>0</v>
      </c>
      <c r="J293" s="5">
        <f>IF(ISNUMBER(J30),IF(AND(J289&gt;=IFERROR(J291,-9),J289-IFERROR(J291,-9)&lt;0.28509),J291+0.28509,J289),NA())</f>
        <v>0</v>
      </c>
      <c r="K293" s="5">
        <f>IF(ISNUMBER(K30),IF(AND(K289&gt;=IFERROR(K291,-9),K289-IFERROR(K291,-9)&lt;0.28509),K291+0.28509,K289),NA())</f>
        <v>0</v>
      </c>
      <c r="L293" s="5">
        <f>IF(ISNUMBER(L30),IF(AND(L289&gt;=IFERROR(L291,-9),L289-IFERROR(L291,-9)&lt;0.28509),L291+0.28509,L289),NA())</f>
        <v>0</v>
      </c>
      <c r="M293" s="5">
        <f>IF(ISNUMBER(M30),IF(AND(M289&gt;=IFERROR(M291,-9),M289-IFERROR(M291,-9)&lt;0.28509),M291+0.28509,M289),NA())</f>
        <v>0</v>
      </c>
      <c r="N293" s="5">
        <f>IF(ISNUMBER(N30),IF(AND(N289&gt;=IFERROR(N291,-9),N289-IFERROR(N291,-9)&lt;0.28509),N291+0.28509,N289),NA())</f>
        <v>0</v>
      </c>
      <c r="O293" s="5">
        <f>IF(ISNUMBER(O30),IF(AND(O289&gt;=IFERROR(O291,-9),O289-IFERROR(O291,-9)&lt;0.28509),O291+0.28509,O289),NA())</f>
        <v>0</v>
      </c>
      <c r="P293" s="5">
        <f>IF(ISNUMBER(P30),IF(AND(P289&gt;=IFERROR(P291,-9),P289-IFERROR(P291,-9)&lt;0.28509),P291+0.28509,P289),NA())</f>
        <v>0</v>
      </c>
      <c r="Q293" s="5">
        <f>IF(ISNUMBER(Q30),IF(AND(Q289&gt;=IFERROR(Q291,-9),Q289-IFERROR(Q291,-9)&lt;0.28509),Q291+0.28509,Q289),NA())</f>
        <v>0</v>
      </c>
      <c r="R293" s="5">
        <f>IF(ISNUMBER(R30),IF(AND(R289&gt;=IFERROR(R291,-9),R289-IFERROR(R291,-9)&lt;0.28509),R291+0.28509,R289),NA())</f>
        <v>0</v>
      </c>
      <c r="S293" s="5">
        <f>IF(ISNUMBER(S30),IF(AND(S289&gt;=IFERROR(S291,-9),S289-IFERROR(S291,-9)&lt;0.28509),S291+0.28509,S289),NA())</f>
        <v>0</v>
      </c>
      <c r="T293" s="5">
        <f>IF(ISNUMBER(T30),IF(AND(T289&gt;=IFERROR(T291,-9),T289-IFERROR(T291,-9)&lt;0.28509),T291+0.28509,T289),NA())</f>
        <v>0</v>
      </c>
      <c r="U293" s="5">
        <f>IF(ISNUMBER(U30),IF(AND(U289&gt;=IFERROR(U291,-9),U289-IFERROR(U291,-9)&lt;0.28509),U291+0.28509,U289),NA())</f>
        <v>0</v>
      </c>
      <c r="V293" s="5">
        <f>IF(ISNUMBER(V30),IF(AND(V289&gt;=IFERROR(V291,-9),V289-IFERROR(V291,-9)&lt;0.28509),V291+0.28509,V289),NA())</f>
        <v>0</v>
      </c>
      <c r="W293" s="5">
        <f>IF(ISNUMBER(W30),IF(AND(W289&gt;=IFERROR(W291,-9),W289-IFERROR(W291,-9)&lt;0.28509),W291+0.28509,W289),NA())</f>
        <v>0</v>
      </c>
      <c r="X293" s="5">
        <f>IF(ISNUMBER(X30),IF(AND(X289&gt;=IFERROR(X291,-9),X289-IFERROR(X291,-9)&lt;0.28509),X291+0.28509,X289),NA())</f>
        <v>0</v>
      </c>
      <c r="Y293" s="5">
        <f>IF(ISNUMBER(Y30),IF(AND(Y289&gt;=IFERROR(Y291,-9),Y289-IFERROR(Y291,-9)&lt;0.28509),Y291+0.28509,Y289),NA())</f>
        <v>0</v>
      </c>
      <c r="Z293" s="5">
        <f>IF(ISNUMBER(Z30),IF(AND(Z289&gt;=IFERROR(Z291,-9),Z289-IFERROR(Z291,-9)&lt;0.28509),Z291+0.28509,Z289),NA())</f>
        <v>0</v>
      </c>
      <c r="AA293" s="5">
        <f>IF(ISNUMBER(AA30),IF(AND(AA289&gt;=IFERROR(AA291,-9),AA289-IFERROR(AA291,-9)&lt;0.28509),AA291+0.28509,AA289),NA())</f>
        <v>0</v>
      </c>
      <c r="AB293" s="5">
        <f>IF(ISNUMBER(AB30),IF(AND(AB289&gt;=IFERROR(AB291,-9),AB289-IFERROR(AB291,-9)&lt;0.28509),AB291+0.28509,AB289),NA())</f>
        <v>0</v>
      </c>
      <c r="AC293" s="5">
        <f>IF(ISNUMBER(AC30),IF(AND(AC289&gt;=IFERROR(AC291,-9),AC289-IFERROR(AC291,-9)&lt;0.28509),AC291+0.28509,AC289),NA())</f>
        <v>0</v>
      </c>
      <c r="AD293" s="5">
        <f>IF(ISNUMBER(AD30),IF(AND(AD289&gt;=IFERROR(AD291,-9),AD289-IFERROR(AD291,-9)&lt;0.28509),AD291+0.28509,AD289),NA())</f>
        <v>0</v>
      </c>
    </row>
    <row r="294" spans="1:95">
      <c r="A294" s="11" t="s">
        <v>655</v>
      </c>
      <c r="B294" s="11" t="s">
        <v>656</v>
      </c>
      <c r="C294" s="3" t="s">
        <v>137</v>
      </c>
      <c r="D294" s="5">
        <f>IF(ISNUMBER(D31),IF(AND(D291&gt;IFERROR(D289,-9),D291-IFERROR(D289,-9)&lt;0.28509),D289+0.28509,D291),NA())</f>
        <v>0</v>
      </c>
      <c r="E294" s="5">
        <f>IF(ISNUMBER(E31),IF(AND(E291&gt;IFERROR(E289,-9),E291-IFERROR(E289,-9)&lt;0.28509),E289+0.28509,E291),NA())</f>
        <v>0</v>
      </c>
      <c r="F294" s="5">
        <f>IF(ISNUMBER(F31),IF(AND(F291&gt;IFERROR(F289,-9),F291-IFERROR(F289,-9)&lt;0.28509),F289+0.28509,F291),NA())</f>
        <v>0</v>
      </c>
      <c r="G294" s="5">
        <f>IF(ISNUMBER(G31),IF(AND(G291&gt;IFERROR(G289,-9),G291-IFERROR(G289,-9)&lt;0.28509),G289+0.28509,G291),NA())</f>
        <v>0</v>
      </c>
      <c r="H294" s="5">
        <f>IF(ISNUMBER(H31),IF(AND(H291&gt;IFERROR(H289,-9),H291-IFERROR(H289,-9)&lt;0.28509),H289+0.28509,H291),NA())</f>
        <v>0</v>
      </c>
      <c r="I294" s="5">
        <f>IF(ISNUMBER(I31),IF(AND(I291&gt;IFERROR(I289,-9),I291-IFERROR(I289,-9)&lt;0.28509),I289+0.28509,I291),NA())</f>
        <v>0</v>
      </c>
      <c r="J294" s="5">
        <f>IF(ISNUMBER(J31),IF(AND(J291&gt;IFERROR(J289,-9),J291-IFERROR(J289,-9)&lt;0.28509),J289+0.28509,J291),NA())</f>
        <v>0</v>
      </c>
      <c r="K294" s="5">
        <f>IF(ISNUMBER(K31),IF(AND(K291&gt;IFERROR(K289,-9),K291-IFERROR(K289,-9)&lt;0.28509),K289+0.28509,K291),NA())</f>
        <v>0</v>
      </c>
      <c r="L294" s="5">
        <f>IF(ISNUMBER(L31),IF(AND(L291&gt;IFERROR(L289,-9),L291-IFERROR(L289,-9)&lt;0.28509),L289+0.28509,L291),NA())</f>
        <v>0</v>
      </c>
      <c r="M294" s="5">
        <f>IF(ISNUMBER(M31),IF(AND(M291&gt;IFERROR(M289,-9),M291-IFERROR(M289,-9)&lt;0.28509),M289+0.28509,M291),NA())</f>
        <v>0</v>
      </c>
      <c r="N294" s="5">
        <f>IF(ISNUMBER(N31),IF(AND(N291&gt;IFERROR(N289,-9),N291-IFERROR(N289,-9)&lt;0.28509),N289+0.28509,N291),NA())</f>
        <v>0</v>
      </c>
      <c r="O294" s="5">
        <f>IF(ISNUMBER(O31),IF(AND(O291&gt;IFERROR(O289,-9),O291-IFERROR(O289,-9)&lt;0.28509),O289+0.28509,O291),NA())</f>
        <v>0</v>
      </c>
      <c r="P294" s="5">
        <f>IF(ISNUMBER(P31),IF(AND(P291&gt;IFERROR(P289,-9),P291-IFERROR(P289,-9)&lt;0.28509),P289+0.28509,P291),NA())</f>
        <v>0</v>
      </c>
      <c r="Q294" s="5">
        <f>IF(ISNUMBER(Q31),IF(AND(Q291&gt;IFERROR(Q289,-9),Q291-IFERROR(Q289,-9)&lt;0.28509),Q289+0.28509,Q291),NA())</f>
        <v>0</v>
      </c>
      <c r="R294" s="5">
        <f>IF(ISNUMBER(R31),IF(AND(R291&gt;IFERROR(R289,-9),R291-IFERROR(R289,-9)&lt;0.28509),R289+0.28509,R291),NA())</f>
        <v>0</v>
      </c>
      <c r="S294" s="5">
        <f>IF(ISNUMBER(S31),IF(AND(S291&gt;IFERROR(S289,-9),S291-IFERROR(S289,-9)&lt;0.28509),S289+0.28509,S291),NA())</f>
        <v>0</v>
      </c>
      <c r="T294" s="5">
        <f>IF(ISNUMBER(T31),IF(AND(T291&gt;IFERROR(T289,-9),T291-IFERROR(T289,-9)&lt;0.28509),T289+0.28509,T291),NA())</f>
        <v>0</v>
      </c>
      <c r="U294" s="5">
        <f>IF(ISNUMBER(U31),IF(AND(U291&gt;IFERROR(U289,-9),U291-IFERROR(U289,-9)&lt;0.28509),U289+0.28509,U291),NA())</f>
        <v>0</v>
      </c>
      <c r="V294" s="5">
        <f>IF(ISNUMBER(V31),IF(AND(V291&gt;IFERROR(V289,-9),V291-IFERROR(V289,-9)&lt;0.28509),V289+0.28509,V291),NA())</f>
        <v>0</v>
      </c>
      <c r="W294" s="5">
        <f>IF(ISNUMBER(W31),IF(AND(W291&gt;IFERROR(W289,-9),W291-IFERROR(W289,-9)&lt;0.28509),W289+0.28509,W291),NA())</f>
        <v>0</v>
      </c>
      <c r="X294" s="5">
        <f>IF(ISNUMBER(X31),IF(AND(X291&gt;IFERROR(X289,-9),X291-IFERROR(X289,-9)&lt;0.28509),X289+0.28509,X291),NA())</f>
        <v>0</v>
      </c>
      <c r="Y294" s="5">
        <f>IF(ISNUMBER(Y31),IF(AND(Y291&gt;IFERROR(Y289,-9),Y291-IFERROR(Y289,-9)&lt;0.28509),Y289+0.28509,Y291),NA())</f>
        <v>0</v>
      </c>
      <c r="Z294" s="5">
        <f>IF(ISNUMBER(Z31),IF(AND(Z291&gt;IFERROR(Z289,-9),Z291-IFERROR(Z289,-9)&lt;0.28509),Z289+0.28509,Z291),NA())</f>
        <v>0</v>
      </c>
      <c r="AA294" s="5">
        <f>IF(ISNUMBER(AA31),IF(AND(AA291&gt;IFERROR(AA289,-9),AA291-IFERROR(AA289,-9)&lt;0.28509),AA289+0.28509,AA291),NA())</f>
        <v>0</v>
      </c>
      <c r="AB294" s="5">
        <f>IF(ISNUMBER(AB31),IF(AND(AB291&gt;IFERROR(AB289,-9),AB291-IFERROR(AB289,-9)&lt;0.28509),AB289+0.28509,AB291),NA())</f>
        <v>0</v>
      </c>
      <c r="AC294" s="5">
        <f>IF(ISNUMBER(AC31),IF(AND(AC291&gt;IFERROR(AC289,-9),AC291-IFERROR(AC289,-9)&lt;0.28509),AC289+0.28509,AC291),NA())</f>
        <v>0</v>
      </c>
      <c r="AD294" s="5">
        <f>IF(ISNUMBER(AD31),IF(AND(AD291&gt;IFERROR(AD289,-9),AD291-IFERROR(AD289,-9)&lt;0.28509),AD289+0.28509,AD291),NA())</f>
        <v>0</v>
      </c>
    </row>
    <row r="295" spans="1:95">
      <c r="A295" s="11" t="s">
        <v>657</v>
      </c>
      <c r="B295" s="11" t="s">
        <v>658</v>
      </c>
      <c r="C295" s="3" t="s">
        <v>134</v>
      </c>
      <c r="D295" s="5">
        <v>1</v>
      </c>
    </row>
    <row r="296" spans="1:95">
      <c r="A296" s="11" t="s">
        <v>659</v>
      </c>
      <c r="B296" s="11" t="s">
        <v>660</v>
      </c>
      <c r="C296" s="3" t="s">
        <v>137</v>
      </c>
      <c r="D296" s="5">
        <f>IF(AND($D$295=1,ISNUMBER(D30),ISNUMBER(D31)),IF((D30-D31)&gt;0,0.5,NA()),NA())</f>
        <v>0</v>
      </c>
      <c r="E296" s="5">
        <f>IF(AND($D$295=1,ISNUMBER(E30),ISNUMBER(E31)),IF((E30-E31)&gt;0,0.5,NA()),NA())</f>
        <v>0</v>
      </c>
      <c r="F296" s="5">
        <f>IF(AND($D$295=1,ISNUMBER(F30),ISNUMBER(F31)),IF((F30-F31)&gt;0,0.5,NA()),NA())</f>
        <v>0</v>
      </c>
      <c r="G296" s="5">
        <f>IF(AND($D$295=1,ISNUMBER(G30),ISNUMBER(G31)),IF((G30-G31)&gt;0,0.5,NA()),NA())</f>
        <v>0</v>
      </c>
      <c r="H296" s="5">
        <f>IF(AND($D$295=1,ISNUMBER(H30),ISNUMBER(H31)),IF((H30-H31)&gt;0,0.5,NA()),NA())</f>
        <v>0</v>
      </c>
      <c r="I296" s="5">
        <f>IF(AND($D$295=1,ISNUMBER(I30),ISNUMBER(I31)),IF((I30-I31)&gt;0,0.5,NA()),NA())</f>
        <v>0</v>
      </c>
      <c r="J296" s="5">
        <f>IF(AND($D$295=1,ISNUMBER(J30),ISNUMBER(J31)),IF((J30-J31)&gt;0,0.5,NA()),NA())</f>
        <v>0</v>
      </c>
      <c r="K296" s="5">
        <f>IF(AND($D$295=1,ISNUMBER(K30),ISNUMBER(K31)),IF((K30-K31)&gt;0,0.5,NA()),NA())</f>
        <v>0</v>
      </c>
      <c r="L296" s="5">
        <f>IF(AND($D$295=1,ISNUMBER(L30),ISNUMBER(L31)),IF((L30-L31)&gt;0,0.5,NA()),NA())</f>
        <v>0</v>
      </c>
      <c r="M296" s="5">
        <f>IF(AND($D$295=1,ISNUMBER(M30),ISNUMBER(M31)),IF((M30-M31)&gt;0,0.5,NA()),NA())</f>
        <v>0</v>
      </c>
      <c r="N296" s="5">
        <f>IF(AND($D$295=1,ISNUMBER(N30),ISNUMBER(N31)),IF((N30-N31)&gt;0,0.5,NA()),NA())</f>
        <v>0</v>
      </c>
      <c r="O296" s="5">
        <f>IF(AND($D$295=1,ISNUMBER(O30),ISNUMBER(O31)),IF((O30-O31)&gt;0,0.5,NA()),NA())</f>
        <v>0</v>
      </c>
      <c r="P296" s="5">
        <f>IF(AND($D$295=1,ISNUMBER(P30),ISNUMBER(P31)),IF((P30-P31)&gt;0,0.5,NA()),NA())</f>
        <v>0</v>
      </c>
      <c r="Q296" s="5">
        <f>IF(AND($D$295=1,ISNUMBER(Q30),ISNUMBER(Q31)),IF((Q30-Q31)&gt;0,0.5,NA()),NA())</f>
        <v>0</v>
      </c>
      <c r="R296" s="5">
        <f>IF(AND($D$295=1,ISNUMBER(R30),ISNUMBER(R31)),IF((R30-R31)&gt;0,0.5,NA()),NA())</f>
        <v>0</v>
      </c>
      <c r="S296" s="5">
        <f>IF(AND($D$295=1,ISNUMBER(S30),ISNUMBER(S31)),IF((S30-S31)&gt;0,0.5,NA()),NA())</f>
        <v>0</v>
      </c>
      <c r="T296" s="5">
        <f>IF(AND($D$295=1,ISNUMBER(T30),ISNUMBER(T31)),IF((T30-T31)&gt;0,0.5,NA()),NA())</f>
        <v>0</v>
      </c>
      <c r="U296" s="5">
        <f>IF(AND($D$295=1,ISNUMBER(U30),ISNUMBER(U31)),IF((U30-U31)&gt;0,0.5,NA()),NA())</f>
        <v>0</v>
      </c>
      <c r="V296" s="5">
        <f>IF(AND($D$295=1,ISNUMBER(V30),ISNUMBER(V31)),IF((V30-V31)&gt;0,0.5,NA()),NA())</f>
        <v>0</v>
      </c>
      <c r="W296" s="5">
        <f>IF(AND($D$295=1,ISNUMBER(W30),ISNUMBER(W31)),IF((W30-W31)&gt;0,0.5,NA()),NA())</f>
        <v>0</v>
      </c>
      <c r="X296" s="5">
        <f>IF(AND($D$295=1,ISNUMBER(X30),ISNUMBER(X31)),IF((X30-X31)&gt;0,0.5,NA()),NA())</f>
        <v>0</v>
      </c>
      <c r="Y296" s="5">
        <f>IF(AND($D$295=1,ISNUMBER(Y30),ISNUMBER(Y31)),IF((Y30-Y31)&gt;0,0.5,NA()),NA())</f>
        <v>0</v>
      </c>
      <c r="Z296" s="5">
        <f>IF(AND($D$295=1,ISNUMBER(Z30),ISNUMBER(Z31)),IF((Z30-Z31)&gt;0,0.5,NA()),NA())</f>
        <v>0</v>
      </c>
      <c r="AA296" s="5">
        <f>IF(AND($D$295=1,ISNUMBER(AA30),ISNUMBER(AA31)),IF((AA30-AA31)&gt;0,0.5,NA()),NA())</f>
        <v>0</v>
      </c>
      <c r="AB296" s="5">
        <f>IF(AND($D$295=1,ISNUMBER(AB30),ISNUMBER(AB31)),IF((AB30-AB31)&gt;0,0.5,NA()),NA())</f>
        <v>0</v>
      </c>
      <c r="AC296" s="5">
        <f>IF(AND($D$295=1,ISNUMBER(AC30),ISNUMBER(AC31)),IF((AC30-AC31)&gt;0,0.5,NA()),NA())</f>
        <v>0</v>
      </c>
      <c r="AD296" s="5">
        <f>IF(AND($D$295=1,ISNUMBER(AD30),ISNUMBER(AD31)),IF((AD30-AD31)&gt;0,0.5,NA()),NA())</f>
        <v>0</v>
      </c>
    </row>
    <row r="297" spans="1:95">
      <c r="A297" s="11" t="s">
        <v>661</v>
      </c>
      <c r="B297" s="11" t="s">
        <v>662</v>
      </c>
      <c r="C297" s="3" t="s">
        <v>137</v>
      </c>
      <c r="D297" s="5">
        <f>IF(AND($D$295=1,ISNUMBER(D30),ISNUMBER(D31)),IF((D30-D31)&lt;0,0.5,NA()),NA())</f>
        <v>0</v>
      </c>
      <c r="E297" s="5">
        <f>IF(AND($D$295=1,ISNUMBER(E30),ISNUMBER(E31)),IF((E30-E31)&lt;0,0.5,NA()),NA())</f>
        <v>0</v>
      </c>
      <c r="F297" s="5">
        <f>IF(AND($D$295=1,ISNUMBER(F30),ISNUMBER(F31)),IF((F30-F31)&lt;0,0.5,NA()),NA())</f>
        <v>0</v>
      </c>
      <c r="G297" s="5">
        <f>IF(AND($D$295=1,ISNUMBER(G30),ISNUMBER(G31)),IF((G30-G31)&lt;0,0.5,NA()),NA())</f>
        <v>0</v>
      </c>
      <c r="H297" s="5">
        <f>IF(AND($D$295=1,ISNUMBER(H30),ISNUMBER(H31)),IF((H30-H31)&lt;0,0.5,NA()),NA())</f>
        <v>0</v>
      </c>
      <c r="I297" s="5">
        <f>IF(AND($D$295=1,ISNUMBER(I30),ISNUMBER(I31)),IF((I30-I31)&lt;0,0.5,NA()),NA())</f>
        <v>0</v>
      </c>
      <c r="J297" s="5">
        <f>IF(AND($D$295=1,ISNUMBER(J30),ISNUMBER(J31)),IF((J30-J31)&lt;0,0.5,NA()),NA())</f>
        <v>0</v>
      </c>
      <c r="K297" s="5">
        <f>IF(AND($D$295=1,ISNUMBER(K30),ISNUMBER(K31)),IF((K30-K31)&lt;0,0.5,NA()),NA())</f>
        <v>0</v>
      </c>
      <c r="L297" s="5">
        <f>IF(AND($D$295=1,ISNUMBER(L30),ISNUMBER(L31)),IF((L30-L31)&lt;0,0.5,NA()),NA())</f>
        <v>0</v>
      </c>
      <c r="M297" s="5">
        <f>IF(AND($D$295=1,ISNUMBER(M30),ISNUMBER(M31)),IF((M30-M31)&lt;0,0.5,NA()),NA())</f>
        <v>0</v>
      </c>
      <c r="N297" s="5">
        <f>IF(AND($D$295=1,ISNUMBER(N30),ISNUMBER(N31)),IF((N30-N31)&lt;0,0.5,NA()),NA())</f>
        <v>0</v>
      </c>
      <c r="O297" s="5">
        <f>IF(AND($D$295=1,ISNUMBER(O30),ISNUMBER(O31)),IF((O30-O31)&lt;0,0.5,NA()),NA())</f>
        <v>0</v>
      </c>
      <c r="P297" s="5">
        <f>IF(AND($D$295=1,ISNUMBER(P30),ISNUMBER(P31)),IF((P30-P31)&lt;0,0.5,NA()),NA())</f>
        <v>0</v>
      </c>
      <c r="Q297" s="5">
        <f>IF(AND($D$295=1,ISNUMBER(Q30),ISNUMBER(Q31)),IF((Q30-Q31)&lt;0,0.5,NA()),NA())</f>
        <v>0</v>
      </c>
      <c r="R297" s="5">
        <f>IF(AND($D$295=1,ISNUMBER(R30),ISNUMBER(R31)),IF((R30-R31)&lt;0,0.5,NA()),NA())</f>
        <v>0</v>
      </c>
      <c r="S297" s="5">
        <f>IF(AND($D$295=1,ISNUMBER(S30),ISNUMBER(S31)),IF((S30-S31)&lt;0,0.5,NA()),NA())</f>
        <v>0</v>
      </c>
      <c r="T297" s="5">
        <f>IF(AND($D$295=1,ISNUMBER(T30),ISNUMBER(T31)),IF((T30-T31)&lt;0,0.5,NA()),NA())</f>
        <v>0</v>
      </c>
      <c r="U297" s="5">
        <f>IF(AND($D$295=1,ISNUMBER(U30),ISNUMBER(U31)),IF((U30-U31)&lt;0,0.5,NA()),NA())</f>
        <v>0</v>
      </c>
      <c r="V297" s="5">
        <f>IF(AND($D$295=1,ISNUMBER(V30),ISNUMBER(V31)),IF((V30-V31)&lt;0,0.5,NA()),NA())</f>
        <v>0</v>
      </c>
      <c r="W297" s="5">
        <f>IF(AND($D$295=1,ISNUMBER(W30),ISNUMBER(W31)),IF((W30-W31)&lt;0,0.5,NA()),NA())</f>
        <v>0</v>
      </c>
      <c r="X297" s="5">
        <f>IF(AND($D$295=1,ISNUMBER(X30),ISNUMBER(X31)),IF((X30-X31)&lt;0,0.5,NA()),NA())</f>
        <v>0</v>
      </c>
      <c r="Y297" s="5">
        <f>IF(AND($D$295=1,ISNUMBER(Y30),ISNUMBER(Y31)),IF((Y30-Y31)&lt;0,0.5,NA()),NA())</f>
        <v>0</v>
      </c>
      <c r="Z297" s="5">
        <f>IF(AND($D$295=1,ISNUMBER(Z30),ISNUMBER(Z31)),IF((Z30-Z31)&lt;0,0.5,NA()),NA())</f>
        <v>0</v>
      </c>
      <c r="AA297" s="5">
        <f>IF(AND($D$295=1,ISNUMBER(AA30),ISNUMBER(AA31)),IF((AA30-AA31)&lt;0,0.5,NA()),NA())</f>
        <v>0</v>
      </c>
      <c r="AB297" s="5">
        <f>IF(AND($D$295=1,ISNUMBER(AB30),ISNUMBER(AB31)),IF((AB30-AB31)&lt;0,0.5,NA()),NA())</f>
        <v>0</v>
      </c>
      <c r="AC297" s="5">
        <f>IF(AND($D$295=1,ISNUMBER(AC30),ISNUMBER(AC31)),IF((AC30-AC31)&lt;0,0.5,NA()),NA())</f>
        <v>0</v>
      </c>
      <c r="AD297" s="5">
        <f>IF(AND($D$295=1,ISNUMBER(AD30),ISNUMBER(AD31)),IF((AD30-AD31)&lt;0,0.5,NA()),NA())</f>
        <v>0</v>
      </c>
    </row>
    <row r="298" spans="1:95">
      <c r="A298" s="11" t="s">
        <v>663</v>
      </c>
      <c r="B298" s="11" t="s">
        <v>664</v>
      </c>
      <c r="C298" s="3" t="s">
        <v>137</v>
      </c>
      <c r="D298" s="5">
        <f>IF(AND($D$295=1,ISNUMBER(D30),ISNUMBER(D31)),IF((D30-D31)=0,0.5,NA()),NA())</f>
        <v>0</v>
      </c>
      <c r="E298" s="5">
        <f>IF(AND($D$295=1,ISNUMBER(E30),ISNUMBER(E31)),IF((E30-E31)=0,0.5,NA()),NA())</f>
        <v>0</v>
      </c>
      <c r="F298" s="5">
        <f>IF(AND($D$295=1,ISNUMBER(F30),ISNUMBER(F31)),IF((F30-F31)=0,0.5,NA()),NA())</f>
        <v>0</v>
      </c>
      <c r="G298" s="5">
        <f>IF(AND($D$295=1,ISNUMBER(G30),ISNUMBER(G31)),IF((G30-G31)=0,0.5,NA()),NA())</f>
        <v>0</v>
      </c>
      <c r="H298" s="5">
        <f>IF(AND($D$295=1,ISNUMBER(H30),ISNUMBER(H31)),IF((H30-H31)=0,0.5,NA()),NA())</f>
        <v>0</v>
      </c>
      <c r="I298" s="5">
        <f>IF(AND($D$295=1,ISNUMBER(I30),ISNUMBER(I31)),IF((I30-I31)=0,0.5,NA()),NA())</f>
        <v>0</v>
      </c>
      <c r="J298" s="5">
        <f>IF(AND($D$295=1,ISNUMBER(J30),ISNUMBER(J31)),IF((J30-J31)=0,0.5,NA()),NA())</f>
        <v>0</v>
      </c>
      <c r="K298" s="5">
        <f>IF(AND($D$295=1,ISNUMBER(K30),ISNUMBER(K31)),IF((K30-K31)=0,0.5,NA()),NA())</f>
        <v>0</v>
      </c>
      <c r="L298" s="5">
        <f>IF(AND($D$295=1,ISNUMBER(L30),ISNUMBER(L31)),IF((L30-L31)=0,0.5,NA()),NA())</f>
        <v>0</v>
      </c>
      <c r="M298" s="5">
        <f>IF(AND($D$295=1,ISNUMBER(M30),ISNUMBER(M31)),IF((M30-M31)=0,0.5,NA()),NA())</f>
        <v>0</v>
      </c>
      <c r="N298" s="5">
        <f>IF(AND($D$295=1,ISNUMBER(N30),ISNUMBER(N31)),IF((N30-N31)=0,0.5,NA()),NA())</f>
        <v>0</v>
      </c>
      <c r="O298" s="5">
        <f>IF(AND($D$295=1,ISNUMBER(O30),ISNUMBER(O31)),IF((O30-O31)=0,0.5,NA()),NA())</f>
        <v>0</v>
      </c>
      <c r="P298" s="5">
        <f>IF(AND($D$295=1,ISNUMBER(P30),ISNUMBER(P31)),IF((P30-P31)=0,0.5,NA()),NA())</f>
        <v>0</v>
      </c>
      <c r="Q298" s="5">
        <f>IF(AND($D$295=1,ISNUMBER(Q30),ISNUMBER(Q31)),IF((Q30-Q31)=0,0.5,NA()),NA())</f>
        <v>0</v>
      </c>
      <c r="R298" s="5">
        <f>IF(AND($D$295=1,ISNUMBER(R30),ISNUMBER(R31)),IF((R30-R31)=0,0.5,NA()),NA())</f>
        <v>0</v>
      </c>
      <c r="S298" s="5">
        <f>IF(AND($D$295=1,ISNUMBER(S30),ISNUMBER(S31)),IF((S30-S31)=0,0.5,NA()),NA())</f>
        <v>0</v>
      </c>
      <c r="T298" s="5">
        <f>IF(AND($D$295=1,ISNUMBER(T30),ISNUMBER(T31)),IF((T30-T31)=0,0.5,NA()),NA())</f>
        <v>0</v>
      </c>
      <c r="U298" s="5">
        <f>IF(AND($D$295=1,ISNUMBER(U30),ISNUMBER(U31)),IF((U30-U31)=0,0.5,NA()),NA())</f>
        <v>0</v>
      </c>
      <c r="V298" s="5">
        <f>IF(AND($D$295=1,ISNUMBER(V30),ISNUMBER(V31)),IF((V30-V31)=0,0.5,NA()),NA())</f>
        <v>0</v>
      </c>
      <c r="W298" s="5">
        <f>IF(AND($D$295=1,ISNUMBER(W30),ISNUMBER(W31)),IF((W30-W31)=0,0.5,NA()),NA())</f>
        <v>0</v>
      </c>
      <c r="X298" s="5">
        <f>IF(AND($D$295=1,ISNUMBER(X30),ISNUMBER(X31)),IF((X30-X31)=0,0.5,NA()),NA())</f>
        <v>0</v>
      </c>
      <c r="Y298" s="5">
        <f>IF(AND($D$295=1,ISNUMBER(Y30),ISNUMBER(Y31)),IF((Y30-Y31)=0,0.5,NA()),NA())</f>
        <v>0</v>
      </c>
      <c r="Z298" s="5">
        <f>IF(AND($D$295=1,ISNUMBER(Z30),ISNUMBER(Z31)),IF((Z30-Z31)=0,0.5,NA()),NA())</f>
        <v>0</v>
      </c>
      <c r="AA298" s="5">
        <f>IF(AND($D$295=1,ISNUMBER(AA30),ISNUMBER(AA31)),IF((AA30-AA31)=0,0.5,NA()),NA())</f>
        <v>0</v>
      </c>
      <c r="AB298" s="5">
        <f>IF(AND($D$295=1,ISNUMBER(AB30),ISNUMBER(AB31)),IF((AB30-AB31)=0,0.5,NA()),NA())</f>
        <v>0</v>
      </c>
      <c r="AC298" s="5">
        <f>IF(AND($D$295=1,ISNUMBER(AC30),ISNUMBER(AC31)),IF((AC30-AC31)=0,0.5,NA()),NA())</f>
        <v>0</v>
      </c>
      <c r="AD298" s="5">
        <f>IF(AND($D$295=1,ISNUMBER(AD30),ISNUMBER(AD31)),IF((AD30-AD31)=0,0.5,NA()),NA())</f>
        <v>0</v>
      </c>
    </row>
    <row r="299" spans="1:95">
      <c r="A299" s="11" t="s">
        <v>665</v>
      </c>
      <c r="B299" s="11" t="s">
        <v>666</v>
      </c>
      <c r="C299" s="3" t="s">
        <v>137</v>
      </c>
      <c r="D299" s="11">
        <f>IF(AND(ISNUMBER(D30),ISNUMBER(D31)),IF((D30-D31)&gt;0,"+"&amp;FIXED((D30-D31),0),IF((D30-D31)&lt;0,"−"&amp;FIXED(-(D30-D31),0),"±0")),"")</f>
        <v>0</v>
      </c>
      <c r="E299" s="11">
        <f>IF(AND(ISNUMBER(E30),ISNUMBER(E31)),IF((E30-E31)&gt;0,"+"&amp;FIXED((E30-E31),0),IF((E30-E31)&lt;0,"−"&amp;FIXED(-(E30-E31),0),"±0")),"")</f>
        <v>0</v>
      </c>
      <c r="F299" s="11">
        <f>IF(AND(ISNUMBER(F30),ISNUMBER(F31)),IF((F30-F31)&gt;0,"+"&amp;FIXED((F30-F31),0),IF((F30-F31)&lt;0,"−"&amp;FIXED(-(F30-F31),0),"±0")),"")</f>
        <v>0</v>
      </c>
      <c r="G299" s="11">
        <f>IF(AND(ISNUMBER(G30),ISNUMBER(G31)),IF((G30-G31)&gt;0,"+"&amp;FIXED((G30-G31),0),IF((G30-G31)&lt;0,"−"&amp;FIXED(-(G30-G31),0),"±0")),"")</f>
        <v>0</v>
      </c>
      <c r="H299" s="11">
        <f>IF(AND(ISNUMBER(H30),ISNUMBER(H31)),IF((H30-H31)&gt;0,"+"&amp;FIXED((H30-H31),0),IF((H30-H31)&lt;0,"−"&amp;FIXED(-(H30-H31),0),"±0")),"")</f>
        <v>0</v>
      </c>
      <c r="I299" s="11">
        <f>IF(AND(ISNUMBER(I30),ISNUMBER(I31)),IF((I30-I31)&gt;0,"+"&amp;FIXED((I30-I31),0),IF((I30-I31)&lt;0,"−"&amp;FIXED(-(I30-I31),0),"±0")),"")</f>
        <v>0</v>
      </c>
      <c r="J299" s="11">
        <f>IF(AND(ISNUMBER(J30),ISNUMBER(J31)),IF((J30-J31)&gt;0,"+"&amp;FIXED((J30-J31),0),IF((J30-J31)&lt;0,"−"&amp;FIXED(-(J30-J31),0),"±0")),"")</f>
        <v>0</v>
      </c>
      <c r="K299" s="11">
        <f>IF(AND(ISNUMBER(K30),ISNUMBER(K31)),IF((K30-K31)&gt;0,"+"&amp;FIXED((K30-K31),0),IF((K30-K31)&lt;0,"−"&amp;FIXED(-(K30-K31),0),"±0")),"")</f>
        <v>0</v>
      </c>
      <c r="L299" s="11">
        <f>IF(AND(ISNUMBER(L30),ISNUMBER(L31)),IF((L30-L31)&gt;0,"+"&amp;FIXED((L30-L31),0),IF((L30-L31)&lt;0,"−"&amp;FIXED(-(L30-L31),0),"±0")),"")</f>
        <v>0</v>
      </c>
      <c r="M299" s="11">
        <f>IF(AND(ISNUMBER(M30),ISNUMBER(M31)),IF((M30-M31)&gt;0,"+"&amp;FIXED((M30-M31),0),IF((M30-M31)&lt;0,"−"&amp;FIXED(-(M30-M31),0),"±0")),"")</f>
        <v>0</v>
      </c>
      <c r="N299" s="11">
        <f>IF(AND(ISNUMBER(N30),ISNUMBER(N31)),IF((N30-N31)&gt;0,"+"&amp;FIXED((N30-N31),0),IF((N30-N31)&lt;0,"−"&amp;FIXED(-(N30-N31),0),"±0")),"")</f>
        <v>0</v>
      </c>
      <c r="O299" s="11">
        <f>IF(AND(ISNUMBER(O30),ISNUMBER(O31)),IF((O30-O31)&gt;0,"+"&amp;FIXED((O30-O31),0),IF((O30-O31)&lt;0,"−"&amp;FIXED(-(O30-O31),0),"±0")),"")</f>
        <v>0</v>
      </c>
      <c r="P299" s="11">
        <f>IF(AND(ISNUMBER(P30),ISNUMBER(P31)),IF((P30-P31)&gt;0,"+"&amp;FIXED((P30-P31),0),IF((P30-P31)&lt;0,"−"&amp;FIXED(-(P30-P31),0),"±0")),"")</f>
        <v>0</v>
      </c>
      <c r="Q299" s="11">
        <f>IF(AND(ISNUMBER(Q30),ISNUMBER(Q31)),IF((Q30-Q31)&gt;0,"+"&amp;FIXED((Q30-Q31),0),IF((Q30-Q31)&lt;0,"−"&amp;FIXED(-(Q30-Q31),0),"±0")),"")</f>
        <v>0</v>
      </c>
      <c r="R299" s="11">
        <f>IF(AND(ISNUMBER(R30),ISNUMBER(R31)),IF((R30-R31)&gt;0,"+"&amp;FIXED((R30-R31),0),IF((R30-R31)&lt;0,"−"&amp;FIXED(-(R30-R31),0),"±0")),"")</f>
        <v>0</v>
      </c>
      <c r="S299" s="11">
        <f>IF(AND(ISNUMBER(S30),ISNUMBER(S31)),IF((S30-S31)&gt;0,"+"&amp;FIXED((S30-S31),0),IF((S30-S31)&lt;0,"−"&amp;FIXED(-(S30-S31),0),"±0")),"")</f>
        <v>0</v>
      </c>
      <c r="T299" s="11">
        <f>IF(AND(ISNUMBER(T30),ISNUMBER(T31)),IF((T30-T31)&gt;0,"+"&amp;FIXED((T30-T31),0),IF((T30-T31)&lt;0,"−"&amp;FIXED(-(T30-T31),0),"±0")),"")</f>
        <v>0</v>
      </c>
      <c r="U299" s="11">
        <f>IF(AND(ISNUMBER(U30),ISNUMBER(U31)),IF((U30-U31)&gt;0,"+"&amp;FIXED((U30-U31),0),IF((U30-U31)&lt;0,"−"&amp;FIXED(-(U30-U31),0),"±0")),"")</f>
        <v>0</v>
      </c>
      <c r="V299" s="11">
        <f>IF(AND(ISNUMBER(V30),ISNUMBER(V31)),IF((V30-V31)&gt;0,"+"&amp;FIXED((V30-V31),0),IF((V30-V31)&lt;0,"−"&amp;FIXED(-(V30-V31),0),"±0")),"")</f>
        <v>0</v>
      </c>
      <c r="W299" s="11">
        <f>IF(AND(ISNUMBER(W30),ISNUMBER(W31)),IF((W30-W31)&gt;0,"+"&amp;FIXED((W30-W31),0),IF((W30-W31)&lt;0,"−"&amp;FIXED(-(W30-W31),0),"±0")),"")</f>
        <v>0</v>
      </c>
      <c r="X299" s="11">
        <f>IF(AND(ISNUMBER(X30),ISNUMBER(X31)),IF((X30-X31)&gt;0,"+"&amp;FIXED((X30-X31),0),IF((X30-X31)&lt;0,"−"&amp;FIXED(-(X30-X31),0),"±0")),"")</f>
        <v>0</v>
      </c>
      <c r="Y299" s="11">
        <f>IF(AND(ISNUMBER(Y30),ISNUMBER(Y31)),IF((Y30-Y31)&gt;0,"+"&amp;FIXED((Y30-Y31),0),IF((Y30-Y31)&lt;0,"−"&amp;FIXED(-(Y30-Y31),0),"±0")),"")</f>
        <v>0</v>
      </c>
      <c r="Z299" s="11">
        <f>IF(AND(ISNUMBER(Z30),ISNUMBER(Z31)),IF((Z30-Z31)&gt;0,"+"&amp;FIXED((Z30-Z31),0),IF((Z30-Z31)&lt;0,"−"&amp;FIXED(-(Z30-Z31),0),"±0")),"")</f>
        <v>0</v>
      </c>
      <c r="AA299" s="11">
        <f>IF(AND(ISNUMBER(AA30),ISNUMBER(AA31)),IF((AA30-AA31)&gt;0,"+"&amp;FIXED((AA30-AA31),0),IF((AA30-AA31)&lt;0,"−"&amp;FIXED(-(AA30-AA31),0),"±0")),"")</f>
        <v>0</v>
      </c>
      <c r="AB299" s="11">
        <f>IF(AND(ISNUMBER(AB30),ISNUMBER(AB31)),IF((AB30-AB31)&gt;0,"+"&amp;FIXED((AB30-AB31),0),IF((AB30-AB31)&lt;0,"−"&amp;FIXED(-(AB30-AB31),0),"±0")),"")</f>
        <v>0</v>
      </c>
      <c r="AC299" s="11">
        <f>IF(AND(ISNUMBER(AC30),ISNUMBER(AC31)),IF((AC30-AC31)&gt;0,"+"&amp;FIXED((AC30-AC31),0),IF((AC30-AC31)&lt;0,"−"&amp;FIXED(-(AC30-AC31),0),"±0")),"")</f>
        <v>0</v>
      </c>
      <c r="AD299" s="11">
        <f>IF(AND(ISNUMBER(AD30),ISNUMBER(AD31)),IF((AD30-AD31)&gt;0,"+"&amp;FIXED((AD30-AD31),0),IF((AD30-AD31)&lt;0,"−"&amp;FIXED(-(AD30-AD31),0),"±0")),"")</f>
        <v>0</v>
      </c>
    </row>
    <row r="300" spans="1:95">
      <c r="A300" s="11" t="s">
        <v>667</v>
      </c>
      <c r="B300" s="11" t="s">
        <v>668</v>
      </c>
      <c r="C300" s="3" t="s">
        <v>408</v>
      </c>
      <c r="BR300" s="5">
        <f>IF(($D$279-25)&lt;1,NA(),INDEX($D$289:$AD$289,($D$279-25)))</f>
        <v>0</v>
      </c>
      <c r="BS300" s="5">
        <f>IF(($D$279-24)&lt;1,NA(),INDEX($D$289:$AD$289,($D$279-24)))</f>
        <v>0</v>
      </c>
      <c r="BT300" s="5">
        <f>IF(($D$279-23)&lt;1,NA(),INDEX($D$289:$AD$289,($D$279-23)))</f>
        <v>0</v>
      </c>
      <c r="BU300" s="5">
        <f>IF(($D$279-22)&lt;1,NA(),INDEX($D$289:$AD$289,($D$279-22)))</f>
        <v>0</v>
      </c>
      <c r="BV300" s="5">
        <f>IF(($D$279-21)&lt;1,NA(),INDEX($D$289:$AD$289,($D$279-21)))</f>
        <v>0</v>
      </c>
      <c r="BW300" s="5">
        <f>IF(($D$279-20)&lt;1,NA(),INDEX($D$289:$AD$289,($D$279-20)))</f>
        <v>0</v>
      </c>
      <c r="BX300" s="5">
        <f>IF(($D$279-19)&lt;1,NA(),INDEX($D$289:$AD$289,($D$279-19)))</f>
        <v>0</v>
      </c>
      <c r="BY300" s="5">
        <f>IF(($D$279-18)&lt;1,NA(),INDEX($D$289:$AD$289,($D$279-18)))</f>
        <v>0</v>
      </c>
      <c r="BZ300" s="5">
        <f>IF(($D$279-17)&lt;1,NA(),INDEX($D$289:$AD$289,($D$279-17)))</f>
        <v>0</v>
      </c>
      <c r="CA300" s="5">
        <f>IF(($D$279-16)&lt;1,NA(),INDEX($D$289:$AD$289,($D$279-16)))</f>
        <v>0</v>
      </c>
      <c r="CB300" s="5">
        <f>IF(($D$279-15)&lt;1,NA(),INDEX($D$289:$AD$289,($D$279-15)))</f>
        <v>0</v>
      </c>
      <c r="CC300" s="5">
        <f>IF(($D$279-14)&lt;1,NA(),INDEX($D$289:$AD$289,($D$279-14)))</f>
        <v>0</v>
      </c>
      <c r="CD300" s="5">
        <f>IF(($D$279-13)&lt;1,NA(),INDEX($D$289:$AD$289,($D$279-13)))</f>
        <v>0</v>
      </c>
      <c r="CE300" s="5">
        <f>IF(($D$279-12)&lt;1,NA(),INDEX($D$289:$AD$289,($D$279-12)))</f>
        <v>0</v>
      </c>
      <c r="CF300" s="5">
        <f>IF(($D$279-11)&lt;1,NA(),INDEX($D$289:$AD$289,($D$279-11)))</f>
        <v>0</v>
      </c>
      <c r="CG300" s="5">
        <f>IF(($D$279-10)&lt;1,NA(),INDEX($D$289:$AD$289,($D$279-10)))</f>
        <v>0</v>
      </c>
      <c r="CH300" s="5">
        <f>IF(($D$279-9)&lt;1,NA(),INDEX($D$289:$AD$289,($D$279-9)))</f>
        <v>0</v>
      </c>
      <c r="CI300" s="5">
        <f>IF(($D$279-8)&lt;1,NA(),INDEX($D$289:$AD$289,($D$279-8)))</f>
        <v>0</v>
      </c>
      <c r="CJ300" s="5">
        <f>IF(($D$279-7)&lt;1,NA(),INDEX($D$289:$AD$289,($D$279-7)))</f>
        <v>0</v>
      </c>
      <c r="CK300" s="5">
        <f>IF(($D$279-6)&lt;1,NA(),INDEX($D$289:$AD$289,($D$279-6)))</f>
        <v>0</v>
      </c>
      <c r="CL300" s="5">
        <f>IF(($D$279-5)&lt;1,NA(),INDEX($D$289:$AD$289,($D$279-5)))</f>
        <v>0</v>
      </c>
      <c r="CM300" s="5">
        <f>IF(($D$279-4)&lt;1,NA(),INDEX($D$289:$AD$289,($D$279-4)))</f>
        <v>0</v>
      </c>
      <c r="CN300" s="5">
        <f>IF(($D$279-3)&lt;1,NA(),INDEX($D$289:$AD$289,($D$279-3)))</f>
        <v>0</v>
      </c>
      <c r="CO300" s="5">
        <f>IF(($D$279-2)&lt;1,NA(),INDEX($D$289:$AD$289,($D$279-2)))</f>
        <v>0</v>
      </c>
      <c r="CP300" s="5">
        <f>IF(($D$279-1)&lt;1,NA(),INDEX($D$289:$AD$289,($D$279-1)))</f>
        <v>0</v>
      </c>
      <c r="CQ300" s="5">
        <f>IF(($D$279-0)&lt;1,NA(),INDEX($D$289:$AD$289,($D$279-0)))</f>
        <v>0</v>
      </c>
    </row>
    <row r="301" spans="1:95">
      <c r="A301" s="11" t="s">
        <v>669</v>
      </c>
      <c r="B301" s="11" t="s">
        <v>670</v>
      </c>
      <c r="C301" s="3" t="s">
        <v>408</v>
      </c>
      <c r="BR301" s="5">
        <f>IF(($D$279-25)&lt;1,NA(),INDEX($D$291:$AD$291,($D$279-25)))</f>
        <v>0</v>
      </c>
      <c r="BS301" s="5">
        <f>IF(($D$279-24)&lt;1,NA(),INDEX($D$291:$AD$291,($D$279-24)))</f>
        <v>0</v>
      </c>
      <c r="BT301" s="5">
        <f>IF(($D$279-23)&lt;1,NA(),INDEX($D$291:$AD$291,($D$279-23)))</f>
        <v>0</v>
      </c>
      <c r="BU301" s="5">
        <f>IF(($D$279-22)&lt;1,NA(),INDEX($D$291:$AD$291,($D$279-22)))</f>
        <v>0</v>
      </c>
      <c r="BV301" s="5">
        <f>IF(($D$279-21)&lt;1,NA(),INDEX($D$291:$AD$291,($D$279-21)))</f>
        <v>0</v>
      </c>
      <c r="BW301" s="5">
        <f>IF(($D$279-20)&lt;1,NA(),INDEX($D$291:$AD$291,($D$279-20)))</f>
        <v>0</v>
      </c>
      <c r="BX301" s="5">
        <f>IF(($D$279-19)&lt;1,NA(),INDEX($D$291:$AD$291,($D$279-19)))</f>
        <v>0</v>
      </c>
      <c r="BY301" s="5">
        <f>IF(($D$279-18)&lt;1,NA(),INDEX($D$291:$AD$291,($D$279-18)))</f>
        <v>0</v>
      </c>
      <c r="BZ301" s="5">
        <f>IF(($D$279-17)&lt;1,NA(),INDEX($D$291:$AD$291,($D$279-17)))</f>
        <v>0</v>
      </c>
      <c r="CA301" s="5">
        <f>IF(($D$279-16)&lt;1,NA(),INDEX($D$291:$AD$291,($D$279-16)))</f>
        <v>0</v>
      </c>
      <c r="CB301" s="5">
        <f>IF(($D$279-15)&lt;1,NA(),INDEX($D$291:$AD$291,($D$279-15)))</f>
        <v>0</v>
      </c>
      <c r="CC301" s="5">
        <f>IF(($D$279-14)&lt;1,NA(),INDEX($D$291:$AD$291,($D$279-14)))</f>
        <v>0</v>
      </c>
      <c r="CD301" s="5">
        <f>IF(($D$279-13)&lt;1,NA(),INDEX($D$291:$AD$291,($D$279-13)))</f>
        <v>0</v>
      </c>
      <c r="CE301" s="5">
        <f>IF(($D$279-12)&lt;1,NA(),INDEX($D$291:$AD$291,($D$279-12)))</f>
        <v>0</v>
      </c>
      <c r="CF301" s="5">
        <f>IF(($D$279-11)&lt;1,NA(),INDEX($D$291:$AD$291,($D$279-11)))</f>
        <v>0</v>
      </c>
      <c r="CG301" s="5">
        <f>IF(($D$279-10)&lt;1,NA(),INDEX($D$291:$AD$291,($D$279-10)))</f>
        <v>0</v>
      </c>
      <c r="CH301" s="5">
        <f>IF(($D$279-9)&lt;1,NA(),INDEX($D$291:$AD$291,($D$279-9)))</f>
        <v>0</v>
      </c>
      <c r="CI301" s="5">
        <f>IF(($D$279-8)&lt;1,NA(),INDEX($D$291:$AD$291,($D$279-8)))</f>
        <v>0</v>
      </c>
      <c r="CJ301" s="5">
        <f>IF(($D$279-7)&lt;1,NA(),INDEX($D$291:$AD$291,($D$279-7)))</f>
        <v>0</v>
      </c>
      <c r="CK301" s="5">
        <f>IF(($D$279-6)&lt;1,NA(),INDEX($D$291:$AD$291,($D$279-6)))</f>
        <v>0</v>
      </c>
      <c r="CL301" s="5">
        <f>IF(($D$279-5)&lt;1,NA(),INDEX($D$291:$AD$291,($D$279-5)))</f>
        <v>0</v>
      </c>
      <c r="CM301" s="5">
        <f>IF(($D$279-4)&lt;1,NA(),INDEX($D$291:$AD$291,($D$279-4)))</f>
        <v>0</v>
      </c>
      <c r="CN301" s="5">
        <f>IF(($D$279-3)&lt;1,NA(),INDEX($D$291:$AD$291,($D$279-3)))</f>
        <v>0</v>
      </c>
      <c r="CO301" s="5">
        <f>IF(($D$279-2)&lt;1,NA(),INDEX($D$291:$AD$291,($D$279-2)))</f>
        <v>0</v>
      </c>
      <c r="CP301" s="5">
        <f>IF(($D$279-1)&lt;1,NA(),INDEX($D$291:$AD$291,($D$279-1)))</f>
        <v>0</v>
      </c>
      <c r="CQ301" s="5">
        <f>IF(($D$279-0)&lt;1,NA(),INDEX($D$291:$AD$291,($D$279-0)))</f>
        <v>0</v>
      </c>
    </row>
    <row r="302" spans="1:95">
      <c r="A302" s="11" t="s">
        <v>671</v>
      </c>
      <c r="B302" s="11" t="s">
        <v>672</v>
      </c>
      <c r="C302" s="3" t="s">
        <v>408</v>
      </c>
      <c r="BR302" s="5">
        <f>IF(($D$279-25)&lt;1,NA(),INDEX($D$293:$AD$293,($D$279-25)))</f>
        <v>0</v>
      </c>
      <c r="BS302" s="5">
        <f>IF(($D$279-24)&lt;1,NA(),INDEX($D$293:$AD$293,($D$279-24)))</f>
        <v>0</v>
      </c>
      <c r="BT302" s="5">
        <f>IF(($D$279-23)&lt;1,NA(),INDEX($D$293:$AD$293,($D$279-23)))</f>
        <v>0</v>
      </c>
      <c r="BU302" s="5">
        <f>IF(($D$279-22)&lt;1,NA(),INDEX($D$293:$AD$293,($D$279-22)))</f>
        <v>0</v>
      </c>
      <c r="BV302" s="5">
        <f>IF(($D$279-21)&lt;1,NA(),INDEX($D$293:$AD$293,($D$279-21)))</f>
        <v>0</v>
      </c>
      <c r="BW302" s="5">
        <f>IF(($D$279-20)&lt;1,NA(),INDEX($D$293:$AD$293,($D$279-20)))</f>
        <v>0</v>
      </c>
      <c r="BX302" s="5">
        <f>IF(($D$279-19)&lt;1,NA(),INDEX($D$293:$AD$293,($D$279-19)))</f>
        <v>0</v>
      </c>
      <c r="BY302" s="5">
        <f>IF(($D$279-18)&lt;1,NA(),INDEX($D$293:$AD$293,($D$279-18)))</f>
        <v>0</v>
      </c>
      <c r="BZ302" s="5">
        <f>IF(($D$279-17)&lt;1,NA(),INDEX($D$293:$AD$293,($D$279-17)))</f>
        <v>0</v>
      </c>
      <c r="CA302" s="5">
        <f>IF(($D$279-16)&lt;1,NA(),INDEX($D$293:$AD$293,($D$279-16)))</f>
        <v>0</v>
      </c>
      <c r="CB302" s="5">
        <f>IF(($D$279-15)&lt;1,NA(),INDEX($D$293:$AD$293,($D$279-15)))</f>
        <v>0</v>
      </c>
      <c r="CC302" s="5">
        <f>IF(($D$279-14)&lt;1,NA(),INDEX($D$293:$AD$293,($D$279-14)))</f>
        <v>0</v>
      </c>
      <c r="CD302" s="5">
        <f>IF(($D$279-13)&lt;1,NA(),INDEX($D$293:$AD$293,($D$279-13)))</f>
        <v>0</v>
      </c>
      <c r="CE302" s="5">
        <f>IF(($D$279-12)&lt;1,NA(),INDEX($D$293:$AD$293,($D$279-12)))</f>
        <v>0</v>
      </c>
      <c r="CF302" s="5">
        <f>IF(($D$279-11)&lt;1,NA(),INDEX($D$293:$AD$293,($D$279-11)))</f>
        <v>0</v>
      </c>
      <c r="CG302" s="5">
        <f>IF(($D$279-10)&lt;1,NA(),INDEX($D$293:$AD$293,($D$279-10)))</f>
        <v>0</v>
      </c>
      <c r="CH302" s="5">
        <f>IF(($D$279-9)&lt;1,NA(),INDEX($D$293:$AD$293,($D$279-9)))</f>
        <v>0</v>
      </c>
      <c r="CI302" s="5">
        <f>IF(($D$279-8)&lt;1,NA(),INDEX($D$293:$AD$293,($D$279-8)))</f>
        <v>0</v>
      </c>
      <c r="CJ302" s="5">
        <f>IF(($D$279-7)&lt;1,NA(),INDEX($D$293:$AD$293,($D$279-7)))</f>
        <v>0</v>
      </c>
      <c r="CK302" s="5">
        <f>IF(($D$279-6)&lt;1,NA(),INDEX($D$293:$AD$293,($D$279-6)))</f>
        <v>0</v>
      </c>
      <c r="CL302" s="5">
        <f>IF(($D$279-5)&lt;1,NA(),INDEX($D$293:$AD$293,($D$279-5)))</f>
        <v>0</v>
      </c>
      <c r="CM302" s="5">
        <f>IF(($D$279-4)&lt;1,NA(),INDEX($D$293:$AD$293,($D$279-4)))</f>
        <v>0</v>
      </c>
      <c r="CN302" s="5">
        <f>IF(($D$279-3)&lt;1,NA(),INDEX($D$293:$AD$293,($D$279-3)))</f>
        <v>0</v>
      </c>
      <c r="CO302" s="5">
        <f>IF(($D$279-2)&lt;1,NA(),INDEX($D$293:$AD$293,($D$279-2)))</f>
        <v>0</v>
      </c>
      <c r="CP302" s="5">
        <f>IF(($D$279-1)&lt;1,NA(),INDEX($D$293:$AD$293,($D$279-1)))</f>
        <v>0</v>
      </c>
      <c r="CQ302" s="5">
        <f>IF(($D$279-0)&lt;1,NA(),INDEX($D$293:$AD$293,($D$279-0)))</f>
        <v>0</v>
      </c>
    </row>
    <row r="303" spans="1:95">
      <c r="A303" s="11" t="s">
        <v>673</v>
      </c>
      <c r="B303" s="11" t="s">
        <v>674</v>
      </c>
      <c r="C303" s="3" t="s">
        <v>408</v>
      </c>
      <c r="BR303" s="11">
        <f>IF(($D$279-25)&lt;1,"",INDEX($D$290:$AD$290,($D$279-25)))</f>
        <v>0</v>
      </c>
      <c r="BS303" s="11">
        <f>IF(($D$279-24)&lt;1,"",INDEX($D$290:$AD$290,($D$279-24)))</f>
        <v>0</v>
      </c>
      <c r="BT303" s="11">
        <f>IF(($D$279-23)&lt;1,"",INDEX($D$290:$AD$290,($D$279-23)))</f>
        <v>0</v>
      </c>
      <c r="BU303" s="11">
        <f>IF(($D$279-22)&lt;1,"",INDEX($D$290:$AD$290,($D$279-22)))</f>
        <v>0</v>
      </c>
      <c r="BV303" s="11">
        <f>IF(($D$279-21)&lt;1,"",INDEX($D$290:$AD$290,($D$279-21)))</f>
        <v>0</v>
      </c>
      <c r="BW303" s="11">
        <f>IF(($D$279-20)&lt;1,"",INDEX($D$290:$AD$290,($D$279-20)))</f>
        <v>0</v>
      </c>
      <c r="BX303" s="11">
        <f>IF(($D$279-19)&lt;1,"",INDEX($D$290:$AD$290,($D$279-19)))</f>
        <v>0</v>
      </c>
      <c r="BY303" s="11">
        <f>IF(($D$279-18)&lt;1,"",INDEX($D$290:$AD$290,($D$279-18)))</f>
        <v>0</v>
      </c>
      <c r="BZ303" s="11">
        <f>IF(($D$279-17)&lt;1,"",INDEX($D$290:$AD$290,($D$279-17)))</f>
        <v>0</v>
      </c>
      <c r="CA303" s="11">
        <f>IF(($D$279-16)&lt;1,"",INDEX($D$290:$AD$290,($D$279-16)))</f>
        <v>0</v>
      </c>
      <c r="CB303" s="11">
        <f>IF(($D$279-15)&lt;1,"",INDEX($D$290:$AD$290,($D$279-15)))</f>
        <v>0</v>
      </c>
      <c r="CC303" s="11">
        <f>IF(($D$279-14)&lt;1,"",INDEX($D$290:$AD$290,($D$279-14)))</f>
        <v>0</v>
      </c>
      <c r="CD303" s="11">
        <f>IF(($D$279-13)&lt;1,"",INDEX($D$290:$AD$290,($D$279-13)))</f>
        <v>0</v>
      </c>
      <c r="CE303" s="11">
        <f>IF(($D$279-12)&lt;1,"",INDEX($D$290:$AD$290,($D$279-12)))</f>
        <v>0</v>
      </c>
      <c r="CF303" s="11">
        <f>IF(($D$279-11)&lt;1,"",INDEX($D$290:$AD$290,($D$279-11)))</f>
        <v>0</v>
      </c>
      <c r="CG303" s="11">
        <f>IF(($D$279-10)&lt;1,"",INDEX($D$290:$AD$290,($D$279-10)))</f>
        <v>0</v>
      </c>
      <c r="CH303" s="11">
        <f>IF(($D$279-9)&lt;1,"",INDEX($D$290:$AD$290,($D$279-9)))</f>
        <v>0</v>
      </c>
      <c r="CI303" s="11">
        <f>IF(($D$279-8)&lt;1,"",INDEX($D$290:$AD$290,($D$279-8)))</f>
        <v>0</v>
      </c>
      <c r="CJ303" s="11">
        <f>IF(($D$279-7)&lt;1,"",INDEX($D$290:$AD$290,($D$279-7)))</f>
        <v>0</v>
      </c>
      <c r="CK303" s="11">
        <f>IF(($D$279-6)&lt;1,"",INDEX($D$290:$AD$290,($D$279-6)))</f>
        <v>0</v>
      </c>
      <c r="CL303" s="11">
        <f>IF(($D$279-5)&lt;1,"",INDEX($D$290:$AD$290,($D$279-5)))</f>
        <v>0</v>
      </c>
      <c r="CM303" s="11">
        <f>IF(($D$279-4)&lt;1,"",INDEX($D$290:$AD$290,($D$279-4)))</f>
        <v>0</v>
      </c>
      <c r="CN303" s="11">
        <f>IF(($D$279-3)&lt;1,"",INDEX($D$290:$AD$290,($D$279-3)))</f>
        <v>0</v>
      </c>
      <c r="CO303" s="11">
        <f>IF(($D$279-2)&lt;1,"",INDEX($D$290:$AD$290,($D$279-2)))</f>
        <v>0</v>
      </c>
      <c r="CP303" s="11">
        <f>IF(($D$279-1)&lt;1,"",INDEX($D$290:$AD$290,($D$279-1)))</f>
        <v>0</v>
      </c>
      <c r="CQ303" s="11">
        <f>IF(($D$279-0)&lt;1,"",INDEX($D$290:$AD$290,($D$279-0)))</f>
        <v>0</v>
      </c>
    </row>
    <row r="304" spans="1:95">
      <c r="A304" s="11" t="s">
        <v>675</v>
      </c>
      <c r="B304" s="11" t="s">
        <v>676</v>
      </c>
      <c r="C304" s="3" t="s">
        <v>408</v>
      </c>
      <c r="BR304" s="5">
        <f>IF(($D$279-25)&lt;1,NA(),INDEX($D$294:$AD$294,($D$279-25)))</f>
        <v>0</v>
      </c>
      <c r="BS304" s="5">
        <f>IF(($D$279-24)&lt;1,NA(),INDEX($D$294:$AD$294,($D$279-24)))</f>
        <v>0</v>
      </c>
      <c r="BT304" s="5">
        <f>IF(($D$279-23)&lt;1,NA(),INDEX($D$294:$AD$294,($D$279-23)))</f>
        <v>0</v>
      </c>
      <c r="BU304" s="5">
        <f>IF(($D$279-22)&lt;1,NA(),INDEX($D$294:$AD$294,($D$279-22)))</f>
        <v>0</v>
      </c>
      <c r="BV304" s="5">
        <f>IF(($D$279-21)&lt;1,NA(),INDEX($D$294:$AD$294,($D$279-21)))</f>
        <v>0</v>
      </c>
      <c r="BW304" s="5">
        <f>IF(($D$279-20)&lt;1,NA(),INDEX($D$294:$AD$294,($D$279-20)))</f>
        <v>0</v>
      </c>
      <c r="BX304" s="5">
        <f>IF(($D$279-19)&lt;1,NA(),INDEX($D$294:$AD$294,($D$279-19)))</f>
        <v>0</v>
      </c>
      <c r="BY304" s="5">
        <f>IF(($D$279-18)&lt;1,NA(),INDEX($D$294:$AD$294,($D$279-18)))</f>
        <v>0</v>
      </c>
      <c r="BZ304" s="5">
        <f>IF(($D$279-17)&lt;1,NA(),INDEX($D$294:$AD$294,($D$279-17)))</f>
        <v>0</v>
      </c>
      <c r="CA304" s="5">
        <f>IF(($D$279-16)&lt;1,NA(),INDEX($D$294:$AD$294,($D$279-16)))</f>
        <v>0</v>
      </c>
      <c r="CB304" s="5">
        <f>IF(($D$279-15)&lt;1,NA(),INDEX($D$294:$AD$294,($D$279-15)))</f>
        <v>0</v>
      </c>
      <c r="CC304" s="5">
        <f>IF(($D$279-14)&lt;1,NA(),INDEX($D$294:$AD$294,($D$279-14)))</f>
        <v>0</v>
      </c>
      <c r="CD304" s="5">
        <f>IF(($D$279-13)&lt;1,NA(),INDEX($D$294:$AD$294,($D$279-13)))</f>
        <v>0</v>
      </c>
      <c r="CE304" s="5">
        <f>IF(($D$279-12)&lt;1,NA(),INDEX($D$294:$AD$294,($D$279-12)))</f>
        <v>0</v>
      </c>
      <c r="CF304" s="5">
        <f>IF(($D$279-11)&lt;1,NA(),INDEX($D$294:$AD$294,($D$279-11)))</f>
        <v>0</v>
      </c>
      <c r="CG304" s="5">
        <f>IF(($D$279-10)&lt;1,NA(),INDEX($D$294:$AD$294,($D$279-10)))</f>
        <v>0</v>
      </c>
      <c r="CH304" s="5">
        <f>IF(($D$279-9)&lt;1,NA(),INDEX($D$294:$AD$294,($D$279-9)))</f>
        <v>0</v>
      </c>
      <c r="CI304" s="5">
        <f>IF(($D$279-8)&lt;1,NA(),INDEX($D$294:$AD$294,($D$279-8)))</f>
        <v>0</v>
      </c>
      <c r="CJ304" s="5">
        <f>IF(($D$279-7)&lt;1,NA(),INDEX($D$294:$AD$294,($D$279-7)))</f>
        <v>0</v>
      </c>
      <c r="CK304" s="5">
        <f>IF(($D$279-6)&lt;1,NA(),INDEX($D$294:$AD$294,($D$279-6)))</f>
        <v>0</v>
      </c>
      <c r="CL304" s="5">
        <f>IF(($D$279-5)&lt;1,NA(),INDEX($D$294:$AD$294,($D$279-5)))</f>
        <v>0</v>
      </c>
      <c r="CM304" s="5">
        <f>IF(($D$279-4)&lt;1,NA(),INDEX($D$294:$AD$294,($D$279-4)))</f>
        <v>0</v>
      </c>
      <c r="CN304" s="5">
        <f>IF(($D$279-3)&lt;1,NA(),INDEX($D$294:$AD$294,($D$279-3)))</f>
        <v>0</v>
      </c>
      <c r="CO304" s="5">
        <f>IF(($D$279-2)&lt;1,NA(),INDEX($D$294:$AD$294,($D$279-2)))</f>
        <v>0</v>
      </c>
      <c r="CP304" s="5">
        <f>IF(($D$279-1)&lt;1,NA(),INDEX($D$294:$AD$294,($D$279-1)))</f>
        <v>0</v>
      </c>
      <c r="CQ304" s="5">
        <f>IF(($D$279-0)&lt;1,NA(),INDEX($D$294:$AD$294,($D$279-0)))</f>
        <v>0</v>
      </c>
    </row>
    <row r="305" spans="1:95">
      <c r="A305" s="11" t="s">
        <v>677</v>
      </c>
      <c r="B305" s="11" t="s">
        <v>678</v>
      </c>
      <c r="C305" s="3" t="s">
        <v>408</v>
      </c>
      <c r="BR305" s="11">
        <f>IF(($D$279-25)&lt;1,"",INDEX($D$292:$AD$292,($D$279-25)))</f>
        <v>0</v>
      </c>
      <c r="BS305" s="11">
        <f>IF(($D$279-24)&lt;1,"",INDEX($D$292:$AD$292,($D$279-24)))</f>
        <v>0</v>
      </c>
      <c r="BT305" s="11">
        <f>IF(($D$279-23)&lt;1,"",INDEX($D$292:$AD$292,($D$279-23)))</f>
        <v>0</v>
      </c>
      <c r="BU305" s="11">
        <f>IF(($D$279-22)&lt;1,"",INDEX($D$292:$AD$292,($D$279-22)))</f>
        <v>0</v>
      </c>
      <c r="BV305" s="11">
        <f>IF(($D$279-21)&lt;1,"",INDEX($D$292:$AD$292,($D$279-21)))</f>
        <v>0</v>
      </c>
      <c r="BW305" s="11">
        <f>IF(($D$279-20)&lt;1,"",INDEX($D$292:$AD$292,($D$279-20)))</f>
        <v>0</v>
      </c>
      <c r="BX305" s="11">
        <f>IF(($D$279-19)&lt;1,"",INDEX($D$292:$AD$292,($D$279-19)))</f>
        <v>0</v>
      </c>
      <c r="BY305" s="11">
        <f>IF(($D$279-18)&lt;1,"",INDEX($D$292:$AD$292,($D$279-18)))</f>
        <v>0</v>
      </c>
      <c r="BZ305" s="11">
        <f>IF(($D$279-17)&lt;1,"",INDEX($D$292:$AD$292,($D$279-17)))</f>
        <v>0</v>
      </c>
      <c r="CA305" s="11">
        <f>IF(($D$279-16)&lt;1,"",INDEX($D$292:$AD$292,($D$279-16)))</f>
        <v>0</v>
      </c>
      <c r="CB305" s="11">
        <f>IF(($D$279-15)&lt;1,"",INDEX($D$292:$AD$292,($D$279-15)))</f>
        <v>0</v>
      </c>
      <c r="CC305" s="11">
        <f>IF(($D$279-14)&lt;1,"",INDEX($D$292:$AD$292,($D$279-14)))</f>
        <v>0</v>
      </c>
      <c r="CD305" s="11">
        <f>IF(($D$279-13)&lt;1,"",INDEX($D$292:$AD$292,($D$279-13)))</f>
        <v>0</v>
      </c>
      <c r="CE305" s="11">
        <f>IF(($D$279-12)&lt;1,"",INDEX($D$292:$AD$292,($D$279-12)))</f>
        <v>0</v>
      </c>
      <c r="CF305" s="11">
        <f>IF(($D$279-11)&lt;1,"",INDEX($D$292:$AD$292,($D$279-11)))</f>
        <v>0</v>
      </c>
      <c r="CG305" s="11">
        <f>IF(($D$279-10)&lt;1,"",INDEX($D$292:$AD$292,($D$279-10)))</f>
        <v>0</v>
      </c>
      <c r="CH305" s="11">
        <f>IF(($D$279-9)&lt;1,"",INDEX($D$292:$AD$292,($D$279-9)))</f>
        <v>0</v>
      </c>
      <c r="CI305" s="11">
        <f>IF(($D$279-8)&lt;1,"",INDEX($D$292:$AD$292,($D$279-8)))</f>
        <v>0</v>
      </c>
      <c r="CJ305" s="11">
        <f>IF(($D$279-7)&lt;1,"",INDEX($D$292:$AD$292,($D$279-7)))</f>
        <v>0</v>
      </c>
      <c r="CK305" s="11">
        <f>IF(($D$279-6)&lt;1,"",INDEX($D$292:$AD$292,($D$279-6)))</f>
        <v>0</v>
      </c>
      <c r="CL305" s="11">
        <f>IF(($D$279-5)&lt;1,"",INDEX($D$292:$AD$292,($D$279-5)))</f>
        <v>0</v>
      </c>
      <c r="CM305" s="11">
        <f>IF(($D$279-4)&lt;1,"",INDEX($D$292:$AD$292,($D$279-4)))</f>
        <v>0</v>
      </c>
      <c r="CN305" s="11">
        <f>IF(($D$279-3)&lt;1,"",INDEX($D$292:$AD$292,($D$279-3)))</f>
        <v>0</v>
      </c>
      <c r="CO305" s="11">
        <f>IF(($D$279-2)&lt;1,"",INDEX($D$292:$AD$292,($D$279-2)))</f>
        <v>0</v>
      </c>
      <c r="CP305" s="11">
        <f>IF(($D$279-1)&lt;1,"",INDEX($D$292:$AD$292,($D$279-1)))</f>
        <v>0</v>
      </c>
      <c r="CQ305" s="11">
        <f>IF(($D$279-0)&lt;1,"",INDEX($D$292:$AD$292,($D$279-0)))</f>
        <v>0</v>
      </c>
    </row>
    <row r="306" spans="1:95">
      <c r="A306" s="11" t="s">
        <v>679</v>
      </c>
      <c r="B306" s="11" t="s">
        <v>680</v>
      </c>
      <c r="C306" s="3" t="s">
        <v>408</v>
      </c>
      <c r="BR306" s="5">
        <f>IF(($D$279-25)&lt;1,NA(),INDEX($D$296:$AD$296,($D$279-25)))</f>
        <v>0</v>
      </c>
      <c r="BS306" s="5">
        <f>IF(($D$279-24)&lt;1,NA(),INDEX($D$296:$AD$296,($D$279-24)))</f>
        <v>0</v>
      </c>
      <c r="BT306" s="5">
        <f>IF(($D$279-23)&lt;1,NA(),INDEX($D$296:$AD$296,($D$279-23)))</f>
        <v>0</v>
      </c>
      <c r="BU306" s="5">
        <f>IF(($D$279-22)&lt;1,NA(),INDEX($D$296:$AD$296,($D$279-22)))</f>
        <v>0</v>
      </c>
      <c r="BV306" s="5">
        <f>IF(($D$279-21)&lt;1,NA(),INDEX($D$296:$AD$296,($D$279-21)))</f>
        <v>0</v>
      </c>
      <c r="BW306" s="5">
        <f>IF(($D$279-20)&lt;1,NA(),INDEX($D$296:$AD$296,($D$279-20)))</f>
        <v>0</v>
      </c>
      <c r="BX306" s="5">
        <f>IF(($D$279-19)&lt;1,NA(),INDEX($D$296:$AD$296,($D$279-19)))</f>
        <v>0</v>
      </c>
      <c r="BY306" s="5">
        <f>IF(($D$279-18)&lt;1,NA(),INDEX($D$296:$AD$296,($D$279-18)))</f>
        <v>0</v>
      </c>
      <c r="BZ306" s="5">
        <f>IF(($D$279-17)&lt;1,NA(),INDEX($D$296:$AD$296,($D$279-17)))</f>
        <v>0</v>
      </c>
      <c r="CA306" s="5">
        <f>IF(($D$279-16)&lt;1,NA(),INDEX($D$296:$AD$296,($D$279-16)))</f>
        <v>0</v>
      </c>
      <c r="CB306" s="5">
        <f>IF(($D$279-15)&lt;1,NA(),INDEX($D$296:$AD$296,($D$279-15)))</f>
        <v>0</v>
      </c>
      <c r="CC306" s="5">
        <f>IF(($D$279-14)&lt;1,NA(),INDEX($D$296:$AD$296,($D$279-14)))</f>
        <v>0</v>
      </c>
      <c r="CD306" s="5">
        <f>IF(($D$279-13)&lt;1,NA(),INDEX($D$296:$AD$296,($D$279-13)))</f>
        <v>0</v>
      </c>
      <c r="CE306" s="5">
        <f>IF(($D$279-12)&lt;1,NA(),INDEX($D$296:$AD$296,($D$279-12)))</f>
        <v>0</v>
      </c>
      <c r="CF306" s="5">
        <f>IF(($D$279-11)&lt;1,NA(),INDEX($D$296:$AD$296,($D$279-11)))</f>
        <v>0</v>
      </c>
      <c r="CG306" s="5">
        <f>IF(($D$279-10)&lt;1,NA(),INDEX($D$296:$AD$296,($D$279-10)))</f>
        <v>0</v>
      </c>
      <c r="CH306" s="5">
        <f>IF(($D$279-9)&lt;1,NA(),INDEX($D$296:$AD$296,($D$279-9)))</f>
        <v>0</v>
      </c>
      <c r="CI306" s="5">
        <f>IF(($D$279-8)&lt;1,NA(),INDEX($D$296:$AD$296,($D$279-8)))</f>
        <v>0</v>
      </c>
      <c r="CJ306" s="5">
        <f>IF(($D$279-7)&lt;1,NA(),INDEX($D$296:$AD$296,($D$279-7)))</f>
        <v>0</v>
      </c>
      <c r="CK306" s="5">
        <f>IF(($D$279-6)&lt;1,NA(),INDEX($D$296:$AD$296,($D$279-6)))</f>
        <v>0</v>
      </c>
      <c r="CL306" s="5">
        <f>IF(($D$279-5)&lt;1,NA(),INDEX($D$296:$AD$296,($D$279-5)))</f>
        <v>0</v>
      </c>
      <c r="CM306" s="5">
        <f>IF(($D$279-4)&lt;1,NA(),INDEX($D$296:$AD$296,($D$279-4)))</f>
        <v>0</v>
      </c>
      <c r="CN306" s="5">
        <f>IF(($D$279-3)&lt;1,NA(),INDEX($D$296:$AD$296,($D$279-3)))</f>
        <v>0</v>
      </c>
      <c r="CO306" s="5">
        <f>IF(($D$279-2)&lt;1,NA(),INDEX($D$296:$AD$296,($D$279-2)))</f>
        <v>0</v>
      </c>
      <c r="CP306" s="5">
        <f>IF(($D$279-1)&lt;1,NA(),INDEX($D$296:$AD$296,($D$279-1)))</f>
        <v>0</v>
      </c>
      <c r="CQ306" s="5">
        <f>IF(($D$279-0)&lt;1,NA(),INDEX($D$296:$AD$296,($D$279-0)))</f>
        <v>0</v>
      </c>
    </row>
    <row r="307" spans="1:95">
      <c r="A307" s="11" t="s">
        <v>681</v>
      </c>
      <c r="B307" s="11" t="s">
        <v>682</v>
      </c>
      <c r="C307" s="3" t="s">
        <v>408</v>
      </c>
      <c r="BR307" s="5">
        <f>IF(($D$279-25)&lt;1,NA(),INDEX($D$297:$AD$297,($D$279-25)))</f>
        <v>0</v>
      </c>
      <c r="BS307" s="5">
        <f>IF(($D$279-24)&lt;1,NA(),INDEX($D$297:$AD$297,($D$279-24)))</f>
        <v>0</v>
      </c>
      <c r="BT307" s="5">
        <f>IF(($D$279-23)&lt;1,NA(),INDEX($D$297:$AD$297,($D$279-23)))</f>
        <v>0</v>
      </c>
      <c r="BU307" s="5">
        <f>IF(($D$279-22)&lt;1,NA(),INDEX($D$297:$AD$297,($D$279-22)))</f>
        <v>0</v>
      </c>
      <c r="BV307" s="5">
        <f>IF(($D$279-21)&lt;1,NA(),INDEX($D$297:$AD$297,($D$279-21)))</f>
        <v>0</v>
      </c>
      <c r="BW307" s="5">
        <f>IF(($D$279-20)&lt;1,NA(),INDEX($D$297:$AD$297,($D$279-20)))</f>
        <v>0</v>
      </c>
      <c r="BX307" s="5">
        <f>IF(($D$279-19)&lt;1,NA(),INDEX($D$297:$AD$297,($D$279-19)))</f>
        <v>0</v>
      </c>
      <c r="BY307" s="5">
        <f>IF(($D$279-18)&lt;1,NA(),INDEX($D$297:$AD$297,($D$279-18)))</f>
        <v>0</v>
      </c>
      <c r="BZ307" s="5">
        <f>IF(($D$279-17)&lt;1,NA(),INDEX($D$297:$AD$297,($D$279-17)))</f>
        <v>0</v>
      </c>
      <c r="CA307" s="5">
        <f>IF(($D$279-16)&lt;1,NA(),INDEX($D$297:$AD$297,($D$279-16)))</f>
        <v>0</v>
      </c>
      <c r="CB307" s="5">
        <f>IF(($D$279-15)&lt;1,NA(),INDEX($D$297:$AD$297,($D$279-15)))</f>
        <v>0</v>
      </c>
      <c r="CC307" s="5">
        <f>IF(($D$279-14)&lt;1,NA(),INDEX($D$297:$AD$297,($D$279-14)))</f>
        <v>0</v>
      </c>
      <c r="CD307" s="5">
        <f>IF(($D$279-13)&lt;1,NA(),INDEX($D$297:$AD$297,($D$279-13)))</f>
        <v>0</v>
      </c>
      <c r="CE307" s="5">
        <f>IF(($D$279-12)&lt;1,NA(),INDEX($D$297:$AD$297,($D$279-12)))</f>
        <v>0</v>
      </c>
      <c r="CF307" s="5">
        <f>IF(($D$279-11)&lt;1,NA(),INDEX($D$297:$AD$297,($D$279-11)))</f>
        <v>0</v>
      </c>
      <c r="CG307" s="5">
        <f>IF(($D$279-10)&lt;1,NA(),INDEX($D$297:$AD$297,($D$279-10)))</f>
        <v>0</v>
      </c>
      <c r="CH307" s="5">
        <f>IF(($D$279-9)&lt;1,NA(),INDEX($D$297:$AD$297,($D$279-9)))</f>
        <v>0</v>
      </c>
      <c r="CI307" s="5">
        <f>IF(($D$279-8)&lt;1,NA(),INDEX($D$297:$AD$297,($D$279-8)))</f>
        <v>0</v>
      </c>
      <c r="CJ307" s="5">
        <f>IF(($D$279-7)&lt;1,NA(),INDEX($D$297:$AD$297,($D$279-7)))</f>
        <v>0</v>
      </c>
      <c r="CK307" s="5">
        <f>IF(($D$279-6)&lt;1,NA(),INDEX($D$297:$AD$297,($D$279-6)))</f>
        <v>0</v>
      </c>
      <c r="CL307" s="5">
        <f>IF(($D$279-5)&lt;1,NA(),INDEX($D$297:$AD$297,($D$279-5)))</f>
        <v>0</v>
      </c>
      <c r="CM307" s="5">
        <f>IF(($D$279-4)&lt;1,NA(),INDEX($D$297:$AD$297,($D$279-4)))</f>
        <v>0</v>
      </c>
      <c r="CN307" s="5">
        <f>IF(($D$279-3)&lt;1,NA(),INDEX($D$297:$AD$297,($D$279-3)))</f>
        <v>0</v>
      </c>
      <c r="CO307" s="5">
        <f>IF(($D$279-2)&lt;1,NA(),INDEX($D$297:$AD$297,($D$279-2)))</f>
        <v>0</v>
      </c>
      <c r="CP307" s="5">
        <f>IF(($D$279-1)&lt;1,NA(),INDEX($D$297:$AD$297,($D$279-1)))</f>
        <v>0</v>
      </c>
      <c r="CQ307" s="5">
        <f>IF(($D$279-0)&lt;1,NA(),INDEX($D$297:$AD$297,($D$279-0)))</f>
        <v>0</v>
      </c>
    </row>
    <row r="308" spans="1:95">
      <c r="A308" s="11" t="s">
        <v>683</v>
      </c>
      <c r="B308" s="11" t="s">
        <v>684</v>
      </c>
      <c r="C308" s="3" t="s">
        <v>408</v>
      </c>
      <c r="BR308" s="5">
        <f>IF(($D$279-25)&lt;1,NA(),INDEX($D$298:$AD$298,($D$279-25)))</f>
        <v>0</v>
      </c>
      <c r="BS308" s="5">
        <f>IF(($D$279-24)&lt;1,NA(),INDEX($D$298:$AD$298,($D$279-24)))</f>
        <v>0</v>
      </c>
      <c r="BT308" s="5">
        <f>IF(($D$279-23)&lt;1,NA(),INDEX($D$298:$AD$298,($D$279-23)))</f>
        <v>0</v>
      </c>
      <c r="BU308" s="5">
        <f>IF(($D$279-22)&lt;1,NA(),INDEX($D$298:$AD$298,($D$279-22)))</f>
        <v>0</v>
      </c>
      <c r="BV308" s="5">
        <f>IF(($D$279-21)&lt;1,NA(),INDEX($D$298:$AD$298,($D$279-21)))</f>
        <v>0</v>
      </c>
      <c r="BW308" s="5">
        <f>IF(($D$279-20)&lt;1,NA(),INDEX($D$298:$AD$298,($D$279-20)))</f>
        <v>0</v>
      </c>
      <c r="BX308" s="5">
        <f>IF(($D$279-19)&lt;1,NA(),INDEX($D$298:$AD$298,($D$279-19)))</f>
        <v>0</v>
      </c>
      <c r="BY308" s="5">
        <f>IF(($D$279-18)&lt;1,NA(),INDEX($D$298:$AD$298,($D$279-18)))</f>
        <v>0</v>
      </c>
      <c r="BZ308" s="5">
        <f>IF(($D$279-17)&lt;1,NA(),INDEX($D$298:$AD$298,($D$279-17)))</f>
        <v>0</v>
      </c>
      <c r="CA308" s="5">
        <f>IF(($D$279-16)&lt;1,NA(),INDEX($D$298:$AD$298,($D$279-16)))</f>
        <v>0</v>
      </c>
      <c r="CB308" s="5">
        <f>IF(($D$279-15)&lt;1,NA(),INDEX($D$298:$AD$298,($D$279-15)))</f>
        <v>0</v>
      </c>
      <c r="CC308" s="5">
        <f>IF(($D$279-14)&lt;1,NA(),INDEX($D$298:$AD$298,($D$279-14)))</f>
        <v>0</v>
      </c>
      <c r="CD308" s="5">
        <f>IF(($D$279-13)&lt;1,NA(),INDEX($D$298:$AD$298,($D$279-13)))</f>
        <v>0</v>
      </c>
      <c r="CE308" s="5">
        <f>IF(($D$279-12)&lt;1,NA(),INDEX($D$298:$AD$298,($D$279-12)))</f>
        <v>0</v>
      </c>
      <c r="CF308" s="5">
        <f>IF(($D$279-11)&lt;1,NA(),INDEX($D$298:$AD$298,($D$279-11)))</f>
        <v>0</v>
      </c>
      <c r="CG308" s="5">
        <f>IF(($D$279-10)&lt;1,NA(),INDEX($D$298:$AD$298,($D$279-10)))</f>
        <v>0</v>
      </c>
      <c r="CH308" s="5">
        <f>IF(($D$279-9)&lt;1,NA(),INDEX($D$298:$AD$298,($D$279-9)))</f>
        <v>0</v>
      </c>
      <c r="CI308" s="5">
        <f>IF(($D$279-8)&lt;1,NA(),INDEX($D$298:$AD$298,($D$279-8)))</f>
        <v>0</v>
      </c>
      <c r="CJ308" s="5">
        <f>IF(($D$279-7)&lt;1,NA(),INDEX($D$298:$AD$298,($D$279-7)))</f>
        <v>0</v>
      </c>
      <c r="CK308" s="5">
        <f>IF(($D$279-6)&lt;1,NA(),INDEX($D$298:$AD$298,($D$279-6)))</f>
        <v>0</v>
      </c>
      <c r="CL308" s="5">
        <f>IF(($D$279-5)&lt;1,NA(),INDEX($D$298:$AD$298,($D$279-5)))</f>
        <v>0</v>
      </c>
      <c r="CM308" s="5">
        <f>IF(($D$279-4)&lt;1,NA(),INDEX($D$298:$AD$298,($D$279-4)))</f>
        <v>0</v>
      </c>
      <c r="CN308" s="5">
        <f>IF(($D$279-3)&lt;1,NA(),INDEX($D$298:$AD$298,($D$279-3)))</f>
        <v>0</v>
      </c>
      <c r="CO308" s="5">
        <f>IF(($D$279-2)&lt;1,NA(),INDEX($D$298:$AD$298,($D$279-2)))</f>
        <v>0</v>
      </c>
      <c r="CP308" s="5">
        <f>IF(($D$279-1)&lt;1,NA(),INDEX($D$298:$AD$298,($D$279-1)))</f>
        <v>0</v>
      </c>
      <c r="CQ308" s="5">
        <f>IF(($D$279-0)&lt;1,NA(),INDEX($D$298:$AD$298,($D$279-0)))</f>
        <v>0</v>
      </c>
    </row>
    <row r="309" spans="1:95">
      <c r="A309" s="11" t="s">
        <v>685</v>
      </c>
      <c r="B309" s="11" t="s">
        <v>686</v>
      </c>
      <c r="C309" s="3" t="s">
        <v>408</v>
      </c>
      <c r="BR309" s="11">
        <f>IF(($D$279-25)&lt;1,"",INDEX($D$299:$AD$299,($D$279-25)))</f>
        <v>0</v>
      </c>
      <c r="BS309" s="11">
        <f>IF(($D$279-24)&lt;1,"",INDEX($D$299:$AD$299,($D$279-24)))</f>
        <v>0</v>
      </c>
      <c r="BT309" s="11">
        <f>IF(($D$279-23)&lt;1,"",INDEX($D$299:$AD$299,($D$279-23)))</f>
        <v>0</v>
      </c>
      <c r="BU309" s="11">
        <f>IF(($D$279-22)&lt;1,"",INDEX($D$299:$AD$299,($D$279-22)))</f>
        <v>0</v>
      </c>
      <c r="BV309" s="11">
        <f>IF(($D$279-21)&lt;1,"",INDEX($D$299:$AD$299,($D$279-21)))</f>
        <v>0</v>
      </c>
      <c r="BW309" s="11">
        <f>IF(($D$279-20)&lt;1,"",INDEX($D$299:$AD$299,($D$279-20)))</f>
        <v>0</v>
      </c>
      <c r="BX309" s="11">
        <f>IF(($D$279-19)&lt;1,"",INDEX($D$299:$AD$299,($D$279-19)))</f>
        <v>0</v>
      </c>
      <c r="BY309" s="11">
        <f>IF(($D$279-18)&lt;1,"",INDEX($D$299:$AD$299,($D$279-18)))</f>
        <v>0</v>
      </c>
      <c r="BZ309" s="11">
        <f>IF(($D$279-17)&lt;1,"",INDEX($D$299:$AD$299,($D$279-17)))</f>
        <v>0</v>
      </c>
      <c r="CA309" s="11">
        <f>IF(($D$279-16)&lt;1,"",INDEX($D$299:$AD$299,($D$279-16)))</f>
        <v>0</v>
      </c>
      <c r="CB309" s="11">
        <f>IF(($D$279-15)&lt;1,"",INDEX($D$299:$AD$299,($D$279-15)))</f>
        <v>0</v>
      </c>
      <c r="CC309" s="11">
        <f>IF(($D$279-14)&lt;1,"",INDEX($D$299:$AD$299,($D$279-14)))</f>
        <v>0</v>
      </c>
      <c r="CD309" s="11">
        <f>IF(($D$279-13)&lt;1,"",INDEX($D$299:$AD$299,($D$279-13)))</f>
        <v>0</v>
      </c>
      <c r="CE309" s="11">
        <f>IF(($D$279-12)&lt;1,"",INDEX($D$299:$AD$299,($D$279-12)))</f>
        <v>0</v>
      </c>
      <c r="CF309" s="11">
        <f>IF(($D$279-11)&lt;1,"",INDEX($D$299:$AD$299,($D$279-11)))</f>
        <v>0</v>
      </c>
      <c r="CG309" s="11">
        <f>IF(($D$279-10)&lt;1,"",INDEX($D$299:$AD$299,($D$279-10)))</f>
        <v>0</v>
      </c>
      <c r="CH309" s="11">
        <f>IF(($D$279-9)&lt;1,"",INDEX($D$299:$AD$299,($D$279-9)))</f>
        <v>0</v>
      </c>
      <c r="CI309" s="11">
        <f>IF(($D$279-8)&lt;1,"",INDEX($D$299:$AD$299,($D$279-8)))</f>
        <v>0</v>
      </c>
      <c r="CJ309" s="11">
        <f>IF(($D$279-7)&lt;1,"",INDEX($D$299:$AD$299,($D$279-7)))</f>
        <v>0</v>
      </c>
      <c r="CK309" s="11">
        <f>IF(($D$279-6)&lt;1,"",INDEX($D$299:$AD$299,($D$279-6)))</f>
        <v>0</v>
      </c>
      <c r="CL309" s="11">
        <f>IF(($D$279-5)&lt;1,"",INDEX($D$299:$AD$299,($D$279-5)))</f>
        <v>0</v>
      </c>
      <c r="CM309" s="11">
        <f>IF(($D$279-4)&lt;1,"",INDEX($D$299:$AD$299,($D$279-4)))</f>
        <v>0</v>
      </c>
      <c r="CN309" s="11">
        <f>IF(($D$279-3)&lt;1,"",INDEX($D$299:$AD$299,($D$279-3)))</f>
        <v>0</v>
      </c>
      <c r="CO309" s="11">
        <f>IF(($D$279-2)&lt;1,"",INDEX($D$299:$AD$299,($D$279-2)))</f>
        <v>0</v>
      </c>
      <c r="CP309" s="11">
        <f>IF(($D$279-1)&lt;1,"",INDEX($D$299:$AD$299,($D$279-1)))</f>
        <v>0</v>
      </c>
      <c r="CQ309" s="11">
        <f>IF(($D$279-0)&lt;1,"",INDEX($D$299:$AD$299,($D$279-0)))</f>
        <v>0</v>
      </c>
    </row>
    <row r="310" spans="1:95">
      <c r="A310" s="11" t="s">
        <v>687</v>
      </c>
      <c r="B310" s="11" t="s">
        <v>688</v>
      </c>
      <c r="C310" s="3" t="s">
        <v>137</v>
      </c>
      <c r="D310" s="5">
        <f>IF(MAX($D$311:$AD$311)=0,27,MAX($D$311:$AD$311))</f>
        <v>0</v>
      </c>
    </row>
    <row r="311" spans="1:95">
      <c r="A311" s="11" t="s">
        <v>689</v>
      </c>
      <c r="B311" s="11" t="s">
        <v>690</v>
      </c>
      <c r="C311" s="3" t="s">
        <v>137</v>
      </c>
      <c r="D311" s="5">
        <f>0</f>
        <v>0</v>
      </c>
      <c r="E311" s="5">
        <f>0</f>
        <v>0</v>
      </c>
      <c r="F311" s="5">
        <f>0</f>
        <v>0</v>
      </c>
      <c r="G311" s="5">
        <f>0</f>
        <v>0</v>
      </c>
      <c r="H311" s="5">
        <f>0</f>
        <v>0</v>
      </c>
      <c r="I311" s="5">
        <f>0</f>
        <v>0</v>
      </c>
      <c r="J311" s="5">
        <f>0</f>
        <v>0</v>
      </c>
      <c r="K311" s="5">
        <f>0</f>
        <v>0</v>
      </c>
      <c r="L311" s="5">
        <f>0</f>
        <v>0</v>
      </c>
      <c r="M311" s="5">
        <f>0</f>
        <v>0</v>
      </c>
      <c r="N311" s="5">
        <f>0</f>
        <v>0</v>
      </c>
      <c r="O311" s="5">
        <f>0</f>
        <v>0</v>
      </c>
      <c r="P311" s="5">
        <f>0</f>
        <v>0</v>
      </c>
      <c r="Q311" s="5">
        <f>0</f>
        <v>0</v>
      </c>
      <c r="R311" s="5">
        <f>0</f>
        <v>0</v>
      </c>
      <c r="S311" s="5">
        <f>0</f>
        <v>0</v>
      </c>
      <c r="T311" s="5">
        <f>0</f>
        <v>0</v>
      </c>
      <c r="U311" s="5">
        <f>0</f>
        <v>0</v>
      </c>
      <c r="V311" s="5">
        <f>0</f>
        <v>0</v>
      </c>
      <c r="W311" s="5">
        <f>0</f>
        <v>0</v>
      </c>
      <c r="X311" s="5">
        <f>0</f>
        <v>0</v>
      </c>
      <c r="Y311" s="5">
        <f>0</f>
        <v>0</v>
      </c>
      <c r="Z311" s="5">
        <f>0</f>
        <v>0</v>
      </c>
      <c r="AA311" s="5">
        <f>0</f>
        <v>0</v>
      </c>
      <c r="AB311" s="5">
        <f>0</f>
        <v>0</v>
      </c>
      <c r="AC311" s="5">
        <f>0</f>
        <v>0</v>
      </c>
      <c r="AD311" s="5">
        <f>0</f>
        <v>0</v>
      </c>
    </row>
    <row r="312" spans="1:95">
      <c r="A312" s="11" t="s">
        <v>1340</v>
      </c>
      <c r="B312" s="11" t="s">
        <v>1341</v>
      </c>
      <c r="C312" s="3" t="s">
        <v>1342</v>
      </c>
      <c r="D312" s="5">
        <f>IF(N(INDEX($D$38:$AD$38,27))&gt;0,1,0)</f>
        <v>0</v>
      </c>
      <c r="E312" s="11">
        <f>IF(MAX($D$38:$AD$38)=0,"noch keine Werte – „BÜ-Datei verknüpfen“",IF($D$312=1,"da · KW "&amp;_xlfn.ISOWEEKNUM(INDEX($D$4:$AD$4,$D$37))&amp;" · "&amp;$E$165,"fehlt für KW "&amp;_xlfn.ISOWEEKNUM(Stichtag)&amp;" · zuletzt KW "&amp;_xlfn.ISOWEEKNUM(INDEX($D$4:$AD$4,$D$37))&amp;" · "&amp;$E$165))</f>
        <v>0</v>
      </c>
    </row>
    <row r="313" spans="1:95">
      <c r="A313" s="11" t="s">
        <v>1343</v>
      </c>
      <c r="B313" s="11" t="s">
        <v>1344</v>
      </c>
      <c r="C313" s="3" t="s">
        <v>1342</v>
      </c>
      <c r="D313" s="5">
        <f>IF(N(INDEX($D$92:$AD$92,27))&gt;0,1,0)</f>
        <v>0</v>
      </c>
      <c r="E313" s="11">
        <f>IF(MAX($D$92:$AD$92)=0,"noch keine Werte – „BÜ-Datei verknüpfen“",IF($D$313=1,"da · KW "&amp;_xlfn.ISOWEEKNUM(INDEX($D$4:$AD$4,$D$91))&amp;" · "&amp;$E$166,"fehlt für KW "&amp;_xlfn.ISOWEEKNUM(Stichtag)&amp;" · zuletzt KW "&amp;_xlfn.ISOWEEKNUM(INDEX($D$4:$AD$4,$D$91))&amp;" · "&amp;$E$166))</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iertage">
    <tabColor rgb="FF9AA3AD"/>
  </sheetPr>
  <dimension ref="A1:T56"/>
  <sheetViews>
    <sheetView workbookViewId="0"/>
  </sheetViews>
  <sheetFormatPr defaultRowHeight="15"/>
  <cols>
    <col min="1" max="1" width="28.7109375" customWidth="1"/>
    <col min="2" max="19" width="11.7109375" customWidth="1"/>
    <col min="20" max="20" width="16.7109375" customWidth="1"/>
    <col min="21" max="21" width="11.7109375" customWidth="1"/>
  </cols>
  <sheetData>
    <row r="1" spans="1:20">
      <c r="A1" s="11">
        <v>2026</v>
      </c>
      <c r="E1" s="9" t="s">
        <v>1252</v>
      </c>
      <c r="J1" s="9"/>
      <c r="L1" s="11">
        <v>2027</v>
      </c>
      <c r="M1" s="9" t="s">
        <v>1252</v>
      </c>
    </row>
    <row r="2" spans="1:20">
      <c r="A2" s="9" t="s">
        <v>1253</v>
      </c>
      <c r="B2" s="9" t="s">
        <v>1254</v>
      </c>
      <c r="C2" s="9" t="s">
        <v>1255</v>
      </c>
      <c r="D2" s="9" t="s">
        <v>1256</v>
      </c>
      <c r="E2" s="9" t="s">
        <v>706</v>
      </c>
      <c r="F2" s="9" t="s">
        <v>999</v>
      </c>
      <c r="G2" s="9" t="s">
        <v>1257</v>
      </c>
      <c r="H2" s="9" t="s">
        <v>1258</v>
      </c>
      <c r="I2" s="9" t="s">
        <v>1259</v>
      </c>
      <c r="J2" s="9" t="s">
        <v>1260</v>
      </c>
      <c r="L2" s="9" t="s">
        <v>1256</v>
      </c>
      <c r="M2" s="9" t="s">
        <v>706</v>
      </c>
      <c r="N2" s="9" t="s">
        <v>999</v>
      </c>
      <c r="O2" s="9" t="s">
        <v>1257</v>
      </c>
      <c r="P2" s="9" t="s">
        <v>1258</v>
      </c>
      <c r="Q2" s="9" t="s">
        <v>1259</v>
      </c>
      <c r="R2" s="9" t="s">
        <v>1260</v>
      </c>
      <c r="T2" s="9" t="s">
        <v>1324</v>
      </c>
    </row>
    <row r="3" spans="1:20">
      <c r="A3" s="11" t="s">
        <v>1261</v>
      </c>
      <c r="B3" s="11" t="s">
        <v>1262</v>
      </c>
      <c r="C3" s="11" t="s">
        <v>1263</v>
      </c>
      <c r="D3" s="80">
        <v>46023</v>
      </c>
      <c r="E3" s="80">
        <v>46023</v>
      </c>
      <c r="F3" s="80">
        <v>46023</v>
      </c>
      <c r="G3" s="80">
        <v>46023</v>
      </c>
      <c r="H3" s="80">
        <v>46023</v>
      </c>
      <c r="I3" s="80">
        <v>46023</v>
      </c>
      <c r="J3" s="80">
        <v>46023</v>
      </c>
      <c r="L3" s="80">
        <v>46388</v>
      </c>
      <c r="M3" s="80">
        <v>46388</v>
      </c>
      <c r="N3" s="80">
        <v>46388</v>
      </c>
      <c r="O3" s="80">
        <v>46388</v>
      </c>
      <c r="P3" s="80">
        <v>46388</v>
      </c>
      <c r="Q3" s="80">
        <v>46388</v>
      </c>
      <c r="R3" s="80">
        <v>46388</v>
      </c>
      <c r="T3" s="80">
        <f>IFERROR(IF(LEN(INDEX($E3:$J3,MATCH(Konfiguration!$F$5,$E$2:$J$2,0)))&gt;0,$D3*1,0),0)</f>
        <v>0</v>
      </c>
    </row>
    <row r="4" spans="1:20">
      <c r="A4" s="11" t="s">
        <v>1264</v>
      </c>
      <c r="B4" s="11" t="s">
        <v>1265</v>
      </c>
      <c r="C4" s="11" t="s">
        <v>1263</v>
      </c>
      <c r="D4" s="80">
        <v>46028</v>
      </c>
      <c r="G4" s="80">
        <v>46028</v>
      </c>
      <c r="J4" s="80">
        <v>46028</v>
      </c>
      <c r="L4" s="80">
        <v>46393</v>
      </c>
      <c r="O4" s="80">
        <v>46393</v>
      </c>
      <c r="R4" s="80">
        <v>46393</v>
      </c>
      <c r="T4" s="80">
        <f>IFERROR(IF(LEN(INDEX($E4:$J4,MATCH(Konfiguration!$F$5,$E$2:$J$2,0)))&gt;0,$D4*1,0),0)</f>
        <v>0</v>
      </c>
    </row>
    <row r="5" spans="1:20">
      <c r="A5" s="11" t="s">
        <v>1266</v>
      </c>
      <c r="B5" s="11" t="s">
        <v>1267</v>
      </c>
      <c r="C5" s="11" t="s">
        <v>1263</v>
      </c>
      <c r="D5" s="80">
        <v>46089</v>
      </c>
      <c r="I5" s="80">
        <v>46089</v>
      </c>
      <c r="L5" s="80">
        <v>46454</v>
      </c>
      <c r="Q5" s="80">
        <v>46454</v>
      </c>
      <c r="T5" s="80">
        <f>IFERROR(IF(LEN(INDEX($E5:$J5,MATCH(Konfiguration!$F$5,$E$2:$J$2,0)))&gt;0,$D5*1,0),0)</f>
        <v>0</v>
      </c>
    </row>
    <row r="6" spans="1:20">
      <c r="A6" s="11" t="s">
        <v>1268</v>
      </c>
      <c r="B6" s="11" t="s">
        <v>1269</v>
      </c>
      <c r="C6" s="11" t="s">
        <v>1263</v>
      </c>
      <c r="D6" s="80">
        <v>46143</v>
      </c>
      <c r="E6" s="80">
        <v>46143</v>
      </c>
      <c r="F6" s="80">
        <v>46143</v>
      </c>
      <c r="G6" s="80">
        <v>46143</v>
      </c>
      <c r="H6" s="80">
        <v>46143</v>
      </c>
      <c r="I6" s="80">
        <v>46143</v>
      </c>
      <c r="J6" s="80">
        <v>46143</v>
      </c>
      <c r="L6" s="80">
        <v>46508</v>
      </c>
      <c r="M6" s="80">
        <v>46508</v>
      </c>
      <c r="N6" s="80">
        <v>46508</v>
      </c>
      <c r="O6" s="80">
        <v>46508</v>
      </c>
      <c r="P6" s="80">
        <v>46508</v>
      </c>
      <c r="Q6" s="80">
        <v>46508</v>
      </c>
      <c r="R6" s="80">
        <v>46508</v>
      </c>
      <c r="T6" s="80">
        <f>IFERROR(IF(LEN(INDEX($E6:$J6,MATCH(Konfiguration!$F$5,$E$2:$J$2,0)))&gt;0,$D6*1,0),0)</f>
        <v>0</v>
      </c>
    </row>
    <row r="7" spans="1:20">
      <c r="A7" s="11" t="s">
        <v>1270</v>
      </c>
      <c r="B7" s="11" t="s">
        <v>1271</v>
      </c>
      <c r="C7" s="11" t="s">
        <v>1263</v>
      </c>
      <c r="D7" s="80">
        <v>46242</v>
      </c>
      <c r="L7" s="80">
        <v>46607</v>
      </c>
      <c r="T7" s="80">
        <f>IFERROR(IF(LEN(INDEX($E7:$J7,MATCH(Konfiguration!$F$5,$E$2:$J$2,0)))&gt;0,$D7*1,0),0)</f>
        <v>0</v>
      </c>
    </row>
    <row r="8" spans="1:20">
      <c r="A8" s="11" t="s">
        <v>1272</v>
      </c>
      <c r="B8" s="11" t="s">
        <v>1273</v>
      </c>
      <c r="C8" s="11" t="s">
        <v>1263</v>
      </c>
      <c r="D8" s="80">
        <v>46249</v>
      </c>
      <c r="G8" s="80">
        <v>46249</v>
      </c>
      <c r="L8" s="80">
        <v>46614</v>
      </c>
      <c r="O8" s="80">
        <v>46614</v>
      </c>
      <c r="T8" s="80">
        <f>IFERROR(IF(LEN(INDEX($E8:$J8,MATCH(Konfiguration!$F$5,$E$2:$J$2,0)))&gt;0,$D8*1,0),0)</f>
        <v>0</v>
      </c>
    </row>
    <row r="9" spans="1:20">
      <c r="A9" s="11" t="s">
        <v>1274</v>
      </c>
      <c r="B9" s="11" t="s">
        <v>1275</v>
      </c>
      <c r="C9" s="11" t="s">
        <v>1263</v>
      </c>
      <c r="D9" s="80">
        <v>46285</v>
      </c>
      <c r="L9" s="80">
        <v>46650</v>
      </c>
      <c r="T9" s="80">
        <f>IFERROR(IF(LEN(INDEX($E9:$J9,MATCH(Konfiguration!$F$5,$E$2:$J$2,0)))&gt;0,$D9*1,0),0)</f>
        <v>0</v>
      </c>
    </row>
    <row r="10" spans="1:20">
      <c r="A10" s="11" t="s">
        <v>1276</v>
      </c>
      <c r="B10" s="11" t="s">
        <v>1277</v>
      </c>
      <c r="C10" s="11" t="s">
        <v>1263</v>
      </c>
      <c r="D10" s="80">
        <v>46298</v>
      </c>
      <c r="E10" s="80">
        <v>46298</v>
      </c>
      <c r="F10" s="80">
        <v>46298</v>
      </c>
      <c r="G10" s="80">
        <v>46298</v>
      </c>
      <c r="H10" s="80">
        <v>46298</v>
      </c>
      <c r="I10" s="80">
        <v>46298</v>
      </c>
      <c r="J10" s="80">
        <v>46298</v>
      </c>
      <c r="L10" s="80">
        <v>46663</v>
      </c>
      <c r="M10" s="80">
        <v>46663</v>
      </c>
      <c r="N10" s="80">
        <v>46663</v>
      </c>
      <c r="O10" s="80">
        <v>46663</v>
      </c>
      <c r="P10" s="80">
        <v>46663</v>
      </c>
      <c r="Q10" s="80">
        <v>46663</v>
      </c>
      <c r="R10" s="80">
        <v>46663</v>
      </c>
      <c r="T10" s="80">
        <f>IFERROR(IF(LEN(INDEX($E10:$J10,MATCH(Konfiguration!$F$5,$E$2:$J$2,0)))&gt;0,$D10*1,0),0)</f>
        <v>0</v>
      </c>
    </row>
    <row r="11" spans="1:20">
      <c r="A11" s="11" t="s">
        <v>1278</v>
      </c>
      <c r="B11" s="11" t="s">
        <v>1279</v>
      </c>
      <c r="C11" s="11" t="s">
        <v>1263</v>
      </c>
      <c r="D11" s="80">
        <v>46326</v>
      </c>
      <c r="H11" s="80">
        <v>46326</v>
      </c>
      <c r="L11" s="80">
        <v>46691</v>
      </c>
      <c r="P11" s="80">
        <v>46691</v>
      </c>
      <c r="T11" s="80">
        <f>IFERROR(IF(LEN(INDEX($E11:$J11,MATCH(Konfiguration!$F$5,$E$2:$J$2,0)))&gt;0,$D11*1,0),0)</f>
        <v>0</v>
      </c>
    </row>
    <row r="12" spans="1:20">
      <c r="A12" s="11" t="s">
        <v>1280</v>
      </c>
      <c r="B12" s="11" t="s">
        <v>1281</v>
      </c>
      <c r="C12" s="11" t="s">
        <v>1263</v>
      </c>
      <c r="D12" s="80">
        <v>46327</v>
      </c>
      <c r="E12" s="80">
        <v>46327</v>
      </c>
      <c r="F12" s="80">
        <v>46327</v>
      </c>
      <c r="G12" s="80">
        <v>46327</v>
      </c>
      <c r="J12" s="80">
        <v>46327</v>
      </c>
      <c r="L12" s="80">
        <v>46692</v>
      </c>
      <c r="M12" s="80">
        <v>46692</v>
      </c>
      <c r="N12" s="80">
        <v>46692</v>
      </c>
      <c r="O12" s="80">
        <v>46692</v>
      </c>
      <c r="R12" s="80">
        <v>46692</v>
      </c>
      <c r="T12" s="80">
        <f>IFERROR(IF(LEN(INDEX($E12:$J12,MATCH(Konfiguration!$F$5,$E$2:$J$2,0)))&gt;0,$D12*1,0),0)</f>
        <v>0</v>
      </c>
    </row>
    <row r="13" spans="1:20">
      <c r="A13" s="11" t="s">
        <v>1282</v>
      </c>
      <c r="B13" s="11" t="s">
        <v>1283</v>
      </c>
      <c r="C13" s="11" t="s">
        <v>1263</v>
      </c>
      <c r="D13" s="80">
        <v>46380</v>
      </c>
      <c r="E13" s="80">
        <v>46380</v>
      </c>
      <c r="F13" s="80">
        <v>46380</v>
      </c>
      <c r="G13" s="80">
        <v>46380</v>
      </c>
      <c r="H13" s="80">
        <v>46380</v>
      </c>
      <c r="I13" s="80">
        <v>46380</v>
      </c>
      <c r="J13" s="80">
        <v>46380</v>
      </c>
      <c r="L13" s="80">
        <v>46745</v>
      </c>
      <c r="M13" s="80">
        <v>46745</v>
      </c>
      <c r="N13" s="80">
        <v>46745</v>
      </c>
      <c r="O13" s="80">
        <v>46745</v>
      </c>
      <c r="P13" s="80">
        <v>46745</v>
      </c>
      <c r="Q13" s="80">
        <v>46745</v>
      </c>
      <c r="R13" s="80">
        <v>46745</v>
      </c>
      <c r="T13" s="80">
        <f>IFERROR(IF(LEN(INDEX($E13:$J13,MATCH(Konfiguration!$F$5,$E$2:$J$2,0)))&gt;0,$D13*1,0),0)</f>
        <v>0</v>
      </c>
    </row>
    <row r="14" spans="1:20">
      <c r="A14" s="11" t="s">
        <v>1284</v>
      </c>
      <c r="B14" s="11" t="s">
        <v>1285</v>
      </c>
      <c r="C14" s="11" t="s">
        <v>1263</v>
      </c>
      <c r="D14" s="80">
        <v>46381</v>
      </c>
      <c r="E14" s="80">
        <v>46381</v>
      </c>
      <c r="F14" s="80">
        <v>46381</v>
      </c>
      <c r="G14" s="80">
        <v>46381</v>
      </c>
      <c r="H14" s="80">
        <v>46381</v>
      </c>
      <c r="I14" s="80">
        <v>46381</v>
      </c>
      <c r="J14" s="80">
        <v>46381</v>
      </c>
      <c r="L14" s="80">
        <v>46746</v>
      </c>
      <c r="M14" s="80">
        <v>46746</v>
      </c>
      <c r="N14" s="80">
        <v>46746</v>
      </c>
      <c r="O14" s="80">
        <v>46746</v>
      </c>
      <c r="P14" s="80">
        <v>46746</v>
      </c>
      <c r="Q14" s="80">
        <v>46746</v>
      </c>
      <c r="R14" s="80">
        <v>46746</v>
      </c>
      <c r="T14" s="80">
        <f>IFERROR(IF(LEN(INDEX($E14:$J14,MATCH(Konfiguration!$F$5,$E$2:$J$2,0)))&gt;0,$D14*1,0),0)</f>
        <v>0</v>
      </c>
    </row>
    <row r="15" spans="1:20">
      <c r="A15" s="11" t="s">
        <v>1286</v>
      </c>
      <c r="B15" s="11" t="s">
        <v>1287</v>
      </c>
      <c r="C15" s="11" t="s">
        <v>1263</v>
      </c>
      <c r="D15" s="80">
        <v>46382</v>
      </c>
      <c r="E15" s="80">
        <v>46382</v>
      </c>
      <c r="F15" s="80">
        <v>46382</v>
      </c>
      <c r="G15" s="80">
        <v>46382</v>
      </c>
      <c r="H15" s="80">
        <v>46382</v>
      </c>
      <c r="I15" s="80">
        <v>46382</v>
      </c>
      <c r="J15" s="80">
        <v>46382</v>
      </c>
      <c r="L15" s="80">
        <v>46747</v>
      </c>
      <c r="M15" s="80">
        <v>46747</v>
      </c>
      <c r="N15" s="80">
        <v>46747</v>
      </c>
      <c r="O15" s="80">
        <v>46747</v>
      </c>
      <c r="P15" s="80">
        <v>46747</v>
      </c>
      <c r="Q15" s="80">
        <v>46747</v>
      </c>
      <c r="R15" s="80">
        <v>46747</v>
      </c>
      <c r="T15" s="80">
        <f>IFERROR(IF(LEN(INDEX($E15:$J15,MATCH(Konfiguration!$F$5,$E$2:$J$2,0)))&gt;0,$D15*1,0),0)</f>
        <v>0</v>
      </c>
    </row>
    <row r="16" spans="1:20">
      <c r="A16" s="11" t="s">
        <v>1288</v>
      </c>
      <c r="B16" s="11" t="s">
        <v>1289</v>
      </c>
      <c r="C16" s="11" t="s">
        <v>1263</v>
      </c>
      <c r="D16" s="80">
        <v>46387</v>
      </c>
      <c r="E16" s="80">
        <v>46387</v>
      </c>
      <c r="F16" s="80">
        <v>46387</v>
      </c>
      <c r="G16" s="80">
        <v>46387</v>
      </c>
      <c r="H16" s="80">
        <v>46387</v>
      </c>
      <c r="I16" s="80">
        <v>46387</v>
      </c>
      <c r="J16" s="80">
        <v>46387</v>
      </c>
      <c r="L16" s="80">
        <v>46752</v>
      </c>
      <c r="M16" s="80">
        <v>46752</v>
      </c>
      <c r="N16" s="80">
        <v>46752</v>
      </c>
      <c r="O16" s="80">
        <v>46752</v>
      </c>
      <c r="P16" s="80">
        <v>46752</v>
      </c>
      <c r="Q16" s="80">
        <v>46752</v>
      </c>
      <c r="R16" s="80">
        <v>46752</v>
      </c>
      <c r="T16" s="80">
        <f>IFERROR(IF(LEN(INDEX($E16:$J16,MATCH(Konfiguration!$F$5,$E$2:$J$2,0)))&gt;0,$D16*1,0),0)</f>
        <v>0</v>
      </c>
    </row>
    <row r="17" spans="1:20">
      <c r="A17" s="11" t="s">
        <v>1290</v>
      </c>
      <c r="B17" s="11" t="s">
        <v>1291</v>
      </c>
      <c r="C17" s="11" t="s">
        <v>1292</v>
      </c>
      <c r="D17" s="80">
        <v>46344</v>
      </c>
      <c r="L17" s="80">
        <v>46708</v>
      </c>
      <c r="T17" s="80">
        <f>IFERROR(IF(LEN(INDEX($E17:$J17,MATCH(Konfiguration!$F$5,$E$2:$J$2,0)))&gt;0,$D17*1,0),0)</f>
        <v>0</v>
      </c>
    </row>
    <row r="18" spans="1:20">
      <c r="A18" s="11" t="s">
        <v>1293</v>
      </c>
      <c r="B18" s="11" t="s">
        <v>1294</v>
      </c>
      <c r="C18" s="11" t="s">
        <v>1295</v>
      </c>
      <c r="D18" s="80">
        <v>46117</v>
      </c>
      <c r="E18" s="80">
        <v>46117</v>
      </c>
      <c r="F18" s="80">
        <v>46117</v>
      </c>
      <c r="G18" s="80">
        <v>46117</v>
      </c>
      <c r="H18" s="80">
        <v>46117</v>
      </c>
      <c r="I18" s="80">
        <v>46117</v>
      </c>
      <c r="J18" s="80">
        <v>46117</v>
      </c>
      <c r="L18" s="80">
        <v>46474</v>
      </c>
      <c r="M18" s="80">
        <v>46481</v>
      </c>
      <c r="N18" s="80">
        <v>46481</v>
      </c>
      <c r="O18" s="80">
        <v>46481</v>
      </c>
      <c r="P18" s="80">
        <v>46481</v>
      </c>
      <c r="Q18" s="80">
        <v>46481</v>
      </c>
      <c r="R18" s="80">
        <v>46481</v>
      </c>
      <c r="T18" s="80">
        <f>IFERROR(IF(LEN(INDEX($E18:$J18,MATCH(Konfiguration!$F$5,$E$2:$J$2,0)))&gt;0,$D18*1,0),0)</f>
        <v>0</v>
      </c>
    </row>
    <row r="19" spans="1:20">
      <c r="A19" s="11" t="s">
        <v>1296</v>
      </c>
      <c r="B19" s="11" t="s">
        <v>1297</v>
      </c>
      <c r="C19" s="11" t="s">
        <v>1298</v>
      </c>
      <c r="D19" s="80">
        <v>46115</v>
      </c>
      <c r="E19" s="80">
        <v>46115</v>
      </c>
      <c r="F19" s="80">
        <v>46115</v>
      </c>
      <c r="G19" s="80">
        <v>46115</v>
      </c>
      <c r="H19" s="80">
        <v>46115</v>
      </c>
      <c r="I19" s="80">
        <v>46115</v>
      </c>
      <c r="J19" s="80">
        <v>46115</v>
      </c>
      <c r="L19" s="80">
        <v>46472</v>
      </c>
      <c r="M19" s="80">
        <v>46479</v>
      </c>
      <c r="N19" s="80">
        <v>46479</v>
      </c>
      <c r="O19" s="80">
        <v>46479</v>
      </c>
      <c r="P19" s="80">
        <v>46479</v>
      </c>
      <c r="Q19" s="80">
        <v>46479</v>
      </c>
      <c r="R19" s="80">
        <v>46479</v>
      </c>
      <c r="T19" s="80">
        <f>IFERROR(IF(LEN(INDEX($E19:$J19,MATCH(Konfiguration!$F$5,$E$2:$J$2,0)))&gt;0,$D19*1,0),0)</f>
        <v>0</v>
      </c>
    </row>
    <row r="20" spans="1:20">
      <c r="A20" s="11" t="s">
        <v>1299</v>
      </c>
      <c r="B20" s="11" t="s">
        <v>1300</v>
      </c>
      <c r="C20" s="11" t="s">
        <v>1301</v>
      </c>
      <c r="D20" s="80">
        <v>46118</v>
      </c>
      <c r="E20" s="80">
        <v>46118</v>
      </c>
      <c r="F20" s="80">
        <v>46118</v>
      </c>
      <c r="G20" s="80">
        <v>46118</v>
      </c>
      <c r="H20" s="80">
        <v>46118</v>
      </c>
      <c r="I20" s="80">
        <v>46118</v>
      </c>
      <c r="J20" s="80">
        <v>46118</v>
      </c>
      <c r="L20" s="80">
        <v>46475</v>
      </c>
      <c r="M20" s="80">
        <v>46482</v>
      </c>
      <c r="N20" s="80">
        <v>46482</v>
      </c>
      <c r="O20" s="80">
        <v>46482</v>
      </c>
      <c r="P20" s="80">
        <v>46482</v>
      </c>
      <c r="Q20" s="80">
        <v>46482</v>
      </c>
      <c r="R20" s="80">
        <v>46482</v>
      </c>
      <c r="T20" s="80">
        <f>IFERROR(IF(LEN(INDEX($E20:$J20,MATCH(Konfiguration!$F$5,$E$2:$J$2,0)))&gt;0,$D20*1,0),0)</f>
        <v>0</v>
      </c>
    </row>
    <row r="21" spans="1:20">
      <c r="A21" s="11" t="s">
        <v>1302</v>
      </c>
      <c r="B21" s="11" t="s">
        <v>1303</v>
      </c>
      <c r="C21" s="11" t="s">
        <v>1304</v>
      </c>
      <c r="D21" s="80">
        <v>46156</v>
      </c>
      <c r="E21" s="80">
        <v>46156</v>
      </c>
      <c r="F21" s="80">
        <v>46156</v>
      </c>
      <c r="G21" s="80">
        <v>46156</v>
      </c>
      <c r="H21" s="80">
        <v>46156</v>
      </c>
      <c r="I21" s="80">
        <v>46156</v>
      </c>
      <c r="J21" s="80">
        <v>46156</v>
      </c>
      <c r="L21" s="80">
        <v>46513</v>
      </c>
      <c r="M21" s="80">
        <v>46520</v>
      </c>
      <c r="N21" s="80">
        <v>46520</v>
      </c>
      <c r="O21" s="80">
        <v>46520</v>
      </c>
      <c r="P21" s="80">
        <v>46520</v>
      </c>
      <c r="Q21" s="80">
        <v>46520</v>
      </c>
      <c r="R21" s="80">
        <v>46520</v>
      </c>
      <c r="T21" s="80">
        <f>IFERROR(IF(LEN(INDEX($E21:$J21,MATCH(Konfiguration!$F$5,$E$2:$J$2,0)))&gt;0,$D21*1,0),0)</f>
        <v>0</v>
      </c>
    </row>
    <row r="22" spans="1:20">
      <c r="A22" s="11" t="s">
        <v>1305</v>
      </c>
      <c r="B22" s="11" t="s">
        <v>1306</v>
      </c>
      <c r="C22" s="11" t="s">
        <v>1307</v>
      </c>
      <c r="D22" s="80">
        <v>46166</v>
      </c>
      <c r="E22" s="80">
        <v>46166</v>
      </c>
      <c r="F22" s="80">
        <v>46166</v>
      </c>
      <c r="G22" s="80">
        <v>46166</v>
      </c>
      <c r="H22" s="80">
        <v>46166</v>
      </c>
      <c r="I22" s="80">
        <v>46166</v>
      </c>
      <c r="J22" s="80">
        <v>46166</v>
      </c>
      <c r="L22" s="80">
        <v>46523</v>
      </c>
      <c r="M22" s="80">
        <v>46530</v>
      </c>
      <c r="N22" s="80">
        <v>46530</v>
      </c>
      <c r="O22" s="80">
        <v>46530</v>
      </c>
      <c r="P22" s="80">
        <v>46530</v>
      </c>
      <c r="Q22" s="80">
        <v>46530</v>
      </c>
      <c r="R22" s="80">
        <v>46166</v>
      </c>
      <c r="T22" s="80">
        <f>IFERROR(IF(LEN(INDEX($E22:$J22,MATCH(Konfiguration!$F$5,$E$2:$J$2,0)))&gt;0,$D22*1,0),0)</f>
        <v>0</v>
      </c>
    </row>
    <row r="23" spans="1:20">
      <c r="A23" s="11" t="s">
        <v>1308</v>
      </c>
      <c r="B23" s="11" t="s">
        <v>1309</v>
      </c>
      <c r="C23" s="11" t="s">
        <v>1310</v>
      </c>
      <c r="D23" s="80">
        <v>46167</v>
      </c>
      <c r="E23" s="80">
        <v>46167</v>
      </c>
      <c r="F23" s="80">
        <v>46167</v>
      </c>
      <c r="G23" s="80">
        <v>46167</v>
      </c>
      <c r="H23" s="80">
        <v>46167</v>
      </c>
      <c r="I23" s="80">
        <v>46167</v>
      </c>
      <c r="J23" s="80">
        <v>46167</v>
      </c>
      <c r="L23" s="80">
        <v>46524</v>
      </c>
      <c r="M23" s="80">
        <v>46531</v>
      </c>
      <c r="N23" s="80">
        <v>46531</v>
      </c>
      <c r="O23" s="80">
        <v>46531</v>
      </c>
      <c r="P23" s="80">
        <v>46531</v>
      </c>
      <c r="Q23" s="80">
        <v>46531</v>
      </c>
      <c r="R23" s="80">
        <v>46531</v>
      </c>
      <c r="T23" s="80">
        <f>IFERROR(IF(LEN(INDEX($E23:$J23,MATCH(Konfiguration!$F$5,$E$2:$J$2,0)))&gt;0,$D23*1,0),0)</f>
        <v>0</v>
      </c>
    </row>
    <row r="24" spans="1:20">
      <c r="A24" s="11" t="s">
        <v>1311</v>
      </c>
      <c r="B24" s="11" t="s">
        <v>1312</v>
      </c>
      <c r="C24" s="11" t="s">
        <v>1313</v>
      </c>
      <c r="D24" s="80">
        <v>46177</v>
      </c>
      <c r="E24" s="80">
        <v>46177</v>
      </c>
      <c r="F24" s="80">
        <v>46177</v>
      </c>
      <c r="G24" s="80">
        <v>46177</v>
      </c>
      <c r="J24" s="80">
        <v>46177</v>
      </c>
      <c r="L24" s="80">
        <v>46534</v>
      </c>
      <c r="M24" s="80">
        <v>46541</v>
      </c>
      <c r="N24" s="80">
        <v>46541</v>
      </c>
      <c r="O24" s="80">
        <v>46541</v>
      </c>
      <c r="R24" s="80">
        <v>46541</v>
      </c>
      <c r="T24" s="80">
        <f>IFERROR(IF(LEN(INDEX($E24:$J24,MATCH(Konfiguration!$F$5,$E$2:$J$2,0)))&gt;0,$D24*1,0),0)</f>
        <v>0</v>
      </c>
    </row>
    <row r="25" spans="1:20">
      <c r="A25" s="11" t="s">
        <v>1314</v>
      </c>
      <c r="B25" s="11" t="s">
        <v>1315</v>
      </c>
      <c r="C25" s="11" t="s">
        <v>1316</v>
      </c>
      <c r="D25" s="80">
        <v>46069</v>
      </c>
      <c r="E25" s="80">
        <v>46069</v>
      </c>
      <c r="F25" s="80">
        <v>46069</v>
      </c>
      <c r="L25" s="80">
        <v>46426</v>
      </c>
      <c r="M25" s="80">
        <v>46433</v>
      </c>
      <c r="N25" s="80">
        <v>46433</v>
      </c>
      <c r="T25" s="80">
        <f>IFERROR(IF(LEN(INDEX($E25:$J25,MATCH(Konfiguration!$F$5,$E$2:$J$2,0)))&gt;0,$D25*1,0),0)</f>
        <v>0</v>
      </c>
    </row>
    <row r="26" spans="1:20">
      <c r="A26" s="11" t="s">
        <v>1317</v>
      </c>
      <c r="B26" s="11" t="s">
        <v>1318</v>
      </c>
      <c r="C26" s="11" t="s">
        <v>1319</v>
      </c>
      <c r="D26" s="80">
        <v>46070</v>
      </c>
      <c r="G26" s="80">
        <v>46070</v>
      </c>
      <c r="L26" s="80">
        <v>46427</v>
      </c>
      <c r="O26" s="80">
        <v>46427</v>
      </c>
      <c r="T26" s="80">
        <f>IFERROR(IF(LEN(INDEX($E26:$J26,MATCH(Konfiguration!$F$5,$E$2:$J$2,0)))&gt;0,$D26*1,0),0)</f>
        <v>0</v>
      </c>
    </row>
    <row r="27" spans="1:20">
      <c r="A27" s="11" t="s">
        <v>1320</v>
      </c>
      <c r="B27" s="11"/>
      <c r="C27" s="11" t="s">
        <v>1321</v>
      </c>
      <c r="D27" s="80">
        <v>45785</v>
      </c>
      <c r="T27" s="80">
        <f>IFERROR(IF(LEN(INDEX($E27:$J27,MATCH(Konfiguration!$F$5,$E$2:$J$2,0)))&gt;0,$D27*1,0),0)</f>
        <v>0</v>
      </c>
    </row>
    <row r="28" spans="1:20">
      <c r="A28" s="11" t="s">
        <v>1261</v>
      </c>
      <c r="B28" s="11" t="s">
        <v>1322</v>
      </c>
      <c r="C28" s="11" t="s">
        <v>1263</v>
      </c>
      <c r="D28" s="80">
        <v>46388</v>
      </c>
      <c r="E28" s="80">
        <v>46388</v>
      </c>
      <c r="F28" s="80">
        <v>46388</v>
      </c>
      <c r="G28" s="80">
        <v>46388</v>
      </c>
      <c r="H28" s="80">
        <v>46388</v>
      </c>
      <c r="I28" s="80">
        <v>46388</v>
      </c>
      <c r="J28" s="80">
        <v>46388</v>
      </c>
      <c r="L28" s="80">
        <v>46753</v>
      </c>
      <c r="M28" s="80">
        <v>46753</v>
      </c>
      <c r="N28" s="80">
        <v>46753</v>
      </c>
      <c r="O28" s="80">
        <v>46753</v>
      </c>
      <c r="P28" s="80">
        <v>46753</v>
      </c>
      <c r="Q28" s="80">
        <v>46753</v>
      </c>
      <c r="R28" s="80">
        <v>46753</v>
      </c>
      <c r="T28" s="80">
        <f>IFERROR(IF(LEN(INDEX($E28:$J28,MATCH(Konfiguration!$F$5,$E$2:$J$2,0)))&gt;0,$D28*1,0),0)</f>
        <v>0</v>
      </c>
    </row>
    <row r="29" spans="1:20">
      <c r="A29" s="11" t="s">
        <v>1264</v>
      </c>
      <c r="B29" s="11" t="s">
        <v>1323</v>
      </c>
      <c r="C29" s="11" t="s">
        <v>1263</v>
      </c>
      <c r="D29" s="80">
        <v>46393</v>
      </c>
      <c r="G29" s="80">
        <v>46393</v>
      </c>
      <c r="J29" s="80">
        <v>46393</v>
      </c>
      <c r="L29" s="80">
        <v>46758</v>
      </c>
      <c r="O29" s="80">
        <v>46758</v>
      </c>
      <c r="R29" s="80">
        <v>46758</v>
      </c>
      <c r="T29" s="80">
        <f>IFERROR(IF(LEN(INDEX($E29:$J29,MATCH(Konfiguration!$F$5,$E$2:$J$2,0)))&gt;0,$D29*1,0),0)</f>
        <v>0</v>
      </c>
    </row>
    <row r="30" spans="1:20">
      <c r="T30" s="80">
        <f>IFERROR(IF(LEN(INDEX($M3:$R3,MATCH(Konfiguration!$F$5,$M$2:$R$2,0)))&gt;0,$L3*1,0),0)</f>
        <v>0</v>
      </c>
    </row>
    <row r="31" spans="1:20">
      <c r="T31" s="80">
        <f>IFERROR(IF(LEN(INDEX($M4:$R4,MATCH(Konfiguration!$F$5,$M$2:$R$2,0)))&gt;0,$L4*1,0),0)</f>
        <v>0</v>
      </c>
    </row>
    <row r="32" spans="1:20">
      <c r="T32" s="80">
        <f>IFERROR(IF(LEN(INDEX($M5:$R5,MATCH(Konfiguration!$F$5,$M$2:$R$2,0)))&gt;0,$L5*1,0),0)</f>
        <v>0</v>
      </c>
    </row>
    <row r="33" spans="20:20">
      <c r="T33" s="80">
        <f>IFERROR(IF(LEN(INDEX($M6:$R6,MATCH(Konfiguration!$F$5,$M$2:$R$2,0)))&gt;0,$L6*1,0),0)</f>
        <v>0</v>
      </c>
    </row>
    <row r="34" spans="20:20">
      <c r="T34" s="80">
        <f>IFERROR(IF(LEN(INDEX($M7:$R7,MATCH(Konfiguration!$F$5,$M$2:$R$2,0)))&gt;0,$L7*1,0),0)</f>
        <v>0</v>
      </c>
    </row>
    <row r="35" spans="20:20">
      <c r="T35" s="80">
        <f>IFERROR(IF(LEN(INDEX($M8:$R8,MATCH(Konfiguration!$F$5,$M$2:$R$2,0)))&gt;0,$L8*1,0),0)</f>
        <v>0</v>
      </c>
    </row>
    <row r="36" spans="20:20">
      <c r="T36" s="80">
        <f>IFERROR(IF(LEN(INDEX($M9:$R9,MATCH(Konfiguration!$F$5,$M$2:$R$2,0)))&gt;0,$L9*1,0),0)</f>
        <v>0</v>
      </c>
    </row>
    <row r="37" spans="20:20">
      <c r="T37" s="80">
        <f>IFERROR(IF(LEN(INDEX($M10:$R10,MATCH(Konfiguration!$F$5,$M$2:$R$2,0)))&gt;0,$L10*1,0),0)</f>
        <v>0</v>
      </c>
    </row>
    <row r="38" spans="20:20">
      <c r="T38" s="80">
        <f>IFERROR(IF(LEN(INDEX($M11:$R11,MATCH(Konfiguration!$F$5,$M$2:$R$2,0)))&gt;0,$L11*1,0),0)</f>
        <v>0</v>
      </c>
    </row>
    <row r="39" spans="20:20">
      <c r="T39" s="80">
        <f>IFERROR(IF(LEN(INDEX($M12:$R12,MATCH(Konfiguration!$F$5,$M$2:$R$2,0)))&gt;0,$L12*1,0),0)</f>
        <v>0</v>
      </c>
    </row>
    <row r="40" spans="20:20">
      <c r="T40" s="80">
        <f>IFERROR(IF(LEN(INDEX($M13:$R13,MATCH(Konfiguration!$F$5,$M$2:$R$2,0)))&gt;0,$L13*1,0),0)</f>
        <v>0</v>
      </c>
    </row>
    <row r="41" spans="20:20">
      <c r="T41" s="80">
        <f>IFERROR(IF(LEN(INDEX($M14:$R14,MATCH(Konfiguration!$F$5,$M$2:$R$2,0)))&gt;0,$L14*1,0),0)</f>
        <v>0</v>
      </c>
    </row>
    <row r="42" spans="20:20">
      <c r="T42" s="80">
        <f>IFERROR(IF(LEN(INDEX($M15:$R15,MATCH(Konfiguration!$F$5,$M$2:$R$2,0)))&gt;0,$L15*1,0),0)</f>
        <v>0</v>
      </c>
    </row>
    <row r="43" spans="20:20">
      <c r="T43" s="80">
        <f>IFERROR(IF(LEN(INDEX($M16:$R16,MATCH(Konfiguration!$F$5,$M$2:$R$2,0)))&gt;0,$L16*1,0),0)</f>
        <v>0</v>
      </c>
    </row>
    <row r="44" spans="20:20">
      <c r="T44" s="80">
        <f>IFERROR(IF(LEN(INDEX($M17:$R17,MATCH(Konfiguration!$F$5,$M$2:$R$2,0)))&gt;0,$L17*1,0),0)</f>
        <v>0</v>
      </c>
    </row>
    <row r="45" spans="20:20">
      <c r="T45" s="80">
        <f>IFERROR(IF(LEN(INDEX($M18:$R18,MATCH(Konfiguration!$F$5,$M$2:$R$2,0)))&gt;0,$L18*1,0),0)</f>
        <v>0</v>
      </c>
    </row>
    <row r="46" spans="20:20">
      <c r="T46" s="80">
        <f>IFERROR(IF(LEN(INDEX($M19:$R19,MATCH(Konfiguration!$F$5,$M$2:$R$2,0)))&gt;0,$L19*1,0),0)</f>
        <v>0</v>
      </c>
    </row>
    <row r="47" spans="20:20">
      <c r="T47" s="80">
        <f>IFERROR(IF(LEN(INDEX($M20:$R20,MATCH(Konfiguration!$F$5,$M$2:$R$2,0)))&gt;0,$L20*1,0),0)</f>
        <v>0</v>
      </c>
    </row>
    <row r="48" spans="20:20">
      <c r="T48" s="80">
        <f>IFERROR(IF(LEN(INDEX($M21:$R21,MATCH(Konfiguration!$F$5,$M$2:$R$2,0)))&gt;0,$L21*1,0),0)</f>
        <v>0</v>
      </c>
    </row>
    <row r="49" spans="20:20">
      <c r="T49" s="80">
        <f>IFERROR(IF(LEN(INDEX($M22:$R22,MATCH(Konfiguration!$F$5,$M$2:$R$2,0)))&gt;0,$L22*1,0),0)</f>
        <v>0</v>
      </c>
    </row>
    <row r="50" spans="20:20">
      <c r="T50" s="80">
        <f>IFERROR(IF(LEN(INDEX($M23:$R23,MATCH(Konfiguration!$F$5,$M$2:$R$2,0)))&gt;0,$L23*1,0),0)</f>
        <v>0</v>
      </c>
    </row>
    <row r="51" spans="20:20">
      <c r="T51" s="80">
        <f>IFERROR(IF(LEN(INDEX($M24:$R24,MATCH(Konfiguration!$F$5,$M$2:$R$2,0)))&gt;0,$L24*1,0),0)</f>
        <v>0</v>
      </c>
    </row>
    <row r="52" spans="20:20">
      <c r="T52" s="80">
        <f>IFERROR(IF(LEN(INDEX($M25:$R25,MATCH(Konfiguration!$F$5,$M$2:$R$2,0)))&gt;0,$L25*1,0),0)</f>
        <v>0</v>
      </c>
    </row>
    <row r="53" spans="20:20">
      <c r="T53" s="80">
        <f>IFERROR(IF(LEN(INDEX($M26:$R26,MATCH(Konfiguration!$F$5,$M$2:$R$2,0)))&gt;0,$L26*1,0),0)</f>
        <v>0</v>
      </c>
    </row>
    <row r="54" spans="20:20">
      <c r="T54" s="80">
        <f>IFERROR(IF(LEN(INDEX($M27:$R27,MATCH(Konfiguration!$F$5,$M$2:$R$2,0)))&gt;0,$L27*1,0),0)</f>
        <v>0</v>
      </c>
    </row>
    <row r="55" spans="20:20">
      <c r="T55" s="80">
        <f>IFERROR(IF(LEN(INDEX($M28:$R28,MATCH(Konfiguration!$F$5,$M$2:$R$2,0)))&gt;0,$L28*1,0),0)</f>
        <v>0</v>
      </c>
    </row>
    <row r="56" spans="20:20">
      <c r="T56" s="80">
        <f>IFERROR(IF(LEN(INDEX($M29:$R29,MATCH(Konfiguration!$F$5,$M$2:$R$2,0)))&gt;0,$L29*1,0),0)</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1069</v>
      </c>
      <c r="B1" s="9" t="s">
        <v>1176</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vt:lpstr>
      <vt:lpstr>Übersicht</vt:lpstr>
      <vt:lpstr>Deckblatt</vt:lpstr>
      <vt:lpstr>PPT_2</vt:lpstr>
      <vt:lpstr>PPT_3</vt:lpstr>
      <vt:lpstr>Rohdaten</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FeiertageBT</vt:lpstr>
      <vt:lpstr>Personen</vt:lpstr>
      <vt:lpstr>RD_Kopf</vt:lpstr>
      <vt:lpstr>RD_Monate</vt:lpstr>
      <vt:lpstr>SLA_PV</vt:lpstr>
      <vt:lpstr>Stichtag</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2026-10-09T13:06:08Z</dcterms:created>
  <dcterms:modified xsi:type="dcterms:W3CDTF">2026-10-09T13:06:08Z</dcterms:modified>
</cp:coreProperties>
</file>